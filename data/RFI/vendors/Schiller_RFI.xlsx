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166925"/>
  <mc:AlternateContent xmlns:mc="http://schemas.openxmlformats.org/markup-compatibility/2006">
    <mc:Choice Requires="x15">
      <x15ac:absPath xmlns:x15ac="http://schemas.microsoft.com/office/spreadsheetml/2010/11/ac" url="https://kurtzersade-my.sharepoint.com/personal/hubert_baren_kurtzersa_de/Documents/Dokumente/Kurtz Ersa/0 - S&amp;M/00-Kunden/apple/"/>
    </mc:Choice>
  </mc:AlternateContent>
  <xr:revisionPtr revIDLastSave="22" documentId="8_{DC07C3F5-F068-4DA0-A2D1-F00EF28EF69A}" xr6:coauthVersionLast="47" xr6:coauthVersionMax="47" xr10:uidLastSave="{8A56A476-C1FD-4130-B821-90BEA00E0D9F}"/>
  <workbookProtection workbookAlgorithmName="SHA-512" workbookHashValue="RQH5Kx2dOBjDEqYj2TXipBbmUcoYWMLAdWE7C3q/46dzCrNjksss7Gqr5dWEtvMaqzG16old4r+CaVxzifhVUg==" workbookSaltValue="pZPxhzHsW4NsocMKqExkEg==" workbookSpinCount="100000" lockStructure="1"/>
  <bookViews>
    <workbookView xWindow="-120" yWindow="-120" windowWidth="29040" windowHeight="17520" tabRatio="998" firstSheet="1" activeTab="6" xr2:uid="{1DE64824-9F2A-024B-98E0-95D9197CA600}"/>
  </bookViews>
  <sheets>
    <sheet name="1. Introduction" sheetId="18" r:id="rId1"/>
    <sheet name="2. RFI Rules of Engagement" sheetId="17" r:id="rId2"/>
    <sheet name="3. RFI Terms &amp; Conditions" sheetId="16" r:id="rId3"/>
    <sheet name="4. General Company Information" sheetId="1" r:id="rId4"/>
    <sheet name="5. Financial Info" sheetId="6" r:id="rId5"/>
    <sheet name="6. Assembly &amp; Supply Chain" sheetId="19" r:id="rId6"/>
    <sheet name="7. OSS-Onsite Service &amp; Support" sheetId="9" r:id="rId7"/>
    <sheet name="8a. Headcount Summary" sheetId="20" r:id="rId8"/>
    <sheet name="8b. Project Management Process" sheetId="23" r:id="rId9"/>
    <sheet name="9a. Technical Capabilties" sheetId="21" r:id="rId10"/>
    <sheet name="9b. Technical Roadmap" sheetId="24" r:id="rId11"/>
    <sheet name="10. Commercial Expectations" sheetId="22" r:id="rId12"/>
    <sheet name="Formatting" sheetId="15" state="hidden"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9" l="1"/>
  <c r="E7" i="9"/>
  <c r="C7" i="9"/>
  <c r="I16" i="20" l="1"/>
  <c r="H16" i="20"/>
  <c r="G16" i="20"/>
  <c r="F16" i="20"/>
  <c r="E16" i="20"/>
  <c r="D16" i="20"/>
  <c r="C16" i="20"/>
</calcChain>
</file>

<file path=xl/sharedStrings.xml><?xml version="1.0" encoding="utf-8"?>
<sst xmlns="http://schemas.openxmlformats.org/spreadsheetml/2006/main" count="674" uniqueCount="429">
  <si>
    <t>Website</t>
  </si>
  <si>
    <t>Public/Private</t>
  </si>
  <si>
    <t>Ticker Symbol (if Public)</t>
  </si>
  <si>
    <t>Year Founded</t>
  </si>
  <si>
    <t>First Year of Engagement with Apple</t>
  </si>
  <si>
    <t>Total # of Employees</t>
  </si>
  <si>
    <t>Region 1</t>
  </si>
  <si>
    <t>Region 2</t>
  </si>
  <si>
    <t>Region 3</t>
  </si>
  <si>
    <t>Market Cap (USD)</t>
  </si>
  <si>
    <t>Company Total Revenue (USD)</t>
  </si>
  <si>
    <t>Apple Direct Generated Revenue (USD)</t>
  </si>
  <si>
    <t>Public</t>
  </si>
  <si>
    <t>Parent Company Official Name</t>
  </si>
  <si>
    <t>Official Legal Name</t>
  </si>
  <si>
    <t>Company HQ</t>
  </si>
  <si>
    <t>Region 4</t>
  </si>
  <si>
    <t>Region 5</t>
  </si>
  <si>
    <t>*Apple issued a PO to you for this spend</t>
  </si>
  <si>
    <t>Title</t>
  </si>
  <si>
    <t>Email</t>
  </si>
  <si>
    <t>CEO or President</t>
  </si>
  <si>
    <t>Core Competencies</t>
  </si>
  <si>
    <t>Component Category</t>
  </si>
  <si>
    <t>Machine Vision</t>
  </si>
  <si>
    <t>Robotics</t>
  </si>
  <si>
    <t>Motors/Drives</t>
  </si>
  <si>
    <t>Pneumatics</t>
  </si>
  <si>
    <t>Optics</t>
  </si>
  <si>
    <t>Mechanical Linear Motion</t>
  </si>
  <si>
    <t>Conveyor System</t>
  </si>
  <si>
    <t>Feeder System</t>
  </si>
  <si>
    <t>Machined Part/Bracket</t>
  </si>
  <si>
    <t>Nest/Holder/Pallet</t>
  </si>
  <si>
    <t>Other</t>
  </si>
  <si>
    <t>Binary</t>
  </si>
  <si>
    <t>Yes</t>
  </si>
  <si>
    <t>No</t>
  </si>
  <si>
    <t>Safety/Electrical/Wiring</t>
  </si>
  <si>
    <t>Gantry Systems/Linear Motors/Stages</t>
  </si>
  <si>
    <t>Frame/Baseplate/Indexing Table</t>
  </si>
  <si>
    <t>Dispensing</t>
  </si>
  <si>
    <t>Screwdriving</t>
  </si>
  <si>
    <t>Consumables</t>
  </si>
  <si>
    <t>IPC/PLC/Motion Controller</t>
  </si>
  <si>
    <t>Fan Filtration Unit/Ionizer/HEPA Filter</t>
  </si>
  <si>
    <t>Force Measurement/Load Cells/Pressure Sensors/Accelerometers</t>
  </si>
  <si>
    <t>Countries</t>
  </si>
  <si>
    <t>Albania</t>
  </si>
  <si>
    <t>American Samoa</t>
  </si>
  <si>
    <t>Australia</t>
  </si>
  <si>
    <t>Austria</t>
  </si>
  <si>
    <t>Belgium</t>
  </si>
  <si>
    <t>Brazil</t>
  </si>
  <si>
    <t>British West Indie</t>
  </si>
  <si>
    <t>Cambodia</t>
  </si>
  <si>
    <t>Canada</t>
  </si>
  <si>
    <t>Cayman Islands</t>
  </si>
  <si>
    <t>China</t>
  </si>
  <si>
    <t>Costa Rica</t>
  </si>
  <si>
    <t>Czech Republic</t>
  </si>
  <si>
    <t>Denmark</t>
  </si>
  <si>
    <t>Estonia</t>
  </si>
  <si>
    <t>Finland</t>
  </si>
  <si>
    <t>France</t>
  </si>
  <si>
    <t>Germany</t>
  </si>
  <si>
    <t>Greece</t>
  </si>
  <si>
    <t>Hungary</t>
  </si>
  <si>
    <t>India</t>
  </si>
  <si>
    <t>Indonesia</t>
  </si>
  <si>
    <t>Ireland</t>
  </si>
  <si>
    <t>Israel</t>
  </si>
  <si>
    <t>Italy</t>
  </si>
  <si>
    <t>Japan</t>
  </si>
  <si>
    <t>Korea</t>
  </si>
  <si>
    <t>Latvia</t>
  </si>
  <si>
    <t>Luxembourg</t>
  </si>
  <si>
    <t>Malaysia</t>
  </si>
  <si>
    <t>Malta</t>
  </si>
  <si>
    <t>Mauritius</t>
  </si>
  <si>
    <t>Mexico</t>
  </si>
  <si>
    <t>Morocco</t>
  </si>
  <si>
    <t>Netherlands</t>
  </si>
  <si>
    <t>New Zealand</t>
  </si>
  <si>
    <t>Nicaragua</t>
  </si>
  <si>
    <t>Norway</t>
  </si>
  <si>
    <t>Philippines</t>
  </si>
  <si>
    <t>Poland</t>
  </si>
  <si>
    <t>Portugal</t>
  </si>
  <si>
    <t>Puerto Rico</t>
  </si>
  <si>
    <t>Russia</t>
  </si>
  <si>
    <t>Singapore</t>
  </si>
  <si>
    <t>South Africa</t>
  </si>
  <si>
    <t>Spain</t>
  </si>
  <si>
    <t>Sweden</t>
  </si>
  <si>
    <t>Switzerland</t>
  </si>
  <si>
    <t>Taiwan</t>
  </si>
  <si>
    <t>Thailand</t>
  </si>
  <si>
    <t>Tunis</t>
  </si>
  <si>
    <t>Turkey</t>
  </si>
  <si>
    <t>UAE</t>
  </si>
  <si>
    <t>United Kingdom</t>
  </si>
  <si>
    <t>USA</t>
  </si>
  <si>
    <t>Vietnam</t>
  </si>
  <si>
    <t>Company Type</t>
  </si>
  <si>
    <t>Private</t>
  </si>
  <si>
    <t>Training Time (wks)</t>
  </si>
  <si>
    <t>Manufacturing Location 1</t>
  </si>
  <si>
    <t>Manufacturing Location 2</t>
  </si>
  <si>
    <t>Manufacturing Location 3</t>
  </si>
  <si>
    <t>Manufacturing Location 4</t>
  </si>
  <si>
    <t>Manufacturing Location 5</t>
  </si>
  <si>
    <t>Country of Residence</t>
  </si>
  <si>
    <t>Apple revolutionized personal technology with the introduction of the Macintosh in 1984. Today, Apple leads the world in innovation with iPhone, iPad, Mac, AirPods, Apple Watch, and Apple Vision Pro. Apple’s six software platforms — iOS, iPadOS, macOS, watchOS, visionOS, and tvOS — provide seamless experiences across all Apple devices and empower people with breakthrough services including the App Store, Apple Music, Apple Pay, iCloud, and Apple TV+. Apple’s more than 150,000 employees are dedicated to making the best products on earth and to leaving the world better than we found it.</t>
  </si>
  <si>
    <t>This Request for Information (“RFI”) is to obtain information regarding certain products and/or services (collectively, the “Goods and/or Services”) specified in this RFI. Apple Inc. (“Apple”) requests that the responding company (“Participant”) submit a response (“Proposal”) in compliance with this RFI.</t>
  </si>
  <si>
    <t xml:space="preserve">All sections requiring Participant's response are denoted by a highlighted cell. All responses shall be submitted, in writing, in the associated cell or attached via email response, where requested. </t>
  </si>
  <si>
    <t xml:space="preserve">2   RFI Rules of Engagement </t>
  </si>
  <si>
    <t xml:space="preserve">Participant shall direct any questions regarding this RFI to the Apple Procurement Contact. Participant shall not communicate with any other person at Apple regarding this RFI or the Proposal, unless otherwise expressly required in this RFI. Failure to comply with this requirement will result in elimination from the RFI process. </t>
  </si>
  <si>
    <t>Participant’s Proposal must be best and final and effective for at least one hundred eighty (180) days from the date of the RFI. Participant shall bear all costs associated with preparing and submitting the Proposal. All Proposals must be based on areas of Participant’s expertise and current methods of operation.</t>
  </si>
  <si>
    <t>Apple’s business decision will be based on price, performance, quality, and other requirements specified in the RFI. Apple reserves the right to accept or reject any and all Proposals, to award all or part of its requirements to a single Participant, or to award requirements to multiple Participants.</t>
  </si>
  <si>
    <t>Apple reserves the right to negotiate any aspect of this RFI and any and all submitted Proposal(s), or to negotiate separately with any source whatsoever and in any manner necessary to serve the best interests of Apple. Any agreement that may be executed as a result from this RFI (“Definitive Agreement”) will be entered into on the condition that the Participant represent and guarantee that it possesses the necessary skill, means of performance and financial resources to provide the Goods and/or Services. THIS RFI IS NOT A PURCHASE ORDER OR AN OFFER OF ANY KIND, AND APPLE DOES NOT PROMISE THAT ANY CONTRACT OR AGREEMENT WILL BE AWARDED AS A RESULT OF THIS RFI. AWARD OF ANY AGREEMENT WILL BE SOLELY AT THE DISCRETION OF APPLE. NO COMMITMENT IS HEREBY EXPRESSED OR IMPLIED.</t>
  </si>
  <si>
    <t>PARTICIPANT SHALL NOT BEGIN ANY WORK OR PROVIDE ANY GOODS AND/OR SERVICES UNDER ANY DEFINITIVE AGREEMENT OR THIS RFI UNLESS AND UNTIL IT HAS BEEN ISSUED A PURCHASE ORDER FOR THE GOODS AND/OR SERVICES BY APPLE’S GLOBAL SOUCING &amp; SUPPLY MANAGEMENT DEPARTMENT. APPLE SHALL HAVE THE RIGHT, IN ITS SOLE DISCRETION, TO REFUSE PAYMENT FOR ANY GOODS AND/OR SERVICES PROVIDED PRIOR TO OR WITHOUT A PURCHASE ORDER.</t>
  </si>
  <si>
    <t>This RFI, including any addenda, corrections, or oral information related hereto, is Apple’s proprietary and confidential information (herein “Proprietary and Confidential Information”). Participant shall make no public statement (including without limitation, any press release, press statement, trade journal article, case study or the like) at any time regarding this RFI, the Proposal, the Goods and/or Services or the existence or nature of the relationship between Participant and Apple. IN NO EVENT MAY APPLE PROPRIETARY AND CONFIDENTIAL INFORMATION BE USED, DISSEMINATED, COPIED OR MADE AVAILABLE, WITHOUT THE EXPRESS PRIOR WRITTEN PERMISSION OF AN AUTHORIZED APPLE REPRESENTATIVE, IN ANY FORM WHATSOEVER TO ANYONE OTHER THAN THE AUTHORIZED EMPLOYEES OF PARTICIPANT, ON A “NEED TO KNOW” BASIS, FOR THE SOLE PURPOSE OF RESPONDING TO THIS RFI, WHICH EMPLOYEES HAVE BEEN ADVISED BY PARTICIPANT OF THEIR CONFIDENTIALITY OBLIGATIONS AS RELATED TO THIS RFI. Participant may not use any trade name, trademark, service mark, logo or other designation of Apple in its promotional or marketing activities or for any other purpose.</t>
  </si>
  <si>
    <t>Participant acknowledges and agrees to release and hold harmless Apple, its employees, agents, officers, and contractors from and against any and all claims, liability, damages, costs, including court costs and attorneys’ fees, arising out of or pursuant to submission of the Proposal or failure to submit the Proposal to Apple, as specified in this RFI.</t>
  </si>
  <si>
    <t>Apple's policy governing its procurement relationships provides that no Apple employee may receive a gift from a current or prospective supplier, or anyone associated with that current or prospective supplier. This rule applies regardless of the value of the gift, and there are no exceptions. Participant must therefore ensure that throughout this RFI process and thereafter (whether Participant becomes a supplier for Apple or not), Participant will not under any circumstances provide any gift(s) to any Apple employee or contractor. A violation of this policy will result in the immediate disqualification of Participant from continuing with the RFI process or any future RFIs. Termination of Participant’s relationship with Apple will result if a Participant becomes a supplier, and Apple later discovers a violation of this policy by such supplier.</t>
  </si>
  <si>
    <t xml:space="preserve">All materials submitted by Participant in connection with this RFI shall be considered as part of this RFI, and will become the property of Apple to be used as Apple deems appropriate, subject to any obligation to maintain the confidentiality of all materials designated by the Participant as confidential or proprietary. Apple shall own all products delivered or developed by Participant for Apple. </t>
  </si>
  <si>
    <t>Apple does not tolerate collusive bidding, and shall eliminate from the RFI process any Participants who engage in such bidding. Collusive bidding is considered to have taken place if any Participant:
(a) Fixes or adjusts the amount of its bid by or in accordance with any agreement or arrangement with any other person or entity;
(b) Communicates to any person or entity other than Apple the amount or approximate amount of proposed bid(s), except where such disclosure is made in confidence in order to obtain quotations necessary for the preparation of the bid or for insurance;
(c) Enters into any agreement or arrangement with any other person or entity that it shall refrain from bidding, or collaborate on the amount of any bid to be submitted;
(d) Offers or agrees to pay or give, or does pay or give any sum of money, inducement or valuable consideration directly or indirectly to any person or entity for doing or having done or causing or having caused to be done any act or omission in relation to any other bid or proposed bid for the works under the RFI; or 
(e) Otherwise engages in collusive behavior prohibited by law.</t>
  </si>
  <si>
    <t>As part of the evaluation process, Apple requires that the successful bid employ staff of appropriate caliber, including but not limited to, appropriate Apple certifications, to meet the requirements of any relevant Definitive Agreement, and may request additional information regarding all key personnel relevant to any such Definitive Agreement.
Participant’s Personnel must comply with Apple’s safety and security requirements. Apple reserves the right to conduct or require Participant to conduct background checks on such Participant Personnel. Apple may require that Apple personnel escort Participant’s Personnel at all times while on Apple’s premises. Apple may immediately remove, or require that, upon Apple’s request, Participant immediately remove any Participant Personnel from Apple’s premises or the Apple account. The term “Personnel” shall mean any employee, officer, independent contractor, subcontractor, or agent of Participant.</t>
  </si>
  <si>
    <t xml:space="preserve">Participant’s Proposal must identify and describe the Goods and/or Services to be provided by each subcontractor, if any, which Participant intends to use in providing any Goods and/or Services to Apple. </t>
  </si>
  <si>
    <t xml:space="preserve">Should this RFI include any apparent errors or omissions, Participant shall immediately notify Apple of such discovered errors and omissions, and shall not take advantage of such errors and omissions. </t>
  </si>
  <si>
    <t xml:space="preserve">3   RFI Terms and Conditions </t>
  </si>
  <si>
    <t>By submitting a Proposal to Apple, the Participant:
(a) agrees to and shall comply with all requirements set forth in this RFI;
(b) represents and warrants that the individual accepting the requirements set forth in this RFI has the authority to accept such requirements on behalf of Participant entity’s behalf; and
(c) acknowledges and agrees that, if selected by Apple to provide the Goods and/or Services described in this RFI, any Definitive Agreement for the provision of such Goods and/or Services shall follow Apple's terms and conditions, whose mention does not constitute an offer by Apple to Participant.
Do you, the Participant, accept these terms and conditions? Please select from dropdown list.</t>
  </si>
  <si>
    <t xml:space="preserve">RFI Submission Date </t>
  </si>
  <si>
    <t>HQ Location</t>
  </si>
  <si>
    <t>Type</t>
  </si>
  <si>
    <t>Key Area Leaders (Example : CEO, COO, CFO etc)</t>
  </si>
  <si>
    <t>Name (First, Last)</t>
  </si>
  <si>
    <t xml:space="preserve">Contact Number (include country code - e.g. USA +1) </t>
  </si>
  <si>
    <t>Commercial DRI / Apple Executive Contact</t>
  </si>
  <si>
    <t>Operations Leader</t>
  </si>
  <si>
    <t xml:space="preserve">Finance </t>
  </si>
  <si>
    <t>Engineering</t>
  </si>
  <si>
    <t>Supply chain</t>
  </si>
  <si>
    <t>Project Management</t>
  </si>
  <si>
    <t>Production</t>
  </si>
  <si>
    <t>*Enter Data in USD in millions</t>
  </si>
  <si>
    <t>2026 (expected)</t>
  </si>
  <si>
    <t>2027 (expected)</t>
  </si>
  <si>
    <t>Gross Profit</t>
  </si>
  <si>
    <t>Operating Profit</t>
  </si>
  <si>
    <t>*CMs and Module Integrators issued a PO to you for this spend</t>
  </si>
  <si>
    <r>
      <t>     3.1  </t>
    </r>
    <r>
      <rPr>
        <b/>
        <sz val="16"/>
        <color theme="0"/>
        <rFont val="SF Hello Regular"/>
      </rPr>
      <t xml:space="preserve"> Participant Acknowledgment</t>
    </r>
  </si>
  <si>
    <t>Facility Name (if any)</t>
  </si>
  <si>
    <t xml:space="preserve">City and Country </t>
  </si>
  <si>
    <t>Full Address</t>
  </si>
  <si>
    <t>Current Apple Programs Supported
 (List Program Name or N/A)</t>
  </si>
  <si>
    <t>EQ Type manufactured in above location for Apple
(Dispense, Pick and place, Assembly, Die Attach, Wire Bond, Test, etc)</t>
  </si>
  <si>
    <t>EQ Type manufactured in above location for other customers
(Dispense, Pick and place, Assembly, Die Attach, Wire Bond, Test, etc)</t>
  </si>
  <si>
    <t>Facility Floor Space (Square Meters)</t>
    <phoneticPr fontId="0" type="noConversion"/>
  </si>
  <si>
    <t>What are the key supply chain tactics being followed?</t>
  </si>
  <si>
    <r>
      <t xml:space="preserve">     2.1   </t>
    </r>
    <r>
      <rPr>
        <b/>
        <sz val="16"/>
        <color theme="0"/>
        <rFont val="SF Hello Regular"/>
      </rPr>
      <t xml:space="preserve">Communications </t>
    </r>
  </si>
  <si>
    <r>
      <t xml:space="preserve">     2.2   </t>
    </r>
    <r>
      <rPr>
        <b/>
        <sz val="16"/>
        <color theme="0"/>
        <rFont val="SF Hello Regular"/>
      </rPr>
      <t xml:space="preserve">Proposal </t>
    </r>
  </si>
  <si>
    <r>
      <t xml:space="preserve">     2.3   </t>
    </r>
    <r>
      <rPr>
        <b/>
        <sz val="16"/>
        <color theme="0"/>
        <rFont val="SF Hello Regular"/>
      </rPr>
      <t xml:space="preserve">RFI Submission </t>
    </r>
  </si>
  <si>
    <r>
      <t xml:space="preserve">     2.4   </t>
    </r>
    <r>
      <rPr>
        <b/>
        <sz val="16"/>
        <color theme="0"/>
        <rFont val="SF Hello Regular"/>
      </rPr>
      <t xml:space="preserve">Proposal Decision </t>
    </r>
  </si>
  <si>
    <r>
      <t xml:space="preserve">     2.5   </t>
    </r>
    <r>
      <rPr>
        <b/>
        <sz val="16"/>
        <color theme="0"/>
        <rFont val="SF Hello Regular"/>
      </rPr>
      <t xml:space="preserve">No Obligation </t>
    </r>
  </si>
  <si>
    <r>
      <t xml:space="preserve">     2.6   </t>
    </r>
    <r>
      <rPr>
        <b/>
        <sz val="16"/>
        <color theme="0"/>
        <rFont val="SF Hello Regular"/>
      </rPr>
      <t xml:space="preserve">Purchase Orders </t>
    </r>
  </si>
  <si>
    <r>
      <t xml:space="preserve">     2.7   </t>
    </r>
    <r>
      <rPr>
        <b/>
        <sz val="16"/>
        <color theme="0"/>
        <rFont val="SF Hello Regular"/>
      </rPr>
      <t xml:space="preserve">Confidentiality; Publicity; Marks </t>
    </r>
  </si>
  <si>
    <r>
      <t xml:space="preserve">     2.8   </t>
    </r>
    <r>
      <rPr>
        <b/>
        <sz val="16"/>
        <color theme="0"/>
        <rFont val="SF Hello Regular"/>
      </rPr>
      <t xml:space="preserve">Risk of Loss, Damage or Delay </t>
    </r>
  </si>
  <si>
    <r>
      <t xml:space="preserve">     2.9   </t>
    </r>
    <r>
      <rPr>
        <b/>
        <sz val="16"/>
        <color theme="0"/>
        <rFont val="SF Hello Regular"/>
      </rPr>
      <t xml:space="preserve">No Gift Policy </t>
    </r>
  </si>
  <si>
    <r>
      <t xml:space="preserve">     2.10   </t>
    </r>
    <r>
      <rPr>
        <b/>
        <sz val="16"/>
        <color theme="0"/>
        <rFont val="SF Hello Regular"/>
      </rPr>
      <t xml:space="preserve">Participant Information </t>
    </r>
  </si>
  <si>
    <r>
      <t xml:space="preserve">     2.11   </t>
    </r>
    <r>
      <rPr>
        <b/>
        <sz val="16"/>
        <color theme="0"/>
        <rFont val="SF Hello Regular"/>
      </rPr>
      <t xml:space="preserve">Collusive Bidding </t>
    </r>
  </si>
  <si>
    <r>
      <t xml:space="preserve">     2.12   </t>
    </r>
    <r>
      <rPr>
        <b/>
        <sz val="16"/>
        <color theme="0"/>
        <rFont val="SF Hello Regular"/>
      </rPr>
      <t xml:space="preserve">Personnel </t>
    </r>
  </si>
  <si>
    <r>
      <t xml:space="preserve">     2.13   </t>
    </r>
    <r>
      <rPr>
        <b/>
        <sz val="16"/>
        <color theme="0"/>
        <rFont val="SF Hello Regular"/>
      </rPr>
      <t xml:space="preserve">Subcontractors </t>
    </r>
  </si>
  <si>
    <r>
      <t xml:space="preserve">     2.14   </t>
    </r>
    <r>
      <rPr>
        <b/>
        <sz val="16"/>
        <color theme="0"/>
        <rFont val="SF Hello Regular"/>
      </rPr>
      <t xml:space="preserve">Errors and Omissions </t>
    </r>
  </si>
  <si>
    <r>
      <t xml:space="preserve">     1.1   </t>
    </r>
    <r>
      <rPr>
        <b/>
        <sz val="16"/>
        <color theme="0"/>
        <rFont val="SF Hello Regular"/>
      </rPr>
      <t xml:space="preserve">About Apple </t>
    </r>
  </si>
  <si>
    <r>
      <t xml:space="preserve">     1.2  </t>
    </r>
    <r>
      <rPr>
        <b/>
        <sz val="16"/>
        <color theme="0"/>
        <rFont val="SF Hello Regular"/>
      </rPr>
      <t xml:space="preserve">Project Overview and Purpose </t>
    </r>
  </si>
  <si>
    <r>
      <t xml:space="preserve">     1.3  </t>
    </r>
    <r>
      <rPr>
        <b/>
        <sz val="16"/>
        <color theme="0"/>
        <rFont val="SF Hello Regular"/>
      </rPr>
      <t>RFI Content &amp; Sections</t>
    </r>
  </si>
  <si>
    <r>
      <t xml:space="preserve">     1.4  </t>
    </r>
    <r>
      <rPr>
        <b/>
        <sz val="16"/>
        <color theme="0"/>
        <rFont val="SF Hello Regular"/>
      </rPr>
      <t>RFI Due Date</t>
    </r>
  </si>
  <si>
    <r>
      <t xml:space="preserve">     1.5  </t>
    </r>
    <r>
      <rPr>
        <b/>
        <sz val="16"/>
        <color theme="0"/>
        <rFont val="SF Hello Regular"/>
      </rPr>
      <t>RFI Response Requested</t>
    </r>
  </si>
  <si>
    <r>
      <t>     1.6  </t>
    </r>
    <r>
      <rPr>
        <b/>
        <sz val="16"/>
        <color theme="0"/>
        <rFont val="SF Hello Regular"/>
      </rPr>
      <t xml:space="preserve">Procurement Contact </t>
    </r>
  </si>
  <si>
    <t>Region 6</t>
  </si>
  <si>
    <t>Region Country</t>
  </si>
  <si>
    <t>Glossary</t>
  </si>
  <si>
    <t>Term</t>
  </si>
  <si>
    <t>Definition</t>
  </si>
  <si>
    <t>Level</t>
  </si>
  <si>
    <t>After passing exam, must fulfill the folllowing requirements below:</t>
  </si>
  <si>
    <t>L3</t>
  </si>
  <si>
    <t>1. Familiar electrical and mechanical related specialty</t>
  </si>
  <si>
    <t>2. Familiar SW edit, and parameter SW modification</t>
  </si>
  <si>
    <t>3. Can analyze the data independently, find the root cause, to improve downtime by top issue</t>
  </si>
  <si>
    <t>4. Also can be independently training for all people</t>
  </si>
  <si>
    <t>L2</t>
  </si>
  <si>
    <t>1. At least six months equipment maintenance expereince, familiar with principles of equipment operation</t>
  </si>
  <si>
    <t>2. Be able to indepedently deal with machine abnormality, and maitenance related issues</t>
  </si>
  <si>
    <t>3. Adjust some parameters inside of SW or machine</t>
  </si>
  <si>
    <t>L1</t>
  </si>
  <si>
    <t>1. Understand the structure of the equipment &amp; operation progress, to confirm equipment parts &amp; checklist</t>
  </si>
  <si>
    <t xml:space="preserve">2. can operate the SW simply, and judge abnormal condition, to do troubleshooting simply </t>
  </si>
  <si>
    <t>Attrition Rate (%)</t>
  </si>
  <si>
    <t>Any previous issues faced in shipping to certain countries?</t>
  </si>
  <si>
    <t>Are there any inhouse machining / job shop capabilities? If so, please explain in detail in terms of machine qty available (CNC, Mill, Lathe, EDM Weld, etc.), volume produced, &amp; available capacity.</t>
  </si>
  <si>
    <t>What are the supply chain resiliency plans to ensure no distruption in supply?</t>
  </si>
  <si>
    <t>Facility New Product Security (NPS) Approved?</t>
  </si>
  <si>
    <t>Customer Base served from this location
(City and Country of the customer)</t>
  </si>
  <si>
    <t>Max Weekly Manufacturing Capacity
(by volume of units shipped)</t>
  </si>
  <si>
    <t>Average Weekly Manufacturing Capacity
(by volume of units shipped)</t>
  </si>
  <si>
    <t>Comments</t>
  </si>
  <si>
    <t>2025 (expected)</t>
  </si>
  <si>
    <t>2028 (expected)</t>
  </si>
  <si>
    <t>If any other, please add …</t>
  </si>
  <si>
    <t>Please fill in all fields with year end numbers to complete this section. Only numbers are allowed to be input.</t>
  </si>
  <si>
    <t xml:space="preserve">1   Introduction </t>
  </si>
  <si>
    <t>What are all the key subcomponent vendors used and where are they located (city, country)? Please provide rough volume &amp; spend with key subcomponent vendors as well.</t>
  </si>
  <si>
    <t>Hiring Difficulty in Region (High/Medium/Low)</t>
  </si>
  <si>
    <t>Region 7</t>
  </si>
  <si>
    <t>Region 8</t>
  </si>
  <si>
    <t>Exclude 3rd Party Agency Partners</t>
  </si>
  <si>
    <t>TOTAL</t>
  </si>
  <si>
    <t>Participant acknowledges and agrees to provide any and all demo EQ requested by Apple for NPI qualification. If Participant is not selected for MP, regardless of reason, Participant will receive back all EQ, without liability to Apple. Do you, the Participant, accept these terms and conditions? Please select from dropdown list.</t>
  </si>
  <si>
    <t>Participant acknowledges and agrees to provide any and all Engineering, OSS, and R&amp;D requested by Apple for NPI qualification. If Participant is not selected for MP, regardless of reason, Participant will waive all liability to Apple. Do you, the Participant, accept these terms and conditions? Please select from dropdown list.</t>
  </si>
  <si>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follow Apple's terms and conditions. Do you, the Participant, accept these terms and conditions? Please select from dropdown list.</t>
  </si>
  <si>
    <t>Participant acknowledges and agrees to an on-site audit of workshop and facilities by Apple New Product Security (NPS) team. Participant agrees to comply with all requirements and requested information from NPS, including the complete implementation of all security requirements. Do you, the Participant, accept these terms and conditions? Please select from dropdown list.</t>
  </si>
  <si>
    <t>Participant acknowledges and agrees to provide all pricing in Apple-specified format (i.e. Equipment Breakdown Down), to include Purchase Parts, Raw Material, Processing, Labor, SG&amp;A/Profit, or in any other format requested. Do you, the Participant, accept these terms and conditions? Please select from dropdown list.</t>
  </si>
  <si>
    <t>Use the blank page to detail your company's technical roadmap for apple or other customers</t>
  </si>
  <si>
    <t>What are the incoming (IQC), in process (IPQC), and outgoing (OQC) quality control systems and/or processes? Please desrcibe in detail.</t>
  </si>
  <si>
    <t>Are there ERP system and processes, including any automation or integration functionality across EQ manufacturing supply chain? Please desrcibe in detail.</t>
  </si>
  <si>
    <t>Are there any Global expansion plans in the future for Manufacturing? Please desrcibe in detail.</t>
  </si>
  <si>
    <r>
      <t>     10.2.2</t>
    </r>
    <r>
      <rPr>
        <b/>
        <sz val="16"/>
        <color theme="0"/>
        <rFont val="SF Hello Regular"/>
      </rPr>
      <t>   Development Resources</t>
    </r>
  </si>
  <si>
    <r>
      <t>     10.2.3</t>
    </r>
    <r>
      <rPr>
        <b/>
        <sz val="16"/>
        <color theme="0"/>
        <rFont val="SF Hello Regular"/>
      </rPr>
      <t>   Price / Equipment Breakdown Transparency</t>
    </r>
  </si>
  <si>
    <r>
      <t xml:space="preserve">     10.2   </t>
    </r>
    <r>
      <rPr>
        <b/>
        <sz val="16"/>
        <color theme="0"/>
        <rFont val="SF Hello Regular"/>
      </rPr>
      <t>Commercial Standards</t>
    </r>
  </si>
  <si>
    <r>
      <t xml:space="preserve">     10.1   </t>
    </r>
    <r>
      <rPr>
        <b/>
        <sz val="16"/>
        <color theme="0"/>
        <rFont val="SF Hello Regular"/>
      </rPr>
      <t>Contractual Standards</t>
    </r>
  </si>
  <si>
    <r>
      <t xml:space="preserve">     10.2.1 </t>
    </r>
    <r>
      <rPr>
        <b/>
        <sz val="16"/>
        <color theme="0"/>
        <rFont val="SF Hello Regular"/>
      </rPr>
      <t>   Demo EQ</t>
    </r>
  </si>
  <si>
    <t>10   Commercial Expectations</t>
  </si>
  <si>
    <t>Please fill in all fields to complete this section. If there are supplemental compnay overview slides, please attach to RFI response.</t>
  </si>
  <si>
    <t>Custom Automation</t>
  </si>
  <si>
    <t>Plasma/Oven</t>
  </si>
  <si>
    <t>P&amp;P / Attach</t>
  </si>
  <si>
    <t>Lighting</t>
  </si>
  <si>
    <t>AI/ML</t>
  </si>
  <si>
    <t>Categories</t>
  </si>
  <si>
    <t>Sub-Categories</t>
  </si>
  <si>
    <t>Core Tech</t>
  </si>
  <si>
    <t>Process Equipment Tech</t>
  </si>
  <si>
    <t>Inspection Equipment Tech</t>
  </si>
  <si>
    <t>System Integtation</t>
  </si>
  <si>
    <t>Laser</t>
  </si>
  <si>
    <t>Please fill in Technical Capabilties information by Category and Sub-Category.</t>
  </si>
  <si>
    <t>Client / Reference</t>
  </si>
  <si>
    <t>Apple DRI Name</t>
  </si>
  <si>
    <t>Apple DRI Email</t>
  </si>
  <si>
    <t>Client / Reference Email</t>
  </si>
  <si>
    <t>Applicable Project Experience
(Year, Machine Description &amp; QTY, Spend, Timeline)</t>
  </si>
  <si>
    <t>Applicable Apple Experience
(Year, Machine Description &amp; QTY, Spend, Timeline)</t>
  </si>
  <si>
    <t>In House Capability?</t>
  </si>
  <si>
    <t>Outsourced?</t>
  </si>
  <si>
    <t>Equipment Type &amp; Key Technologies</t>
  </si>
  <si>
    <t>Competitive Advantage(s)</t>
  </si>
  <si>
    <r>
      <t>     10.1.3</t>
    </r>
    <r>
      <rPr>
        <b/>
        <sz val="16"/>
        <color theme="0"/>
        <rFont val="SF Hello Regular"/>
      </rPr>
      <t xml:space="preserve">  New Product Security (NPS) Audit</t>
    </r>
  </si>
  <si>
    <r>
      <t>     10.1.2</t>
    </r>
    <r>
      <rPr>
        <b/>
        <sz val="16"/>
        <color theme="0"/>
        <rFont val="SF Hello Regular"/>
      </rPr>
      <t xml:space="preserve">  NDA, ARPA, &amp; EDPA</t>
    </r>
  </si>
  <si>
    <r>
      <t xml:space="preserve">     10.1.1 </t>
    </r>
    <r>
      <rPr>
        <b/>
        <sz val="16"/>
        <color theme="0"/>
        <rFont val="SF Hello Regular"/>
      </rPr>
      <t>  Company Organizational Structure &amp; Entities</t>
    </r>
  </si>
  <si>
    <r>
      <t>     10.2.4</t>
    </r>
    <r>
      <rPr>
        <b/>
        <sz val="16"/>
        <color theme="0"/>
        <rFont val="SF Hello Regular"/>
      </rPr>
      <t>   Distribution Model &amp; Authorized Purchasers</t>
    </r>
  </si>
  <si>
    <t>Total Field Service Engineers - L2 (HC)</t>
  </si>
  <si>
    <t>Total Field Service Engineers - L1 (HC)</t>
  </si>
  <si>
    <t>Total Field Service Engineers - L3 (HC)</t>
  </si>
  <si>
    <t>Support Capabilities in Region - Total # of Units (QTY)</t>
  </si>
  <si>
    <t>Total Project Management (HC)</t>
  </si>
  <si>
    <t>Total Engineering (HC)
(Mechanical, Electircal, Software, etc.)</t>
  </si>
  <si>
    <t>Total Production (HC)</t>
  </si>
  <si>
    <t>Total OSS (HC)</t>
  </si>
  <si>
    <t>Supply Chain (HC)</t>
  </si>
  <si>
    <t>Quality (HC)</t>
  </si>
  <si>
    <t>Shipping &amp; Logistics (HC)</t>
  </si>
  <si>
    <t>Dedicated Resourcing (HC)
(PM, Engineering, Production, OSS, etc.)</t>
  </si>
  <si>
    <t>Proficiency</t>
  </si>
  <si>
    <t xml:space="preserve">Typcical Development &amp; Equipment Lead Times
(RFP to DFM, KO to ETA, ETA to SAT, OEE, etc.) </t>
  </si>
  <si>
    <t>*If there are existing NDA, ARPA, and EDPA, please attach in response to RFI.</t>
  </si>
  <si>
    <t>Facility Headcount (HC)
(PM, Engineering, Production, OSS, Supply Chain, Quality, Shipping &amp; Logistics, R&amp;D, Sales &amp; Marketing, Executive)</t>
  </si>
  <si>
    <t xml:space="preserve">Average Total Annual Revenue from Units Produced </t>
  </si>
  <si>
    <r>
      <t>     10.1.4</t>
    </r>
    <r>
      <rPr>
        <b/>
        <sz val="16"/>
        <color theme="0"/>
        <rFont val="SF Hello Regular"/>
      </rPr>
      <t xml:space="preserve">  Enviroment &amp; Supply Supply Chain Innovation (ESCI) Facility Readiness Assessment (FRA)</t>
    </r>
  </si>
  <si>
    <t>Enviroment &amp; Supply Supply Chain Innovation (ESCI) Facility Readiness Assessment (FRA) Approved?</t>
  </si>
  <si>
    <t>Participant acknowledges and agrees to provide all Apple approved pricing directly to Apple and Apple Authorized Purchasers and work directly with Apple and Apple Authorized Purchasers. Operating through 3rd party distributors and distribution networks will dilute Participant margin. Do you, the Participant, accept these terms and conditions? Please select from dropdown list.</t>
  </si>
  <si>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be executed with company overall parent entity and not subsidiary entity. Do you, the Participant, accept these terms and conditions? Please select from dropdown list.</t>
  </si>
  <si>
    <t>*If multiple company entities exist, please attach corporate org structure in response to RFI with parent and subsidiary entities clearly marked.</t>
  </si>
  <si>
    <t>Apple Indirect Generated Revenue (USD)</t>
  </si>
  <si>
    <t>R&amp;D (HC)
(Mechanical, Electircal, Software, etc.)</t>
  </si>
  <si>
    <t>Sales &amp; Marketing (HC)</t>
  </si>
  <si>
    <t>Executive (HC)</t>
  </si>
  <si>
    <t>Please fill in Headcount (HC) information. Only numbers are allowed to be input.</t>
  </si>
  <si>
    <t>Assembly</t>
  </si>
  <si>
    <t>Regions Served (Countries &amp; QTY)</t>
  </si>
  <si>
    <t>This RFI consists of the following sections. Please review all sections in their entirety.
Section 1: Introduction
Section 2: RFI Rules of Engagement
Section 3: RFI Terms &amp; Conditions
Section 4: General Company Information
Section 5: Financial Info
Section 6: Assembly &amp; Supply Chain
Section 7: OSS - Onsite Service &amp; Support
Section 8a: Headcount Summary
Section 8b: Project Managment Process
Section 9a: Technical Capabilities
Section 9b: Technical Roadmap
Section 10: Commercial Expectations</t>
  </si>
  <si>
    <t>Fixture Design &amp; Fabrication</t>
  </si>
  <si>
    <r>
      <t xml:space="preserve">Please fill in all fields for Company HQ and all Manufacturing Locations to complete this section. </t>
    </r>
    <r>
      <rPr>
        <b/>
        <u/>
        <sz val="14"/>
        <color theme="1"/>
        <rFont val="Helvetica Neue"/>
        <family val="2"/>
      </rPr>
      <t>ALL</t>
    </r>
    <r>
      <rPr>
        <b/>
        <sz val="14"/>
        <color theme="1"/>
        <rFont val="Helvetica Neue"/>
        <family val="2"/>
      </rPr>
      <t xml:space="preserve"> potential manufacturing locations and local labs must be included, </t>
    </r>
    <r>
      <rPr>
        <b/>
        <u/>
        <sz val="14"/>
        <color rgb="FFFF0000"/>
        <rFont val="Helvetica Neue"/>
        <family val="2"/>
      </rPr>
      <t>especially locations covering China, India, Vietnam, Thailand, and Brazil.</t>
    </r>
  </si>
  <si>
    <r>
      <t xml:space="preserve">Please fill in all fields for </t>
    </r>
    <r>
      <rPr>
        <b/>
        <u/>
        <sz val="14"/>
        <color theme="1"/>
        <rFont val="Helvetica Neue"/>
        <family val="2"/>
      </rPr>
      <t>ALL</t>
    </r>
    <r>
      <rPr>
        <b/>
        <sz val="14"/>
        <color theme="1"/>
        <rFont val="Helvetica Neue"/>
        <family val="2"/>
      </rPr>
      <t xml:space="preserve"> regions currently serviced to complete this section. Only numbers are allowed to be input. </t>
    </r>
    <r>
      <rPr>
        <b/>
        <u/>
        <sz val="14"/>
        <color rgb="FFFF0000"/>
        <rFont val="Helvetica Neue"/>
        <family val="2"/>
      </rPr>
      <t>Please make sure to include how you would plan to cover China, India, Vietnam, Thailand, and Brazil.</t>
    </r>
  </si>
  <si>
    <t>Metrology</t>
  </si>
  <si>
    <t>Dispatch Difficulty from Region (High/Medium/Low)</t>
  </si>
  <si>
    <t>SW/PLC Integration</t>
  </si>
  <si>
    <r>
      <t>     10.2.5</t>
    </r>
    <r>
      <rPr>
        <b/>
        <sz val="16"/>
        <color theme="0"/>
        <rFont val="SF Hello Regular"/>
      </rPr>
      <t>   Equipment Design &amp; Retrofitability</t>
    </r>
  </si>
  <si>
    <r>
      <t>     10.2.7</t>
    </r>
    <r>
      <rPr>
        <b/>
        <sz val="16"/>
        <color theme="0"/>
        <rFont val="SF Hello Regular"/>
      </rPr>
      <t>   Equipment Component Selection</t>
    </r>
  </si>
  <si>
    <t>Participant acknowledges and agrees to design equipment with future reuse opportunities in mind by minmizing the amount of re-work and cost required to redeploy equipment for new projects through flexible design. Future proofing equipment with design flexibility benefits both Apple and the Participant as resources can be focused on new challenges instead of reconfiguring old ones. Do you, the Participant, accept these terms and conditions? Please select from dropdown list.</t>
  </si>
  <si>
    <t>Participant acknowledges and agrees to design equipment with simple operator and maintenance interfaces so that no or minimal OSS from the Participant or Authorized Purchaser is required to support it. Ideally, equipment should be delivered to Apple or the Authorized Purchaser without needing Participant direct support. Designing equipment simply with no or minimal OSS requirements benefits both Apple and the Participant as resources can be focused on new projects instead of supporting old ones. Do you, the Participant, accept these terms and conditions? Please select from dropdown list.</t>
  </si>
  <si>
    <t>Participant acknowledges and agrees to design equipment with preference for off the shelf (OTS) components over custom components as they can be acquired quickly and more readily from the market. Custom components should only be used if no OTS component is capable. Designing equipment simply with OTS components benefits both Apple and the Participant by making delivering and maintaining equipment on schedule more attainable. Do you, the Participant, accept these terms and conditions? Please select from dropdown list.</t>
  </si>
  <si>
    <r>
      <t>     10.2.6</t>
    </r>
    <r>
      <rPr>
        <b/>
        <sz val="16"/>
        <color theme="0"/>
        <rFont val="SF Hello Regular"/>
      </rPr>
      <t>   OSS Requirements &amp; Necessity</t>
    </r>
  </si>
  <si>
    <t>Key Components &amp; Average Annual Spend ($M)
(Prefernce for off the shelf components)</t>
  </si>
  <si>
    <t>Test Equipment Tech</t>
  </si>
  <si>
    <t>Laser Compliance Test</t>
  </si>
  <si>
    <t>Button Test</t>
  </si>
  <si>
    <t>Camera Test</t>
  </si>
  <si>
    <t>Optical Test</t>
  </si>
  <si>
    <t>Acoustic Test</t>
  </si>
  <si>
    <t>Force Test</t>
  </si>
  <si>
    <t>Display Sensing/L
uminance Test</t>
  </si>
  <si>
    <r>
      <t>     10.2.8</t>
    </r>
    <r>
      <rPr>
        <b/>
        <sz val="16"/>
        <color theme="0"/>
        <rFont val="SF Hello Regular"/>
      </rPr>
      <t>   Equipment Software &amp; Training Materials</t>
    </r>
  </si>
  <si>
    <r>
      <t>Use the blank page to detail your company's project management process.
E.g. If given a new project today. List out the your internal processes from each phase the project lifecycle: Concept, Feasibility and Engineering, Execution, and Ramp/Bring up.
You may chose to include things like: Process Map, Project management structure for each project / Single PM on each project, decision making process, etc.</t>
    </r>
    <r>
      <rPr>
        <b/>
        <sz val="14"/>
        <color theme="0"/>
        <rFont val="Calibri"/>
        <family val="2"/>
      </rPr>
      <t xml:space="preserve">
</t>
    </r>
  </si>
  <si>
    <t>Participant acknowledges and agrees to write all software and training materials in English or translate all software and training materials to English to faciliate delivery and transfer of equipment to new locations and geographies. Doing this benefits both Apple and the Participant by making delivering and maintaining equipment in new locations and geographies with different Authorized Purchasers more repeatable and requiring less in person support. Do you, the Participant, accept these terms and conditions? Please select from dropdown list.</t>
  </si>
  <si>
    <t xml:space="preserve">Kyle Boutin
Global Sourcing &amp; Supply Management
+1-415-352-9000
kboutin@apple.com   </t>
  </si>
  <si>
    <t>Participant acknowledges and agrees to an on-site Facility Readiness Assessment (FRA) of workshop and facilities by Apple Environment &amp; Supply Chain Innovation (ESCI) team. Participant agrees to comply with all requirements and requested information from ESCI, including the complete implementation of all security and safety requirements. Do you, the Participant, accept these terms and conditions? Please select from dropdown list.</t>
  </si>
  <si>
    <t>Please add geographic breakdown of 2024/2025 Engineering resources by geography in the comments section
Suggested geogrpahies already incldued, feel free to edit/add/subtract geogrpahies as necessary</t>
  </si>
  <si>
    <t>US:
China:
India:
Vietnam:
Thailand:
Brazil:
ETC:</t>
  </si>
  <si>
    <r>
      <t xml:space="preserve">Participant's Proposal to this Request for Information (“RFI”) shall be sent via email by no later than </t>
    </r>
    <r>
      <rPr>
        <b/>
        <sz val="16"/>
        <color rgb="FFFF0000"/>
        <rFont val="SF Hello Regular"/>
      </rPr>
      <t>Monday, December 1, 2025 by 11:00PM Asia time.</t>
    </r>
    <r>
      <rPr>
        <b/>
        <sz val="16"/>
        <color theme="1"/>
        <rFont val="SF Hello Regular"/>
      </rPr>
      <t xml:space="preserve"> </t>
    </r>
  </si>
  <si>
    <r>
      <t xml:space="preserve">All Proposals shall be submitted via email to Procurement Contact no later than </t>
    </r>
    <r>
      <rPr>
        <b/>
        <sz val="16"/>
        <color rgb="FFFF0000"/>
        <rFont val="SF Hello Regular"/>
      </rPr>
      <t>Monday, December 1, 2025 by 23:00 Asia time.</t>
    </r>
    <r>
      <rPr>
        <b/>
        <sz val="16"/>
        <color theme="1"/>
        <rFont val="SF Hello Regular"/>
      </rPr>
      <t xml:space="preserve"> </t>
    </r>
    <r>
      <rPr>
        <sz val="16"/>
        <color theme="1"/>
        <rFont val="SF Hello Regular"/>
      </rPr>
      <t xml:space="preserve">Apple reserves the right to reject any Proposal submitted after the deadline or in the incorrect format. If Participant does not intend to respond to this RFI, please decline and advise the Apple Procurement Contact within seventy-two (72) hours of receipt of this RFI. </t>
    </r>
  </si>
  <si>
    <t>Schiller Automation GmbH</t>
  </si>
  <si>
    <t>Smart production GmbH</t>
  </si>
  <si>
    <t>KurzErsa Mexico</t>
  </si>
  <si>
    <t>KurzErsa</t>
  </si>
  <si>
    <t>Juarez/Mexico</t>
  </si>
  <si>
    <t>WaltershausenGermany</t>
  </si>
  <si>
    <t>Sonnenbühl/Germany</t>
  </si>
  <si>
    <t>High</t>
  </si>
  <si>
    <t>kurtzersa.de</t>
  </si>
  <si>
    <t>Privat</t>
  </si>
  <si>
    <t>Not yet</t>
  </si>
  <si>
    <t>Kurtz Holding GmbH &amp; Co. Beteiligungs KG</t>
  </si>
  <si>
    <t>Kreutzwertheim/Germany</t>
  </si>
  <si>
    <t>kurtz ersa</t>
  </si>
  <si>
    <t>Thomas Mühleck</t>
  </si>
  <si>
    <t>CEO</t>
  </si>
  <si>
    <t>thomas.muehleck@kurtzersa.de</t>
  </si>
  <si>
    <t>Albrecht Beck</t>
  </si>
  <si>
    <t>CEO Americas</t>
  </si>
  <si>
    <t>albrecht.beck@kurtzersa.de</t>
  </si>
  <si>
    <t>USA +1 920 9188715</t>
  </si>
  <si>
    <t>Hubert Baren</t>
  </si>
  <si>
    <t>CEO Automation</t>
  </si>
  <si>
    <t>hubert.baren@kurtzersa.de</t>
  </si>
  <si>
    <t>Germany +49 151 156 03387</t>
  </si>
  <si>
    <t>Christian Diehm</t>
  </si>
  <si>
    <t>Dietmar Borchards</t>
  </si>
  <si>
    <t>in suborganisastions</t>
  </si>
  <si>
    <t>CFO</t>
  </si>
  <si>
    <t>Manager Corp. Procurement</t>
  </si>
  <si>
    <t>germany</t>
  </si>
  <si>
    <t>dietmar.borchards@kurtzersa.de</t>
  </si>
  <si>
    <t>Germany +499342807131</t>
  </si>
  <si>
    <t>christain.diehm@kurtzersa.de</t>
  </si>
  <si>
    <t>Germany +499342807483</t>
  </si>
  <si>
    <t>Germany +49 93428074420</t>
  </si>
  <si>
    <t>Kreuzwertheim/Germany</t>
  </si>
  <si>
    <t>N/A</t>
  </si>
  <si>
    <t>Soldering equipment &amp; machines</t>
  </si>
  <si>
    <t>Micro&amp;Nano Automation all processes (e.g flipchip micro dispensing, die attach…)</t>
  </si>
  <si>
    <t>All automation processes (e.g. Dispensing units, p&amp;p units, test units, flash solutions ect…)</t>
  </si>
  <si>
    <t>Non yet</t>
  </si>
  <si>
    <t>Zhuhai</t>
  </si>
  <si>
    <t>KurzErsa China</t>
  </si>
  <si>
    <t xml:space="preserve">Soldering equipment &amp; automated equipment </t>
  </si>
  <si>
    <t>Frankenstraße 2</t>
  </si>
  <si>
    <t>Pfullinger Straße 58</t>
  </si>
  <si>
    <t>Inselbergstraße 17</t>
  </si>
  <si>
    <t>Div</t>
  </si>
  <si>
    <t>Av. SantosDumont 6211-Interior Colonia Puento Alto</t>
  </si>
  <si>
    <t>N0122 Hua Rong Road-Qin Shi Industrial Zone</t>
  </si>
  <si>
    <t>Que Vo IZ. Phuong Lieu Wrd</t>
  </si>
  <si>
    <t>Bac Ninh Province</t>
  </si>
  <si>
    <t>No not until latelly. Shipping into the US is due to regulation changes not predictable and might have influences on delivery dates and costs</t>
  </si>
  <si>
    <t xml:space="preserve">Depending on the KurtzErsa site we have CNC, Mill Lahe ect. available </t>
  </si>
  <si>
    <t>Standardization enables us to have a warehouse strategy for critical components. This enables us to react in interruptions in the supply change without endanger our production and projects. In addition, we try to have a second and third source strategy for most of our buying parts that, in case we have a shortage with one component we can change to another supplier with endangering the functionality of the machine</t>
  </si>
  <si>
    <t>Kurtz Ersa facilities are all ISO 9001 certified and IQC, IPQC and OQC are in place adapted considering local organisational demands and legislations</t>
  </si>
  <si>
    <t>Low</t>
  </si>
  <si>
    <t>Medium</t>
  </si>
  <si>
    <t>30 Years</t>
  </si>
  <si>
    <t>Siemens S7, Bosch PLC, Beckhoff</t>
  </si>
  <si>
    <t>core business</t>
  </si>
  <si>
    <t>as integrator</t>
  </si>
  <si>
    <t>core competence</t>
  </si>
  <si>
    <t>corec competence</t>
  </si>
  <si>
    <t>core competance</t>
  </si>
  <si>
    <t>possible</t>
  </si>
  <si>
    <t>ccore competence</t>
  </si>
  <si>
    <t>non</t>
  </si>
  <si>
    <t>No DRI yet</t>
  </si>
  <si>
    <t>Depending on process and amount of process cells per line</t>
  </si>
  <si>
    <t>typicaly 6 to 10 weeks depending on plc-type and grade of content</t>
  </si>
  <si>
    <t>Depending on processes and amount of automation cells per line</t>
  </si>
  <si>
    <t xml:space="preserve">Depening on requirement and forecast. Between 2 and 4 weeks </t>
  </si>
  <si>
    <t>Based on forecast 10-16 weeks. New 18-25 weeks</t>
  </si>
  <si>
    <t>Delivery times for Standardised cells can be based on forecst and a delivery shedule go down to 4 - 6 week ExW</t>
  </si>
  <si>
    <t>45 Years experiances in mulltiple projects</t>
  </si>
  <si>
    <t>45 Years experiances in mulltiple projects. Close cooperation with dispense material partner</t>
  </si>
  <si>
    <t>Multiple refernces in Automotive, Electronics, New energies, micro and nano technologies</t>
  </si>
  <si>
    <t>Fully automatic pallet based  conveyor production lines</t>
  </si>
  <si>
    <t>PLC /PC based strategies based on customer demands</t>
  </si>
  <si>
    <t>1k 2k solutions with cartouches or hobocks. Preferd partner Viscotech</t>
  </si>
  <si>
    <t>Laser Marking, Laser welding, spot welding ect. Partner Coherent, Trumpf ect.</t>
  </si>
  <si>
    <t>Core business ERSA, reflow, wave, selective ovens tools. Plasma cells custom made partner plasma tread</t>
  </si>
  <si>
    <t>Core technolgy standard gantry cells with mdoular z aches adaplable on cusotmer specific processes. Cells are by  revamp easly reusable for new &amp;different  processes</t>
  </si>
  <si>
    <t>Integrated on production line as single process step</t>
  </si>
  <si>
    <t>Core competence for our platforms. Partner Cognex Keyance</t>
  </si>
  <si>
    <t>Close cooperation with AI partner</t>
  </si>
  <si>
    <t>Mulltiple organisation. Need for discusion and understanding of apple demand</t>
  </si>
  <si>
    <t>Depending on mschine type</t>
  </si>
  <si>
    <t>Americas</t>
  </si>
  <si>
    <t>Europe</t>
  </si>
  <si>
    <t>Asia</t>
  </si>
  <si>
    <t>US, Can, Mex, South Americas</t>
  </si>
  <si>
    <t>Europe+ Near East</t>
  </si>
  <si>
    <t>China, Taiwan, Korea, India, Thailand, Malaysia</t>
  </si>
  <si>
    <t>KurzErsa Vietnam</t>
  </si>
  <si>
    <t>In place. Kurtz Ersa covers worlds manufacturing sites by local presence. Please see our website for more information. Alternativly we are happy to discuss</t>
  </si>
  <si>
    <t>Depending on technology and region. To be discussed.</t>
  </si>
  <si>
    <t xml:space="preserve">Please explain. </t>
  </si>
  <si>
    <t>At all kurtzersa sites ERP systems in place. Most of the sites are using SAP. Some of the later aquired sites might stil use their existing ERP in place. These will be replaced in timly matter under consideration of our PMI process.</t>
  </si>
  <si>
    <t>As an engineering company we use the same process for single pojects as for development of standard units. The overall process is the first slide bellow.</t>
  </si>
  <si>
    <t>For each process step we have a detailed process description as you see on slide 2 and 3.</t>
  </si>
  <si>
    <t>service</t>
  </si>
  <si>
    <t>holding</t>
  </si>
  <si>
    <t>Indicrect</t>
  </si>
  <si>
    <t>Our company strategie is not to disclose road map in general. We are happy to discuss this in a personal meeting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</si>
</sst>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 #,##0_-;_-* &quot;-&quot;_-;_-@_-"/>
    <numFmt numFmtId="164" formatCode="_-[$$-409]* #,##0_ ;_-[$$-409]* \-#,##0\ ;_-[$$-409]* &quot;-&quot;??_ ;_-@_ "/>
    <numFmt numFmtId="165" formatCode="_-[$$-409]* #,##0.00_ ;_-[$$-409]* \-#,##0.00\ ;_-[$$-409]* &quot;-&quot;_ ;_-@_ "/>
  </numFmts>
  <fonts count="30">
    <font>
      <sz val="12"/>
      <color theme="1"/>
      <name val="Calibri"/>
      <family val="2"/>
      <scheme val="minor"/>
    </font>
    <font>
      <sz val="12"/>
      <color theme="1"/>
      <name val="Calibri"/>
      <family val="2"/>
      <scheme val="minor"/>
    </font>
    <font>
      <sz val="12"/>
      <color theme="1"/>
      <name val="Helvetica Neue"/>
      <family val="2"/>
    </font>
    <font>
      <b/>
      <sz val="12"/>
      <color theme="1"/>
      <name val="Helvetica Neue"/>
      <family val="2"/>
    </font>
    <font>
      <b/>
      <sz val="12"/>
      <name val="Helvetica Neue"/>
      <family val="2"/>
    </font>
    <font>
      <b/>
      <sz val="16"/>
      <color theme="1"/>
      <name val="SF Hello Regular"/>
    </font>
    <font>
      <sz val="16"/>
      <color theme="1"/>
      <name val="SF Hello Regular"/>
    </font>
    <font>
      <b/>
      <sz val="16"/>
      <color rgb="FFFF0000"/>
      <name val="SF Hello Regular"/>
    </font>
    <font>
      <u/>
      <sz val="12"/>
      <color theme="10"/>
      <name val="Calibri"/>
      <family val="2"/>
      <scheme val="minor"/>
    </font>
    <font>
      <b/>
      <sz val="14"/>
      <color theme="1"/>
      <name val="Calibri"/>
      <family val="2"/>
    </font>
    <font>
      <sz val="14"/>
      <color theme="1"/>
      <name val="Calibri"/>
      <family val="2"/>
    </font>
    <font>
      <b/>
      <sz val="14"/>
      <color theme="0"/>
      <name val="Calibri"/>
      <family val="2"/>
    </font>
    <font>
      <sz val="14"/>
      <name val="Calibri"/>
      <family val="2"/>
    </font>
    <font>
      <b/>
      <sz val="12"/>
      <color theme="0"/>
      <name val="Calibri"/>
      <family val="2"/>
    </font>
    <font>
      <sz val="14"/>
      <color theme="0"/>
      <name val="Calibri"/>
      <family val="2"/>
    </font>
    <font>
      <sz val="16"/>
      <color theme="0"/>
      <name val="SF Hello Regular"/>
    </font>
    <font>
      <b/>
      <sz val="16"/>
      <color theme="0"/>
      <name val="SF Hello Regular"/>
    </font>
    <font>
      <b/>
      <sz val="14"/>
      <color theme="1"/>
      <name val="Helvetica Neue"/>
      <family val="2"/>
    </font>
    <font>
      <sz val="14"/>
      <color theme="1"/>
      <name val="Helvetica Neue"/>
      <family val="2"/>
    </font>
    <font>
      <sz val="12"/>
      <name val="Helvetica Neue Light"/>
    </font>
    <font>
      <sz val="12"/>
      <color theme="0"/>
      <name val="Helvetica Neue"/>
      <family val="2"/>
    </font>
    <font>
      <b/>
      <sz val="12"/>
      <color theme="0"/>
      <name val="Helvetica Neue"/>
      <family val="2"/>
    </font>
    <font>
      <b/>
      <u/>
      <sz val="14"/>
      <color rgb="FFFF0000"/>
      <name val="Helvetica Neue"/>
      <family val="2"/>
    </font>
    <font>
      <sz val="12"/>
      <color theme="1"/>
      <name val="SF Hello Regular"/>
    </font>
    <font>
      <sz val="16"/>
      <name val="SF Hello Regular"/>
    </font>
    <font>
      <b/>
      <sz val="14"/>
      <color theme="1"/>
      <name val="Calibri"/>
      <family val="2"/>
      <scheme val="minor"/>
    </font>
    <font>
      <b/>
      <u/>
      <sz val="12"/>
      <color theme="1"/>
      <name val="Calibri"/>
      <family val="2"/>
      <scheme val="minor"/>
    </font>
    <font>
      <sz val="14"/>
      <name val="Helvetica Neue"/>
      <family val="2"/>
    </font>
    <font>
      <sz val="12"/>
      <name val="Helvetica Neue"/>
      <family val="2"/>
    </font>
    <font>
      <b/>
      <u/>
      <sz val="14"/>
      <color theme="1"/>
      <name val="Helvetica Neue"/>
      <family val="2"/>
    </font>
  </fonts>
  <fills count="9">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4F81BD"/>
        <bgColor indexed="64"/>
      </patternFill>
    </fill>
    <fill>
      <patternFill patternType="solid">
        <fgColor theme="4" tint="0.79998168889431442"/>
        <bgColor indexed="64"/>
      </patternFill>
    </fill>
    <fill>
      <patternFill patternType="solid">
        <fgColor rgb="FF4E81BD"/>
        <bgColor indexed="64"/>
      </patternFill>
    </fill>
    <fill>
      <patternFill patternType="solid">
        <fgColor theme="0" tint="-0.249977111117893"/>
        <bgColor indexed="64"/>
      </patternFill>
    </fill>
    <fill>
      <patternFill patternType="solid">
        <fgColor theme="0" tint="-4.9989318521683403E-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auto="1"/>
      </right>
      <top style="thin">
        <color auto="1"/>
      </top>
      <bottom style="thin">
        <color auto="1"/>
      </bottom>
      <diagonal/>
    </border>
    <border>
      <left style="thin">
        <color theme="1"/>
      </left>
      <right style="thin">
        <color indexed="64"/>
      </right>
      <top style="thin">
        <color theme="1"/>
      </top>
      <bottom style="thin">
        <color indexed="64"/>
      </bottom>
      <diagonal/>
    </border>
    <border>
      <left style="thin">
        <color indexed="64"/>
      </left>
      <right style="thin">
        <color indexed="64"/>
      </right>
      <top style="thin">
        <color theme="1"/>
      </top>
      <bottom style="thin">
        <color indexed="64"/>
      </bottom>
      <diagonal/>
    </border>
    <border>
      <left style="thin">
        <color indexed="64"/>
      </left>
      <right style="thin">
        <color theme="1"/>
      </right>
      <top style="thin">
        <color theme="1"/>
      </top>
      <bottom style="thin">
        <color indexed="64"/>
      </bottom>
      <diagonal/>
    </border>
    <border>
      <left style="thin">
        <color theme="1"/>
      </left>
      <right style="thin">
        <color indexed="64"/>
      </right>
      <top style="thin">
        <color indexed="64"/>
      </top>
      <bottom style="thin">
        <color indexed="64"/>
      </bottom>
      <diagonal/>
    </border>
    <border>
      <left style="thin">
        <color indexed="64"/>
      </left>
      <right style="thin">
        <color theme="1"/>
      </right>
      <top style="thin">
        <color indexed="64"/>
      </top>
      <bottom style="thin">
        <color indexed="64"/>
      </bottom>
      <diagonal/>
    </border>
    <border>
      <left style="thin">
        <color theme="1"/>
      </left>
      <right style="thin">
        <color indexed="64"/>
      </right>
      <top style="thin">
        <color indexed="64"/>
      </top>
      <bottom/>
      <diagonal/>
    </border>
    <border>
      <left style="thin">
        <color indexed="64"/>
      </left>
      <right style="thin">
        <color indexed="64"/>
      </right>
      <top style="thin">
        <color indexed="64"/>
      </top>
      <bottom style="thin">
        <color theme="1"/>
      </bottom>
      <diagonal/>
    </border>
    <border>
      <left style="thin">
        <color indexed="64"/>
      </left>
      <right style="thin">
        <color theme="1"/>
      </right>
      <top style="thin">
        <color indexed="64"/>
      </top>
      <bottom style="thin">
        <color theme="1"/>
      </bottom>
      <diagonal/>
    </border>
    <border>
      <left/>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indexed="64"/>
      </left>
      <right style="thin">
        <color indexed="64"/>
      </right>
      <top/>
      <bottom style="thin">
        <color indexed="64"/>
      </bottom>
      <diagonal/>
    </border>
  </borders>
  <cellStyleXfs count="5">
    <xf numFmtId="0" fontId="0" fillId="0" borderId="0"/>
    <xf numFmtId="9" fontId="1" fillId="0" borderId="0" applyFont="0" applyFill="0" applyBorder="0" applyAlignment="0" applyProtection="0"/>
    <xf numFmtId="0" fontId="1" fillId="0" borderId="0"/>
    <xf numFmtId="0" fontId="8" fillId="0" borderId="0" applyNumberFormat="0" applyFill="0" applyBorder="0" applyAlignment="0" applyProtection="0"/>
    <xf numFmtId="41" fontId="1" fillId="0" borderId="0" applyFont="0" applyFill="0" applyBorder="0" applyAlignment="0" applyProtection="0">
      <alignment vertical="center"/>
    </xf>
  </cellStyleXfs>
  <cellXfs count="87">
    <xf numFmtId="0" fontId="0" fillId="0" borderId="0" xfId="0"/>
    <xf numFmtId="0" fontId="2" fillId="0" borderId="0" xfId="0" applyFont="1"/>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left" vertical="center"/>
    </xf>
    <xf numFmtId="0" fontId="3" fillId="0" borderId="0" xfId="0" applyFont="1"/>
    <xf numFmtId="0" fontId="2" fillId="0" borderId="0" xfId="0" applyFont="1" applyAlignment="1">
      <alignment horizontal="center" vertical="center" wrapText="1"/>
    </xf>
    <xf numFmtId="0" fontId="4" fillId="0" borderId="0" xfId="0" applyFont="1"/>
    <xf numFmtId="0" fontId="5" fillId="3" borderId="1" xfId="2" applyFont="1" applyFill="1" applyBorder="1" applyAlignment="1">
      <alignment horizontal="left" vertical="top" wrapText="1"/>
    </xf>
    <xf numFmtId="0" fontId="6" fillId="0" borderId="1" xfId="0" applyFont="1" applyBorder="1" applyAlignment="1">
      <alignment horizontal="left" vertical="top" wrapText="1"/>
    </xf>
    <xf numFmtId="0" fontId="6" fillId="0" borderId="0" xfId="0" applyFont="1" applyAlignment="1">
      <alignment horizontal="left" wrapText="1"/>
    </xf>
    <xf numFmtId="0" fontId="5" fillId="3" borderId="1" xfId="2" applyFont="1" applyFill="1" applyBorder="1" applyAlignment="1">
      <alignment horizontal="left" vertical="center" wrapText="1"/>
    </xf>
    <xf numFmtId="0" fontId="6" fillId="0" borderId="1" xfId="0" applyFont="1" applyBorder="1" applyAlignment="1">
      <alignment horizontal="left" wrapText="1"/>
    </xf>
    <xf numFmtId="0" fontId="6" fillId="0" borderId="0" xfId="0" applyFont="1" applyAlignment="1">
      <alignment horizontal="left" vertical="center"/>
    </xf>
    <xf numFmtId="0" fontId="9" fillId="2" borderId="0" xfId="0" applyFont="1" applyFill="1" applyAlignment="1">
      <alignment horizontal="left" vertical="center"/>
    </xf>
    <xf numFmtId="0" fontId="10" fillId="0" borderId="0" xfId="0" applyFont="1" applyAlignment="1">
      <alignment horizontal="center" vertical="center"/>
    </xf>
    <xf numFmtId="0" fontId="11" fillId="4" borderId="1" xfId="0" applyFont="1" applyFill="1" applyBorder="1" applyAlignment="1">
      <alignment horizontal="center" vertical="center"/>
    </xf>
    <xf numFmtId="14" fontId="12" fillId="5" borderId="1" xfId="0" applyNumberFormat="1" applyFont="1" applyFill="1" applyBorder="1" applyAlignment="1" applyProtection="1">
      <alignment horizontal="center" vertical="center" wrapText="1"/>
      <protection locked="0"/>
    </xf>
    <xf numFmtId="0" fontId="12" fillId="5" borderId="1" xfId="0" applyFont="1" applyFill="1" applyBorder="1" applyAlignment="1" applyProtection="1">
      <alignment horizontal="center" vertical="center" wrapText="1"/>
      <protection locked="0"/>
    </xf>
    <xf numFmtId="164" fontId="10" fillId="0" borderId="0" xfId="0" applyNumberFormat="1" applyFont="1" applyAlignment="1">
      <alignment horizontal="center" vertical="center"/>
    </xf>
    <xf numFmtId="0" fontId="8" fillId="5" borderId="1" xfId="3" applyFill="1" applyBorder="1" applyAlignment="1" applyProtection="1">
      <alignment horizontal="center" vertical="center" wrapText="1"/>
      <protection locked="0"/>
    </xf>
    <xf numFmtId="0" fontId="10" fillId="0" borderId="0" xfId="0" applyFont="1" applyAlignment="1">
      <alignment horizontal="left" vertical="center"/>
    </xf>
    <xf numFmtId="0" fontId="12" fillId="5" borderId="2" xfId="0" applyFont="1" applyFill="1" applyBorder="1" applyAlignment="1" applyProtection="1">
      <alignment horizontal="center" vertical="center" wrapText="1"/>
      <protection locked="0"/>
    </xf>
    <xf numFmtId="0" fontId="8" fillId="5" borderId="2" xfId="3" applyFill="1" applyBorder="1" applyAlignment="1" applyProtection="1">
      <alignment horizontal="center" vertical="center" wrapText="1"/>
      <protection locked="0"/>
    </xf>
    <xf numFmtId="0" fontId="11" fillId="4" borderId="5" xfId="0" applyFont="1" applyFill="1" applyBorder="1" applyAlignment="1">
      <alignment horizontal="center" vertical="center"/>
    </xf>
    <xf numFmtId="0" fontId="11" fillId="4" borderId="6" xfId="0" applyFont="1" applyFill="1" applyBorder="1" applyAlignment="1">
      <alignment horizontal="center" vertical="center"/>
    </xf>
    <xf numFmtId="0" fontId="11" fillId="4" borderId="7" xfId="0" applyFont="1" applyFill="1" applyBorder="1" applyAlignment="1">
      <alignment horizontal="center" vertical="center" wrapText="1"/>
    </xf>
    <xf numFmtId="0" fontId="13" fillId="4" borderId="8" xfId="0" applyFont="1" applyFill="1" applyBorder="1" applyAlignment="1">
      <alignment horizontal="center" vertical="center"/>
    </xf>
    <xf numFmtId="0" fontId="12" fillId="5" borderId="9" xfId="0" quotePrefix="1" applyFont="1" applyFill="1" applyBorder="1" applyAlignment="1" applyProtection="1">
      <alignment horizontal="center" vertical="center" wrapText="1"/>
      <protection locked="0"/>
    </xf>
    <xf numFmtId="0" fontId="13" fillId="4" borderId="10" xfId="0" applyFont="1" applyFill="1" applyBorder="1" applyAlignment="1">
      <alignment horizontal="center" vertical="center"/>
    </xf>
    <xf numFmtId="0" fontId="12" fillId="5" borderId="11" xfId="0" applyFont="1" applyFill="1" applyBorder="1" applyAlignment="1" applyProtection="1">
      <alignment horizontal="center" vertical="center" wrapText="1"/>
      <protection locked="0"/>
    </xf>
    <xf numFmtId="0" fontId="8" fillId="5" borderId="11" xfId="3" applyFill="1" applyBorder="1" applyAlignment="1" applyProtection="1">
      <alignment horizontal="center" vertical="center" wrapText="1"/>
      <protection locked="0"/>
    </xf>
    <xf numFmtId="0" fontId="12" fillId="5" borderId="12" xfId="0" quotePrefix="1" applyFont="1" applyFill="1" applyBorder="1" applyAlignment="1" applyProtection="1">
      <alignment horizontal="center" vertical="center" wrapText="1"/>
      <protection locked="0"/>
    </xf>
    <xf numFmtId="0" fontId="14" fillId="4" borderId="1" xfId="0" applyFont="1" applyFill="1" applyBorder="1" applyAlignment="1">
      <alignment horizontal="center" vertical="center"/>
    </xf>
    <xf numFmtId="0" fontId="17" fillId="2" borderId="0" xfId="0" applyFont="1" applyFill="1" applyAlignment="1">
      <alignment horizontal="left" vertical="center"/>
    </xf>
    <xf numFmtId="0" fontId="18" fillId="0" borderId="0" xfId="0" applyFont="1" applyAlignment="1">
      <alignment horizontal="center" vertical="center"/>
    </xf>
    <xf numFmtId="0" fontId="11" fillId="4" borderId="1" xfId="0" applyFont="1" applyFill="1" applyBorder="1" applyAlignment="1">
      <alignment horizontal="center" vertical="center" wrapText="1"/>
    </xf>
    <xf numFmtId="0" fontId="19" fillId="5" borderId="1" xfId="0" applyFont="1" applyFill="1" applyBorder="1" applyAlignment="1" applyProtection="1">
      <alignment horizontal="center" vertical="center" wrapText="1"/>
      <protection locked="0"/>
    </xf>
    <xf numFmtId="1" fontId="19" fillId="5" borderId="1" xfId="0"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horizontal="center" vertical="center" wrapText="1"/>
      <protection locked="0"/>
    </xf>
    <xf numFmtId="0" fontId="15" fillId="4" borderId="1" xfId="2" applyFont="1" applyFill="1" applyBorder="1" applyAlignment="1">
      <alignment horizontal="left" vertical="top" wrapText="1" indent="1"/>
    </xf>
    <xf numFmtId="0" fontId="15" fillId="4" borderId="1" xfId="2" applyFont="1" applyFill="1" applyBorder="1" applyAlignment="1">
      <alignment horizontal="left" vertical="top" wrapText="1"/>
    </xf>
    <xf numFmtId="0" fontId="17" fillId="0" borderId="0" xfId="0" applyFont="1" applyAlignment="1">
      <alignment horizontal="left" vertical="center"/>
    </xf>
    <xf numFmtId="0" fontId="20" fillId="6" borderId="1" xfId="0" applyFont="1" applyFill="1" applyBorder="1" applyAlignment="1">
      <alignment horizontal="center" vertical="center"/>
    </xf>
    <xf numFmtId="0" fontId="21" fillId="6" borderId="1" xfId="0" applyFont="1" applyFill="1" applyBorder="1" applyAlignment="1">
      <alignment horizontal="center" vertical="center" wrapText="1"/>
    </xf>
    <xf numFmtId="0" fontId="21" fillId="6" borderId="1" xfId="0" applyFont="1" applyFill="1" applyBorder="1" applyAlignment="1">
      <alignment horizontal="center" vertical="center"/>
    </xf>
    <xf numFmtId="0" fontId="10" fillId="7" borderId="1" xfId="0" applyFont="1" applyFill="1" applyBorder="1" applyAlignment="1">
      <alignment horizontal="center" vertical="center" wrapText="1"/>
    </xf>
    <xf numFmtId="14" fontId="24" fillId="5" borderId="1" xfId="0" applyNumberFormat="1" applyFont="1" applyFill="1" applyBorder="1" applyAlignment="1" applyProtection="1">
      <alignment horizontal="center" vertical="center" wrapText="1"/>
      <protection locked="0"/>
    </xf>
    <xf numFmtId="0" fontId="6" fillId="0" borderId="0" xfId="0" applyFont="1"/>
    <xf numFmtId="0" fontId="23" fillId="0" borderId="0" xfId="0" applyFont="1" applyAlignment="1">
      <alignment vertical="center"/>
    </xf>
    <xf numFmtId="0" fontId="21" fillId="5" borderId="1" xfId="0" applyFont="1" applyFill="1" applyBorder="1" applyAlignment="1" applyProtection="1">
      <alignment horizontal="center" vertical="center" wrapText="1"/>
      <protection locked="0"/>
    </xf>
    <xf numFmtId="0" fontId="25" fillId="0" borderId="0" xfId="0" applyFont="1" applyAlignment="1">
      <alignment horizontal="right"/>
    </xf>
    <xf numFmtId="1" fontId="25" fillId="0" borderId="0" xfId="0" applyNumberFormat="1" applyFont="1"/>
    <xf numFmtId="0" fontId="6" fillId="0" borderId="1" xfId="2" applyFont="1" applyBorder="1" applyAlignment="1">
      <alignment horizontal="left" vertical="top" wrapText="1" indent="6"/>
    </xf>
    <xf numFmtId="0" fontId="6" fillId="0" borderId="0" xfId="0" applyFont="1" applyAlignment="1">
      <alignment horizontal="left"/>
    </xf>
    <xf numFmtId="0" fontId="15" fillId="4" borderId="1" xfId="2" applyFont="1" applyFill="1" applyBorder="1" applyAlignment="1">
      <alignment horizontal="left" vertical="top" wrapText="1" indent="4"/>
    </xf>
    <xf numFmtId="0" fontId="6" fillId="4" borderId="1" xfId="0" applyFont="1" applyFill="1" applyBorder="1" applyAlignment="1">
      <alignment horizontal="left" vertical="center"/>
    </xf>
    <xf numFmtId="0" fontId="26" fillId="0" borderId="0" xfId="0" applyFont="1"/>
    <xf numFmtId="165" fontId="12" fillId="5" borderId="1" xfId="0" applyNumberFormat="1" applyFont="1" applyFill="1" applyBorder="1" applyAlignment="1" applyProtection="1">
      <alignment horizontal="center" vertical="center" wrapText="1"/>
      <protection locked="0"/>
    </xf>
    <xf numFmtId="165" fontId="12" fillId="5" borderId="1" xfId="4"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vertical="center" wrapText="1"/>
      <protection locked="0"/>
    </xf>
    <xf numFmtId="0" fontId="12" fillId="0" borderId="0" xfId="0" applyFont="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21" fillId="4" borderId="1" xfId="0" applyFont="1" applyFill="1" applyBorder="1" applyAlignment="1">
      <alignment horizontal="center" vertical="center"/>
    </xf>
    <xf numFmtId="0" fontId="11" fillId="4" borderId="3" xfId="0" applyFont="1" applyFill="1" applyBorder="1" applyAlignment="1">
      <alignment horizontal="center" vertical="center"/>
    </xf>
    <xf numFmtId="0" fontId="11" fillId="4" borderId="15" xfId="0" applyFont="1" applyFill="1" applyBorder="1" applyAlignment="1">
      <alignment horizontal="center" vertical="center"/>
    </xf>
    <xf numFmtId="0" fontId="11" fillId="4" borderId="15" xfId="0" applyFont="1" applyFill="1" applyBorder="1" applyAlignment="1">
      <alignment horizontal="center" vertical="center" wrapText="1"/>
    </xf>
    <xf numFmtId="1" fontId="12" fillId="5" borderId="1" xfId="0" quotePrefix="1" applyNumberFormat="1" applyFont="1" applyFill="1" applyBorder="1" applyAlignment="1" applyProtection="1">
      <alignment horizontal="center" vertical="center" wrapText="1"/>
      <protection locked="0"/>
    </xf>
    <xf numFmtId="0" fontId="24" fillId="0" borderId="1" xfId="0" applyFont="1" applyBorder="1" applyAlignment="1">
      <alignment horizontal="left" vertical="top" wrapText="1"/>
    </xf>
    <xf numFmtId="0" fontId="2" fillId="0" borderId="1" xfId="0" applyFont="1" applyBorder="1" applyAlignment="1" applyProtection="1">
      <alignment horizontal="center" vertical="center"/>
      <protection locked="0"/>
    </xf>
    <xf numFmtId="0" fontId="2" fillId="0" borderId="1" xfId="0" applyFont="1" applyBorder="1" applyAlignment="1" applyProtection="1">
      <alignment horizontal="center" vertical="center" wrapText="1"/>
      <protection locked="0"/>
    </xf>
    <xf numFmtId="9" fontId="2" fillId="0" borderId="1" xfId="1" applyFont="1" applyBorder="1" applyAlignment="1" applyProtection="1">
      <alignment horizontal="center" vertical="center" wrapText="1"/>
      <protection locked="0"/>
    </xf>
    <xf numFmtId="9" fontId="2" fillId="0" borderId="1" xfId="1" applyFont="1" applyBorder="1" applyAlignment="1" applyProtection="1">
      <alignment horizontal="center" vertical="center"/>
      <protection locked="0"/>
    </xf>
    <xf numFmtId="0" fontId="2" fillId="0" borderId="0" xfId="0" applyFont="1" applyAlignment="1">
      <alignment vertical="center" wrapText="1"/>
    </xf>
    <xf numFmtId="3" fontId="12" fillId="5" borderId="1" xfId="0" applyNumberFormat="1" applyFont="1" applyFill="1" applyBorder="1" applyAlignment="1" applyProtection="1">
      <alignment horizontal="center" vertical="center" wrapText="1"/>
      <protection locked="0"/>
    </xf>
    <xf numFmtId="0" fontId="11" fillId="4" borderId="1" xfId="0" applyFont="1" applyFill="1" applyBorder="1" applyAlignment="1">
      <alignment horizontal="left" vertical="center" wrapText="1"/>
    </xf>
    <xf numFmtId="0" fontId="12" fillId="5" borderId="3" xfId="0" applyFont="1" applyFill="1" applyBorder="1" applyAlignment="1" applyProtection="1">
      <alignment horizontal="left" vertical="center" wrapText="1"/>
      <protection locked="0"/>
    </xf>
    <xf numFmtId="0" fontId="12" fillId="5" borderId="13" xfId="0" applyFont="1" applyFill="1" applyBorder="1" applyAlignment="1" applyProtection="1">
      <alignment horizontal="left" vertical="center" wrapText="1"/>
      <protection locked="0"/>
    </xf>
    <xf numFmtId="0" fontId="12" fillId="5" borderId="4" xfId="0" applyFont="1" applyFill="1" applyBorder="1" applyAlignment="1" applyProtection="1">
      <alignment horizontal="left" vertical="center" wrapText="1"/>
      <protection locked="0"/>
    </xf>
    <xf numFmtId="0" fontId="11" fillId="4" borderId="3" xfId="0" applyFont="1" applyFill="1" applyBorder="1" applyAlignment="1">
      <alignment vertical="center" wrapText="1"/>
    </xf>
    <xf numFmtId="0" fontId="11" fillId="4" borderId="4" xfId="0" applyFont="1" applyFill="1" applyBorder="1" applyAlignment="1">
      <alignment vertical="center" wrapText="1"/>
    </xf>
    <xf numFmtId="0" fontId="12" fillId="8" borderId="1" xfId="0" applyFont="1" applyFill="1" applyBorder="1" applyAlignment="1">
      <alignment horizontal="center" vertical="center" wrapText="1"/>
    </xf>
    <xf numFmtId="0" fontId="11" fillId="4" borderId="1" xfId="0" applyFont="1" applyFill="1" applyBorder="1" applyAlignment="1">
      <alignment horizontal="center" vertical="center"/>
    </xf>
    <xf numFmtId="0" fontId="10" fillId="7" borderId="1" xfId="0" applyFont="1" applyFill="1" applyBorder="1" applyAlignment="1">
      <alignment horizontal="center" vertical="center" wrapText="1"/>
    </xf>
    <xf numFmtId="0" fontId="14" fillId="4" borderId="1" xfId="0" applyFont="1" applyFill="1" applyBorder="1" applyAlignment="1">
      <alignment horizontal="center" vertical="center" wrapText="1"/>
    </xf>
    <xf numFmtId="0" fontId="11" fillId="4" borderId="14" xfId="0" applyFont="1" applyFill="1" applyBorder="1" applyAlignment="1">
      <alignment horizontal="center" vertical="center"/>
    </xf>
  </cellXfs>
  <cellStyles count="5">
    <cellStyle name="Comma [0] 2" xfId="4" xr:uid="{286E3D10-827B-F54C-817D-B29004B17F97}"/>
    <cellStyle name="Link" xfId="3" builtinId="8"/>
    <cellStyle name="Normal 2" xfId="2" xr:uid="{C3243E13-6EF8-E042-BC12-751DCDBFECFE}"/>
    <cellStyle name="Prozent" xfId="1" builtinId="5"/>
    <cellStyle name="Standard" xfId="0" builtinId="0"/>
  </cellStyles>
  <dxfs count="66">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bgColor theme="0"/>
        </patternFill>
      </fill>
    </dxf>
    <dxf>
      <font>
        <strike val="0"/>
        <color theme="1"/>
      </font>
      <fill>
        <patternFill>
          <bgColor theme="0"/>
        </patternFill>
      </fill>
    </dxf>
    <dxf>
      <fill>
        <patternFill>
          <bgColor rgb="FFD9E1F2"/>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color theme="1"/>
      </font>
      <fill>
        <patternFill>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s>
  <tableStyles count="0" defaultTableStyle="TableStyleMedium2" defaultPivotStyle="PivotStyleLight16"/>
  <colors>
    <mruColors>
      <color rgb="FF4F81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400050</xdr:colOff>
      <xdr:row>8</xdr:row>
      <xdr:rowOff>132646</xdr:rowOff>
    </xdr:from>
    <xdr:to>
      <xdr:col>7</xdr:col>
      <xdr:colOff>466725</xdr:colOff>
      <xdr:row>34</xdr:row>
      <xdr:rowOff>38100</xdr:rowOff>
    </xdr:to>
    <xdr:pic>
      <xdr:nvPicPr>
        <xdr:cNvPr id="2" name="Grafik 1">
          <a:extLst>
            <a:ext uri="{FF2B5EF4-FFF2-40B4-BE49-F238E27FC236}">
              <a16:creationId xmlns:a16="http://schemas.microsoft.com/office/drawing/2014/main" id="{969B52BB-7FEA-9096-AAB3-54CDE88C834B}"/>
            </a:ext>
          </a:extLst>
        </xdr:cNvPr>
        <xdr:cNvPicPr>
          <a:picLocks noChangeAspect="1"/>
        </xdr:cNvPicPr>
      </xdr:nvPicPr>
      <xdr:blipFill>
        <a:blip xmlns:r="http://schemas.openxmlformats.org/officeDocument/2006/relationships" r:embed="rId1"/>
        <a:stretch>
          <a:fillRect/>
        </a:stretch>
      </xdr:blipFill>
      <xdr:spPr>
        <a:xfrm>
          <a:off x="400050" y="3294946"/>
          <a:ext cx="7248525" cy="5106104"/>
        </a:xfrm>
        <a:prstGeom prst="rect">
          <a:avLst/>
        </a:prstGeom>
      </xdr:spPr>
    </xdr:pic>
    <xdr:clientData/>
  </xdr:twoCellAnchor>
  <xdr:twoCellAnchor editAs="oneCell">
    <xdr:from>
      <xdr:col>0</xdr:col>
      <xdr:colOff>381000</xdr:colOff>
      <xdr:row>35</xdr:row>
      <xdr:rowOff>28575</xdr:rowOff>
    </xdr:from>
    <xdr:to>
      <xdr:col>8</xdr:col>
      <xdr:colOff>38100</xdr:colOff>
      <xdr:row>62</xdr:row>
      <xdr:rowOff>34628</xdr:rowOff>
    </xdr:to>
    <xdr:pic>
      <xdr:nvPicPr>
        <xdr:cNvPr id="3" name="Grafik 2">
          <a:extLst>
            <a:ext uri="{FF2B5EF4-FFF2-40B4-BE49-F238E27FC236}">
              <a16:creationId xmlns:a16="http://schemas.microsoft.com/office/drawing/2014/main" id="{4A4B2F0C-69D8-CF43-EDF0-7F19F253A793}"/>
            </a:ext>
          </a:extLst>
        </xdr:cNvPr>
        <xdr:cNvPicPr>
          <a:picLocks noChangeAspect="1"/>
        </xdr:cNvPicPr>
      </xdr:nvPicPr>
      <xdr:blipFill>
        <a:blip xmlns:r="http://schemas.openxmlformats.org/officeDocument/2006/relationships" r:embed="rId2"/>
        <a:stretch>
          <a:fillRect/>
        </a:stretch>
      </xdr:blipFill>
      <xdr:spPr>
        <a:xfrm>
          <a:off x="381000" y="8591550"/>
          <a:ext cx="7667625" cy="5406728"/>
        </a:xfrm>
        <a:prstGeom prst="rect">
          <a:avLst/>
        </a:prstGeom>
      </xdr:spPr>
    </xdr:pic>
    <xdr:clientData/>
  </xdr:twoCellAnchor>
  <xdr:twoCellAnchor editAs="oneCell">
    <xdr:from>
      <xdr:col>0</xdr:col>
      <xdr:colOff>390525</xdr:colOff>
      <xdr:row>62</xdr:row>
      <xdr:rowOff>142874</xdr:rowOff>
    </xdr:from>
    <xdr:to>
      <xdr:col>8</xdr:col>
      <xdr:colOff>93438</xdr:colOff>
      <xdr:row>89</xdr:row>
      <xdr:rowOff>200024</xdr:rowOff>
    </xdr:to>
    <xdr:pic>
      <xdr:nvPicPr>
        <xdr:cNvPr id="4" name="Grafik 3">
          <a:extLst>
            <a:ext uri="{FF2B5EF4-FFF2-40B4-BE49-F238E27FC236}">
              <a16:creationId xmlns:a16="http://schemas.microsoft.com/office/drawing/2014/main" id="{17F8AD4C-3A2C-31C3-4653-F4B97AD50D29}"/>
            </a:ext>
          </a:extLst>
        </xdr:cNvPr>
        <xdr:cNvPicPr>
          <a:picLocks noChangeAspect="1"/>
        </xdr:cNvPicPr>
      </xdr:nvPicPr>
      <xdr:blipFill>
        <a:blip xmlns:r="http://schemas.openxmlformats.org/officeDocument/2006/relationships" r:embed="rId3"/>
        <a:stretch>
          <a:fillRect/>
        </a:stretch>
      </xdr:blipFill>
      <xdr:spPr>
        <a:xfrm>
          <a:off x="390525" y="14106524"/>
          <a:ext cx="7713438" cy="54578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28526-ABAF-014C-AF51-05D74B756853}">
  <sheetPr>
    <tabColor rgb="FFFFFF00"/>
    <pageSetUpPr fitToPage="1"/>
  </sheetPr>
  <dimension ref="B2:B14"/>
  <sheetViews>
    <sheetView showGridLines="0" topLeftCell="A8" workbookViewId="0">
      <selection activeCell="B2" sqref="B2"/>
    </sheetView>
  </sheetViews>
  <sheetFormatPr baseColWidth="10" defaultColWidth="10.875" defaultRowHeight="20.25"/>
  <cols>
    <col min="1" max="1" width="10.875" style="48"/>
    <col min="2" max="2" width="200.875" style="10" customWidth="1"/>
    <col min="3" max="16384" width="10.875" style="48"/>
  </cols>
  <sheetData>
    <row r="2" spans="2:2">
      <c r="B2" s="8" t="s">
        <v>212</v>
      </c>
    </row>
    <row r="3" spans="2:2">
      <c r="B3" s="41" t="s">
        <v>174</v>
      </c>
    </row>
    <row r="4" spans="2:2" ht="81">
      <c r="B4" s="9" t="s">
        <v>113</v>
      </c>
    </row>
    <row r="5" spans="2:2">
      <c r="B5" s="41" t="s">
        <v>175</v>
      </c>
    </row>
    <row r="6" spans="2:2" ht="40.5">
      <c r="B6" s="9" t="s">
        <v>114</v>
      </c>
    </row>
    <row r="7" spans="2:2">
      <c r="B7" s="41" t="s">
        <v>176</v>
      </c>
    </row>
    <row r="8" spans="2:2" ht="283.5">
      <c r="B8" s="9" t="s">
        <v>291</v>
      </c>
    </row>
    <row r="9" spans="2:2">
      <c r="B9" s="41" t="s">
        <v>177</v>
      </c>
    </row>
    <row r="10" spans="2:2">
      <c r="B10" s="9" t="s">
        <v>320</v>
      </c>
    </row>
    <row r="11" spans="2:2">
      <c r="B11" s="41" t="s">
        <v>178</v>
      </c>
    </row>
    <row r="12" spans="2:2" ht="40.5">
      <c r="B12" s="9" t="s">
        <v>115</v>
      </c>
    </row>
    <row r="13" spans="2:2">
      <c r="B13" s="41" t="s">
        <v>179</v>
      </c>
    </row>
    <row r="14" spans="2:2" ht="81">
      <c r="B14" s="69" t="s">
        <v>316</v>
      </c>
    </row>
  </sheetData>
  <sheetProtection algorithmName="SHA-512" hashValue="gNEeoSaHz0Uu18VdOcEyK/p84qeJJF8CIF0tFHmc4GF7IrTX01qVcEa1Hedm4DXyFCdELvLMAzKP0cDidCfi9w==" saltValue="a4PtLAARMg3VQpgqL3E1CA==" spinCount="100000" sheet="1" objects="1" scenarios="1"/>
  <pageMargins left="0.70866141732283472" right="0.70866141732283472" top="0.74803149606299213" bottom="0.74803149606299213" header="0.31496062992125984" footer="0.31496062992125984"/>
  <pageSetup scale="3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4BF69-562E-D441-9927-EC884647A6CB}">
  <sheetPr>
    <tabColor rgb="FFFFFF00"/>
    <pageSetUpPr fitToPage="1"/>
  </sheetPr>
  <dimension ref="B2:B30"/>
  <sheetViews>
    <sheetView showGridLines="0" workbookViewId="0">
      <selection activeCell="B16" sqref="B16"/>
    </sheetView>
  </sheetViews>
  <sheetFormatPr baseColWidth="10" defaultColWidth="10.875" defaultRowHeight="20.25"/>
  <cols>
    <col min="1" max="1" width="10.875" style="48"/>
    <col min="2" max="2" width="200.875" style="10" customWidth="1"/>
    <col min="3" max="16384" width="10.875" style="48"/>
  </cols>
  <sheetData>
    <row r="2" spans="2:2">
      <c r="B2" s="8" t="s">
        <v>116</v>
      </c>
    </row>
    <row r="3" spans="2:2">
      <c r="B3" s="40" t="s">
        <v>160</v>
      </c>
    </row>
    <row r="4" spans="2:2" ht="40.5">
      <c r="B4" s="9" t="s">
        <v>117</v>
      </c>
    </row>
    <row r="5" spans="2:2">
      <c r="B5" s="41" t="s">
        <v>161</v>
      </c>
    </row>
    <row r="6" spans="2:2" ht="40.5">
      <c r="B6" s="9" t="s">
        <v>118</v>
      </c>
    </row>
    <row r="7" spans="2:2">
      <c r="B7" s="41" t="s">
        <v>162</v>
      </c>
    </row>
    <row r="8" spans="2:2" ht="60.75">
      <c r="B8" s="9" t="s">
        <v>321</v>
      </c>
    </row>
    <row r="9" spans="2:2">
      <c r="B9" s="41" t="s">
        <v>163</v>
      </c>
    </row>
    <row r="10" spans="2:2" ht="40.5">
      <c r="B10" s="9" t="s">
        <v>119</v>
      </c>
    </row>
    <row r="11" spans="2:2">
      <c r="B11" s="41" t="s">
        <v>164</v>
      </c>
    </row>
    <row r="12" spans="2:2" ht="121.5">
      <c r="B12" s="9" t="s">
        <v>120</v>
      </c>
    </row>
    <row r="13" spans="2:2">
      <c r="B13" s="41" t="s">
        <v>165</v>
      </c>
    </row>
    <row r="14" spans="2:2" ht="81">
      <c r="B14" s="9" t="s">
        <v>121</v>
      </c>
    </row>
    <row r="15" spans="2:2">
      <c r="B15" s="41" t="s">
        <v>166</v>
      </c>
    </row>
    <row r="16" spans="2:2" ht="162">
      <c r="B16" s="9" t="s">
        <v>122</v>
      </c>
    </row>
    <row r="17" spans="2:2">
      <c r="B17" s="41" t="s">
        <v>167</v>
      </c>
    </row>
    <row r="18" spans="2:2" ht="60.75">
      <c r="B18" s="9" t="s">
        <v>123</v>
      </c>
    </row>
    <row r="19" spans="2:2">
      <c r="B19" s="41" t="s">
        <v>168</v>
      </c>
    </row>
    <row r="20" spans="2:2" ht="121.5">
      <c r="B20" s="9" t="s">
        <v>124</v>
      </c>
    </row>
    <row r="21" spans="2:2">
      <c r="B21" s="41" t="s">
        <v>169</v>
      </c>
    </row>
    <row r="22" spans="2:2" ht="60.75">
      <c r="B22" s="9" t="s">
        <v>125</v>
      </c>
    </row>
    <row r="23" spans="2:2">
      <c r="B23" s="41" t="s">
        <v>170</v>
      </c>
    </row>
    <row r="24" spans="2:2" ht="202.5">
      <c r="B24" s="9" t="s">
        <v>126</v>
      </c>
    </row>
    <row r="25" spans="2:2">
      <c r="B25" s="41" t="s">
        <v>171</v>
      </c>
    </row>
    <row r="26" spans="2:2" ht="162">
      <c r="B26" s="9" t="s">
        <v>127</v>
      </c>
    </row>
    <row r="27" spans="2:2">
      <c r="B27" s="41" t="s">
        <v>172</v>
      </c>
    </row>
    <row r="28" spans="2:2" ht="40.5">
      <c r="B28" s="9" t="s">
        <v>128</v>
      </c>
    </row>
    <row r="29" spans="2:2">
      <c r="B29" s="41" t="s">
        <v>173</v>
      </c>
    </row>
    <row r="30" spans="2:2" ht="40.5">
      <c r="B30" s="9" t="s">
        <v>129</v>
      </c>
    </row>
  </sheetData>
  <sheetProtection algorithmName="SHA-512" hashValue="oPI9W8iskSgpld/0BkjZBsYnh5Hq6dyz0CDPgqA1ni8GlsxmWoGR94CoqCdWi3PzbXEQ5SdtT3TX+p47CBhapQ==" saltValue="5jF/pdWWHs7i04RBnxdMfw==" spinCount="100000" sheet="1" objects="1" scenarios="1"/>
  <pageMargins left="0.70866141732283472" right="0.70866141732283472" top="0.74803149606299213" bottom="0.74803149606299213" header="0.31496062992125984" footer="0.31496062992125984"/>
  <pageSetup scale="3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E9F49-5BD8-DF46-AF90-35C340E8EFC4}">
  <sheetPr>
    <tabColor rgb="FFFFFF00"/>
    <pageSetUpPr fitToPage="1"/>
  </sheetPr>
  <dimension ref="B2:C4"/>
  <sheetViews>
    <sheetView showGridLines="0" workbookViewId="0">
      <selection activeCell="C4" sqref="C4"/>
    </sheetView>
  </sheetViews>
  <sheetFormatPr baseColWidth="10" defaultColWidth="10.875" defaultRowHeight="20.25"/>
  <cols>
    <col min="1" max="1" width="10.875" style="48"/>
    <col min="2" max="2" width="141.5" style="10" customWidth="1"/>
    <col min="3" max="3" width="40.875" style="13" customWidth="1"/>
    <col min="4" max="16384" width="10.875" style="48"/>
  </cols>
  <sheetData>
    <row r="2" spans="2:3">
      <c r="B2" s="8" t="s">
        <v>130</v>
      </c>
      <c r="C2" s="11"/>
    </row>
    <row r="3" spans="2:3">
      <c r="B3" s="40" t="s">
        <v>151</v>
      </c>
      <c r="C3" s="11"/>
    </row>
    <row r="4" spans="2:3" ht="202.5">
      <c r="B4" s="12" t="s">
        <v>131</v>
      </c>
      <c r="C4" s="47" t="s">
        <v>36</v>
      </c>
    </row>
  </sheetData>
  <sheetProtection algorithmName="SHA-512" hashValue="cPVBRGIOKtrTXlo8MnBnv30QuoK2ij4jvok7Fuxi7SU44lPIkdnO5QVJCpjHhshse5xZzxGkMdhwa1LXka8wWQ==" saltValue="QyILU6nUmgu4hisGiP9AQw==" spinCount="100000" sheet="1" objects="1" scenarios="1"/>
  <conditionalFormatting sqref="C4">
    <cfRule type="containsText" dxfId="65" priority="1" operator="containsText" text="Yes">
      <formula>NOT(ISERROR(SEARCH("Yes",C4)))</formula>
    </cfRule>
    <cfRule type="containsText" dxfId="64" priority="2" operator="containsText" text="No">
      <formula>NOT(ISERROR(SEARCH("No",C4)))</formula>
    </cfRule>
    <cfRule type="notContainsBlanks" dxfId="63" priority="3" stopIfTrue="1">
      <formula>LEN(TRIM(C4))&gt;0</formula>
    </cfRule>
  </conditionalFormatting>
  <dataValidations count="1">
    <dataValidation type="list" allowBlank="1" showInputMessage="1" showErrorMessage="1" sqref="C4" xr:uid="{E82E43B1-DD90-F244-855A-4754571FC385}">
      <formula1>"Yes, No"</formula1>
    </dataValidation>
  </dataValidations>
  <pageMargins left="0.70866141732283472" right="0.70866141732283472" top="0.74803149606299213" bottom="0.74803149606299213" header="0.31496062992125984" footer="0.31496062992125984"/>
  <pageSetup scale="43"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67FB4-6B8E-EC46-B518-AA4B397B9214}">
  <sheetPr>
    <tabColor rgb="FF4F81BD"/>
    <pageSetUpPr fitToPage="1"/>
  </sheetPr>
  <dimension ref="A1:G25"/>
  <sheetViews>
    <sheetView showGridLines="0" zoomScaleNormal="100" workbookViewId="0">
      <selection activeCell="D4" sqref="D4"/>
    </sheetView>
  </sheetViews>
  <sheetFormatPr baseColWidth="10" defaultColWidth="10.875" defaultRowHeight="18.75"/>
  <cols>
    <col min="1" max="1" width="3.5" style="15" customWidth="1"/>
    <col min="2" max="2" width="74.625" style="15" customWidth="1"/>
    <col min="3" max="4" width="29.125" style="15" customWidth="1"/>
    <col min="5" max="5" width="30.375" style="15" bestFit="1" customWidth="1"/>
    <col min="6" max="6" width="29.125" style="15" customWidth="1"/>
    <col min="7" max="7" width="38.375" style="15" customWidth="1"/>
    <col min="8" max="8" width="10.875" style="3" customWidth="1"/>
    <col min="9" max="16384" width="10.875" style="3"/>
  </cols>
  <sheetData>
    <row r="1" spans="1:7" ht="26.1" customHeight="1">
      <c r="B1" s="14" t="s">
        <v>234</v>
      </c>
    </row>
    <row r="2" spans="1:7" ht="26.1" customHeight="1">
      <c r="A2" s="15">
        <v>1</v>
      </c>
      <c r="B2" s="16" t="s">
        <v>132</v>
      </c>
      <c r="C2" s="17">
        <v>46003</v>
      </c>
    </row>
    <row r="3" spans="1:7" ht="26.1" customHeight="1">
      <c r="A3" s="15">
        <v>2</v>
      </c>
      <c r="B3" s="16" t="s">
        <v>14</v>
      </c>
      <c r="C3" s="18" t="s">
        <v>333</v>
      </c>
    </row>
    <row r="4" spans="1:7" ht="26.1" customHeight="1">
      <c r="A4" s="15">
        <v>3</v>
      </c>
      <c r="B4" s="16" t="s">
        <v>13</v>
      </c>
      <c r="C4" s="18" t="s">
        <v>335</v>
      </c>
      <c r="E4" s="19"/>
    </row>
    <row r="5" spans="1:7" ht="26.1" customHeight="1">
      <c r="A5" s="15">
        <v>4</v>
      </c>
      <c r="B5" s="16" t="s">
        <v>133</v>
      </c>
      <c r="C5" s="18" t="s">
        <v>334</v>
      </c>
      <c r="E5" s="19"/>
    </row>
    <row r="6" spans="1:7" ht="26.1" customHeight="1">
      <c r="A6" s="15">
        <v>5</v>
      </c>
      <c r="B6" s="16" t="s">
        <v>0</v>
      </c>
      <c r="C6" s="20" t="s">
        <v>330</v>
      </c>
      <c r="E6" s="19"/>
    </row>
    <row r="7" spans="1:7" ht="26.1" customHeight="1">
      <c r="A7" s="15">
        <v>6</v>
      </c>
      <c r="B7" s="16" t="s">
        <v>1</v>
      </c>
      <c r="C7" s="18" t="s">
        <v>331</v>
      </c>
      <c r="E7" s="19"/>
    </row>
    <row r="8" spans="1:7" ht="26.1" customHeight="1">
      <c r="A8" s="15">
        <v>7</v>
      </c>
      <c r="B8" s="16" t="s">
        <v>2</v>
      </c>
      <c r="C8" s="18"/>
    </row>
    <row r="9" spans="1:7" ht="26.1" customHeight="1">
      <c r="A9" s="15">
        <v>8</v>
      </c>
      <c r="B9" s="16" t="s">
        <v>134</v>
      </c>
      <c r="C9" s="18"/>
    </row>
    <row r="10" spans="1:7" ht="26.1" customHeight="1">
      <c r="A10" s="15">
        <v>9</v>
      </c>
      <c r="B10" s="16" t="s">
        <v>5</v>
      </c>
      <c r="C10" s="18">
        <v>1700</v>
      </c>
    </row>
    <row r="11" spans="1:7">
      <c r="A11" s="15">
        <v>10</v>
      </c>
      <c r="B11" s="16" t="s">
        <v>3</v>
      </c>
      <c r="C11" s="18">
        <v>1789</v>
      </c>
    </row>
    <row r="12" spans="1:7">
      <c r="A12" s="15">
        <v>11</v>
      </c>
      <c r="B12" s="16" t="s">
        <v>4</v>
      </c>
      <c r="C12" s="18" t="s">
        <v>332</v>
      </c>
      <c r="F12" s="21"/>
    </row>
    <row r="15" spans="1:7" ht="37.5">
      <c r="B15" s="24" t="s">
        <v>135</v>
      </c>
      <c r="C15" s="25" t="s">
        <v>136</v>
      </c>
      <c r="D15" s="25" t="s">
        <v>19</v>
      </c>
      <c r="E15" s="25" t="s">
        <v>112</v>
      </c>
      <c r="F15" s="25" t="s">
        <v>20</v>
      </c>
      <c r="G15" s="26" t="s">
        <v>137</v>
      </c>
    </row>
    <row r="16" spans="1:7">
      <c r="B16" s="27" t="s">
        <v>21</v>
      </c>
      <c r="C16" s="18" t="s">
        <v>336</v>
      </c>
      <c r="D16" s="18" t="s">
        <v>337</v>
      </c>
      <c r="E16" s="18" t="s">
        <v>65</v>
      </c>
      <c r="F16" s="20" t="s">
        <v>338</v>
      </c>
      <c r="G16" s="28" t="s">
        <v>357</v>
      </c>
    </row>
    <row r="17" spans="2:7">
      <c r="B17" s="27" t="s">
        <v>138</v>
      </c>
      <c r="C17" s="18" t="s">
        <v>339</v>
      </c>
      <c r="D17" s="18" t="s">
        <v>340</v>
      </c>
      <c r="E17" s="18" t="s">
        <v>102</v>
      </c>
      <c r="F17" s="20" t="s">
        <v>341</v>
      </c>
      <c r="G17" s="28" t="s">
        <v>342</v>
      </c>
    </row>
    <row r="18" spans="2:7">
      <c r="B18" s="27" t="s">
        <v>139</v>
      </c>
      <c r="C18" s="18" t="s">
        <v>349</v>
      </c>
      <c r="D18" s="18"/>
      <c r="E18" s="18"/>
      <c r="F18" s="20"/>
      <c r="G18" s="28"/>
    </row>
    <row r="19" spans="2:7">
      <c r="B19" s="27" t="s">
        <v>140</v>
      </c>
      <c r="C19" s="18" t="s">
        <v>347</v>
      </c>
      <c r="D19" s="18" t="s">
        <v>350</v>
      </c>
      <c r="E19" s="18" t="s">
        <v>352</v>
      </c>
      <c r="F19" s="20" t="s">
        <v>355</v>
      </c>
      <c r="G19" s="28" t="s">
        <v>356</v>
      </c>
    </row>
    <row r="20" spans="2:7">
      <c r="B20" s="29" t="s">
        <v>141</v>
      </c>
      <c r="C20" s="22" t="s">
        <v>349</v>
      </c>
      <c r="D20" s="22"/>
      <c r="E20" s="18"/>
      <c r="F20" s="23"/>
      <c r="G20" s="28"/>
    </row>
    <row r="21" spans="2:7">
      <c r="B21" s="27" t="s">
        <v>142</v>
      </c>
      <c r="C21" s="18" t="s">
        <v>348</v>
      </c>
      <c r="D21" s="18" t="s">
        <v>351</v>
      </c>
      <c r="E21" s="18" t="s">
        <v>65</v>
      </c>
      <c r="F21" s="20" t="s">
        <v>353</v>
      </c>
      <c r="G21" s="28" t="s">
        <v>354</v>
      </c>
    </row>
    <row r="22" spans="2:7">
      <c r="B22" s="27" t="s">
        <v>143</v>
      </c>
      <c r="C22" s="18" t="s">
        <v>349</v>
      </c>
      <c r="D22" s="22"/>
      <c r="E22" s="18"/>
      <c r="F22" s="20"/>
      <c r="G22" s="28"/>
    </row>
    <row r="23" spans="2:7">
      <c r="B23" s="27" t="s">
        <v>144</v>
      </c>
      <c r="C23" s="18" t="s">
        <v>349</v>
      </c>
      <c r="D23" s="22"/>
      <c r="E23" s="18"/>
      <c r="F23" s="20"/>
      <c r="G23" s="28"/>
    </row>
    <row r="24" spans="2:7">
      <c r="B24" s="27" t="s">
        <v>210</v>
      </c>
      <c r="C24" s="18" t="s">
        <v>343</v>
      </c>
      <c r="D24" s="18" t="s">
        <v>344</v>
      </c>
      <c r="E24" s="18" t="s">
        <v>65</v>
      </c>
      <c r="F24" s="20" t="s">
        <v>345</v>
      </c>
      <c r="G24" s="28" t="s">
        <v>346</v>
      </c>
    </row>
    <row r="25" spans="2:7">
      <c r="B25" s="27" t="s">
        <v>210</v>
      </c>
      <c r="C25" s="30"/>
      <c r="D25" s="30"/>
      <c r="E25" s="30"/>
      <c r="F25" s="31"/>
      <c r="G25" s="32"/>
    </row>
  </sheetData>
  <sheetProtection algorithmName="SHA-512" hashValue="6yI60cFygKABQ6hsh5VMwt5lwhrATZ21Hzv2csGFFn0nCOgRIkGTqVPEw9cgpAkSwjap78AvGrfGpwdsFd9Lnw==" saltValue="sj8fAt/Q3fALWU/fQ7kXBA==" spinCount="100000" sheet="1" objects="1" scenarios="1"/>
  <conditionalFormatting sqref="C2:C12">
    <cfRule type="notContainsBlanks" dxfId="62" priority="2">
      <formula>LEN(TRIM(C2))&gt;0</formula>
    </cfRule>
  </conditionalFormatting>
  <conditionalFormatting sqref="C16:G25">
    <cfRule type="notContainsBlanks" dxfId="61" priority="1">
      <formula>LEN(TRIM(C16))&gt;0</formula>
    </cfRule>
  </conditionalFormatting>
  <dataValidations count="1">
    <dataValidation type="whole" operator="greaterThan" allowBlank="1" showInputMessage="1" showErrorMessage="1" sqref="C10" xr:uid="{9090E2AA-80FC-4C48-94FD-5AB77E95CFDE}">
      <formula1>0</formula1>
    </dataValidation>
  </dataValidations>
  <pageMargins left="0.70866141732283472" right="0.70866141732283472" top="0.74803149606299213" bottom="0.74803149606299213" header="0.31496062992125984" footer="0.31496062992125984"/>
  <pageSetup scale="48"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A68EF-9483-A845-BDFB-78E6227C00B8}">
  <sheetPr>
    <tabColor rgb="FF4F81BD"/>
    <pageSetUpPr fitToPage="1"/>
  </sheetPr>
  <dimension ref="A1:I10"/>
  <sheetViews>
    <sheetView showGridLines="0" zoomScaleNormal="100" workbookViewId="0">
      <selection activeCell="C9" sqref="C9:H10"/>
    </sheetView>
  </sheetViews>
  <sheetFormatPr baseColWidth="10" defaultColWidth="10.875" defaultRowHeight="15.75"/>
  <cols>
    <col min="1" max="1" width="4.875" customWidth="1"/>
    <col min="2" max="2" width="53.875" customWidth="1"/>
    <col min="3" max="8" width="28.125" customWidth="1"/>
    <col min="9" max="16384" width="10.875" style="1"/>
  </cols>
  <sheetData>
    <row r="1" spans="2:9" ht="51" customHeight="1">
      <c r="B1" s="14" t="s">
        <v>211</v>
      </c>
    </row>
    <row r="2" spans="2:9" ht="51" customHeight="1">
      <c r="B2" s="16" t="s">
        <v>145</v>
      </c>
      <c r="C2" s="16">
        <v>2022</v>
      </c>
      <c r="D2" s="16">
        <v>2023</v>
      </c>
      <c r="E2" s="16">
        <v>2024</v>
      </c>
      <c r="F2" s="16" t="s">
        <v>208</v>
      </c>
      <c r="G2" s="16" t="s">
        <v>146</v>
      </c>
      <c r="H2" s="16" t="s">
        <v>147</v>
      </c>
    </row>
    <row r="3" spans="2:9" ht="51" customHeight="1">
      <c r="B3" s="33" t="s">
        <v>9</v>
      </c>
      <c r="C3" s="58"/>
      <c r="D3" s="58"/>
      <c r="E3" s="58"/>
      <c r="F3" s="58"/>
      <c r="G3" s="58"/>
      <c r="H3" s="58"/>
    </row>
    <row r="4" spans="2:9" ht="51" customHeight="1">
      <c r="B4" s="33" t="s">
        <v>10</v>
      </c>
      <c r="C4" s="58">
        <v>384.39944020000002</v>
      </c>
      <c r="D4" s="58">
        <v>379.35202500000003</v>
      </c>
      <c r="E4" s="58">
        <v>303.72449279999995</v>
      </c>
      <c r="F4" s="58">
        <v>322</v>
      </c>
      <c r="G4" s="58">
        <v>372.59999999999997</v>
      </c>
      <c r="H4" s="58">
        <v>447.12</v>
      </c>
      <c r="I4" s="4"/>
    </row>
    <row r="5" spans="2:9" ht="51" customHeight="1">
      <c r="B5" s="33" t="s">
        <v>11</v>
      </c>
      <c r="C5" s="58">
        <v>0.01</v>
      </c>
      <c r="D5" s="58">
        <v>0.01</v>
      </c>
      <c r="E5" s="58">
        <v>0.01</v>
      </c>
      <c r="F5" s="58">
        <v>0.01</v>
      </c>
      <c r="G5" s="58"/>
      <c r="H5" s="58"/>
      <c r="I5" s="4" t="s">
        <v>18</v>
      </c>
    </row>
    <row r="6" spans="2:9" ht="51" customHeight="1">
      <c r="B6" s="33" t="s">
        <v>284</v>
      </c>
      <c r="C6" s="58"/>
      <c r="D6" s="58"/>
      <c r="E6" s="58"/>
      <c r="F6" s="58"/>
      <c r="G6" s="58"/>
      <c r="H6" s="58"/>
      <c r="I6" s="2" t="s">
        <v>150</v>
      </c>
    </row>
    <row r="8" spans="2:9" ht="18.75">
      <c r="B8" s="16" t="s">
        <v>145</v>
      </c>
      <c r="C8" s="16">
        <v>2023</v>
      </c>
      <c r="D8" s="16">
        <v>2023</v>
      </c>
      <c r="E8" s="16">
        <v>2024</v>
      </c>
      <c r="F8" s="16" t="s">
        <v>208</v>
      </c>
      <c r="G8" s="16" t="s">
        <v>146</v>
      </c>
      <c r="H8" s="16" t="s">
        <v>147</v>
      </c>
    </row>
    <row r="9" spans="2:9" ht="18.75">
      <c r="B9" s="33" t="s">
        <v>148</v>
      </c>
      <c r="C9" s="59">
        <v>234.75226039999998</v>
      </c>
      <c r="D9" s="59">
        <v>231.98148999999998</v>
      </c>
      <c r="E9" s="59">
        <v>184.16891969999998</v>
      </c>
      <c r="F9" s="59">
        <v>201.06025</v>
      </c>
      <c r="G9" s="59">
        <v>222.67564999999999</v>
      </c>
      <c r="H9" s="59">
        <v>262.17584999999997</v>
      </c>
    </row>
    <row r="10" spans="2:9" ht="18.75">
      <c r="B10" s="33" t="s">
        <v>149</v>
      </c>
      <c r="C10" s="59">
        <v>37.767239400000001</v>
      </c>
      <c r="D10" s="59">
        <v>26.344305000000002</v>
      </c>
      <c r="E10" s="59">
        <v>2.0341662</v>
      </c>
      <c r="F10" s="59">
        <v>7.8682999999999987</v>
      </c>
      <c r="G10" s="59">
        <v>20.752899999999997</v>
      </c>
      <c r="H10" s="59">
        <v>40.278749999999995</v>
      </c>
    </row>
  </sheetData>
  <sheetProtection algorithmName="SHA-512" hashValue="ADYHa84FNvxgDAPkQMA/ds4sXCGn4cmNRk+QJEHJSD6Mj+8x0KTQ9z3XQL2xdLYTVckdH232Lggvd0pM/Osjng==" saltValue="pjSFd/rHk5+ena2trvj3tA==" spinCount="100000" sheet="1" objects="1" scenarios="1"/>
  <conditionalFormatting sqref="C3:H6">
    <cfRule type="notContainsBlanks" dxfId="60" priority="4" stopIfTrue="1">
      <formula>LEN(TRIM(C3))&gt;0</formula>
    </cfRule>
  </conditionalFormatting>
  <conditionalFormatting sqref="C9:H10">
    <cfRule type="notContainsBlanks" dxfId="59" priority="3" stopIfTrue="1">
      <formula>LEN(TRIM(C9))&gt;0</formula>
    </cfRule>
  </conditionalFormatting>
  <dataValidations count="1">
    <dataValidation type="decimal" operator="greaterThan" allowBlank="1" showInputMessage="1" showErrorMessage="1" sqref="C9:H10 C3:H6" xr:uid="{C80DD866-3DB9-1B4B-A165-145642E3CFCC}">
      <formula1>0</formula1>
    </dataValidation>
  </dataValidations>
  <pageMargins left="0.70866141732283472" right="0.70866141732283472" top="0.74803149606299213" bottom="0.74803149606299213" header="0.31496062992125984" footer="0.31496062992125984"/>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C1A3B-B0FD-FF47-BC1F-A6FB68374103}">
  <sheetPr>
    <tabColor rgb="FF4F81BD"/>
    <pageSetUpPr fitToPage="1"/>
  </sheetPr>
  <dimension ref="A1:H29"/>
  <sheetViews>
    <sheetView showGridLines="0" topLeftCell="A16" zoomScale="80" zoomScaleNormal="80" workbookViewId="0">
      <selection activeCell="C10" sqref="C10"/>
    </sheetView>
  </sheetViews>
  <sheetFormatPr baseColWidth="10" defaultColWidth="10.875" defaultRowHeight="26.1" customHeight="1"/>
  <cols>
    <col min="1" max="1" width="6.125" style="63" customWidth="1"/>
    <col min="2" max="2" width="59" style="35" customWidth="1"/>
    <col min="3" max="3" width="38.5" style="3" customWidth="1"/>
    <col min="4" max="8" width="38.5" style="6" customWidth="1"/>
    <col min="9" max="11" width="29.125" style="3" customWidth="1"/>
    <col min="12" max="16384" width="10.875" style="3"/>
  </cols>
  <sheetData>
    <row r="1" spans="1:8" s="15" customFormat="1" ht="51" customHeight="1">
      <c r="A1" s="61"/>
      <c r="B1" s="34" t="s">
        <v>293</v>
      </c>
    </row>
    <row r="2" spans="1:8" s="35" customFormat="1" ht="56.1" customHeight="1">
      <c r="A2" s="62"/>
      <c r="B2" s="16"/>
      <c r="C2" s="16" t="s">
        <v>15</v>
      </c>
      <c r="D2" s="36" t="s">
        <v>107</v>
      </c>
      <c r="E2" s="36" t="s">
        <v>108</v>
      </c>
      <c r="F2" s="36" t="s">
        <v>109</v>
      </c>
      <c r="G2" s="36" t="s">
        <v>110</v>
      </c>
      <c r="H2" s="36" t="s">
        <v>111</v>
      </c>
    </row>
    <row r="3" spans="1:8" ht="60" customHeight="1">
      <c r="A3" s="63">
        <v>1</v>
      </c>
      <c r="B3" s="16" t="s">
        <v>152</v>
      </c>
      <c r="C3" s="37" t="s">
        <v>325</v>
      </c>
      <c r="D3" s="37" t="s">
        <v>322</v>
      </c>
      <c r="E3" s="37" t="s">
        <v>323</v>
      </c>
      <c r="F3" s="18" t="s">
        <v>324</v>
      </c>
      <c r="G3" s="18" t="s">
        <v>365</v>
      </c>
      <c r="H3" s="18" t="s">
        <v>418</v>
      </c>
    </row>
    <row r="4" spans="1:8" ht="60" customHeight="1">
      <c r="A4" s="63">
        <v>2</v>
      </c>
      <c r="B4" s="16" t="s">
        <v>153</v>
      </c>
      <c r="C4" s="18" t="s">
        <v>358</v>
      </c>
      <c r="D4" s="18" t="s">
        <v>328</v>
      </c>
      <c r="E4" s="18" t="s">
        <v>327</v>
      </c>
      <c r="F4" s="18" t="s">
        <v>326</v>
      </c>
      <c r="G4" s="50" t="s">
        <v>364</v>
      </c>
      <c r="H4" s="18" t="s">
        <v>374</v>
      </c>
    </row>
    <row r="5" spans="1:8" ht="60" customHeight="1">
      <c r="A5" s="63">
        <v>3</v>
      </c>
      <c r="B5" s="16" t="s">
        <v>154</v>
      </c>
      <c r="C5" s="18" t="s">
        <v>367</v>
      </c>
      <c r="D5" s="18" t="s">
        <v>368</v>
      </c>
      <c r="E5" s="18" t="s">
        <v>369</v>
      </c>
      <c r="F5" s="18" t="s">
        <v>371</v>
      </c>
      <c r="G5" s="18" t="s">
        <v>372</v>
      </c>
      <c r="H5" s="18" t="s">
        <v>373</v>
      </c>
    </row>
    <row r="6" spans="1:8" ht="60" customHeight="1">
      <c r="A6" s="63">
        <v>4</v>
      </c>
      <c r="B6" s="36" t="s">
        <v>155</v>
      </c>
      <c r="C6" s="18" t="s">
        <v>359</v>
      </c>
      <c r="D6" s="18" t="s">
        <v>359</v>
      </c>
      <c r="E6" s="18" t="s">
        <v>359</v>
      </c>
      <c r="F6" s="18" t="s">
        <v>359</v>
      </c>
      <c r="G6" s="18" t="s">
        <v>359</v>
      </c>
      <c r="H6" s="18" t="s">
        <v>359</v>
      </c>
    </row>
    <row r="7" spans="1:8" ht="86.1" customHeight="1">
      <c r="A7" s="63">
        <v>5</v>
      </c>
      <c r="B7" s="36" t="s">
        <v>156</v>
      </c>
      <c r="C7" s="18" t="s">
        <v>363</v>
      </c>
      <c r="D7" s="18" t="s">
        <v>363</v>
      </c>
      <c r="E7" s="18" t="s">
        <v>363</v>
      </c>
      <c r="F7" s="18" t="s">
        <v>363</v>
      </c>
      <c r="G7" s="18" t="s">
        <v>363</v>
      </c>
      <c r="H7" s="18" t="s">
        <v>363</v>
      </c>
    </row>
    <row r="8" spans="1:8" ht="86.1" customHeight="1">
      <c r="A8" s="63">
        <v>6</v>
      </c>
      <c r="B8" s="36" t="s">
        <v>157</v>
      </c>
      <c r="C8" s="18" t="s">
        <v>360</v>
      </c>
      <c r="D8" s="18" t="s">
        <v>362</v>
      </c>
      <c r="E8" s="18" t="s">
        <v>361</v>
      </c>
      <c r="F8" s="18" t="s">
        <v>360</v>
      </c>
      <c r="G8" s="18" t="s">
        <v>360</v>
      </c>
      <c r="H8" s="18" t="s">
        <v>366</v>
      </c>
    </row>
    <row r="9" spans="1:8" ht="60" customHeight="1">
      <c r="A9" s="63">
        <v>7</v>
      </c>
      <c r="B9" s="16" t="s">
        <v>158</v>
      </c>
      <c r="C9" s="38">
        <v>16000</v>
      </c>
      <c r="D9" s="38">
        <v>5500</v>
      </c>
      <c r="E9" s="39">
        <v>700</v>
      </c>
      <c r="F9" s="39">
        <v>4500</v>
      </c>
      <c r="G9" s="39">
        <v>25000</v>
      </c>
      <c r="H9" s="39"/>
    </row>
    <row r="10" spans="1:8" ht="60" customHeight="1">
      <c r="A10" s="63">
        <v>8</v>
      </c>
      <c r="B10" s="36" t="s">
        <v>277</v>
      </c>
      <c r="C10" s="38">
        <v>550</v>
      </c>
      <c r="D10" s="38">
        <v>140</v>
      </c>
      <c r="E10" s="39">
        <v>45</v>
      </c>
      <c r="F10" s="39">
        <v>50</v>
      </c>
      <c r="G10" s="39">
        <v>400</v>
      </c>
      <c r="H10" s="39"/>
    </row>
    <row r="11" spans="1:8" ht="60" customHeight="1">
      <c r="A11" s="63">
        <v>9</v>
      </c>
      <c r="B11" s="36" t="s">
        <v>206</v>
      </c>
      <c r="C11" s="18">
        <v>5</v>
      </c>
      <c r="D11" s="18">
        <v>1</v>
      </c>
      <c r="E11" s="18">
        <v>1</v>
      </c>
      <c r="F11" s="18">
        <v>1</v>
      </c>
      <c r="G11" s="18">
        <v>10</v>
      </c>
      <c r="H11" s="18"/>
    </row>
    <row r="12" spans="1:8" ht="60" customHeight="1">
      <c r="A12" s="63">
        <v>10</v>
      </c>
      <c r="B12" s="36" t="s">
        <v>205</v>
      </c>
      <c r="C12" s="18">
        <v>10</v>
      </c>
      <c r="D12" s="18">
        <v>6</v>
      </c>
      <c r="E12" s="18">
        <v>4</v>
      </c>
      <c r="F12" s="18">
        <v>3</v>
      </c>
      <c r="G12" s="18">
        <v>20</v>
      </c>
      <c r="H12" s="18"/>
    </row>
    <row r="13" spans="1:8" ht="60" customHeight="1">
      <c r="A13" s="63">
        <v>11</v>
      </c>
      <c r="B13" s="36" t="s">
        <v>278</v>
      </c>
      <c r="C13" s="75">
        <v>120000000</v>
      </c>
      <c r="D13" s="75">
        <v>25000000</v>
      </c>
      <c r="E13" s="75">
        <v>8000000</v>
      </c>
      <c r="F13" s="75">
        <v>5000000</v>
      </c>
      <c r="G13" s="75">
        <v>80000000</v>
      </c>
      <c r="H13" s="18"/>
    </row>
    <row r="14" spans="1:8" ht="60" customHeight="1">
      <c r="A14" s="63">
        <v>12</v>
      </c>
      <c r="B14" s="36" t="s">
        <v>203</v>
      </c>
      <c r="C14" s="18" t="s">
        <v>36</v>
      </c>
      <c r="D14" s="18" t="s">
        <v>36</v>
      </c>
      <c r="E14" s="18" t="s">
        <v>36</v>
      </c>
      <c r="F14" s="18" t="s">
        <v>36</v>
      </c>
      <c r="G14" s="18" t="s">
        <v>36</v>
      </c>
      <c r="H14" s="18"/>
    </row>
    <row r="15" spans="1:8" ht="60" customHeight="1">
      <c r="A15" s="63">
        <v>13</v>
      </c>
      <c r="B15" s="36" t="s">
        <v>280</v>
      </c>
      <c r="C15" s="18" t="s">
        <v>36</v>
      </c>
      <c r="D15" s="18" t="s">
        <v>36</v>
      </c>
      <c r="E15" s="18" t="s">
        <v>36</v>
      </c>
      <c r="F15" s="18" t="s">
        <v>36</v>
      </c>
      <c r="G15" s="18" t="s">
        <v>36</v>
      </c>
      <c r="H15" s="18"/>
    </row>
    <row r="16" spans="1:8" ht="60" customHeight="1">
      <c r="A16" s="63">
        <v>14</v>
      </c>
      <c r="B16" s="36" t="s">
        <v>204</v>
      </c>
      <c r="C16" s="18" t="s">
        <v>370</v>
      </c>
      <c r="D16" s="18" t="s">
        <v>370</v>
      </c>
      <c r="E16" s="18" t="s">
        <v>370</v>
      </c>
      <c r="F16" s="18" t="s">
        <v>370</v>
      </c>
      <c r="G16" s="18" t="s">
        <v>370</v>
      </c>
      <c r="H16" s="18"/>
    </row>
    <row r="18" spans="1:8" ht="60.95" customHeight="1">
      <c r="A18" s="63">
        <v>15</v>
      </c>
      <c r="B18" s="76" t="s">
        <v>227</v>
      </c>
      <c r="C18" s="76"/>
      <c r="D18" s="77" t="s">
        <v>419</v>
      </c>
      <c r="E18" s="78"/>
      <c r="F18" s="78"/>
      <c r="G18" s="78"/>
      <c r="H18" s="79"/>
    </row>
    <row r="19" spans="1:8" ht="60.95" customHeight="1">
      <c r="A19" s="63">
        <v>16</v>
      </c>
      <c r="B19" s="76" t="s">
        <v>213</v>
      </c>
      <c r="C19" s="76"/>
      <c r="D19" s="77" t="s">
        <v>420</v>
      </c>
      <c r="E19" s="78"/>
      <c r="F19" s="78"/>
      <c r="G19" s="78"/>
      <c r="H19" s="79"/>
    </row>
    <row r="20" spans="1:8" ht="60.95" customHeight="1">
      <c r="A20" s="63">
        <v>17</v>
      </c>
      <c r="B20" s="76" t="s">
        <v>200</v>
      </c>
      <c r="C20" s="76"/>
      <c r="D20" s="77" t="s">
        <v>375</v>
      </c>
      <c r="E20" s="78"/>
      <c r="F20" s="78"/>
      <c r="G20" s="78"/>
      <c r="H20" s="79"/>
    </row>
    <row r="21" spans="1:8" ht="60.95" customHeight="1">
      <c r="A21" s="63">
        <v>18</v>
      </c>
      <c r="B21" s="76" t="s">
        <v>159</v>
      </c>
      <c r="C21" s="76"/>
      <c r="D21" s="77" t="s">
        <v>421</v>
      </c>
      <c r="E21" s="78"/>
      <c r="F21" s="78"/>
      <c r="G21" s="78"/>
      <c r="H21" s="79"/>
    </row>
    <row r="22" spans="1:8" ht="60.95" customHeight="1">
      <c r="A22" s="63">
        <v>19</v>
      </c>
      <c r="B22" s="76" t="s">
        <v>201</v>
      </c>
      <c r="C22" s="76"/>
      <c r="D22" s="77" t="s">
        <v>376</v>
      </c>
      <c r="E22" s="78"/>
      <c r="F22" s="78"/>
      <c r="G22" s="78"/>
      <c r="H22" s="79"/>
    </row>
    <row r="23" spans="1:8" ht="60.95" customHeight="1">
      <c r="A23" s="63">
        <v>20</v>
      </c>
      <c r="B23" s="80" t="s">
        <v>225</v>
      </c>
      <c r="C23" s="81"/>
      <c r="D23" s="77" t="s">
        <v>378</v>
      </c>
      <c r="E23" s="78"/>
      <c r="F23" s="78"/>
      <c r="G23" s="78"/>
      <c r="H23" s="79"/>
    </row>
    <row r="24" spans="1:8" ht="60.95" customHeight="1">
      <c r="A24" s="63">
        <v>21</v>
      </c>
      <c r="B24" s="80" t="s">
        <v>226</v>
      </c>
      <c r="C24" s="81"/>
      <c r="D24" s="77" t="s">
        <v>422</v>
      </c>
      <c r="E24" s="78"/>
      <c r="F24" s="78"/>
      <c r="G24" s="78"/>
      <c r="H24" s="79"/>
    </row>
    <row r="25" spans="1:8" ht="187.7" customHeight="1">
      <c r="A25" s="63">
        <v>22</v>
      </c>
      <c r="B25" s="76" t="s">
        <v>202</v>
      </c>
      <c r="C25" s="76"/>
      <c r="D25" s="77" t="s">
        <v>377</v>
      </c>
      <c r="E25" s="78"/>
      <c r="F25" s="78"/>
      <c r="G25" s="78"/>
      <c r="H25" s="79"/>
    </row>
    <row r="26" spans="1:8" ht="60.95" customHeight="1"/>
    <row r="27" spans="1:8" ht="60.95" customHeight="1"/>
    <row r="28" spans="1:8" ht="60.95" customHeight="1"/>
    <row r="29" spans="1:8" ht="60.95" customHeight="1"/>
  </sheetData>
  <sheetProtection algorithmName="SHA-512" hashValue="zQUmRTblo7NwmNDoVbXM0yjst7rVPj5/m4axI2ivAgmUPwHZYj2vbWzF/lmehodxi4GZXwtagu0UzxPO76uzxg==" saltValue="p9e4rdm25WVOlVQ/gvBS1w==" spinCount="100000" sheet="1" selectLockedCells="1"/>
  <mergeCells count="16">
    <mergeCell ref="B18:C18"/>
    <mergeCell ref="D18:H18"/>
    <mergeCell ref="B19:C19"/>
    <mergeCell ref="D19:H19"/>
    <mergeCell ref="B20:C20"/>
    <mergeCell ref="D20:H20"/>
    <mergeCell ref="B21:C21"/>
    <mergeCell ref="D21:H21"/>
    <mergeCell ref="B22:C22"/>
    <mergeCell ref="D22:H22"/>
    <mergeCell ref="B25:C25"/>
    <mergeCell ref="D25:H25"/>
    <mergeCell ref="B24:C24"/>
    <mergeCell ref="B23:C23"/>
    <mergeCell ref="D23:H23"/>
    <mergeCell ref="D24:H24"/>
  </mergeCells>
  <conditionalFormatting sqref="C3:H16">
    <cfRule type="notContainsBlanks" dxfId="58" priority="1">
      <formula>LEN(TRIM(C3))&gt;0</formula>
    </cfRule>
  </conditionalFormatting>
  <conditionalFormatting sqref="D18:D25">
    <cfRule type="notContainsBlanks" dxfId="57" priority="2">
      <formula>LEN(TRIM(D18))&gt;0</formula>
    </cfRule>
  </conditionalFormatting>
  <dataValidations count="3">
    <dataValidation type="decimal" operator="greaterThan" allowBlank="1" showInputMessage="1" showErrorMessage="1" sqref="C9:H10" xr:uid="{729C1851-60B4-2548-B527-9EB9AF6842FF}">
      <formula1>0</formula1>
    </dataValidation>
    <dataValidation type="list" allowBlank="1" showInputMessage="1" showErrorMessage="1" sqref="C14:H15" xr:uid="{BED30279-6FF8-9540-B9F0-66107877420E}">
      <formula1>"Yes,No"</formula1>
    </dataValidation>
    <dataValidation type="whole" operator="greaterThan" allowBlank="1" showInputMessage="1" showErrorMessage="1" sqref="C11:H13" xr:uid="{3BD27C0B-8095-D04C-8C74-BA6999DA2B14}">
      <formula1>0</formula1>
    </dataValidation>
  </dataValidations>
  <pageMargins left="0.70866141732283472" right="0.70866141732283472" top="0.74803149606299213" bottom="0.74803149606299213" header="0.31496062992125984" footer="0.31496062992125984"/>
  <pageSetup scale="31"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2F10A-AE33-7847-A469-AFC9D635ABF6}">
  <sheetPr>
    <tabColor rgb="FF4F81BD"/>
    <pageSetUpPr fitToPage="1"/>
  </sheetPr>
  <dimension ref="B1:J25"/>
  <sheetViews>
    <sheetView showGridLines="0" tabSelected="1" zoomScaleNormal="100" workbookViewId="0">
      <selection activeCell="D13" sqref="D13"/>
    </sheetView>
  </sheetViews>
  <sheetFormatPr baseColWidth="10" defaultColWidth="10.875" defaultRowHeight="50.1" customHeight="1"/>
  <cols>
    <col min="1" max="1" width="5.125" style="3" customWidth="1"/>
    <col min="2" max="2" width="53.125" style="3" customWidth="1"/>
    <col min="3" max="10" width="32.625" style="3" customWidth="1"/>
    <col min="11" max="16384" width="10.875" style="3"/>
  </cols>
  <sheetData>
    <row r="1" spans="2:10" ht="50.1" customHeight="1">
      <c r="B1" s="42" t="s">
        <v>294</v>
      </c>
    </row>
    <row r="2" spans="2:10" ht="50.1" customHeight="1">
      <c r="B2" s="43"/>
      <c r="C2" s="44" t="s">
        <v>6</v>
      </c>
      <c r="D2" s="44" t="s">
        <v>7</v>
      </c>
      <c r="E2" s="44" t="s">
        <v>8</v>
      </c>
      <c r="F2" s="44" t="s">
        <v>16</v>
      </c>
      <c r="G2" s="44" t="s">
        <v>17</v>
      </c>
      <c r="H2" s="44" t="s">
        <v>180</v>
      </c>
      <c r="I2" s="44" t="s">
        <v>215</v>
      </c>
      <c r="J2" s="44" t="s">
        <v>216</v>
      </c>
    </row>
    <row r="3" spans="2:10" ht="50.1" customHeight="1">
      <c r="B3" s="44" t="s">
        <v>181</v>
      </c>
      <c r="C3" s="70" t="s">
        <v>412</v>
      </c>
      <c r="D3" s="70" t="s">
        <v>413</v>
      </c>
      <c r="E3" s="70" t="s">
        <v>414</v>
      </c>
      <c r="F3" s="70"/>
      <c r="G3" s="70"/>
      <c r="H3" s="70"/>
      <c r="I3" s="70"/>
      <c r="J3" s="70"/>
    </row>
    <row r="4" spans="2:10" ht="50.1" customHeight="1">
      <c r="B4" s="45" t="s">
        <v>263</v>
      </c>
      <c r="C4" s="70"/>
      <c r="D4" s="70"/>
      <c r="E4" s="70"/>
      <c r="F4" s="70"/>
      <c r="G4" s="70"/>
      <c r="H4" s="70"/>
      <c r="I4" s="70"/>
      <c r="J4" s="70"/>
    </row>
    <row r="5" spans="2:10" ht="50.1" customHeight="1">
      <c r="B5" s="45" t="s">
        <v>262</v>
      </c>
      <c r="C5" s="70"/>
      <c r="D5" s="70"/>
      <c r="E5" s="70"/>
      <c r="F5" s="70"/>
      <c r="G5" s="70"/>
      <c r="H5" s="70"/>
      <c r="I5" s="70"/>
      <c r="J5" s="70"/>
    </row>
    <row r="6" spans="2:10" ht="50.1" customHeight="1">
      <c r="B6" s="45" t="s">
        <v>264</v>
      </c>
      <c r="C6" s="70">
        <v>24</v>
      </c>
      <c r="D6" s="70">
        <v>54</v>
      </c>
      <c r="E6" s="70">
        <v>60</v>
      </c>
      <c r="F6" s="70"/>
      <c r="G6" s="70"/>
      <c r="H6" s="70"/>
      <c r="I6" s="70"/>
      <c r="J6" s="70"/>
    </row>
    <row r="7" spans="2:10" ht="50.1" customHeight="1">
      <c r="B7" s="45" t="s">
        <v>265</v>
      </c>
      <c r="C7" s="70">
        <f>+C6*46*1.5</f>
        <v>1656</v>
      </c>
      <c r="D7" s="70">
        <f t="shared" ref="D7:E7" si="0">+D6*46*1.5</f>
        <v>3726</v>
      </c>
      <c r="E7" s="70">
        <f t="shared" si="0"/>
        <v>4140</v>
      </c>
      <c r="F7" s="70"/>
      <c r="G7" s="70"/>
      <c r="H7" s="70"/>
      <c r="I7" s="70"/>
      <c r="J7" s="70"/>
    </row>
    <row r="8" spans="2:10" ht="50.1" customHeight="1">
      <c r="B8" s="45" t="s">
        <v>214</v>
      </c>
      <c r="C8" s="70" t="s">
        <v>380</v>
      </c>
      <c r="D8" s="70" t="s">
        <v>329</v>
      </c>
      <c r="E8" s="70" t="s">
        <v>379</v>
      </c>
      <c r="F8" s="70"/>
      <c r="G8" s="70"/>
      <c r="H8" s="70"/>
      <c r="I8" s="70"/>
      <c r="J8" s="70"/>
    </row>
    <row r="9" spans="2:10" ht="50.1" customHeight="1">
      <c r="B9" s="45" t="s">
        <v>296</v>
      </c>
      <c r="C9" s="70" t="s">
        <v>379</v>
      </c>
      <c r="D9" s="70" t="s">
        <v>379</v>
      </c>
      <c r="E9" s="70" t="s">
        <v>379</v>
      </c>
      <c r="F9" s="70"/>
      <c r="G9" s="70"/>
      <c r="H9" s="70"/>
      <c r="I9" s="70"/>
      <c r="J9" s="70"/>
    </row>
    <row r="10" spans="2:10" ht="50.1" customHeight="1">
      <c r="B10" s="64" t="s">
        <v>290</v>
      </c>
      <c r="C10" s="70" t="s">
        <v>415</v>
      </c>
      <c r="D10" s="70" t="s">
        <v>416</v>
      </c>
      <c r="E10" s="70" t="s">
        <v>417</v>
      </c>
      <c r="F10" s="70"/>
      <c r="G10" s="70"/>
      <c r="H10" s="70"/>
      <c r="I10" s="70"/>
      <c r="J10" s="70"/>
    </row>
    <row r="11" spans="2:10" ht="50.1" customHeight="1">
      <c r="B11" s="45" t="s">
        <v>106</v>
      </c>
      <c r="C11" s="71">
        <v>2</v>
      </c>
      <c r="D11" s="71">
        <v>2</v>
      </c>
      <c r="E11" s="71">
        <v>2</v>
      </c>
      <c r="F11" s="70"/>
      <c r="G11" s="70"/>
      <c r="H11" s="70"/>
      <c r="I11" s="70"/>
      <c r="J11" s="70"/>
    </row>
    <row r="12" spans="2:10" ht="50.1" customHeight="1">
      <c r="B12" s="45" t="s">
        <v>199</v>
      </c>
      <c r="C12" s="72">
        <v>3.5000000000000003E-2</v>
      </c>
      <c r="D12" s="73">
        <v>2.3E-2</v>
      </c>
      <c r="E12" s="73">
        <v>5.1999999999999998E-2</v>
      </c>
      <c r="F12" s="73"/>
      <c r="G12" s="73"/>
      <c r="H12" s="73"/>
      <c r="I12" s="73"/>
      <c r="J12" s="73"/>
    </row>
    <row r="14" spans="2:10" ht="50.1" customHeight="1">
      <c r="B14" s="83" t="s">
        <v>182</v>
      </c>
      <c r="C14" s="83"/>
      <c r="D14" s="83"/>
    </row>
    <row r="15" spans="2:10" ht="50.1" customHeight="1">
      <c r="B15" s="16" t="s">
        <v>183</v>
      </c>
      <c r="C15" s="83" t="s">
        <v>184</v>
      </c>
      <c r="D15" s="83"/>
    </row>
    <row r="16" spans="2:10" ht="50.1" customHeight="1">
      <c r="B16" s="46" t="s">
        <v>185</v>
      </c>
      <c r="C16" s="84" t="s">
        <v>186</v>
      </c>
      <c r="D16" s="84"/>
    </row>
    <row r="17" spans="2:4" ht="50.1" customHeight="1">
      <c r="B17" s="82" t="s">
        <v>187</v>
      </c>
      <c r="C17" s="82" t="s">
        <v>188</v>
      </c>
      <c r="D17" s="82"/>
    </row>
    <row r="18" spans="2:4" ht="50.1" customHeight="1">
      <c r="B18" s="82"/>
      <c r="C18" s="82" t="s">
        <v>189</v>
      </c>
      <c r="D18" s="82"/>
    </row>
    <row r="19" spans="2:4" ht="50.1" customHeight="1">
      <c r="B19" s="82"/>
      <c r="C19" s="82" t="s">
        <v>190</v>
      </c>
      <c r="D19" s="82"/>
    </row>
    <row r="20" spans="2:4" ht="50.1" customHeight="1">
      <c r="B20" s="82"/>
      <c r="C20" s="82" t="s">
        <v>191</v>
      </c>
      <c r="D20" s="82"/>
    </row>
    <row r="21" spans="2:4" ht="50.1" customHeight="1">
      <c r="B21" s="82" t="s">
        <v>192</v>
      </c>
      <c r="C21" s="82" t="s">
        <v>193</v>
      </c>
      <c r="D21" s="82"/>
    </row>
    <row r="22" spans="2:4" ht="50.1" customHeight="1">
      <c r="B22" s="82"/>
      <c r="C22" s="82" t="s">
        <v>194</v>
      </c>
      <c r="D22" s="82"/>
    </row>
    <row r="23" spans="2:4" ht="50.1" customHeight="1">
      <c r="B23" s="82"/>
      <c r="C23" s="82" t="s">
        <v>195</v>
      </c>
      <c r="D23" s="82"/>
    </row>
    <row r="24" spans="2:4" ht="50.1" customHeight="1">
      <c r="B24" s="82" t="s">
        <v>196</v>
      </c>
      <c r="C24" s="82" t="s">
        <v>197</v>
      </c>
      <c r="D24" s="82"/>
    </row>
    <row r="25" spans="2:4" ht="50.1" customHeight="1">
      <c r="B25" s="82"/>
      <c r="C25" s="82" t="s">
        <v>198</v>
      </c>
      <c r="D25" s="82"/>
    </row>
  </sheetData>
  <sheetProtection algorithmName="SHA-512" hashValue="bZUL6mD159NJzrDMfwN4drt+BOqtexhCohLvWTFiYmwi3OxjnrOscfwij2lbQWlD1y6kwb2Toihf5J7T9rDt2w==" saltValue="3UFfoL413EPmJz18ZLo85A==" spinCount="100000" sheet="1" objects="1" scenarios="1"/>
  <mergeCells count="15">
    <mergeCell ref="B14:D14"/>
    <mergeCell ref="C15:D15"/>
    <mergeCell ref="C16:D16"/>
    <mergeCell ref="B17:B20"/>
    <mergeCell ref="C17:D17"/>
    <mergeCell ref="C18:D18"/>
    <mergeCell ref="C19:D19"/>
    <mergeCell ref="C20:D20"/>
    <mergeCell ref="B21:B23"/>
    <mergeCell ref="C21:D21"/>
    <mergeCell ref="C22:D22"/>
    <mergeCell ref="C23:D23"/>
    <mergeCell ref="B24:B25"/>
    <mergeCell ref="C24:D24"/>
    <mergeCell ref="C25:D25"/>
  </mergeCells>
  <conditionalFormatting sqref="C3:J12">
    <cfRule type="containsBlanks" dxfId="56" priority="1" stopIfTrue="1">
      <formula>LEN(TRIM(C3))=0</formula>
    </cfRule>
  </conditionalFormatting>
  <dataValidations count="2">
    <dataValidation type="list" allowBlank="1" showInputMessage="1" showErrorMessage="1" sqref="C8:J9" xr:uid="{26019721-06B4-C344-8224-CB676EC62513}">
      <formula1>"High,Medium,Low"</formula1>
    </dataValidation>
    <dataValidation type="decimal" operator="greaterThan" allowBlank="1" showInputMessage="1" showErrorMessage="1" sqref="C4:J7 C11:J12" xr:uid="{3ACB799D-6863-874C-A853-DD4D01F96B84}">
      <formula1>0</formula1>
    </dataValidation>
  </dataValidations>
  <pageMargins left="0.70866141732283472" right="0.70866141732283472" top="0.74803149606299213" bottom="0.74803149606299213" header="0.31496062992125984" footer="0.31496062992125984"/>
  <pageSetup scale="35"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5F098-1FD7-C444-9DE7-00998B4A673C}">
  <sheetPr>
    <tabColor rgb="FF4F81BD"/>
    <pageSetUpPr fitToPage="1"/>
  </sheetPr>
  <dimension ref="B1:K16"/>
  <sheetViews>
    <sheetView showGridLines="0" topLeftCell="A3" zoomScale="50" zoomScaleNormal="50" workbookViewId="0">
      <selection activeCell="J13" sqref="J13"/>
    </sheetView>
  </sheetViews>
  <sheetFormatPr baseColWidth="10" defaultColWidth="10.875" defaultRowHeight="15"/>
  <cols>
    <col min="1" max="1" width="4.125" style="1" customWidth="1"/>
    <col min="2" max="2" width="51.5" style="1" customWidth="1"/>
    <col min="3" max="9" width="29.125" style="1" customWidth="1"/>
    <col min="10" max="10" width="57.875" style="1" customWidth="1"/>
    <col min="11" max="11" width="102.625" style="1" bestFit="1" customWidth="1"/>
    <col min="12" max="15" width="29.125" style="1" customWidth="1"/>
    <col min="16" max="16384" width="10.875" style="1"/>
  </cols>
  <sheetData>
    <row r="1" spans="2:11" ht="66.95" customHeight="1">
      <c r="B1" s="34" t="s">
        <v>288</v>
      </c>
    </row>
    <row r="2" spans="2:11" ht="66.95" customHeight="1">
      <c r="B2" s="33"/>
      <c r="C2" s="16">
        <v>2022</v>
      </c>
      <c r="D2" s="16">
        <v>2023</v>
      </c>
      <c r="E2" s="16">
        <v>2024</v>
      </c>
      <c r="F2" s="16" t="s">
        <v>208</v>
      </c>
      <c r="G2" s="16" t="s">
        <v>146</v>
      </c>
      <c r="H2" s="16" t="s">
        <v>147</v>
      </c>
      <c r="I2" s="16" t="s">
        <v>209</v>
      </c>
      <c r="J2" s="16" t="s">
        <v>207</v>
      </c>
    </row>
    <row r="3" spans="2:11" ht="66.95" customHeight="1">
      <c r="B3" s="16" t="s">
        <v>266</v>
      </c>
      <c r="C3" s="39"/>
      <c r="D3" s="39"/>
      <c r="E3" s="39"/>
      <c r="F3" s="39"/>
      <c r="G3" s="39"/>
      <c r="H3" s="39"/>
      <c r="I3" s="39"/>
      <c r="J3" s="60"/>
    </row>
    <row r="4" spans="2:11" ht="131.25">
      <c r="B4" s="36" t="s">
        <v>267</v>
      </c>
      <c r="C4" s="39"/>
      <c r="D4" s="39"/>
      <c r="E4" s="39"/>
      <c r="F4" s="39">
        <v>287</v>
      </c>
      <c r="G4" s="39"/>
      <c r="H4" s="39">
        <v>348</v>
      </c>
      <c r="I4" s="39"/>
      <c r="J4" s="60" t="s">
        <v>319</v>
      </c>
      <c r="K4" s="74" t="s">
        <v>318</v>
      </c>
    </row>
    <row r="5" spans="2:11" ht="66.95" customHeight="1">
      <c r="B5" s="16" t="s">
        <v>268</v>
      </c>
      <c r="C5" s="39"/>
      <c r="D5" s="39"/>
      <c r="E5" s="39"/>
      <c r="F5" s="39">
        <v>622</v>
      </c>
      <c r="G5" s="39"/>
      <c r="H5" s="39">
        <v>716</v>
      </c>
      <c r="I5" s="39"/>
      <c r="J5" s="60"/>
    </row>
    <row r="6" spans="2:11" ht="66.95" customHeight="1">
      <c r="B6" s="16" t="s">
        <v>269</v>
      </c>
      <c r="C6" s="39"/>
      <c r="D6" s="39"/>
      <c r="E6" s="39"/>
      <c r="F6" s="39"/>
      <c r="G6" s="39"/>
      <c r="H6" s="39"/>
      <c r="I6" s="39"/>
      <c r="J6" s="60"/>
      <c r="K6" s="4" t="s">
        <v>217</v>
      </c>
    </row>
    <row r="7" spans="2:11" ht="66.95" customHeight="1">
      <c r="B7" s="16" t="s">
        <v>270</v>
      </c>
      <c r="C7" s="39"/>
      <c r="D7" s="39"/>
      <c r="E7" s="39"/>
      <c r="F7" s="39"/>
      <c r="G7" s="39"/>
      <c r="H7" s="39"/>
      <c r="I7" s="39"/>
      <c r="J7" s="60"/>
    </row>
    <row r="8" spans="2:11" ht="66.95" customHeight="1">
      <c r="B8" s="16" t="s">
        <v>271</v>
      </c>
      <c r="C8" s="39"/>
      <c r="D8" s="39"/>
      <c r="E8" s="39"/>
      <c r="F8" s="39"/>
      <c r="G8" s="39"/>
      <c r="H8" s="39"/>
      <c r="I8" s="39"/>
      <c r="J8" s="60"/>
    </row>
    <row r="9" spans="2:11" ht="66.95" customHeight="1">
      <c r="B9" s="16" t="s">
        <v>272</v>
      </c>
      <c r="C9" s="39"/>
      <c r="D9" s="39"/>
      <c r="E9" s="39"/>
      <c r="F9" s="39"/>
      <c r="G9" s="39"/>
      <c r="H9" s="39"/>
      <c r="I9" s="39"/>
      <c r="J9" s="60"/>
    </row>
    <row r="10" spans="2:11" ht="66.95" customHeight="1">
      <c r="B10" s="36" t="s">
        <v>285</v>
      </c>
      <c r="C10" s="39"/>
      <c r="D10" s="39"/>
      <c r="E10" s="39"/>
      <c r="F10" s="39"/>
      <c r="G10" s="39"/>
      <c r="H10" s="39"/>
      <c r="I10" s="39"/>
      <c r="J10" s="60"/>
    </row>
    <row r="11" spans="2:11" ht="66.95" customHeight="1">
      <c r="B11" s="16" t="s">
        <v>286</v>
      </c>
      <c r="C11" s="39"/>
      <c r="D11" s="39"/>
      <c r="E11" s="39"/>
      <c r="F11" s="39">
        <v>163</v>
      </c>
      <c r="G11" s="39"/>
      <c r="H11" s="39">
        <v>193</v>
      </c>
      <c r="I11" s="39"/>
      <c r="J11" s="60"/>
    </row>
    <row r="12" spans="2:11" ht="66.95" customHeight="1">
      <c r="B12" s="16" t="s">
        <v>287</v>
      </c>
      <c r="C12" s="39"/>
      <c r="D12" s="39"/>
      <c r="E12" s="39"/>
      <c r="F12" s="39">
        <v>101</v>
      </c>
      <c r="G12" s="39"/>
      <c r="H12" s="39">
        <v>130</v>
      </c>
      <c r="I12" s="39"/>
      <c r="J12" s="60" t="s">
        <v>427</v>
      </c>
    </row>
    <row r="13" spans="2:11" ht="66.95" customHeight="1">
      <c r="B13" s="16" t="s">
        <v>210</v>
      </c>
      <c r="C13" s="39"/>
      <c r="D13" s="39"/>
      <c r="E13" s="39"/>
      <c r="F13" s="39">
        <v>174</v>
      </c>
      <c r="G13" s="39"/>
      <c r="H13" s="39">
        <v>212</v>
      </c>
      <c r="I13" s="39"/>
      <c r="J13" s="60" t="s">
        <v>425</v>
      </c>
    </row>
    <row r="14" spans="2:11" ht="66.95" customHeight="1">
      <c r="B14" s="16" t="s">
        <v>210</v>
      </c>
      <c r="C14" s="39"/>
      <c r="D14" s="39"/>
      <c r="E14" s="39"/>
      <c r="F14" s="39">
        <v>286</v>
      </c>
      <c r="G14" s="39"/>
      <c r="H14" s="39">
        <v>310</v>
      </c>
      <c r="I14" s="39"/>
      <c r="J14" s="60" t="s">
        <v>426</v>
      </c>
    </row>
    <row r="15" spans="2:11" ht="66.95" customHeight="1">
      <c r="B15" s="16" t="s">
        <v>210</v>
      </c>
      <c r="C15" s="39"/>
      <c r="D15" s="39"/>
      <c r="E15" s="39"/>
      <c r="F15" s="39"/>
      <c r="G15" s="39"/>
      <c r="H15" s="39"/>
      <c r="I15" s="39"/>
      <c r="J15" s="60"/>
    </row>
    <row r="16" spans="2:11" ht="18.75">
      <c r="B16" s="51" t="s">
        <v>218</v>
      </c>
      <c r="C16" s="52">
        <f t="shared" ref="C16:I16" si="0">SUM(C3:C15)</f>
        <v>0</v>
      </c>
      <c r="D16" s="52">
        <f t="shared" si="0"/>
        <v>0</v>
      </c>
      <c r="E16" s="52">
        <f t="shared" si="0"/>
        <v>0</v>
      </c>
      <c r="F16" s="52">
        <f t="shared" si="0"/>
        <v>1633</v>
      </c>
      <c r="G16" s="52">
        <f t="shared" si="0"/>
        <v>0</v>
      </c>
      <c r="H16" s="52">
        <f t="shared" si="0"/>
        <v>1909</v>
      </c>
      <c r="I16" s="52">
        <f t="shared" si="0"/>
        <v>0</v>
      </c>
    </row>
  </sheetData>
  <sheetProtection algorithmName="SHA-512" hashValue="PhkzxIhRU/NEqiY5KBZ8osucQOINuCuNxmLGQ4G6ElnHL0RVLYel/mPUcfz2JPa3W0fO6h3g2OZ30cklvyYhDA==" saltValue="Iw59MJ83Pv69NpgKR5baOg==" spinCount="100000" sheet="1" objects="1" scenarios="1"/>
  <conditionalFormatting sqref="C3:J15">
    <cfRule type="notContainsBlanks" dxfId="55" priority="1">
      <formula>LEN(TRIM(C3))&gt;0</formula>
    </cfRule>
  </conditionalFormatting>
  <dataValidations count="1">
    <dataValidation type="whole" operator="greaterThan" allowBlank="1" showInputMessage="1" showErrorMessage="1" sqref="C3:I15" xr:uid="{E2094605-44BD-C24A-B860-DF8CFA448BC3}">
      <formula1>0</formula1>
    </dataValidation>
  </dataValidations>
  <pageMargins left="0.70866141732283472" right="0.70866141732283472" top="0.74803149606299213" bottom="0.74803149606299213" header="0.31496062992125984" footer="0.31496062992125984"/>
  <pageSetup scale="26"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4EA0C-0E40-6A44-9C2A-C32E79078142}">
  <sheetPr>
    <tabColor rgb="FF4F81BD"/>
    <pageSetUpPr fitToPage="1"/>
  </sheetPr>
  <dimension ref="B2:K8"/>
  <sheetViews>
    <sheetView showGridLines="0" topLeftCell="A25" zoomScale="50" workbookViewId="0">
      <selection activeCell="O30" sqref="O30"/>
    </sheetView>
  </sheetViews>
  <sheetFormatPr baseColWidth="10" defaultColWidth="10.875" defaultRowHeight="15.75"/>
  <cols>
    <col min="1" max="1" width="5.375" customWidth="1"/>
    <col min="2" max="2" width="34.5" customWidth="1"/>
  </cols>
  <sheetData>
    <row r="2" spans="2:11" ht="47.1" customHeight="1">
      <c r="B2" s="85" t="s">
        <v>314</v>
      </c>
      <c r="C2" s="85"/>
      <c r="D2" s="85"/>
      <c r="E2" s="85"/>
      <c r="F2" s="85"/>
      <c r="G2" s="85"/>
      <c r="H2" s="85"/>
      <c r="I2" s="85"/>
      <c r="J2" s="85"/>
      <c r="K2" s="85"/>
    </row>
    <row r="3" spans="2:11" ht="47.1" customHeight="1">
      <c r="B3" s="85"/>
      <c r="C3" s="85"/>
      <c r="D3" s="85"/>
      <c r="E3" s="85"/>
      <c r="F3" s="85"/>
      <c r="G3" s="85"/>
      <c r="H3" s="85"/>
      <c r="I3" s="85"/>
      <c r="J3" s="85"/>
      <c r="K3" s="85"/>
    </row>
    <row r="4" spans="2:11" ht="47.1" customHeight="1">
      <c r="B4" s="85"/>
      <c r="C4" s="85"/>
      <c r="D4" s="85"/>
      <c r="E4" s="85"/>
      <c r="F4" s="85"/>
      <c r="G4" s="85"/>
      <c r="H4" s="85"/>
      <c r="I4" s="85"/>
      <c r="J4" s="85"/>
      <c r="K4" s="85"/>
    </row>
    <row r="5" spans="2:11" ht="47.1" customHeight="1">
      <c r="B5" s="85"/>
      <c r="C5" s="85"/>
      <c r="D5" s="85"/>
      <c r="E5" s="85"/>
      <c r="F5" s="85"/>
      <c r="G5" s="85"/>
      <c r="H5" s="85"/>
      <c r="I5" s="85"/>
      <c r="J5" s="85"/>
      <c r="K5" s="85"/>
    </row>
    <row r="7" spans="2:11">
      <c r="B7" t="s">
        <v>423</v>
      </c>
    </row>
    <row r="8" spans="2:11">
      <c r="B8" t="s">
        <v>424</v>
      </c>
    </row>
  </sheetData>
  <mergeCells count="1">
    <mergeCell ref="B2:K5"/>
  </mergeCells>
  <pageMargins left="0.70866141732283472" right="0.70866141732283472" top="0.74803149606299213" bottom="0.74803149606299213" header="0.31496062992125984" footer="0.31496062992125984"/>
  <pageSetup scale="45"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C0E82-C9FC-884C-B846-A111D80C5D4B}">
  <sheetPr>
    <tabColor rgb="FF4F81BD"/>
    <pageSetUpPr fitToPage="1"/>
  </sheetPr>
  <dimension ref="A1:W18"/>
  <sheetViews>
    <sheetView topLeftCell="A6" zoomScale="70" zoomScaleNormal="70" workbookViewId="0">
      <selection activeCell="D4" sqref="D4"/>
    </sheetView>
  </sheetViews>
  <sheetFormatPr baseColWidth="10" defaultRowHeight="15.75"/>
  <cols>
    <col min="1" max="1" width="4.125" style="1" customWidth="1"/>
    <col min="2" max="2" width="51.5" style="1" customWidth="1"/>
    <col min="3" max="22" width="29.125" style="1" customWidth="1"/>
    <col min="23" max="23" width="57.875" style="1" customWidth="1"/>
  </cols>
  <sheetData>
    <row r="1" spans="2:23" ht="60" customHeight="1">
      <c r="B1" s="34" t="s">
        <v>247</v>
      </c>
    </row>
    <row r="2" spans="2:23" ht="60" customHeight="1">
      <c r="B2" s="65" t="s">
        <v>240</v>
      </c>
      <c r="C2" s="86" t="s">
        <v>242</v>
      </c>
      <c r="D2" s="86"/>
      <c r="E2" s="86"/>
      <c r="F2" s="86"/>
      <c r="G2" s="86" t="s">
        <v>243</v>
      </c>
      <c r="H2" s="86"/>
      <c r="I2" s="86"/>
      <c r="J2" s="86"/>
      <c r="K2" s="86"/>
      <c r="L2" s="86" t="s">
        <v>305</v>
      </c>
      <c r="M2" s="86"/>
      <c r="N2" s="86"/>
      <c r="O2" s="86"/>
      <c r="P2" s="86"/>
      <c r="Q2" s="86"/>
      <c r="R2" s="86"/>
      <c r="S2" s="86" t="s">
        <v>244</v>
      </c>
      <c r="T2" s="86"/>
      <c r="U2" s="86"/>
      <c r="V2" s="86"/>
    </row>
    <row r="3" spans="2:23" ht="60" customHeight="1">
      <c r="B3" s="16" t="s">
        <v>241</v>
      </c>
      <c r="C3" s="66" t="s">
        <v>245</v>
      </c>
      <c r="D3" s="66" t="s">
        <v>297</v>
      </c>
      <c r="E3" s="66" t="s">
        <v>235</v>
      </c>
      <c r="F3" s="66" t="s">
        <v>292</v>
      </c>
      <c r="G3" s="66" t="s">
        <v>41</v>
      </c>
      <c r="H3" s="66" t="s">
        <v>246</v>
      </c>
      <c r="I3" s="66" t="s">
        <v>236</v>
      </c>
      <c r="J3" s="66" t="s">
        <v>237</v>
      </c>
      <c r="K3" s="66" t="s">
        <v>289</v>
      </c>
      <c r="L3" s="66" t="s">
        <v>306</v>
      </c>
      <c r="M3" s="67" t="s">
        <v>312</v>
      </c>
      <c r="N3" s="66" t="s">
        <v>307</v>
      </c>
      <c r="O3" s="66" t="s">
        <v>311</v>
      </c>
      <c r="P3" s="66" t="s">
        <v>308</v>
      </c>
      <c r="Q3" s="66" t="s">
        <v>309</v>
      </c>
      <c r="R3" s="66" t="s">
        <v>310</v>
      </c>
      <c r="S3" s="66" t="s">
        <v>24</v>
      </c>
      <c r="T3" s="66" t="s">
        <v>238</v>
      </c>
      <c r="U3" s="66" t="s">
        <v>295</v>
      </c>
      <c r="V3" s="66" t="s">
        <v>239</v>
      </c>
      <c r="W3" s="16" t="s">
        <v>207</v>
      </c>
    </row>
    <row r="4" spans="2:23" ht="60" customHeight="1">
      <c r="B4" s="16" t="s">
        <v>254</v>
      </c>
      <c r="C4" s="39" t="s">
        <v>36</v>
      </c>
      <c r="D4" s="39" t="s">
        <v>36</v>
      </c>
      <c r="E4" s="39" t="s">
        <v>36</v>
      </c>
      <c r="F4" s="39" t="s">
        <v>36</v>
      </c>
      <c r="G4" s="39" t="s">
        <v>36</v>
      </c>
      <c r="H4" s="39" t="s">
        <v>36</v>
      </c>
      <c r="I4" s="39" t="s">
        <v>36</v>
      </c>
      <c r="J4" s="39" t="s">
        <v>36</v>
      </c>
      <c r="K4" s="39" t="s">
        <v>36</v>
      </c>
      <c r="L4" s="39"/>
      <c r="M4" s="39" t="s">
        <v>37</v>
      </c>
      <c r="N4" s="39" t="s">
        <v>36</v>
      </c>
      <c r="O4" s="39" t="s">
        <v>36</v>
      </c>
      <c r="P4" s="39" t="s">
        <v>36</v>
      </c>
      <c r="Q4" s="39" t="s">
        <v>36</v>
      </c>
      <c r="R4" s="39" t="s">
        <v>36</v>
      </c>
      <c r="S4" s="39" t="s">
        <v>36</v>
      </c>
      <c r="T4" s="39" t="s">
        <v>36</v>
      </c>
      <c r="U4" s="39" t="s">
        <v>36</v>
      </c>
      <c r="V4" s="39" t="s">
        <v>36</v>
      </c>
      <c r="W4" s="60"/>
    </row>
    <row r="5" spans="2:23" ht="60" customHeight="1">
      <c r="B5" s="36" t="s">
        <v>274</v>
      </c>
      <c r="C5" s="39" t="s">
        <v>329</v>
      </c>
      <c r="D5" s="39" t="s">
        <v>329</v>
      </c>
      <c r="E5" s="39" t="s">
        <v>329</v>
      </c>
      <c r="F5" s="39" t="s">
        <v>329</v>
      </c>
      <c r="G5" s="39" t="s">
        <v>329</v>
      </c>
      <c r="H5" s="39" t="s">
        <v>329</v>
      </c>
      <c r="I5" s="39" t="s">
        <v>329</v>
      </c>
      <c r="J5" s="39" t="s">
        <v>329</v>
      </c>
      <c r="K5" s="39" t="s">
        <v>329</v>
      </c>
      <c r="L5" s="39"/>
      <c r="M5" s="39" t="s">
        <v>379</v>
      </c>
      <c r="N5" s="39" t="s">
        <v>380</v>
      </c>
      <c r="O5" s="39" t="s">
        <v>329</v>
      </c>
      <c r="P5" s="39" t="s">
        <v>380</v>
      </c>
      <c r="Q5" s="39" t="s">
        <v>329</v>
      </c>
      <c r="R5" s="39" t="s">
        <v>380</v>
      </c>
      <c r="S5" s="39" t="s">
        <v>329</v>
      </c>
      <c r="T5" s="39" t="s">
        <v>380</v>
      </c>
      <c r="U5" s="39" t="s">
        <v>380</v>
      </c>
      <c r="V5" s="39" t="s">
        <v>380</v>
      </c>
      <c r="W5" s="60"/>
    </row>
    <row r="6" spans="2:23" ht="60" customHeight="1">
      <c r="B6" s="36" t="s">
        <v>255</v>
      </c>
      <c r="C6" s="39" t="s">
        <v>37</v>
      </c>
      <c r="D6" s="39" t="s">
        <v>37</v>
      </c>
      <c r="E6" s="39" t="s">
        <v>37</v>
      </c>
      <c r="F6" s="39" t="s">
        <v>37</v>
      </c>
      <c r="G6" s="39" t="s">
        <v>37</v>
      </c>
      <c r="H6" s="39" t="s">
        <v>37</v>
      </c>
      <c r="I6" s="39" t="s">
        <v>37</v>
      </c>
      <c r="J6" s="39" t="s">
        <v>37</v>
      </c>
      <c r="K6" s="39" t="s">
        <v>37</v>
      </c>
      <c r="L6" s="39"/>
      <c r="M6" s="39" t="s">
        <v>37</v>
      </c>
      <c r="N6" s="39" t="s">
        <v>37</v>
      </c>
      <c r="O6" s="39" t="s">
        <v>37</v>
      </c>
      <c r="P6" s="39" t="s">
        <v>37</v>
      </c>
      <c r="Q6" s="39" t="s">
        <v>36</v>
      </c>
      <c r="R6" s="39" t="s">
        <v>37</v>
      </c>
      <c r="S6" s="39" t="s">
        <v>37</v>
      </c>
      <c r="T6" s="39" t="s">
        <v>37</v>
      </c>
      <c r="U6" s="39" t="s">
        <v>37</v>
      </c>
      <c r="V6" s="39" t="s">
        <v>36</v>
      </c>
      <c r="W6" s="60"/>
    </row>
    <row r="7" spans="2:23" ht="60" customHeight="1">
      <c r="B7" s="36" t="s">
        <v>22</v>
      </c>
      <c r="C7" s="39" t="s">
        <v>381</v>
      </c>
      <c r="D7" s="39" t="s">
        <v>382</v>
      </c>
      <c r="E7" s="39" t="s">
        <v>383</v>
      </c>
      <c r="F7" s="39" t="s">
        <v>383</v>
      </c>
      <c r="G7" s="39" t="s">
        <v>383</v>
      </c>
      <c r="H7" s="39" t="s">
        <v>384</v>
      </c>
      <c r="I7" s="39" t="s">
        <v>385</v>
      </c>
      <c r="J7" s="39" t="s">
        <v>386</v>
      </c>
      <c r="K7" s="39" t="s">
        <v>387</v>
      </c>
      <c r="L7" s="39"/>
      <c r="M7" s="39" t="s">
        <v>384</v>
      </c>
      <c r="N7" s="39" t="s">
        <v>388</v>
      </c>
      <c r="O7" s="39" t="s">
        <v>387</v>
      </c>
      <c r="P7" s="39" t="s">
        <v>384</v>
      </c>
      <c r="Q7" s="39" t="s">
        <v>389</v>
      </c>
      <c r="R7" s="39" t="s">
        <v>384</v>
      </c>
      <c r="S7" s="39" t="s">
        <v>385</v>
      </c>
      <c r="T7" s="39" t="s">
        <v>384</v>
      </c>
      <c r="U7" s="39" t="s">
        <v>384</v>
      </c>
      <c r="V7" s="39" t="s">
        <v>384</v>
      </c>
      <c r="W7" s="60"/>
    </row>
    <row r="8" spans="2:23" ht="60" customHeight="1">
      <c r="B8" s="36" t="s">
        <v>273</v>
      </c>
      <c r="C8" s="39"/>
      <c r="D8" s="39"/>
      <c r="E8" s="39"/>
      <c r="F8" s="39"/>
      <c r="G8" s="39"/>
      <c r="H8" s="39"/>
      <c r="I8" s="39"/>
      <c r="J8" s="39"/>
      <c r="K8" s="39"/>
      <c r="L8" s="39"/>
      <c r="M8" s="39"/>
      <c r="N8" s="39"/>
      <c r="O8" s="39"/>
      <c r="P8" s="39"/>
      <c r="Q8" s="39"/>
      <c r="R8" s="39"/>
      <c r="S8" s="39"/>
      <c r="T8" s="39"/>
      <c r="U8" s="39"/>
      <c r="V8" s="39"/>
      <c r="W8" s="60" t="s">
        <v>410</v>
      </c>
    </row>
    <row r="9" spans="2:23" ht="60" customHeight="1">
      <c r="B9" s="36" t="s">
        <v>256</v>
      </c>
      <c r="C9" s="39" t="s">
        <v>401</v>
      </c>
      <c r="D9" s="39" t="s">
        <v>402</v>
      </c>
      <c r="E9" s="39" t="s">
        <v>401</v>
      </c>
      <c r="F9" s="39" t="s">
        <v>401</v>
      </c>
      <c r="G9" s="39" t="s">
        <v>403</v>
      </c>
      <c r="H9" s="39" t="s">
        <v>404</v>
      </c>
      <c r="I9" s="39" t="s">
        <v>405</v>
      </c>
      <c r="J9" s="39" t="s">
        <v>406</v>
      </c>
      <c r="K9" s="39" t="s">
        <v>406</v>
      </c>
      <c r="L9" s="39"/>
      <c r="M9" s="39" t="s">
        <v>407</v>
      </c>
      <c r="N9" s="39" t="s">
        <v>407</v>
      </c>
      <c r="O9" s="39" t="s">
        <v>407</v>
      </c>
      <c r="P9" s="39" t="s">
        <v>407</v>
      </c>
      <c r="Q9" s="39" t="s">
        <v>407</v>
      </c>
      <c r="R9" s="39" t="s">
        <v>407</v>
      </c>
      <c r="S9" s="39" t="s">
        <v>408</v>
      </c>
      <c r="T9" s="39"/>
      <c r="U9" s="39"/>
      <c r="V9" s="39" t="s">
        <v>409</v>
      </c>
      <c r="W9" s="60"/>
    </row>
    <row r="10" spans="2:23" ht="60" customHeight="1">
      <c r="B10" s="36" t="s">
        <v>304</v>
      </c>
      <c r="C10" s="39"/>
      <c r="D10" s="39"/>
      <c r="E10" s="39"/>
      <c r="F10" s="39"/>
      <c r="G10" s="39"/>
      <c r="H10" s="39"/>
      <c r="I10" s="39"/>
      <c r="J10" s="39"/>
      <c r="K10" s="39"/>
      <c r="L10" s="39"/>
      <c r="M10" s="39"/>
      <c r="N10" s="39"/>
      <c r="O10" s="39"/>
      <c r="P10" s="39"/>
      <c r="Q10" s="39"/>
      <c r="R10" s="39"/>
      <c r="S10" s="39"/>
      <c r="T10" s="39"/>
      <c r="U10" s="39"/>
      <c r="V10" s="39"/>
      <c r="W10" s="60" t="s">
        <v>411</v>
      </c>
    </row>
    <row r="11" spans="2:23" ht="60" customHeight="1">
      <c r="B11" s="36" t="s">
        <v>275</v>
      </c>
      <c r="C11" s="39" t="s">
        <v>392</v>
      </c>
      <c r="D11" s="39" t="s">
        <v>393</v>
      </c>
      <c r="E11" s="39" t="s">
        <v>394</v>
      </c>
      <c r="F11" s="39" t="s">
        <v>395</v>
      </c>
      <c r="G11" s="68" t="s">
        <v>396</v>
      </c>
      <c r="H11" s="39" t="s">
        <v>396</v>
      </c>
      <c r="I11" s="39" t="s">
        <v>396</v>
      </c>
      <c r="J11" s="39" t="s">
        <v>396</v>
      </c>
      <c r="K11" s="39" t="s">
        <v>396</v>
      </c>
      <c r="L11" s="39"/>
      <c r="M11" s="39" t="s">
        <v>396</v>
      </c>
      <c r="N11" s="39" t="s">
        <v>396</v>
      </c>
      <c r="O11" s="39" t="s">
        <v>396</v>
      </c>
      <c r="P11" s="39" t="s">
        <v>396</v>
      </c>
      <c r="Q11" s="39" t="s">
        <v>396</v>
      </c>
      <c r="R11" s="39" t="s">
        <v>396</v>
      </c>
      <c r="S11" s="39" t="s">
        <v>396</v>
      </c>
      <c r="T11" s="39" t="s">
        <v>396</v>
      </c>
      <c r="U11" s="39" t="s">
        <v>396</v>
      </c>
      <c r="V11" s="39" t="s">
        <v>396</v>
      </c>
      <c r="W11" s="60" t="s">
        <v>397</v>
      </c>
    </row>
    <row r="12" spans="2:23" ht="60" customHeight="1">
      <c r="B12" s="16" t="s">
        <v>257</v>
      </c>
      <c r="C12" s="39" t="s">
        <v>398</v>
      </c>
      <c r="D12" s="39" t="s">
        <v>398</v>
      </c>
      <c r="E12" s="39" t="s">
        <v>398</v>
      </c>
      <c r="F12" s="39" t="s">
        <v>398</v>
      </c>
      <c r="G12" s="39" t="s">
        <v>399</v>
      </c>
      <c r="H12" s="39" t="s">
        <v>398</v>
      </c>
      <c r="I12" s="39" t="s">
        <v>398</v>
      </c>
      <c r="J12" s="39" t="s">
        <v>398</v>
      </c>
      <c r="K12" s="39" t="s">
        <v>398</v>
      </c>
      <c r="L12" s="39"/>
      <c r="M12" s="39" t="s">
        <v>398</v>
      </c>
      <c r="N12" s="39" t="s">
        <v>398</v>
      </c>
      <c r="O12" s="39" t="s">
        <v>398</v>
      </c>
      <c r="P12" s="39" t="s">
        <v>398</v>
      </c>
      <c r="Q12" s="39" t="s">
        <v>398</v>
      </c>
      <c r="R12" s="39" t="s">
        <v>398</v>
      </c>
      <c r="S12" s="39" t="s">
        <v>398</v>
      </c>
      <c r="T12" s="39" t="s">
        <v>398</v>
      </c>
      <c r="U12" s="39" t="s">
        <v>398</v>
      </c>
      <c r="V12" s="39" t="s">
        <v>398</v>
      </c>
      <c r="W12" s="60"/>
    </row>
    <row r="13" spans="2:23" ht="60" customHeight="1">
      <c r="B13" s="36" t="s">
        <v>252</v>
      </c>
      <c r="C13" s="39"/>
      <c r="D13" s="39"/>
      <c r="E13" s="39"/>
      <c r="F13" s="39"/>
      <c r="G13" s="39"/>
      <c r="H13" s="39"/>
      <c r="I13" s="39"/>
      <c r="J13" s="39"/>
      <c r="K13" s="39"/>
      <c r="L13" s="39"/>
      <c r="M13" s="39"/>
      <c r="N13" s="39"/>
      <c r="O13" s="39"/>
      <c r="P13" s="39"/>
      <c r="Q13" s="39"/>
      <c r="R13" s="39"/>
      <c r="S13" s="39"/>
      <c r="T13" s="39"/>
      <c r="U13" s="39"/>
      <c r="V13" s="39"/>
      <c r="W13" s="60" t="s">
        <v>411</v>
      </c>
    </row>
    <row r="14" spans="2:23" ht="60" customHeight="1">
      <c r="B14" s="16" t="s">
        <v>248</v>
      </c>
      <c r="C14" s="39" t="s">
        <v>400</v>
      </c>
      <c r="D14" s="39" t="s">
        <v>400</v>
      </c>
      <c r="E14" s="39" t="s">
        <v>400</v>
      </c>
      <c r="F14" s="39" t="s">
        <v>400</v>
      </c>
      <c r="G14" s="39" t="s">
        <v>400</v>
      </c>
      <c r="H14" s="39" t="s">
        <v>400</v>
      </c>
      <c r="I14" s="39" t="s">
        <v>400</v>
      </c>
      <c r="J14" s="39" t="s">
        <v>400</v>
      </c>
      <c r="K14" s="39" t="s">
        <v>400</v>
      </c>
      <c r="L14" s="39"/>
      <c r="M14" s="39" t="s">
        <v>400</v>
      </c>
      <c r="N14" s="39" t="s">
        <v>400</v>
      </c>
      <c r="O14" s="39" t="s">
        <v>400</v>
      </c>
      <c r="P14" s="39" t="s">
        <v>400</v>
      </c>
      <c r="Q14" s="39" t="s">
        <v>400</v>
      </c>
      <c r="R14" s="39" t="s">
        <v>400</v>
      </c>
      <c r="S14" s="39" t="s">
        <v>400</v>
      </c>
      <c r="T14" s="39" t="s">
        <v>400</v>
      </c>
      <c r="U14" s="39" t="s">
        <v>400</v>
      </c>
      <c r="V14" s="39" t="s">
        <v>400</v>
      </c>
      <c r="W14" s="60"/>
    </row>
    <row r="15" spans="2:23" ht="60" customHeight="1">
      <c r="B15" s="16" t="s">
        <v>251</v>
      </c>
      <c r="C15" s="39"/>
      <c r="D15" s="39"/>
      <c r="E15" s="39"/>
      <c r="F15" s="39"/>
      <c r="G15" s="39"/>
      <c r="H15" s="39"/>
      <c r="I15" s="39"/>
      <c r="J15" s="39"/>
      <c r="K15" s="39"/>
      <c r="L15" s="39"/>
      <c r="M15" s="39"/>
      <c r="N15" s="39"/>
      <c r="O15" s="39"/>
      <c r="P15" s="39"/>
      <c r="Q15" s="39"/>
      <c r="R15" s="39"/>
      <c r="S15" s="39"/>
      <c r="T15" s="39"/>
      <c r="U15" s="39"/>
      <c r="V15" s="39"/>
      <c r="W15" s="60"/>
    </row>
    <row r="16" spans="2:23" ht="60" customHeight="1">
      <c r="B16" s="36" t="s">
        <v>253</v>
      </c>
      <c r="C16" s="39" t="s">
        <v>390</v>
      </c>
      <c r="D16" s="39" t="s">
        <v>390</v>
      </c>
      <c r="E16" s="39" t="s">
        <v>390</v>
      </c>
      <c r="F16" s="39" t="s">
        <v>390</v>
      </c>
      <c r="G16" s="39" t="s">
        <v>390</v>
      </c>
      <c r="H16" s="39" t="s">
        <v>390</v>
      </c>
      <c r="I16" s="39" t="s">
        <v>390</v>
      </c>
      <c r="J16" s="39" t="s">
        <v>390</v>
      </c>
      <c r="K16" s="39" t="s">
        <v>390</v>
      </c>
      <c r="L16" s="39" t="s">
        <v>390</v>
      </c>
      <c r="M16" s="39" t="s">
        <v>390</v>
      </c>
      <c r="N16" s="39" t="s">
        <v>390</v>
      </c>
      <c r="O16" s="39" t="s">
        <v>390</v>
      </c>
      <c r="P16" s="39" t="s">
        <v>390</v>
      </c>
      <c r="Q16" s="39" t="s">
        <v>390</v>
      </c>
      <c r="R16" s="39" t="s">
        <v>390</v>
      </c>
      <c r="S16" s="39" t="s">
        <v>390</v>
      </c>
      <c r="T16" s="39" t="s">
        <v>390</v>
      </c>
      <c r="U16" s="39" t="s">
        <v>390</v>
      </c>
      <c r="V16" s="39" t="s">
        <v>390</v>
      </c>
      <c r="W16" s="60"/>
    </row>
    <row r="17" spans="2:23" ht="60" customHeight="1">
      <c r="B17" s="16" t="s">
        <v>249</v>
      </c>
      <c r="C17" s="39" t="s">
        <v>391</v>
      </c>
      <c r="D17" s="39" t="s">
        <v>391</v>
      </c>
      <c r="E17" s="39" t="s">
        <v>391</v>
      </c>
      <c r="F17" s="39" t="s">
        <v>391</v>
      </c>
      <c r="G17" s="39" t="s">
        <v>391</v>
      </c>
      <c r="H17" s="39" t="s">
        <v>391</v>
      </c>
      <c r="I17" s="39" t="s">
        <v>391</v>
      </c>
      <c r="J17" s="39" t="s">
        <v>391</v>
      </c>
      <c r="K17" s="39" t="s">
        <v>391</v>
      </c>
      <c r="L17" s="39" t="s">
        <v>391</v>
      </c>
      <c r="M17" s="39" t="s">
        <v>391</v>
      </c>
      <c r="N17" s="39" t="s">
        <v>391</v>
      </c>
      <c r="O17" s="39" t="s">
        <v>391</v>
      </c>
      <c r="P17" s="39" t="s">
        <v>391</v>
      </c>
      <c r="Q17" s="39" t="s">
        <v>391</v>
      </c>
      <c r="R17" s="39" t="s">
        <v>391</v>
      </c>
      <c r="S17" s="39" t="s">
        <v>391</v>
      </c>
      <c r="T17" s="39" t="s">
        <v>391</v>
      </c>
      <c r="U17" s="39" t="s">
        <v>391</v>
      </c>
      <c r="V17" s="39" t="s">
        <v>391</v>
      </c>
      <c r="W17" s="60"/>
    </row>
    <row r="18" spans="2:23" ht="60" customHeight="1">
      <c r="B18" s="16" t="s">
        <v>250</v>
      </c>
      <c r="C18" s="39" t="s">
        <v>391</v>
      </c>
      <c r="D18" s="39" t="s">
        <v>391</v>
      </c>
      <c r="E18" s="39" t="s">
        <v>391</v>
      </c>
      <c r="F18" s="39" t="s">
        <v>391</v>
      </c>
      <c r="G18" s="39" t="s">
        <v>391</v>
      </c>
      <c r="H18" s="39" t="s">
        <v>391</v>
      </c>
      <c r="I18" s="39" t="s">
        <v>391</v>
      </c>
      <c r="J18" s="39" t="s">
        <v>391</v>
      </c>
      <c r="K18" s="39" t="s">
        <v>391</v>
      </c>
      <c r="L18" s="39" t="s">
        <v>391</v>
      </c>
      <c r="M18" s="39" t="s">
        <v>391</v>
      </c>
      <c r="N18" s="39" t="s">
        <v>391</v>
      </c>
      <c r="O18" s="39" t="s">
        <v>391</v>
      </c>
      <c r="P18" s="39" t="s">
        <v>391</v>
      </c>
      <c r="Q18" s="39" t="s">
        <v>391</v>
      </c>
      <c r="R18" s="39" t="s">
        <v>391</v>
      </c>
      <c r="S18" s="39" t="s">
        <v>391</v>
      </c>
      <c r="T18" s="39" t="s">
        <v>391</v>
      </c>
      <c r="U18" s="39" t="s">
        <v>391</v>
      </c>
      <c r="V18" s="39" t="s">
        <v>391</v>
      </c>
      <c r="W18" s="60"/>
    </row>
  </sheetData>
  <sheetProtection algorithmName="SHA-512" hashValue="u54zsgaFIUZLRboCn2nIO0kK2iKzR/bqsZfa3Z7j4sFBPsTIe6/OwUtJQzvi0sDIBKm5z4JU52amwOIijAjheQ==" saltValue="Uo14KH9C0o4WWmza+VqcUg==" spinCount="100000" sheet="1" objects="1" scenarios="1"/>
  <mergeCells count="4">
    <mergeCell ref="C2:F2"/>
    <mergeCell ref="S2:V2"/>
    <mergeCell ref="G2:K2"/>
    <mergeCell ref="L2:R2"/>
  </mergeCells>
  <conditionalFormatting sqref="C4:W18">
    <cfRule type="notContainsBlanks" dxfId="54" priority="4" stopIfTrue="1">
      <formula>LEN(TRIM(C4))&gt;0</formula>
    </cfRule>
  </conditionalFormatting>
  <dataValidations count="3">
    <dataValidation type="list" allowBlank="1" showInputMessage="1" showErrorMessage="1" sqref="C4:V4 C6:V6" xr:uid="{3C94C46B-AE0A-7546-AE4A-70564BCE0467}">
      <formula1>"Yes,No"</formula1>
    </dataValidation>
    <dataValidation type="whole" operator="greaterThan" allowBlank="1" showInputMessage="1" showErrorMessage="1" sqref="C8:V8" xr:uid="{0CDD62B7-BEBF-0648-A0A4-2C6D168439F0}">
      <formula1>0</formula1>
    </dataValidation>
    <dataValidation type="list" allowBlank="1" showInputMessage="1" showErrorMessage="1" sqref="C5:V5" xr:uid="{E9005C81-8F3A-004A-AD31-E0B88249D0D7}">
      <formula1>"High,Medium,Low,N/A"</formula1>
    </dataValidation>
  </dataValidations>
  <pageMargins left="0.70866141732283472" right="0.70866141732283472" top="0.74803149606299213" bottom="0.74803149606299213" header="0.31496062992125984" footer="0.31496062992125984"/>
  <pageSetup scale="16"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35BEE-ECCF-464E-B3BE-DA7F33AA34D2}">
  <sheetPr>
    <tabColor rgb="FF4F81BD"/>
    <pageSetUpPr fitToPage="1"/>
  </sheetPr>
  <dimension ref="B3:K24"/>
  <sheetViews>
    <sheetView showGridLines="0" workbookViewId="0">
      <selection activeCell="J11" sqref="J11"/>
    </sheetView>
  </sheetViews>
  <sheetFormatPr baseColWidth="10" defaultColWidth="10.875" defaultRowHeight="15.75"/>
  <cols>
    <col min="1" max="1" width="5.5" customWidth="1"/>
  </cols>
  <sheetData>
    <row r="3" spans="2:11" ht="33.950000000000003" customHeight="1">
      <c r="B3" s="85" t="s">
        <v>224</v>
      </c>
      <c r="C3" s="85"/>
      <c r="D3" s="85"/>
      <c r="E3" s="85"/>
      <c r="F3" s="85"/>
      <c r="G3" s="85"/>
      <c r="H3" s="85"/>
      <c r="I3" s="85"/>
      <c r="J3" s="85"/>
      <c r="K3" s="85"/>
    </row>
    <row r="4" spans="2:11" ht="33.950000000000003" customHeight="1">
      <c r="B4" s="85"/>
      <c r="C4" s="85"/>
      <c r="D4" s="85"/>
      <c r="E4" s="85"/>
      <c r="F4" s="85"/>
      <c r="G4" s="85"/>
      <c r="H4" s="85"/>
      <c r="I4" s="85"/>
      <c r="J4" s="85"/>
      <c r="K4" s="85"/>
    </row>
    <row r="5" spans="2:11" ht="33.950000000000003" customHeight="1">
      <c r="B5" s="85"/>
      <c r="C5" s="85"/>
      <c r="D5" s="85"/>
      <c r="E5" s="85"/>
      <c r="F5" s="85"/>
      <c r="G5" s="85"/>
      <c r="H5" s="85"/>
      <c r="I5" s="85"/>
      <c r="J5" s="85"/>
      <c r="K5" s="85"/>
    </row>
    <row r="6" spans="2:11" ht="33.950000000000003" customHeight="1">
      <c r="B6" s="85"/>
      <c r="C6" s="85"/>
      <c r="D6" s="85"/>
      <c r="E6" s="85"/>
      <c r="F6" s="85"/>
      <c r="G6" s="85"/>
      <c r="H6" s="85"/>
      <c r="I6" s="85"/>
      <c r="J6" s="85"/>
      <c r="K6" s="85"/>
    </row>
    <row r="9" spans="2:11">
      <c r="B9" t="s">
        <v>428</v>
      </c>
    </row>
    <row r="12" spans="2:11">
      <c r="B12" s="57"/>
    </row>
    <row r="15" spans="2:11">
      <c r="B15" s="57"/>
    </row>
    <row r="18" spans="2:2">
      <c r="B18" s="57"/>
    </row>
    <row r="21" spans="2:2">
      <c r="B21" s="57"/>
    </row>
    <row r="24" spans="2:2">
      <c r="B24" s="57"/>
    </row>
  </sheetData>
  <mergeCells count="1">
    <mergeCell ref="B3:K6"/>
  </mergeCells>
  <pageMargins left="0.70866141732283472" right="0.70866141732283472" top="0.74803149606299213" bottom="0.74803149606299213" header="0.31496062992125984" footer="0.31496062992125984"/>
  <pageSetup scale="98"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BD8D5-CD4F-D44B-8DDB-AA53C4225B46}">
  <sheetPr>
    <tabColor rgb="FFFFFF00"/>
    <pageSetUpPr fitToPage="1"/>
  </sheetPr>
  <dimension ref="A2:D28"/>
  <sheetViews>
    <sheetView zoomScale="80" zoomScaleNormal="80" workbookViewId="0">
      <selection activeCell="D4" sqref="D4"/>
    </sheetView>
  </sheetViews>
  <sheetFormatPr baseColWidth="10" defaultColWidth="10.875" defaultRowHeight="20.25"/>
  <cols>
    <col min="1" max="1" width="4.125" style="54" customWidth="1"/>
    <col min="2" max="2" width="200.875" style="10" customWidth="1"/>
    <col min="3" max="3" width="67.5" style="13" customWidth="1"/>
    <col min="4" max="16384" width="10.875" style="48"/>
  </cols>
  <sheetData>
    <row r="2" spans="2:4">
      <c r="B2" s="8" t="s">
        <v>233</v>
      </c>
      <c r="C2" s="11"/>
    </row>
    <row r="3" spans="2:4">
      <c r="B3" s="41" t="s">
        <v>231</v>
      </c>
      <c r="C3" s="56"/>
    </row>
    <row r="4" spans="2:4">
      <c r="B4" s="55" t="s">
        <v>260</v>
      </c>
      <c r="C4" s="56"/>
    </row>
    <row r="5" spans="2:4" ht="60.75">
      <c r="B5" s="53" t="s">
        <v>282</v>
      </c>
      <c r="C5" s="47" t="s">
        <v>36</v>
      </c>
      <c r="D5" s="49" t="s">
        <v>283</v>
      </c>
    </row>
    <row r="6" spans="2:4">
      <c r="B6" s="55" t="s">
        <v>259</v>
      </c>
      <c r="C6" s="56"/>
      <c r="D6" s="49"/>
    </row>
    <row r="7" spans="2:4" ht="60.75">
      <c r="B7" s="53" t="s">
        <v>221</v>
      </c>
      <c r="C7" s="47" t="s">
        <v>36</v>
      </c>
      <c r="D7" s="49" t="s">
        <v>276</v>
      </c>
    </row>
    <row r="8" spans="2:4">
      <c r="B8" s="55" t="s">
        <v>258</v>
      </c>
      <c r="C8" s="56"/>
    </row>
    <row r="9" spans="2:4" ht="60.75">
      <c r="B9" s="53" t="s">
        <v>222</v>
      </c>
      <c r="C9" s="47" t="s">
        <v>36</v>
      </c>
    </row>
    <row r="10" spans="2:4">
      <c r="B10" s="55" t="s">
        <v>279</v>
      </c>
      <c r="C10" s="56"/>
    </row>
    <row r="11" spans="2:4" ht="60.75">
      <c r="B11" s="53" t="s">
        <v>317</v>
      </c>
      <c r="C11" s="47" t="s">
        <v>36</v>
      </c>
    </row>
    <row r="12" spans="2:4">
      <c r="B12" s="41" t="s">
        <v>230</v>
      </c>
      <c r="C12" s="56"/>
    </row>
    <row r="13" spans="2:4">
      <c r="B13" s="55" t="s">
        <v>232</v>
      </c>
      <c r="C13" s="56"/>
    </row>
    <row r="14" spans="2:4" ht="60.75">
      <c r="B14" s="53" t="s">
        <v>219</v>
      </c>
      <c r="C14" s="47" t="s">
        <v>36</v>
      </c>
    </row>
    <row r="15" spans="2:4">
      <c r="B15" s="55" t="s">
        <v>228</v>
      </c>
      <c r="C15" s="56"/>
    </row>
    <row r="16" spans="2:4" ht="60.75">
      <c r="B16" s="53" t="s">
        <v>220</v>
      </c>
      <c r="C16" s="47"/>
    </row>
    <row r="17" spans="2:3">
      <c r="B17" s="55" t="s">
        <v>229</v>
      </c>
      <c r="C17" s="56"/>
    </row>
    <row r="18" spans="2:3" ht="40.5">
      <c r="B18" s="53" t="s">
        <v>223</v>
      </c>
      <c r="C18" s="47" t="s">
        <v>36</v>
      </c>
    </row>
    <row r="19" spans="2:3">
      <c r="B19" s="55" t="s">
        <v>261</v>
      </c>
      <c r="C19" s="56"/>
    </row>
    <row r="20" spans="2:3" ht="60.75">
      <c r="B20" s="53" t="s">
        <v>281</v>
      </c>
      <c r="C20" s="47" t="s">
        <v>36</v>
      </c>
    </row>
    <row r="21" spans="2:3">
      <c r="B21" s="55" t="s">
        <v>298</v>
      </c>
      <c r="C21" s="56"/>
    </row>
    <row r="22" spans="2:3" ht="81">
      <c r="B22" s="53" t="s">
        <v>300</v>
      </c>
      <c r="C22" s="47" t="s">
        <v>36</v>
      </c>
    </row>
    <row r="23" spans="2:3">
      <c r="B23" s="55" t="s">
        <v>303</v>
      </c>
      <c r="C23" s="56"/>
    </row>
    <row r="24" spans="2:3" ht="81">
      <c r="B24" s="53" t="s">
        <v>301</v>
      </c>
      <c r="C24" s="47" t="s">
        <v>36</v>
      </c>
    </row>
    <row r="25" spans="2:3">
      <c r="B25" s="55" t="s">
        <v>299</v>
      </c>
      <c r="C25" s="56"/>
    </row>
    <row r="26" spans="2:3" ht="81">
      <c r="B26" s="53" t="s">
        <v>302</v>
      </c>
      <c r="C26" s="47" t="s">
        <v>36</v>
      </c>
    </row>
    <row r="27" spans="2:3">
      <c r="B27" s="55" t="s">
        <v>313</v>
      </c>
      <c r="C27" s="56"/>
    </row>
    <row r="28" spans="2:3" ht="81">
      <c r="B28" s="53" t="s">
        <v>315</v>
      </c>
      <c r="C28" s="47" t="s">
        <v>36</v>
      </c>
    </row>
  </sheetData>
  <sheetProtection algorithmName="SHA-512" hashValue="XeW6bUAKnm43j4meWYPApqpxgIUvkc+kiljCp7h71QUV2ZgishBBRb5NF7kP+72LnQELXBDhMs+rLegAjSnArA==" saltValue="2/ZNlC/KVpLBc1AR6Z48Dw==" spinCount="100000" sheet="1" objects="1" scenarios="1"/>
  <conditionalFormatting sqref="C5">
    <cfRule type="containsText" dxfId="53" priority="70" operator="containsText" text="Yes">
      <formula>NOT(ISERROR(SEARCH("Yes",C5)))</formula>
    </cfRule>
    <cfRule type="containsText" dxfId="52" priority="71" operator="containsText" text="No">
      <formula>NOT(ISERROR(SEARCH("No",C5)))</formula>
    </cfRule>
    <cfRule type="notContainsBlanks" dxfId="51" priority="72" stopIfTrue="1">
      <formula>LEN(TRIM(C5))&gt;0</formula>
    </cfRule>
  </conditionalFormatting>
  <conditionalFormatting sqref="C7">
    <cfRule type="containsText" dxfId="50" priority="58" operator="containsText" text="Yes">
      <formula>NOT(ISERROR(SEARCH("Yes",C7)))</formula>
    </cfRule>
    <cfRule type="containsText" dxfId="49" priority="59" operator="containsText" text="No">
      <formula>NOT(ISERROR(SEARCH("No",C7)))</formula>
    </cfRule>
    <cfRule type="notContainsBlanks" dxfId="48" priority="60" stopIfTrue="1">
      <formula>LEN(TRIM(C7))&gt;0</formula>
    </cfRule>
  </conditionalFormatting>
  <conditionalFormatting sqref="C9:C12">
    <cfRule type="containsText" dxfId="47" priority="25" operator="containsText" text="Yes">
      <formula>NOT(ISERROR(SEARCH("Yes",C9)))</formula>
    </cfRule>
    <cfRule type="containsText" dxfId="46" priority="26" operator="containsText" text="No">
      <formula>NOT(ISERROR(SEARCH("No",C9)))</formula>
    </cfRule>
    <cfRule type="notContainsBlanks" dxfId="45" priority="27" stopIfTrue="1">
      <formula>LEN(TRIM(C9))&gt;0</formula>
    </cfRule>
  </conditionalFormatting>
  <conditionalFormatting sqref="C12">
    <cfRule type="containsText" dxfId="44" priority="43" operator="containsText" text="Yes">
      <formula>NOT(ISERROR(SEARCH("Yes",C12)))</formula>
    </cfRule>
    <cfRule type="containsText" dxfId="43" priority="44" operator="containsText" text="No">
      <formula>NOT(ISERROR(SEARCH("No",C12)))</formula>
    </cfRule>
    <cfRule type="notContainsBlanks" dxfId="42" priority="45" stopIfTrue="1">
      <formula>LEN(TRIM(C12))&gt;0</formula>
    </cfRule>
    <cfRule type="containsText" dxfId="41" priority="52" operator="containsText" text="Yes">
      <formula>NOT(ISERROR(SEARCH("Yes",C12)))</formula>
    </cfRule>
    <cfRule type="containsText" dxfId="40" priority="53" operator="containsText" text="No">
      <formula>NOT(ISERROR(SEARCH("No",C12)))</formula>
    </cfRule>
    <cfRule type="notContainsBlanks" dxfId="39" priority="54" stopIfTrue="1">
      <formula>LEN(TRIM(C12))&gt;0</formula>
    </cfRule>
  </conditionalFormatting>
  <conditionalFormatting sqref="C14">
    <cfRule type="containsText" dxfId="38" priority="22" operator="containsText" text="Yes">
      <formula>NOT(ISERROR(SEARCH("Yes",C14)))</formula>
    </cfRule>
    <cfRule type="containsText" dxfId="37" priority="23" operator="containsText" text="No">
      <formula>NOT(ISERROR(SEARCH("No",C14)))</formula>
    </cfRule>
    <cfRule type="notContainsBlanks" dxfId="36" priority="24" stopIfTrue="1">
      <formula>LEN(TRIM(C14))&gt;0</formula>
    </cfRule>
    <cfRule type="containsText" dxfId="35" priority="31" operator="containsText" text="Yes">
      <formula>NOT(ISERROR(SEARCH("Yes",C14)))</formula>
    </cfRule>
    <cfRule type="containsText" dxfId="34" priority="32" operator="containsText" text="No">
      <formula>NOT(ISERROR(SEARCH("No",C14)))</formula>
    </cfRule>
    <cfRule type="notContainsBlanks" dxfId="33" priority="33" stopIfTrue="1">
      <formula>LEN(TRIM(C14))&gt;0</formula>
    </cfRule>
    <cfRule type="containsText" dxfId="32" priority="40" operator="containsText" text="Yes">
      <formula>NOT(ISERROR(SEARCH("Yes",C14)))</formula>
    </cfRule>
    <cfRule type="containsText" dxfId="31" priority="41" operator="containsText" text="No">
      <formula>NOT(ISERROR(SEARCH("No",C14)))</formula>
    </cfRule>
    <cfRule type="notContainsBlanks" dxfId="30" priority="42" stopIfTrue="1">
      <formula>LEN(TRIM(C14))&gt;0</formula>
    </cfRule>
    <cfRule type="containsText" dxfId="29" priority="49" operator="containsText" text="Yes">
      <formula>NOT(ISERROR(SEARCH("Yes",C14)))</formula>
    </cfRule>
    <cfRule type="containsText" dxfId="28" priority="50" operator="containsText" text="No">
      <formula>NOT(ISERROR(SEARCH("No",C14)))</formula>
    </cfRule>
    <cfRule type="notContainsBlanks" dxfId="27" priority="51" stopIfTrue="1">
      <formula>LEN(TRIM(C14))&gt;0</formula>
    </cfRule>
  </conditionalFormatting>
  <conditionalFormatting sqref="C16">
    <cfRule type="containsText" dxfId="26" priority="19" operator="containsText" text="Yes">
      <formula>NOT(ISERROR(SEARCH("Yes",C16)))</formula>
    </cfRule>
    <cfRule type="containsText" dxfId="25" priority="20" operator="containsText" text="No">
      <formula>NOT(ISERROR(SEARCH("No",C16)))</formula>
    </cfRule>
    <cfRule type="notContainsBlanks" dxfId="24" priority="21" stopIfTrue="1">
      <formula>LEN(TRIM(C16))&gt;0</formula>
    </cfRule>
    <cfRule type="containsText" dxfId="23" priority="28" operator="containsText" text="Yes">
      <formula>NOT(ISERROR(SEARCH("Yes",C16)))</formula>
    </cfRule>
    <cfRule type="containsText" dxfId="22" priority="29" operator="containsText" text="No">
      <formula>NOT(ISERROR(SEARCH("No",C16)))</formula>
    </cfRule>
    <cfRule type="notContainsBlanks" dxfId="21" priority="30" stopIfTrue="1">
      <formula>LEN(TRIM(C16))&gt;0</formula>
    </cfRule>
    <cfRule type="containsText" dxfId="20" priority="37" operator="containsText" text="Yes">
      <formula>NOT(ISERROR(SEARCH("Yes",C16)))</formula>
    </cfRule>
    <cfRule type="containsText" dxfId="19" priority="38" operator="containsText" text="No">
      <formula>NOT(ISERROR(SEARCH("No",C16)))</formula>
    </cfRule>
    <cfRule type="notContainsBlanks" dxfId="18" priority="39" stopIfTrue="1">
      <formula>LEN(TRIM(C16))&gt;0</formula>
    </cfRule>
  </conditionalFormatting>
  <conditionalFormatting sqref="C18">
    <cfRule type="containsText" dxfId="17" priority="16" operator="containsText" text="Yes">
      <formula>NOT(ISERROR(SEARCH("Yes",C18)))</formula>
    </cfRule>
    <cfRule type="containsText" dxfId="16" priority="17" operator="containsText" text="No">
      <formula>NOT(ISERROR(SEARCH("No",C18)))</formula>
    </cfRule>
    <cfRule type="notContainsBlanks" dxfId="15" priority="18" stopIfTrue="1">
      <formula>LEN(TRIM(C18))&gt;0</formula>
    </cfRule>
  </conditionalFormatting>
  <conditionalFormatting sqref="C20">
    <cfRule type="containsText" dxfId="14" priority="13" operator="containsText" text="Yes">
      <formula>NOT(ISERROR(SEARCH("Yes",C20)))</formula>
    </cfRule>
    <cfRule type="containsText" dxfId="13" priority="14" operator="containsText" text="No">
      <formula>NOT(ISERROR(SEARCH("No",C20)))</formula>
    </cfRule>
    <cfRule type="notContainsBlanks" dxfId="12" priority="15" stopIfTrue="1">
      <formula>LEN(TRIM(C20))&gt;0</formula>
    </cfRule>
  </conditionalFormatting>
  <conditionalFormatting sqref="C22">
    <cfRule type="containsText" dxfId="11" priority="10" operator="containsText" text="Yes">
      <formula>NOT(ISERROR(SEARCH("Yes",C22)))</formula>
    </cfRule>
    <cfRule type="containsText" dxfId="10" priority="11" operator="containsText" text="No">
      <formula>NOT(ISERROR(SEARCH("No",C22)))</formula>
    </cfRule>
    <cfRule type="notContainsBlanks" dxfId="9" priority="12" stopIfTrue="1">
      <formula>LEN(TRIM(C22))&gt;0</formula>
    </cfRule>
  </conditionalFormatting>
  <conditionalFormatting sqref="C24">
    <cfRule type="containsText" dxfId="8" priority="7" operator="containsText" text="Yes">
      <formula>NOT(ISERROR(SEARCH("Yes",C24)))</formula>
    </cfRule>
    <cfRule type="containsText" dxfId="7" priority="8" operator="containsText" text="No">
      <formula>NOT(ISERROR(SEARCH("No",C24)))</formula>
    </cfRule>
    <cfRule type="notContainsBlanks" dxfId="6" priority="9" stopIfTrue="1">
      <formula>LEN(TRIM(C24))&gt;0</formula>
    </cfRule>
  </conditionalFormatting>
  <conditionalFormatting sqref="C26">
    <cfRule type="containsText" dxfId="5" priority="4" operator="containsText" text="Yes">
      <formula>NOT(ISERROR(SEARCH("Yes",C26)))</formula>
    </cfRule>
    <cfRule type="containsText" dxfId="4" priority="5" operator="containsText" text="No">
      <formula>NOT(ISERROR(SEARCH("No",C26)))</formula>
    </cfRule>
    <cfRule type="notContainsBlanks" dxfId="3" priority="6" stopIfTrue="1">
      <formula>LEN(TRIM(C26))&gt;0</formula>
    </cfRule>
  </conditionalFormatting>
  <conditionalFormatting sqref="C28">
    <cfRule type="containsText" dxfId="2" priority="1" operator="containsText" text="Yes">
      <formula>NOT(ISERROR(SEARCH("Yes",C28)))</formula>
    </cfRule>
    <cfRule type="containsText" dxfId="1" priority="2" operator="containsText" text="No">
      <formula>NOT(ISERROR(SEARCH("No",C28)))</formula>
    </cfRule>
    <cfRule type="notContainsBlanks" dxfId="0" priority="3" stopIfTrue="1">
      <formula>LEN(TRIM(C28))&gt;0</formula>
    </cfRule>
  </conditionalFormatting>
  <dataValidations count="1">
    <dataValidation type="list" allowBlank="1" showInputMessage="1" showErrorMessage="1" sqref="C5 C7 C9 C11 C14 C16 C18 C20 C22 C24 C26 C28" xr:uid="{5E0D2A51-2942-1841-888F-D0D48AAF8241}">
      <formula1>"Yes, No"</formula1>
    </dataValidation>
  </dataValidations>
  <pageMargins left="0.70866141732283472" right="0.70866141732283472" top="0.74803149606299213" bottom="0.74803149606299213" header="0.31496062992125984" footer="0.31496062992125984"/>
  <pageSetup scale="27"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E6ECF-F3C0-424C-AD4C-E4E952C6C45C}">
  <dimension ref="A1:G57"/>
  <sheetViews>
    <sheetView workbookViewId="0"/>
  </sheetViews>
  <sheetFormatPr baseColWidth="10" defaultColWidth="10.875" defaultRowHeight="15"/>
  <cols>
    <col min="1" max="1" width="14.625" style="1" bestFit="1" customWidth="1"/>
    <col min="2" max="2" width="10.875" style="1"/>
    <col min="3" max="3" width="60" style="1" bestFit="1" customWidth="1"/>
    <col min="4" max="4" width="10.875" style="1"/>
    <col min="5" max="5" width="7.125" style="1" bestFit="1" customWidth="1"/>
    <col min="6" max="6" width="10.875" style="1"/>
    <col min="7" max="7" width="17" style="1" bestFit="1" customWidth="1"/>
    <col min="8" max="8" width="21" style="1" customWidth="1"/>
    <col min="9" max="10" width="10.875" style="1"/>
    <col min="11" max="11" width="12" style="1" customWidth="1"/>
    <col min="12" max="16384" width="10.875" style="1"/>
  </cols>
  <sheetData>
    <row r="1" spans="1:7" ht="15.75">
      <c r="A1" s="1" t="s">
        <v>104</v>
      </c>
      <c r="C1" s="7" t="s">
        <v>23</v>
      </c>
      <c r="E1" s="5" t="s">
        <v>35</v>
      </c>
      <c r="G1" s="5" t="s">
        <v>47</v>
      </c>
    </row>
    <row r="2" spans="1:7">
      <c r="A2" s="1" t="s">
        <v>12</v>
      </c>
      <c r="C2" s="1" t="s">
        <v>26</v>
      </c>
      <c r="E2" s="1" t="s">
        <v>36</v>
      </c>
      <c r="G2" s="1" t="s">
        <v>48</v>
      </c>
    </row>
    <row r="3" spans="1:7">
      <c r="A3" s="1" t="s">
        <v>105</v>
      </c>
      <c r="C3" s="1" t="s">
        <v>24</v>
      </c>
      <c r="E3" s="1" t="s">
        <v>37</v>
      </c>
      <c r="G3" s="1" t="s">
        <v>49</v>
      </c>
    </row>
    <row r="4" spans="1:7">
      <c r="C4" s="1" t="s">
        <v>28</v>
      </c>
      <c r="G4" s="1" t="s">
        <v>50</v>
      </c>
    </row>
    <row r="5" spans="1:7">
      <c r="C5" s="1" t="s">
        <v>44</v>
      </c>
      <c r="G5" s="1" t="s">
        <v>51</v>
      </c>
    </row>
    <row r="6" spans="1:7">
      <c r="C6" s="1" t="s">
        <v>27</v>
      </c>
      <c r="G6" s="1" t="s">
        <v>52</v>
      </c>
    </row>
    <row r="7" spans="1:7">
      <c r="C7" s="1" t="s">
        <v>38</v>
      </c>
      <c r="G7" s="1" t="s">
        <v>53</v>
      </c>
    </row>
    <row r="8" spans="1:7">
      <c r="C8" s="1" t="s">
        <v>25</v>
      </c>
      <c r="G8" s="1" t="s">
        <v>54</v>
      </c>
    </row>
    <row r="9" spans="1:7">
      <c r="C9" s="1" t="s">
        <v>29</v>
      </c>
      <c r="G9" s="1" t="s">
        <v>55</v>
      </c>
    </row>
    <row r="10" spans="1:7">
      <c r="C10" s="1" t="s">
        <v>39</v>
      </c>
      <c r="G10" s="1" t="s">
        <v>56</v>
      </c>
    </row>
    <row r="11" spans="1:7">
      <c r="C11" s="1" t="s">
        <v>40</v>
      </c>
      <c r="G11" s="1" t="s">
        <v>57</v>
      </c>
    </row>
    <row r="12" spans="1:7">
      <c r="C12" s="1" t="s">
        <v>46</v>
      </c>
      <c r="G12" s="1" t="s">
        <v>58</v>
      </c>
    </row>
    <row r="13" spans="1:7">
      <c r="C13" s="1" t="s">
        <v>41</v>
      </c>
      <c r="G13" s="1" t="s">
        <v>59</v>
      </c>
    </row>
    <row r="14" spans="1:7">
      <c r="C14" s="1" t="s">
        <v>32</v>
      </c>
      <c r="G14" s="1" t="s">
        <v>60</v>
      </c>
    </row>
    <row r="15" spans="1:7">
      <c r="C15" s="1" t="s">
        <v>33</v>
      </c>
      <c r="G15" s="1" t="s">
        <v>61</v>
      </c>
    </row>
    <row r="16" spans="1:7">
      <c r="C16" s="1" t="s">
        <v>30</v>
      </c>
      <c r="G16" s="1" t="s">
        <v>62</v>
      </c>
    </row>
    <row r="17" spans="3:7">
      <c r="C17" s="1" t="s">
        <v>45</v>
      </c>
      <c r="G17" s="1" t="s">
        <v>63</v>
      </c>
    </row>
    <row r="18" spans="3:7">
      <c r="C18" s="1" t="s">
        <v>31</v>
      </c>
      <c r="G18" s="1" t="s">
        <v>64</v>
      </c>
    </row>
    <row r="19" spans="3:7">
      <c r="C19" s="1" t="s">
        <v>42</v>
      </c>
      <c r="G19" s="1" t="s">
        <v>65</v>
      </c>
    </row>
    <row r="20" spans="3:7">
      <c r="C20" s="1" t="s">
        <v>43</v>
      </c>
      <c r="G20" s="1" t="s">
        <v>66</v>
      </c>
    </row>
    <row r="21" spans="3:7">
      <c r="C21" s="1" t="s">
        <v>34</v>
      </c>
      <c r="G21" s="1" t="s">
        <v>67</v>
      </c>
    </row>
    <row r="22" spans="3:7">
      <c r="G22" s="1" t="s">
        <v>68</v>
      </c>
    </row>
    <row r="23" spans="3:7">
      <c r="G23" s="1" t="s">
        <v>69</v>
      </c>
    </row>
    <row r="24" spans="3:7">
      <c r="G24" s="1" t="s">
        <v>70</v>
      </c>
    </row>
    <row r="25" spans="3:7">
      <c r="G25" s="1" t="s">
        <v>71</v>
      </c>
    </row>
    <row r="26" spans="3:7">
      <c r="G26" s="1" t="s">
        <v>72</v>
      </c>
    </row>
    <row r="27" spans="3:7">
      <c r="G27" s="1" t="s">
        <v>73</v>
      </c>
    </row>
    <row r="28" spans="3:7">
      <c r="G28" s="1" t="s">
        <v>74</v>
      </c>
    </row>
    <row r="29" spans="3:7">
      <c r="G29" s="1" t="s">
        <v>75</v>
      </c>
    </row>
    <row r="30" spans="3:7">
      <c r="G30" s="1" t="s">
        <v>76</v>
      </c>
    </row>
    <row r="31" spans="3:7">
      <c r="G31" s="1" t="s">
        <v>77</v>
      </c>
    </row>
    <row r="32" spans="3:7">
      <c r="G32" s="1" t="s">
        <v>78</v>
      </c>
    </row>
    <row r="33" spans="7:7">
      <c r="G33" s="1" t="s">
        <v>79</v>
      </c>
    </row>
    <row r="34" spans="7:7">
      <c r="G34" s="1" t="s">
        <v>80</v>
      </c>
    </row>
    <row r="35" spans="7:7">
      <c r="G35" s="1" t="s">
        <v>81</v>
      </c>
    </row>
    <row r="36" spans="7:7">
      <c r="G36" s="1" t="s">
        <v>82</v>
      </c>
    </row>
    <row r="37" spans="7:7">
      <c r="G37" s="1" t="s">
        <v>83</v>
      </c>
    </row>
    <row r="38" spans="7:7">
      <c r="G38" s="1" t="s">
        <v>84</v>
      </c>
    </row>
    <row r="39" spans="7:7">
      <c r="G39" s="1" t="s">
        <v>85</v>
      </c>
    </row>
    <row r="40" spans="7:7">
      <c r="G40" s="1" t="s">
        <v>86</v>
      </c>
    </row>
    <row r="41" spans="7:7">
      <c r="G41" s="1" t="s">
        <v>87</v>
      </c>
    </row>
    <row r="42" spans="7:7">
      <c r="G42" s="1" t="s">
        <v>88</v>
      </c>
    </row>
    <row r="43" spans="7:7">
      <c r="G43" s="1" t="s">
        <v>89</v>
      </c>
    </row>
    <row r="44" spans="7:7">
      <c r="G44" s="1" t="s">
        <v>90</v>
      </c>
    </row>
    <row r="45" spans="7:7">
      <c r="G45" s="1" t="s">
        <v>91</v>
      </c>
    </row>
    <row r="46" spans="7:7">
      <c r="G46" s="1" t="s">
        <v>92</v>
      </c>
    </row>
    <row r="47" spans="7:7">
      <c r="G47" s="1" t="s">
        <v>93</v>
      </c>
    </row>
    <row r="48" spans="7:7">
      <c r="G48" s="1" t="s">
        <v>94</v>
      </c>
    </row>
    <row r="49" spans="7:7">
      <c r="G49" s="1" t="s">
        <v>95</v>
      </c>
    </row>
    <row r="50" spans="7:7">
      <c r="G50" s="1" t="s">
        <v>96</v>
      </c>
    </row>
    <row r="51" spans="7:7">
      <c r="G51" s="1" t="s">
        <v>97</v>
      </c>
    </row>
    <row r="52" spans="7:7">
      <c r="G52" s="1" t="s">
        <v>98</v>
      </c>
    </row>
    <row r="53" spans="7:7">
      <c r="G53" s="1" t="s">
        <v>99</v>
      </c>
    </row>
    <row r="54" spans="7:7">
      <c r="G54" s="1" t="s">
        <v>100</v>
      </c>
    </row>
    <row r="55" spans="7:7">
      <c r="G55" s="1" t="s">
        <v>101</v>
      </c>
    </row>
    <row r="56" spans="7:7">
      <c r="G56" s="1" t="s">
        <v>102</v>
      </c>
    </row>
    <row r="57" spans="7:7">
      <c r="G57" s="1" t="s">
        <v>103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13</vt:i4>
      </vt:variant>
    </vt:vector>
  </HeadingPairs>
  <TitlesOfParts>
    <vt:vector size="13" baseType="lpstr">
      <vt:lpstr>1. Introduction</vt:lpstr>
      <vt:lpstr>2. RFI Rules of Engagement</vt:lpstr>
      <vt:lpstr>3. RFI Terms &amp; Conditions</vt:lpstr>
      <vt:lpstr>4. General Company Information</vt:lpstr>
      <vt:lpstr>5. Financial Info</vt:lpstr>
      <vt:lpstr>6. Assembly &amp; Supply Chain</vt:lpstr>
      <vt:lpstr>7. OSS-Onsite Service &amp; Support</vt:lpstr>
      <vt:lpstr>8a. Headcount Summary</vt:lpstr>
      <vt:lpstr>8b. Project Management Process</vt:lpstr>
      <vt:lpstr>9a. Technical Capabilties</vt:lpstr>
      <vt:lpstr>9b. Technical Roadmap</vt:lpstr>
      <vt:lpstr>10. Commercial Expectations</vt:lpstr>
      <vt:lpstr>Formatting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Baren, Hubert</cp:lastModifiedBy>
  <cp:lastPrinted>2025-12-15T09:19:57Z</cp:lastPrinted>
  <dcterms:created xsi:type="dcterms:W3CDTF">2018-09-10T17:18:27Z</dcterms:created>
  <dcterms:modified xsi:type="dcterms:W3CDTF">2025-12-15T18:00:42Z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8e92dd-9728-4da8-b4de-57f481a6ea98_Enabled">
    <vt:lpwstr>true</vt:lpwstr>
  </property>
  <property fmtid="{D5CDD505-2E9C-101B-9397-08002B2CF9AE}" pid="3" name="MSIP_Label_d88e92dd-9728-4da8-b4de-57f481a6ea98_SetDate">
    <vt:lpwstr>2025-12-11T18:22:14Z</vt:lpwstr>
  </property>
  <property fmtid="{D5CDD505-2E9C-101B-9397-08002B2CF9AE}" pid="4" name="MSIP_Label_d88e92dd-9728-4da8-b4de-57f481a6ea98_Method">
    <vt:lpwstr>Standard</vt:lpwstr>
  </property>
  <property fmtid="{D5CDD505-2E9C-101B-9397-08002B2CF9AE}" pid="5" name="MSIP_Label_d88e92dd-9728-4da8-b4de-57f481a6ea98_Name">
    <vt:lpwstr>General</vt:lpwstr>
  </property>
  <property fmtid="{D5CDD505-2E9C-101B-9397-08002B2CF9AE}" pid="6" name="MSIP_Label_d88e92dd-9728-4da8-b4de-57f481a6ea98_SiteId">
    <vt:lpwstr>ed6f91fc-7178-4844-aba7-cd9dc6cbe7bf</vt:lpwstr>
  </property>
  <property fmtid="{D5CDD505-2E9C-101B-9397-08002B2CF9AE}" pid="7" name="MSIP_Label_d88e92dd-9728-4da8-b4de-57f481a6ea98_ActionId">
    <vt:lpwstr>316d18c2-e76c-4ec3-b26e-0b632abd1a0e</vt:lpwstr>
  </property>
  <property fmtid="{D5CDD505-2E9C-101B-9397-08002B2CF9AE}" pid="8" name="MSIP_Label_d88e92dd-9728-4da8-b4de-57f481a6ea98_ContentBits">
    <vt:lpwstr>0</vt:lpwstr>
  </property>
</Properties>
</file>