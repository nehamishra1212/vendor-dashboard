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documenttasks/documenttask1.xml" ContentType="application/vnd.ms-excel.documenttask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28"/>
  <workbookPr defaultThemeVersion="166925"/>
  <mc:AlternateContent xmlns:mc="http://schemas.openxmlformats.org/markup-compatibility/2006">
    <mc:Choice Requires="x15">
      <x15ac:absPath xmlns:x15ac="http://schemas.microsoft.com/office/spreadsheetml/2010/11/ac" url="https://fihfoxconn.sharepoint.com/sites/FRS/Shared Documents/05_Customer/20250612_F1 GSM RFI/"/>
    </mc:Choice>
  </mc:AlternateContent>
  <xr:revisionPtr revIDLastSave="0" documentId="8_{BEDC97E6-0915-4DFD-A4D8-F84E19F94DA8}" xr6:coauthVersionLast="47" xr6:coauthVersionMax="47" xr10:uidLastSave="{00000000-0000-0000-0000-000000000000}"/>
  <workbookProtection workbookAlgorithmName="SHA-512" workbookHashValue="DZ307OSwGf3RBgln30ohjK9cXpWpHHaHtd7yDeNi+Mrqi98RPfIMLB2jlZwwG/H9xWNSm6Szu+3goAXOg6dRiA==" workbookSaltValue="o4x2JKd6JvqWvCAbp3C4+Q==" workbookSpinCount="100000" lockStructure="1"/>
  <bookViews>
    <workbookView xWindow="-38400" yWindow="1640" windowWidth="38400" windowHeight="21100" firstSheet="9" activeTab="4" xr2:uid="{1DE64824-9F2A-024B-98E0-95D9197CA600}"/>
  </bookViews>
  <sheets>
    <sheet name="1. Introduction" sheetId="18" r:id="rId1"/>
    <sheet name="2. RFI Rules of Engagement" sheetId="17" r:id="rId2"/>
    <sheet name="3. RFI Terms &amp; Conditions" sheetId="16" r:id="rId3"/>
    <sheet name="4. General Company Information" sheetId="1" r:id="rId4"/>
    <sheet name="5. Financial Info" sheetId="6" r:id="rId5"/>
    <sheet name="6. Assembly &amp; Supply Chain" sheetId="19" r:id="rId6"/>
    <sheet name="7. OSS-Onsite Service &amp; Support" sheetId="9" r:id="rId7"/>
    <sheet name="8a. Headcount Summary" sheetId="20" r:id="rId8"/>
    <sheet name="8b. Project Management Process" sheetId="23" r:id="rId9"/>
    <sheet name="9a. Technical Capabilties" sheetId="21" r:id="rId10"/>
    <sheet name="9b. Technical Roadmap" sheetId="24" r:id="rId11"/>
    <sheet name="10. Commercial Expectations" sheetId="22" r:id="rId12"/>
    <sheet name="Formatting" sheetId="15" state="hidden" r:id="rId13"/>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36" i="20" l="1"/>
  <c r="H36" i="20"/>
  <c r="G36" i="20"/>
  <c r="F36" i="20"/>
  <c r="E36" i="20"/>
  <c r="D36" i="20"/>
  <c r="C36" i="20"/>
  <c r="I32" i="20"/>
  <c r="H32" i="20"/>
  <c r="G32" i="20"/>
  <c r="F32" i="20"/>
  <c r="E32" i="20"/>
  <c r="D32" i="20"/>
  <c r="C32" i="20"/>
  <c r="I16" i="20"/>
  <c r="H16" i="20"/>
  <c r="G16" i="20"/>
  <c r="F16" i="20"/>
  <c r="E16" i="20"/>
  <c r="D16" i="20"/>
  <c r="C16" i="20"/>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tc={111CE81E-CA4D-44F6-9F96-A1946F95C3E4}</author>
  </authors>
  <commentList>
    <comment ref="V3" authorId="0" shapeId="0" xr:uid="{111CE81E-CA4D-44F6-9F96-A1946F95C3E4}">
      <text>
        <t xml:space="preserve">[Threaded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@SabcatTLShih(時定樑) </t>
      </text>
    </comment>
  </commentList>
</comments>
</file>

<file path=xl/sharedStrings.xml><?xml version="1.0" encoding="utf-8"?>
<sst xmlns="http://schemas.openxmlformats.org/spreadsheetml/2006/main" count="785" uniqueCount="504">
  <si>
    <t xml:space="preserve">1   Introduction </t>
  </si>
  <si>
    <r>
      <t xml:space="preserve">     1.1   </t>
    </r>
    <r>
      <rPr>
        <b/>
        <sz val="16"/>
        <color theme="0"/>
        <rFont val="SF Hello Regular"/>
      </rPr>
      <t xml:space="preserve">About Apple </t>
    </r>
  </si>
  <si>
    <t>Apple revolutionized personal technology with the introduction of the Macintosh in 1984. Today, Apple leads the world in innovation with iPhone, iPad, Mac, AirPods, Apple Watch, and Apple Vision Pro. Apple’s six software platforms — iOS, iPadOS, macOS, watchOS, visionOS, and tvOS — provide seamless experiences across all Apple devices and empower people with breakthrough services including the App Store, Apple Music, Apple Pay, iCloud, and Apple TV+. Apple’s more than 150,000 employees are dedicated to making the best products on earth and to leaving the world better than we found it.</t>
  </si>
  <si>
    <r>
      <t xml:space="preserve">     1.2  </t>
    </r>
    <r>
      <rPr>
        <b/>
        <sz val="16"/>
        <color theme="0"/>
        <rFont val="SF Hello Regular"/>
      </rPr>
      <t xml:space="preserve">Project Overview and Purpose </t>
    </r>
  </si>
  <si>
    <t>This Request for Information (“RFI”) is to obtain information regarding certain products and/or services (collectively, the “Goods and/or Services”) specified in this RFI. Apple Inc. (“Apple”) requests that the responding company (“Participant”) submit a response (“Proposal”) in compliance with this RFI.</t>
  </si>
  <si>
    <r>
      <t xml:space="preserve">     1.3  </t>
    </r>
    <r>
      <rPr>
        <b/>
        <sz val="16"/>
        <color theme="0"/>
        <rFont val="SF Hello Regular"/>
      </rPr>
      <t>RFI Content &amp; Sections</t>
    </r>
  </si>
  <si>
    <t>This RFI consists of the following sections. Please review all sections in their entirety.
Section 1: Introduction
Section 2: RFI Rules of Engagement
Section 3: RFI Terms &amp; Conditions
Section 4: General Company Information
Section 5: Financial Info
Section 6: Assembly &amp; Supply Chain
Section 7: OSS - Onsite Service &amp; Support
Section 8a: Headcount Summary
Section 8b: Project Managment Process
Section 9a: Technical Capabilities
Section 9b: Technical Roadmap
Section 10: Commercial Expectations</t>
  </si>
  <si>
    <r>
      <t xml:space="preserve">     1.4  </t>
    </r>
    <r>
      <rPr>
        <b/>
        <sz val="16"/>
        <color theme="0"/>
        <rFont val="SF Hello Regular"/>
      </rPr>
      <t>RFI Due Date</t>
    </r>
  </si>
  <si>
    <r>
      <t xml:space="preserve">Participant's Proposal to this Request for Information (“RFI”) shall be sent via email by no later than </t>
    </r>
    <r>
      <rPr>
        <b/>
        <sz val="16"/>
        <color rgb="FFFF0000"/>
        <rFont val="SF Hello Regular"/>
      </rPr>
      <t>Monday, April 28, 2025 by 23:00 Asia time.</t>
    </r>
    <r>
      <rPr>
        <b/>
        <sz val="16"/>
        <color theme="1"/>
        <rFont val="SF Hello Regular"/>
      </rPr>
      <t xml:space="preserve"> </t>
    </r>
  </si>
  <si>
    <r>
      <t xml:space="preserve">     1.5  </t>
    </r>
    <r>
      <rPr>
        <b/>
        <sz val="16"/>
        <color theme="0"/>
        <rFont val="SF Hello Regular"/>
      </rPr>
      <t>RFI Response Requested</t>
    </r>
  </si>
  <si>
    <t xml:space="preserve">All sections requiring Participant's response are denoted by a highlighted cell. All responses shall be submitted, in writing, in the associated cell or attached via email response, where requested. </t>
  </si>
  <si>
    <r>
      <t>     1.6  </t>
    </r>
    <r>
      <rPr>
        <b/>
        <sz val="16"/>
        <color theme="0"/>
        <rFont val="SF Hello Regular"/>
      </rPr>
      <t xml:space="preserve">Procurement Contact </t>
    </r>
  </si>
  <si>
    <t xml:space="preserve">Kyle Boutin
Global Sourcing &amp; Supply Management
+1-415-352-9000
kboutin@apple.com   </t>
  </si>
  <si>
    <t xml:space="preserve">2   RFI Rules of Engagement </t>
  </si>
  <si>
    <r>
      <t xml:space="preserve">     2.1   </t>
    </r>
    <r>
      <rPr>
        <b/>
        <sz val="16"/>
        <color theme="0"/>
        <rFont val="SF Hello Regular"/>
      </rPr>
      <t xml:space="preserve">Communications </t>
    </r>
  </si>
  <si>
    <t xml:space="preserve">Participant shall direct any questions regarding this RFI to the Apple Procurement Contact. Participant shall not communicate with any other person at Apple regarding this RFI or the Proposal, unless otherwise expressly required in this RFI. Failure to comply with this requirement will result in elimination from the RFI process. </t>
  </si>
  <si>
    <r>
      <t xml:space="preserve">     2.2   </t>
    </r>
    <r>
      <rPr>
        <b/>
        <sz val="16"/>
        <color theme="0"/>
        <rFont val="SF Hello Regular"/>
      </rPr>
      <t xml:space="preserve">Proposal </t>
    </r>
  </si>
  <si>
    <t>Participant’s Proposal must be best and final and effective for at least one hundred eighty (180) days from the date of the RFI. Participant shall bear all costs associated with preparing and submitting the Proposal. All Proposals must be based on areas of Participant’s expertise and current methods of operation.</t>
  </si>
  <si>
    <r>
      <t xml:space="preserve">     2.3   </t>
    </r>
    <r>
      <rPr>
        <b/>
        <sz val="16"/>
        <color theme="0"/>
        <rFont val="SF Hello Regular"/>
      </rPr>
      <t xml:space="preserve">RFI Submission </t>
    </r>
  </si>
  <si>
    <r>
      <t xml:space="preserve">All Proposals shall be submitted via email to Procurement Contact no later than </t>
    </r>
    <r>
      <rPr>
        <b/>
        <sz val="16"/>
        <color rgb="FFFF0000"/>
        <rFont val="SF Hello Regular"/>
      </rPr>
      <t>Monday, April 28, 2025 by 23:00 Asia time.</t>
    </r>
    <r>
      <rPr>
        <b/>
        <sz val="16"/>
        <color theme="1"/>
        <rFont val="SF Hello Regular"/>
      </rPr>
      <t xml:space="preserve"> </t>
    </r>
    <r>
      <rPr>
        <sz val="16"/>
        <color theme="1"/>
        <rFont val="SF Hello Regular"/>
      </rPr>
      <t xml:space="preserve">Apple reserves the right to reject any Proposal submitted after the deadline or in the incorrect format. If Participant does not intend to respond to this RFI, please decline and advise the Apple Procurement Contact within seventy-two (72) hours of receipt of this RFI. </t>
    </r>
  </si>
  <si>
    <r>
      <t xml:space="preserve">     2.4   </t>
    </r>
    <r>
      <rPr>
        <b/>
        <sz val="16"/>
        <color theme="0"/>
        <rFont val="SF Hello Regular"/>
      </rPr>
      <t xml:space="preserve">Proposal Decision </t>
    </r>
  </si>
  <si>
    <t>Apple’s business decision will be based on price, performance, quality, and other requirements specified in the RFI. Apple reserves the right to accept or reject any and all Proposals, to award all or part of its requirements to a single Participant, or to award requirements to multiple Participants.</t>
  </si>
  <si>
    <r>
      <t xml:space="preserve">     2.5   </t>
    </r>
    <r>
      <rPr>
        <b/>
        <sz val="16"/>
        <color theme="0"/>
        <rFont val="SF Hello Regular"/>
      </rPr>
      <t xml:space="preserve">No Obligation </t>
    </r>
  </si>
  <si>
    <t>Apple reserves the right to negotiate any aspect of this RFI and any and all submitted Proposal(s), or to negotiate separately with any source whatsoever and in any manner necessary to serve the best interests of Apple. Any agreement that may be executed as a result from this RFI (“Definitive Agreement”) will be entered into on the condition that the Participant represent and guarantee that it possesses the necessary skill, means of performance and financial resources to provide the Goods and/or Services. THIS RFI IS NOT A PURCHASE ORDER OR AN OFFER OF ANY KIND, AND APPLE DOES NOT PROMISE THAT ANY CONTRACT OR AGREEMENT WILL BE AWARDED AS A RESULT OF THIS RFI. AWARD OF ANY AGREEMENT WILL BE SOLELY AT THE DISCRETION OF APPLE. NO COMMITMENT IS HEREBY EXPRESSED OR IMPLIED.</t>
  </si>
  <si>
    <r>
      <t xml:space="preserve">     2.6   </t>
    </r>
    <r>
      <rPr>
        <b/>
        <sz val="16"/>
        <color theme="0"/>
        <rFont val="SF Hello Regular"/>
      </rPr>
      <t xml:space="preserve">Purchase Orders </t>
    </r>
  </si>
  <si>
    <t>PARTICIPANT SHALL NOT BEGIN ANY WORK OR PROVIDE ANY GOODS AND/OR SERVICES UNDER ANY DEFINITIVE AGREEMENT OR THIS RFI UNLESS AND UNTIL IT HAS BEEN ISSUED A PURCHASE ORDER FOR THE GOODS AND/OR SERVICES BY APPLE’S GLOBAL SOUCING &amp; SUPPLY MANAGEMENT DEPARTMENT. APPLE SHALL HAVE THE RIGHT, IN ITS SOLE DISCRETION, TO REFUSE PAYMENT FOR ANY GOODS AND/OR SERVICES PROVIDED PRIOR TO OR WITHOUT A PURCHASE ORDER.</t>
  </si>
  <si>
    <r>
      <t xml:space="preserve">     2.7   </t>
    </r>
    <r>
      <rPr>
        <b/>
        <sz val="16"/>
        <color theme="0"/>
        <rFont val="SF Hello Regular"/>
      </rPr>
      <t xml:space="preserve">Confidentiality; Publicity; Marks </t>
    </r>
  </si>
  <si>
    <t>This RFI, including any addenda, corrections, or oral information related hereto, is Apple’s proprietary and confidential information (herein “Proprietary and Confidential Information”). Participant shall make no public statement (including without limitation, any press release, press statement, trade journal article, case study or the like) at any time regarding this RFI, the Proposal, the Goods and/or Services or the existence or nature of the relationship between Participant and Apple. IN NO EVENT MAY APPLE PROPRIETARY AND CONFIDENTIAL INFORMATION BE USED, DISSEMINATED, COPIED OR MADE AVAILABLE, WITHOUT THE EXPRESS PRIOR WRITTEN PERMISSION OF AN AUTHORIZED APPLE REPRESENTATIVE, IN ANY FORM WHATSOEVER TO ANYONE OTHER THAN THE AUTHORIZED EMPLOYEES OF PARTICIPANT, ON A “NEED TO KNOW” BASIS, FOR THE SOLE PURPOSE OF RESPONDING TO THIS RFI, WHICH EMPLOYEES HAVE BEEN ADVISED BY PARTICIPANT OF THEIR CONFIDENTIALITY OBLIGATIONS AS RELATED TO THIS RFI. Participant may not use any trade name, trademark, service mark, logo or other designation of Apple in its promotional or marketing activities or for any other purpose.</t>
  </si>
  <si>
    <r>
      <t xml:space="preserve">     2.8   </t>
    </r>
    <r>
      <rPr>
        <b/>
        <sz val="16"/>
        <color theme="0"/>
        <rFont val="SF Hello Regular"/>
      </rPr>
      <t xml:space="preserve">Risk of Loss, Damage or Delay </t>
    </r>
  </si>
  <si>
    <t>Participant acknowledges and agrees to release and hold harmless Apple, its employees, agents, officers, and contractors from and against any and all claims, liability, damages, costs, including court costs and attorneys’ fees, arising out of or pursuant to submission of the Proposal or failure to submit the Proposal to Apple, as specified in this RFI.</t>
  </si>
  <si>
    <r>
      <t xml:space="preserve">     2.9   </t>
    </r>
    <r>
      <rPr>
        <b/>
        <sz val="16"/>
        <color theme="0"/>
        <rFont val="SF Hello Regular"/>
      </rPr>
      <t xml:space="preserve">No Gift Policy </t>
    </r>
  </si>
  <si>
    <t>Apple's policy governing its procurement relationships provides that no Apple employee may receive a gift from a current or prospective supplier, or anyone associated with that current or prospective supplier. This rule applies regardless of the value of the gift, and there are no exceptions. Participant must therefore ensure that throughout this RFI process and thereafter (whether Participant becomes a supplier for Apple or not), Participant will not under any circumstances provide any gift(s) to any Apple employee or contractor. A violation of this policy will result in the immediate disqualification of Participant from continuing with the RFI process or any future RFIs. Termination of Participant’s relationship with Apple will result if a Participant becomes a supplier, and Apple later discovers a violation of this policy by such supplier.</t>
  </si>
  <si>
    <r>
      <t xml:space="preserve">     2.10   </t>
    </r>
    <r>
      <rPr>
        <b/>
        <sz val="16"/>
        <color theme="0"/>
        <rFont val="SF Hello Regular"/>
      </rPr>
      <t xml:space="preserve">Participant Information </t>
    </r>
  </si>
  <si>
    <t xml:space="preserve">All materials submitted by Participant in connection with this RFI shall be considered as part of this RFI, and will become the property of Apple to be used as Apple deems appropriate, subject to any obligation to maintain the confidentiality of all materials designated by the Participant as confidential or proprietary. Apple shall own all products delivered or developed by Participant for Apple. </t>
  </si>
  <si>
    <r>
      <t xml:space="preserve">     2.11   </t>
    </r>
    <r>
      <rPr>
        <b/>
        <sz val="16"/>
        <color theme="0"/>
        <rFont val="SF Hello Regular"/>
      </rPr>
      <t xml:space="preserve">Collusive Bidding </t>
    </r>
  </si>
  <si>
    <t>Apple does not tolerate collusive bidding, and shall eliminate from the RFI process any Participants who engage in such bidding. Collusive bidding is considered to have taken place if any Participant:
(a) Fixes or adjusts the amount of its bid by or in accordance with any agreement or arrangement with any other person or entity;
(b) Communicates to any person or entity other than Apple the amount or approximate amount of proposed bid(s), except where such disclosure is made in confidence in order to obtain quotations necessary for the preparation of the bid or for insurance;
(c) Enters into any agreement or arrangement with any other person or entity that it shall refrain from bidding, or collaborate on the amount of any bid to be submitted;
(d) Offers or agrees to pay or give, or does pay or give any sum of money, inducement or valuable consideration directly or indirectly to any person or entity for doing or having done or causing or having caused to be done any act or omission in relation to any other bid or proposed bid for the works under the RFI; or 
(e) Otherwise engages in collusive behavior prohibited by law.</t>
  </si>
  <si>
    <r>
      <t xml:space="preserve">     2.12   </t>
    </r>
    <r>
      <rPr>
        <b/>
        <sz val="16"/>
        <color theme="0"/>
        <rFont val="SF Hello Regular"/>
      </rPr>
      <t xml:space="preserve">Personnel </t>
    </r>
  </si>
  <si>
    <t>As part of the evaluation process, Apple requires that the successful bid employ staff of appropriate caliber, including but not limited to, appropriate Apple certifications, to meet the requirements of any relevant Definitive Agreement, and may request additional information regarding all key personnel relevant to any such Definitive Agreement.
Participant’s Personnel must comply with Apple’s safety and security requirements. Apple reserves the right to conduct or require Participant to conduct background checks on such Participant Personnel. Apple may require that Apple personnel escort Participant’s Personnel at all times while on Apple’s premises. Apple may immediately remove, or require that, upon Apple’s request, Participant immediately remove any Participant Personnel from Apple’s premises or the Apple account. The term “Personnel” shall mean any employee, officer, independent contractor, subcontractor, or agent of Participant.</t>
  </si>
  <si>
    <r>
      <t xml:space="preserve">     2.13   </t>
    </r>
    <r>
      <rPr>
        <b/>
        <sz val="16"/>
        <color theme="0"/>
        <rFont val="SF Hello Regular"/>
      </rPr>
      <t xml:space="preserve">Subcontractors </t>
    </r>
  </si>
  <si>
    <t xml:space="preserve">Participant’s Proposal must identify and describe the Goods and/or Services to be provided by each subcontractor, if any, which Participant intends to use in providing any Goods and/or Services to Apple. </t>
  </si>
  <si>
    <r>
      <t xml:space="preserve">     2.14   </t>
    </r>
    <r>
      <rPr>
        <b/>
        <sz val="16"/>
        <color theme="0"/>
        <rFont val="SF Hello Regular"/>
      </rPr>
      <t xml:space="preserve">Errors and Omissions </t>
    </r>
  </si>
  <si>
    <t xml:space="preserve">Should this RFI include any apparent errors or omissions, Participant shall immediately notify Apple of such discovered errors and omissions, and shall not take advantage of such errors and omissions. </t>
  </si>
  <si>
    <t xml:space="preserve">3   RFI Terms and Conditions </t>
  </si>
  <si>
    <r>
      <t>     3.1  </t>
    </r>
    <r>
      <rPr>
        <b/>
        <sz val="16"/>
        <color theme="0"/>
        <rFont val="SF Hello Regular"/>
      </rPr>
      <t xml:space="preserve"> Participant Acknowledgment</t>
    </r>
  </si>
  <si>
    <t>By submitting a Proposal to Apple, the Participant:
(a) agrees to and shall comply with all requirements set forth in this RFI;
(b) represents and warrants that the individual accepting the requirements set forth in this RFI has the authority to accept such requirements on behalf of Participant entity’s behalf; and
(c) acknowledges and agrees that, if selected by Apple to provide the Goods and/or Services described in this RFI, any Definitive Agreement for the provision of such Goods and/or Services shall follow Apple's terms and conditions, whose mention does not constitute an offer by Apple to Participant.
Do you, the Participant, accept these terms and conditions? Please select from dropdown list.</t>
  </si>
  <si>
    <t>Yes</t>
  </si>
  <si>
    <t>Please fill in all fields to complete this section. If there are supplemental compnay overview slides, please attach to RFI response.</t>
  </si>
  <si>
    <t xml:space="preserve">RFI Submission Date </t>
  </si>
  <si>
    <t>6/13/2025</t>
    <phoneticPr fontId="30" type="noConversion"/>
  </si>
  <si>
    <t>Official Legal Name</t>
  </si>
  <si>
    <t>FIH Mobile Limited</t>
  </si>
  <si>
    <t>Parent Company Official Name</t>
  </si>
  <si>
    <t>HON HAI
PRECISION INDUSTRY CO., LTD.</t>
  </si>
  <si>
    <t>HQ Location</t>
  </si>
  <si>
    <t>Taipei, Taiwan</t>
  </si>
  <si>
    <t>Website</t>
  </si>
  <si>
    <t>https://www.fihmobile.com/en/index.php</t>
  </si>
  <si>
    <t>Public/Private</t>
  </si>
  <si>
    <t>Public</t>
  </si>
  <si>
    <t>Ticker Symbol (if Public)</t>
  </si>
  <si>
    <t>2038.HK</t>
  </si>
  <si>
    <t>Type</t>
  </si>
  <si>
    <t>ODM / EMS / ECM</t>
  </si>
  <si>
    <t>Total # of Employees</t>
  </si>
  <si>
    <t>Year Founded</t>
  </si>
  <si>
    <t>First Year of Engagement with Apple</t>
  </si>
  <si>
    <t>Key Area Leaders (Example : CEO, COO, CFO etc)</t>
  </si>
  <si>
    <t>Name (First, Last)</t>
  </si>
  <si>
    <t>Title</t>
  </si>
  <si>
    <t>Country of Residence</t>
  </si>
  <si>
    <t>Email</t>
  </si>
  <si>
    <t xml:space="preserve">Contact Number (include country code - e.g. USA +1) </t>
  </si>
  <si>
    <t>CEO or President</t>
  </si>
  <si>
    <t>Charles Lin</t>
  </si>
  <si>
    <t>CEO</t>
  </si>
  <si>
    <t>Taiwan</t>
    <phoneticPr fontId="30" type="noConversion"/>
  </si>
  <si>
    <t>CharleLin@fih-foxconn.com</t>
  </si>
  <si>
    <t>Commercial DRI / Apple Executive Contact</t>
  </si>
  <si>
    <t>Jerry Tsan</t>
  </si>
  <si>
    <t>Senior Director</t>
    <phoneticPr fontId="30" type="noConversion"/>
  </si>
  <si>
    <t>JerryTsan@fih-foxconn.com</t>
    <phoneticPr fontId="30" type="noConversion"/>
  </si>
  <si>
    <t>Operations Leader</t>
  </si>
  <si>
    <t>Esther Hu</t>
  </si>
  <si>
    <t>Senior Manager</t>
    <phoneticPr fontId="30" type="noConversion"/>
  </si>
  <si>
    <t>India</t>
  </si>
  <si>
    <t>EstherLYHu@fih-foxconn.com</t>
  </si>
  <si>
    <t xml:space="preserve">Finance </t>
  </si>
  <si>
    <t>Jason Chao</t>
    <phoneticPr fontId="30" type="noConversion"/>
  </si>
  <si>
    <t>Director</t>
    <phoneticPr fontId="30" type="noConversion"/>
  </si>
  <si>
    <t>JasonhpChao@fih-foxconn.com</t>
    <phoneticPr fontId="30" type="noConversion"/>
  </si>
  <si>
    <t>Engineering</t>
  </si>
  <si>
    <t>CJ Lin</t>
    <phoneticPr fontId="30" type="noConversion"/>
  </si>
  <si>
    <t>CJLin@fih-foxconn.com</t>
    <phoneticPr fontId="30" type="noConversion"/>
  </si>
  <si>
    <t>Supply chain</t>
  </si>
  <si>
    <t>Nicole Tu</t>
    <phoneticPr fontId="30" type="noConversion"/>
  </si>
  <si>
    <t>NicoleTLTu@fih-foxconn.com</t>
    <phoneticPr fontId="30" type="noConversion"/>
  </si>
  <si>
    <t>Project Management</t>
  </si>
  <si>
    <t>Vincent Lin</t>
    <phoneticPr fontId="30" type="noConversion"/>
  </si>
  <si>
    <t>Assistant Manager</t>
    <phoneticPr fontId="30" type="noConversion"/>
  </si>
  <si>
    <t>VincentCHLin@fih-foxconn.com</t>
    <phoneticPr fontId="30" type="noConversion"/>
  </si>
  <si>
    <t>Production</t>
  </si>
  <si>
    <t>Basher Chen</t>
    <phoneticPr fontId="30" type="noConversion"/>
  </si>
  <si>
    <t>India</t>
    <phoneticPr fontId="30" type="noConversion"/>
  </si>
  <si>
    <t>basher.jy.chen@fih-foxconn.com</t>
    <phoneticPr fontId="30" type="noConversion"/>
  </si>
  <si>
    <t>If any other, please add …</t>
  </si>
  <si>
    <t>Jack Hsu (Commercial contact)</t>
  </si>
  <si>
    <t>Director</t>
  </si>
  <si>
    <t>Jackhsu@fih-foxonn.com</t>
  </si>
  <si>
    <t>Please fill in all fields with year end numbers to complete this section. Only numbers are allowed to be input.</t>
  </si>
  <si>
    <t>*Enter Data in USD in millions</t>
  </si>
  <si>
    <t>2025 (expected)</t>
  </si>
  <si>
    <t>2026 (expected)</t>
  </si>
  <si>
    <t>2027 (expected)</t>
  </si>
  <si>
    <t>Market Cap (USD)</t>
  </si>
  <si>
    <t>Company Total Revenue (USD)</t>
  </si>
  <si>
    <t>Apple Direct Generated Revenue (USD)</t>
  </si>
  <si>
    <t>*Apple issued a PO to you for this spend</t>
  </si>
  <si>
    <t>Apple Indirect Generated Revenue (USD)</t>
  </si>
  <si>
    <t>*CMs and Module Integrators issued a PO to you for this spend</t>
  </si>
  <si>
    <t>Gross Profit</t>
  </si>
  <si>
    <t>Operating Profit</t>
  </si>
  <si>
    <r>
      <t xml:space="preserve">Please fill in all fields for Company HQ and all Manufacturing Locations to complete this section. </t>
    </r>
    <r>
      <rPr>
        <b/>
        <u/>
        <sz val="14"/>
        <color theme="1"/>
        <rFont val="Helvetica Neue"/>
        <family val="2"/>
      </rPr>
      <t>ALL</t>
    </r>
    <r>
      <rPr>
        <b/>
        <sz val="14"/>
        <color theme="1"/>
        <rFont val="Helvetica Neue"/>
        <family val="2"/>
      </rPr>
      <t xml:space="preserve"> potential manufacturing locations and local labs must be included, </t>
    </r>
    <r>
      <rPr>
        <b/>
        <u/>
        <sz val="14"/>
        <color rgb="FFFF0000"/>
        <rFont val="Helvetica Neue"/>
        <family val="2"/>
      </rPr>
      <t>especially locations covering China, India, Vietnam, Thailand, and Brazil.</t>
    </r>
  </si>
  <si>
    <t>Company HQ</t>
  </si>
  <si>
    <t>Manufacturing Location 1</t>
  </si>
  <si>
    <t>Manufacturing Location 2</t>
  </si>
  <si>
    <t>Manufacturing Location 3</t>
  </si>
  <si>
    <t>Manufacturing Location 4</t>
  </si>
  <si>
    <t>Manufacturing Location 5</t>
  </si>
  <si>
    <t>Facility Name (if any)</t>
  </si>
  <si>
    <t>FIH Precision Electronics Langfang (Co., Ltd.)</t>
    <phoneticPr fontId="0" type="noConversion"/>
  </si>
  <si>
    <t>Bharat FIH Limited</t>
  </si>
  <si>
    <t xml:space="preserve">City and Country </t>
  </si>
  <si>
    <t>China, Langfang</t>
  </si>
  <si>
    <t>India Chennai</t>
  </si>
  <si>
    <t>Full Address</t>
  </si>
  <si>
    <t>No.4, Minsheng St, Tucheng Dist., New Taipei City 23679, Taiwan</t>
  </si>
  <si>
    <t>No. 18, Furao Road, Longhe High-tech Industrial Development Zone, Anci District, Langfang City, Hebei Province</t>
    <phoneticPr fontId="0" type="noConversion"/>
  </si>
  <si>
    <t>Survey No 288,289/2,297,531,532,533/1,534, Nokia Telecom SEZ,Phase III,SIPCOT Industrial Estate,
Sriperumbudur, Kanchipuram, Tamil Nadu, 602105</t>
  </si>
  <si>
    <t>Current Apple Programs Supported
 (List Program Name or N/A)</t>
  </si>
  <si>
    <t>Roma/Hyperion/Jesko</t>
  </si>
  <si>
    <t>Roma/Hyperion/Jesko</t>
    <phoneticPr fontId="0" type="noConversion"/>
  </si>
  <si>
    <t>EQ Type manufactured in above location for Apple
(Dispense, Pick and place, Assembly, Die Attach, Wire Bond, Test, etc)</t>
  </si>
  <si>
    <t>R&amp;D Center</t>
  </si>
  <si>
    <t>Functional fixture: pressing/assembly/locking screws/pre-bending/maintenance</t>
  </si>
  <si>
    <t>EQ Type manufactured in above location for other customers
(Dispense, Pick and place, Assembly, Die Attach, Wire Bond, Test, etc)</t>
  </si>
  <si>
    <t>Mobile phone process equipment: stamping, molding, welding, assembling, testing, etc. Electronic tag automation line 
Vehicle-mounted automation line 
E-book screen Assembly and Gap test</t>
    <phoneticPr fontId="0" type="noConversion"/>
  </si>
  <si>
    <t>NA</t>
  </si>
  <si>
    <t>Facility Floor Space (Square Meters)</t>
    <phoneticPr fontId="0" type="noConversion"/>
  </si>
  <si>
    <t>Facility Headcount (HC)
(PM, Engineering, Production, OSS, Supply Chain, Quality, Shipping &amp; Logistics, R&amp;D, Sales &amp; Marketing, Executive)</t>
  </si>
  <si>
    <t>Average Weekly Manufacturing Capacity
(by volume of units shipped)</t>
  </si>
  <si>
    <t>Max Weekly Manufacturing Capacity
(by volume of units shipped)</t>
  </si>
  <si>
    <t xml:space="preserve">Average Total Annual Revenue from Units Produced </t>
  </si>
  <si>
    <t>Facility New Product Security (NPS) Approved?</t>
  </si>
  <si>
    <t>No</t>
  </si>
  <si>
    <t>Enviroment &amp; Supply Supply Chain Innovation (ESCI) Facility Readiness Assessment (FRA) Approved?</t>
  </si>
  <si>
    <t>Customer Base served from this location
(City and Country of the customer)</t>
  </si>
  <si>
    <t>China, Vietnam, India, America</t>
  </si>
  <si>
    <t>China, Vietnam, Mexico, India</t>
  </si>
  <si>
    <t>Are there any Global expansion plans in the future for Manufacturing? Please desrcibe in detail.</t>
  </si>
  <si>
    <t>The first stage is to establish an Intelligent Equipment Manufacturing Center with a team of 30 people in VN Guiwu Factory , which is planned to setup new factories, organizations, and various functional processes. The second phase will expand to a 1200 square meter assembly and manufacturing site to meet the requirements of Apple Customer fixtures to increase production capacity by 100 sets per month.The third phase will expand to a 2300 square meter assembly and manufacturing site, which can meet the needs of Apple Production plan for 1000 sets of customer fixtures per month and 100 sets of automation equipment per month.</t>
  </si>
  <si>
    <t>What are all the key subcomponent vendors used and where are they located (city, country)? Please provide rough volume &amp; spend with key subcomponent vendors as well.</t>
  </si>
  <si>
    <t>Shenzhen/China; Taiwan; Chennai/Bangalore,India
Customerized/Standard parts can be fulfilled the India demand</t>
  </si>
  <si>
    <t>Any previous issues faced in shipping to certain countries?</t>
  </si>
  <si>
    <t>Experianced the exported issues on finished fixtures from China custom; we speed up the India and Vietnam localization right now</t>
  </si>
  <si>
    <t>What are the key supply chain tactics being followed?</t>
  </si>
  <si>
    <t>1. Material standarization to simply inventory and lead time
2. Maintain safety stocks or strategic reserves for key materials sourced under high-risk concern.
3. Building up JIT supply model
4. Building up and strengthen India local resources.</t>
  </si>
  <si>
    <t>Are there any inhouse machining / job shop capabilities? If so, please explain in detail in terms of machine qty available (CNC, Mill, Lathe, EDM Weld, etc.), volume produced, &amp; available capacity.</t>
  </si>
  <si>
    <t>Langfang: 6 domestic wire cutting machines, 3 domestic discharge machines, 20 domestic CNC milling, 5 domestic CNC high-speed milling, 3 domestic hand grinding machines, 2 domestic traditional milling machines, 2 domestic laser welding machines
Chennai: 78 CNC milling /1 CNC lathe/1 EDM/1 EDM Drilling/1 wire cut/2 Grinding/1 laser welding/1 laser engraving</t>
  </si>
  <si>
    <t>What are the incoming (IQC), in process (IPQC), and outgoing (OQC) quality control systems and/or processes? Please desrcibe in detail.</t>
  </si>
  <si>
    <t xml:space="preserve">IQC:
1. Supplier Test Report verification
2. BOM Verification
3. Dimension Measurement as per customer Requirement
4. Aesthetic Inspection as per customer Requirement
5. Testing verification as per customer Requirement
6. Sampling Inspection as per AQL 105E                                                                                                                               </t>
  </si>
  <si>
    <t>IPQC:                                                                                                                              1. First Article Inspection 
2. BOM Verification
3. Dimension Measurement as per customer Requirement
4. Aesthetic Inspection as per customer Requirement
5. Testing verification as per customer Requirement
6. Sampling Inspection as per AQL 105E
7. In process Inspection as per the 4M &amp; 1E Condition</t>
  </si>
  <si>
    <t>OQC:                                                                                                                              1. Fixture Function Verification
2. Drawing Comparison
3. Assembly and Debugging Requirements verification
4. FAI Dimension Measurement as per customer requirement
5. Packaging Verification
6. Part Number verification as per the Delivery Note</t>
  </si>
  <si>
    <t>Are there ERP system and processes, including any automation or integration functionality across EQ manufacturing supply chain? Please desrcibe in detail.</t>
  </si>
  <si>
    <t>The automated ERP system integrates the entire process of equipment manufacturing to realize automatic management of the supply chain, achieving efficient cross-functional collaboration between demand and delivery: 
1. Customized adaptation supports flexible production, dynamically adjusts BOM and process routes, and adapts to customer personalized needs;
2. Supply chain collaboration: Automatically link the design data to generate procurement plans, monitor supplier delivery and inventory status in real time, and reduces the risk of shutdown; 
3. Production integration: The project management module connects the R&amp;D, procurement and production links to ensure transparent order progress and improve accurate delivery rates.</t>
  </si>
  <si>
    <t>What are the supply chain resiliency plans to ensure no distruption in supply?</t>
  </si>
  <si>
    <t>1. Compliance and risk management 
2. Strengthen the local supply for multiple sources; to be ready for Sourthern East Asia and Taiwan resources for backup solution.
3. Build up the long term partnership with suppliers
4. Collaborate with logistics partners who have contingency capabilities</t>
  </si>
  <si>
    <r>
      <t xml:space="preserve">Please fill in all fields for </t>
    </r>
    <r>
      <rPr>
        <b/>
        <u/>
        <sz val="14"/>
        <color theme="1"/>
        <rFont val="Helvetica Neue"/>
        <family val="2"/>
      </rPr>
      <t>ALL</t>
    </r>
    <r>
      <rPr>
        <b/>
        <sz val="14"/>
        <color theme="1"/>
        <rFont val="Helvetica Neue"/>
        <family val="2"/>
      </rPr>
      <t xml:space="preserve"> regions currently serviced to complete this section. Only numbers are allowed to be input. </t>
    </r>
    <r>
      <rPr>
        <b/>
        <u/>
        <sz val="14"/>
        <color rgb="FFFF0000"/>
        <rFont val="Helvetica Neue"/>
        <family val="2"/>
      </rPr>
      <t>Please make sure to include how you would plan to cover China, India, Vietnam, Thailand, and Brazil.</t>
    </r>
  </si>
  <si>
    <t>Region 1</t>
  </si>
  <si>
    <t>Region 2</t>
  </si>
  <si>
    <t>Region 3</t>
  </si>
  <si>
    <t>Region 4</t>
  </si>
  <si>
    <t>Region 5</t>
  </si>
  <si>
    <t>Region 6</t>
  </si>
  <si>
    <t>Region 7</t>
  </si>
  <si>
    <t>Region 8</t>
  </si>
  <si>
    <t>Region Country</t>
  </si>
  <si>
    <t>Chennai/India</t>
  </si>
  <si>
    <t>Bangalore/India</t>
  </si>
  <si>
    <t>Total Field Service Engineers - L1 (HC)</t>
  </si>
  <si>
    <t>Total Field Service Engineers - L2 (HC)</t>
  </si>
  <si>
    <t>Total Field Service Engineers - L3 (HC)</t>
  </si>
  <si>
    <t>Support Capabilities in Region - Total # of Units (QTY)</t>
  </si>
  <si>
    <t>Hiring Difficulty in Region (High/Medium/Low)</t>
  </si>
  <si>
    <t>High</t>
  </si>
  <si>
    <t>Dispatch Difficulty from Region (High/Medium/Low)</t>
  </si>
  <si>
    <t>Medium</t>
  </si>
  <si>
    <t>Regions Served (Countries &amp; QTY)</t>
  </si>
  <si>
    <t>India/500</t>
  </si>
  <si>
    <t>India/400</t>
  </si>
  <si>
    <t>Training Time (wks)</t>
  </si>
  <si>
    <t>Attrition Rate (%)</t>
  </si>
  <si>
    <t>Glossary</t>
  </si>
  <si>
    <t>Term</t>
  </si>
  <si>
    <t>Definition</t>
  </si>
  <si>
    <t>Level</t>
  </si>
  <si>
    <t>After passing exam, must fulfill the folllowing requirements below:</t>
  </si>
  <si>
    <t>L3</t>
  </si>
  <si>
    <t>1. Familiar electrical and mechanical related specialty</t>
  </si>
  <si>
    <t>2. Familiar SW edit, and parameter SW modification</t>
  </si>
  <si>
    <t>3. Can analyze the data independently, find the root cause, to improve downtime by top issue</t>
  </si>
  <si>
    <t>4. Also can be independently training for all people</t>
  </si>
  <si>
    <t>L2</t>
  </si>
  <si>
    <t>1. At least six months equipment maintenance expereince, familiar with principles of equipment operation</t>
  </si>
  <si>
    <t>2. Be able to indepedently deal with machine abnormality, and maitenance related issues</t>
  </si>
  <si>
    <t>3. Adjust some parameters inside of SW or machine</t>
  </si>
  <si>
    <t>L1</t>
  </si>
  <si>
    <t>1. Understand the structure of the equipment &amp; operation progress, to confirm equipment parts &amp; checklist</t>
  </si>
  <si>
    <t xml:space="preserve">2. can operate the SW simply, and judge abnormal condition, to do troubleshooting simply </t>
  </si>
  <si>
    <t>Please fill in Headcount (HC) information. Only numbers are allowed to be input.</t>
  </si>
  <si>
    <t>2028 (expected)</t>
  </si>
  <si>
    <t>Comments</t>
  </si>
  <si>
    <t>Total Project Management (HC)</t>
  </si>
  <si>
    <t>Total Engineering (HC)
(Mechanical, Electircal, Software, etc.)</t>
  </si>
  <si>
    <t>Total Production (HC)</t>
  </si>
  <si>
    <t>Total OSS (HC)</t>
  </si>
  <si>
    <t>Exclude 3rd Party Agency Partners</t>
  </si>
  <si>
    <t>Supply Chain (HC)</t>
  </si>
  <si>
    <t>Quality (HC)</t>
  </si>
  <si>
    <t>Shipping &amp; Logistics (HC)</t>
  </si>
  <si>
    <t>R&amp;D (HC)
(Mechanical, Electircal, Software, etc.)</t>
  </si>
  <si>
    <t>Sales &amp; Marketing (HC)</t>
  </si>
  <si>
    <t>Executive (HC)</t>
  </si>
  <si>
    <t xml:space="preserve">any fuction if needed </t>
  </si>
  <si>
    <t>TOTAL</t>
  </si>
  <si>
    <t>Executive (HC)</t>
    <phoneticPr fontId="0" type="noConversion"/>
  </si>
  <si>
    <t>Material Control  (HC)</t>
    <phoneticPr fontId="0" type="noConversion"/>
  </si>
  <si>
    <t>Warehouse (HC)</t>
    <phoneticPr fontId="0" type="noConversion"/>
  </si>
  <si>
    <t>Regenerate (HC)</t>
    <phoneticPr fontId="0" type="noConversion"/>
  </si>
  <si>
    <r>
      <t>Use the blank page to detail your company's project management process.
E.g. If given a new project today. List out the your internal processes from each phase the project lifecycle: Concept, Feasibility and Engineering, Execution, and Ramp/Bring up.
You may chose to include things like: Process Map, Project management structure for each project / Single PM on each project, decision making process, etc.</t>
    </r>
    <r>
      <rPr>
        <b/>
        <sz val="14"/>
        <color theme="0"/>
        <rFont val="Calibri"/>
        <family val="2"/>
      </rPr>
      <t xml:space="preserve">
</t>
    </r>
  </si>
  <si>
    <t>Please fill in Technical Capabilties information by Category and Sub-Category.</t>
  </si>
  <si>
    <t>Categories</t>
  </si>
  <si>
    <t>Core Tech</t>
  </si>
  <si>
    <t>Process Equipment Tech</t>
  </si>
  <si>
    <t>Test Equipment Tech</t>
  </si>
  <si>
    <t>Inspection Equipment Tech</t>
  </si>
  <si>
    <t>Sub-Categories</t>
  </si>
  <si>
    <t>System Integtation</t>
  </si>
  <si>
    <t>SW/PLC Integration</t>
  </si>
  <si>
    <t>Custom Automation</t>
  </si>
  <si>
    <t>Fixture Design &amp; Fabrication</t>
  </si>
  <si>
    <t>Dispensing</t>
  </si>
  <si>
    <t>Laser</t>
  </si>
  <si>
    <t>Plasma/Oven</t>
  </si>
  <si>
    <t>P&amp;P / Attach</t>
  </si>
  <si>
    <t>Assembly</t>
  </si>
  <si>
    <t>Laser Compliance Test</t>
  </si>
  <si>
    <t>Display Sensing/L
uminance Test</t>
  </si>
  <si>
    <t>Button Test</t>
  </si>
  <si>
    <t>Force Test</t>
  </si>
  <si>
    <t>Camera Test</t>
  </si>
  <si>
    <t>Optical Test</t>
  </si>
  <si>
    <t>Acoustic Test</t>
  </si>
  <si>
    <t>Machine Vision</t>
  </si>
  <si>
    <t>Lighting</t>
  </si>
  <si>
    <t>Metrology</t>
  </si>
  <si>
    <t>AI/ML</t>
  </si>
  <si>
    <t>In House Capability?</t>
  </si>
  <si>
    <t>Proficiency</t>
  </si>
  <si>
    <t>N/A</t>
  </si>
  <si>
    <t>Outsourced?</t>
  </si>
  <si>
    <t>Core Competencies</t>
  </si>
  <si>
    <t xml:space="preserve">1.Comprehensive solution for single machine, line body, and intelligent workshop systems
2.Design, develop, debug and import
3.C#， Labview，SQL Software development, communications control
</t>
    <phoneticPr fontId="0" type="noConversion"/>
  </si>
  <si>
    <t>1.Comprehensive solution for single machine, line body, and intelligent workshop systems
2.Design, develop, debug and import
3.Central control software+ PLC+Robot Industrial communications</t>
    <phoneticPr fontId="0" type="noConversion"/>
  </si>
  <si>
    <t>1.3C Industry  Automation for the whole Process
2. Electronic vehicle-mounted automation 
3. The denture industry automation for the whole Process
4. The electronic tags automation for the whole Process</t>
    <phoneticPr fontId="0" type="noConversion"/>
  </si>
  <si>
    <t>Development, debugging, and introduction of full process fixtures and equipment for the 3C industry</t>
    <phoneticPr fontId="0" type="noConversion"/>
  </si>
  <si>
    <t xml:space="preserve">1. Automated application development of various types of glues (such as hot melt adhesive, UV adhesive, AB adhesive, silicone, lubricating oil) for dispensing, filling, oiling, and cleaning processes
2. Filling control precisely, visual guidance of routes, and real-time detection for 2D/3D of filling glue routes 
</t>
  </si>
  <si>
    <t>1. Development of automation applications for laser welding, ultrasonic welding, and pulse hot pressing welding processes
2. Visual guidance, real-time detection of welding quality, and online monitoring of energy</t>
    <phoneticPr fontId="0" type="noConversion"/>
  </si>
  <si>
    <t>1. Development of automation application for plasma cleaning process
2. Development and automation of thermosetting baking, UV curing baking, aging furnace
3. Precise temperature control and segmented precision control of furnace temperature</t>
    <phoneticPr fontId="0" type="noConversion"/>
  </si>
  <si>
    <t>1. Multiple die-cut auxiliary material mounting automation series solutions
2. Mature applications in the 3C and automotive electronics industries</t>
    <phoneticPr fontId="0" type="noConversion"/>
  </si>
  <si>
    <t>1. Automation series solutions for assembling Various types of small parts, structural components, and parts
2. Mature applications in the 3C and automotive electronics industries</t>
    <phoneticPr fontId="0" type="noConversion"/>
  </si>
  <si>
    <t>Software+hardware customization, integration, and independent software development as needed</t>
    <phoneticPr fontId="0" type="noConversion"/>
  </si>
  <si>
    <t>Software and hardware customized as needed, Solution design, assembly, and debugging</t>
    <phoneticPr fontId="0" type="noConversion"/>
  </si>
  <si>
    <t>3C Product structure pressure testing</t>
    <phoneticPr fontId="0" type="noConversion"/>
  </si>
  <si>
    <t>Visual software detection algorithm+testing experience for 3C, Vehicle mounted,Electronic tag, and medical project.</t>
    <phoneticPr fontId="0" type="noConversion"/>
  </si>
  <si>
    <t>Customized development of software and hardware 
Rich testing experience</t>
    <phoneticPr fontId="0" type="noConversion"/>
  </si>
  <si>
    <t>CCD, light source, lens and software are customized as needs</t>
    <phoneticPr fontId="0" type="noConversion"/>
  </si>
  <si>
    <t>Anomaly Detection: Rapid identification of novel defects with minimal training data (e.g., ~20 normal samples).
Defect Classification: Categorizing and quantifying defect types.
Optical Character Recognition (OCR): Reading and verifying text/codes.
Vision Language Model (VLM): Interpretation of visual data with natural language reasoning for complex inspection criteria and reporting</t>
  </si>
  <si>
    <t>Dedicated Resourcing (HC)
(PM, Engineering, Production, OSS, etc.)</t>
  </si>
  <si>
    <t>6 engineers for development, 5 engineers for debugging and importing</t>
    <phoneticPr fontId="0" type="noConversion"/>
  </si>
  <si>
    <t>22 engineers for development, 17 engineers for debugging and importing</t>
    <phoneticPr fontId="0" type="noConversion"/>
  </si>
  <si>
    <t>58 engineers for development, 46 engineers for debugging and importing</t>
    <phoneticPr fontId="0" type="noConversion"/>
  </si>
  <si>
    <t>10 engineers for development, 26 engineers for debugging and importing</t>
    <phoneticPr fontId="0" type="noConversion"/>
  </si>
  <si>
    <t>4 engineers for development</t>
    <phoneticPr fontId="0" type="noConversion"/>
  </si>
  <si>
    <t>8 engineers for development</t>
    <phoneticPr fontId="0" type="noConversion"/>
  </si>
  <si>
    <t>6 engineers for development</t>
  </si>
  <si>
    <t>Equipment Type &amp; Key Technologies</t>
  </si>
  <si>
    <t>1.Multiple high-level languages
2.Automated production and testing of 3C electronic, automotive, Electronic tag, and medical projects</t>
    <phoneticPr fontId="0" type="noConversion"/>
  </si>
  <si>
    <t>1.Mitsubishi, Omron, Huichuan, Delta  PLC
2.Development and integration for control software of central control.</t>
    <phoneticPr fontId="0" type="noConversion"/>
  </si>
  <si>
    <t>Single machine, Cell、 Machine clusters, production lines, smart factories, lighthouse factories</t>
    <phoneticPr fontId="0" type="noConversion"/>
  </si>
  <si>
    <t xml:space="preserve">Module, desktop standalone 
</t>
    <phoneticPr fontId="0" type="noConversion"/>
  </si>
  <si>
    <t>Installed in automation equipment</t>
    <phoneticPr fontId="0" type="noConversion"/>
  </si>
  <si>
    <t>Mode 1: Installed in automation equipment
Mode 2: As a standalone equipment supporting AGV feeding</t>
    <phoneticPr fontId="0" type="noConversion"/>
  </si>
  <si>
    <t>Standard modules are installed in standalone or wired systems</t>
    <phoneticPr fontId="0" type="noConversion"/>
  </si>
  <si>
    <t>3C, E-tag detection application</t>
  </si>
  <si>
    <t>3C+ Vehicle mounted+Electronic tag inspecting &amp; testing application</t>
    <phoneticPr fontId="0" type="noConversion"/>
  </si>
  <si>
    <t>Specialized testing equipment</t>
    <phoneticPr fontId="0" type="noConversion"/>
  </si>
  <si>
    <t xml:space="preserve">1.Testing experience for solution design&amp;development of 3C, Vehicle mounted,Electronic tag, and medical project.
2.Rich software experience in VisionPro、openCV、C#、Labview Rich </t>
    <phoneticPr fontId="0" type="noConversion"/>
  </si>
  <si>
    <t xml:space="preserve">1.Rich Experience in designing and developing testing solutions for  3C.
2.Rich software experience in VisionPro、openCV、C#、Labview </t>
    <phoneticPr fontId="0" type="noConversion"/>
  </si>
  <si>
    <t>High-Resolution Vision Systems, Edge AI Processors, Proprietary AI/ML Software Stack</t>
  </si>
  <si>
    <t>Key Components &amp; Average Annual Spend ($M)
(Prefernce for off the shelf components)</t>
  </si>
  <si>
    <t>Various communication protocols, main program structure, sub-program modules, function libraries</t>
    <phoneticPr fontId="0" type="noConversion"/>
  </si>
  <si>
    <t>main program structure, sub-program modules, function libraries</t>
    <phoneticPr fontId="0" type="noConversion"/>
  </si>
  <si>
    <t>Four or six axis robot, module, multi form conveying, 2D/3D vision+process matching/supporting module</t>
    <phoneticPr fontId="0" type="noConversion"/>
  </si>
  <si>
    <t>Miniaturization, miniaturization, standardization</t>
    <phoneticPr fontId="0" type="noConversion"/>
  </si>
  <si>
    <t>Glue dispensing system, glue filling system+hardware configuration+2D/3D vision</t>
    <phoneticPr fontId="0" type="noConversion"/>
  </si>
  <si>
    <t>Welding system+dust removal device+2D/3D vision</t>
    <phoneticPr fontId="0" type="noConversion"/>
  </si>
  <si>
    <t>Thermal insulation furnace body, heating system, temperature control system</t>
    <phoneticPr fontId="0" type="noConversion"/>
  </si>
  <si>
    <t>Sheet/roll material stripping module, adsorption/scraping/scraping/scraping/top suction modes, motion module, visual guidance and alignment</t>
    <phoneticPr fontId="0" type="noConversion"/>
  </si>
  <si>
    <t>Multiple feeding modes such as flexible vibration disc, absorbing/clamping/internal support/magnetic suction modes, motion module, visual guidance and alignment</t>
    <phoneticPr fontId="0" type="noConversion"/>
  </si>
  <si>
    <t>Laser character recognition, barcode level detection</t>
  </si>
  <si>
    <t>LCM display defect detection</t>
  </si>
  <si>
    <t>High-precision displacement sensor,</t>
  </si>
  <si>
    <t xml:space="preserve"> High-precision torque sensor, , data analysis</t>
  </si>
  <si>
    <t>2D/3D camera application, independent development and integration of detection software</t>
  </si>
  <si>
    <t>3C audio detection</t>
  </si>
  <si>
    <t>2D visual guidance, custom software development</t>
  </si>
  <si>
    <t>Industrial cameras, Lenses, Lighting, Industrial PCs/Edge AI Devices, Standard Industrial I/O Modules</t>
  </si>
  <si>
    <t xml:space="preserve">Typcical Development &amp; Equipment Lead Times
(RFP to DFM, KO to ETA, ETA to SAT, OEE, etc.) </t>
  </si>
  <si>
    <t>Development for automation line of central control system,test system integration,OEE Efficiency dashboard display, equipment operation data analysis
Single machine, 10 days
General line,20 days</t>
    <phoneticPr fontId="0" type="noConversion"/>
  </si>
  <si>
    <t>Development and customization of communications protocols
Single machine, 15 days
General line,30 days</t>
    <phoneticPr fontId="0" type="noConversion"/>
  </si>
  <si>
    <t>Single machine, 15 days
General line,30 days</t>
    <phoneticPr fontId="0" type="noConversion"/>
  </si>
  <si>
    <t>Fixture: 5 days
Desktop equipment: 10 days</t>
    <phoneticPr fontId="0" type="noConversion"/>
  </si>
  <si>
    <t>6-8 wks</t>
  </si>
  <si>
    <t>20 Days</t>
  </si>
  <si>
    <t>25 Days</t>
  </si>
  <si>
    <t>30 Days</t>
  </si>
  <si>
    <t>RFP to DFM: 3-6 months
KO to ETA: 6-12 months
ETA to SAT: 2-6 weeks
Target OEE: &gt;80% within 3-6 months post-SAT</t>
  </si>
  <si>
    <t>Competitive Advantage(s)</t>
  </si>
  <si>
    <t>More than ten years of experience in customized automation development in the 3C industry</t>
  </si>
  <si>
    <t>Rich experience in fixture design and manufacturing</t>
  </si>
  <si>
    <t>Cooperate with mature technology manufacturers to develop</t>
  </si>
  <si>
    <t>1. Independent development of test software, 2. Customization according to actual needs, 3. Rich experience in 3C product testing</t>
  </si>
  <si>
    <t>Customized development of software and hardware on demand, rich experience in 3C product testing</t>
  </si>
  <si>
    <t>Leveraging broad experience in defect inspection across products like battery, display, and IC, our AI/ML solutions offer adaptable and highly accurate detection for diverse product challenges.</t>
  </si>
  <si>
    <t>Applicable Project Experience
(Year, Machine Description &amp; QTY, Spend, Timeline)</t>
  </si>
  <si>
    <t>1.From 2022 to 2023, BJ Foxconn Automotive Electronic Lighthouse Factory
2.From 2023 to 2024 Electronic tag Series Automation Lines</t>
    <phoneticPr fontId="0" type="noConversion"/>
  </si>
  <si>
    <t>1.From 2022 to 2023, BJ Foxconn Automotive Electronic Lighthouse Factory
2.From 2023 to 2024 Electronic tag Series Automation Lines
3. Mobile phone automatic packaging line
4. Mobile phone automatic testing line</t>
    <phoneticPr fontId="0" type="noConversion"/>
  </si>
  <si>
    <t>Fixtures and equipment for multi process of Mobile phone</t>
    <phoneticPr fontId="0" type="noConversion"/>
  </si>
  <si>
    <t>2015-2022 multiple generations of Xiaomi glue dispensers and glue sprayers</t>
  </si>
  <si>
    <t>Since 2011, a number of small welding machines</t>
  </si>
  <si>
    <t>2021 Plasma Cleaning Machine</t>
  </si>
  <si>
    <r>
      <t xml:space="preserve">Small monster mounting line, high-speed </t>
    </r>
    <r>
      <rPr>
        <sz val="10"/>
        <color rgb="FF0000CC"/>
        <rFont val="新細明體"/>
        <family val="3"/>
        <charset val="134"/>
        <scheme val="minor"/>
      </rPr>
      <t>labeling</t>
    </r>
    <r>
      <rPr>
        <sz val="11"/>
        <color rgb="FF0000CC"/>
        <rFont val="新細明體"/>
        <family val="3"/>
        <charset val="134"/>
        <scheme val="minor"/>
      </rPr>
      <t xml:space="preserve"> machine, 1.5/2/3D film sticking machine</t>
    </r>
  </si>
  <si>
    <t>1. Small parts welding automation
2. Assembly automation of camera bracket</t>
    <phoneticPr fontId="0" type="noConversion"/>
  </si>
  <si>
    <t>1.From 2012 to 2025 LV Structural dimension detection equipment (Huawei, Xiaomi, Google）
2.From 2021 to 2023 T-box Vehicle-mounted  2D/3D Visual inspection, visual guidance
3.From 2023 to 2025 Vusion Laser engraving QR code recognition and detection</t>
    <phoneticPr fontId="0" type="noConversion"/>
  </si>
  <si>
    <t>From 2012 to 2021 MMI Testing equipment for  LX mobile phone (Xiaomi,Nokia）</t>
    <phoneticPr fontId="0" type="noConversion"/>
  </si>
  <si>
    <t xml:space="preserve">2017 Huawei Phone Key Function  Testing Machine
</t>
    <phoneticPr fontId="0" type="noConversion"/>
  </si>
  <si>
    <t>From 2012 to 2025 LV Structural dimension detection equipment (Huawei,Xiaomi,Google）</t>
    <phoneticPr fontId="0" type="noConversion"/>
  </si>
  <si>
    <t>1.Hig-speed adhesive equipment for 2018 (Google, Apple)
2.From 2012 to 2025 LV Structural dimension detection equipment (Huawei, Xiaomi Google）
3.From 2021 to 2023 T-box  Vehicle mounted  2D/3D Visual inspection, visual guidance.
4.From 2023 to 2025 Vusion Visual inspection, character recognition, defect detection.</t>
    <phoneticPr fontId="0" type="noConversion"/>
  </si>
  <si>
    <t>From 2012 to 2025 LV Middle-frame MIC,SPEAKER Audio detection equipment (Huawei, Xiaomi, Google）</t>
    <phoneticPr fontId="0" type="noConversion"/>
  </si>
  <si>
    <t>1.From 2012 to 2025 LV Structural dimension detection equipment (Huawei, Xiaomi, Google）
2.From 2021 to 2023 Tbox Vehicle mounted  2D/3D of D Visual inspection, visual guidance
3.From 2023 to 2025 Vusion Visual inspection, character recognition, defect detection</t>
  </si>
  <si>
    <t>2024-2025, FRS Light Box performs assembly inspection for the Google Phone Project, 2 units</t>
  </si>
  <si>
    <t>Client / Reference</t>
  </si>
  <si>
    <t>Stellantis ,Vusion</t>
    <phoneticPr fontId="0" type="noConversion"/>
  </si>
  <si>
    <t>Stellantis ,Vusion, Xiaomi, Huawei</t>
    <phoneticPr fontId="0" type="noConversion"/>
  </si>
  <si>
    <t>Xiaomi, OPPO,Huawei, Apple</t>
  </si>
  <si>
    <t>Xiaomi, OPPO,Huawe</t>
  </si>
  <si>
    <t>Xiaomi, OPPO, Huawei</t>
    <phoneticPr fontId="0" type="noConversion"/>
  </si>
  <si>
    <t>Xiaomi, OPPO, Huawei,Apple</t>
    <phoneticPr fontId="0" type="noConversion"/>
  </si>
  <si>
    <t>Stellantis, Vusion, Huawei, Xiaomi</t>
    <phoneticPr fontId="0" type="noConversion"/>
  </si>
  <si>
    <t>Xiaomi,Nokia</t>
    <phoneticPr fontId="0" type="noConversion"/>
  </si>
  <si>
    <t>Huawei, Xiaomi</t>
    <phoneticPr fontId="0" type="noConversion"/>
  </si>
  <si>
    <t>Huawei, Xiaomi, Google</t>
    <phoneticPr fontId="0" type="noConversion"/>
  </si>
  <si>
    <t>Xiaomi,Huawei,Vusion,Stellantis,Google,Nokia,Moto,Apple</t>
    <phoneticPr fontId="0" type="noConversion"/>
  </si>
  <si>
    <t>Client / Reference Email</t>
  </si>
  <si>
    <t>Applicable Apple Experience
(Year, Machine Description &amp; QTY, Spend, Timeline)</t>
  </si>
  <si>
    <t>From July 2024 to June 2025, nearly 3,000 sets of FATP fixtures will be delivered to customer A.</t>
  </si>
  <si>
    <t>Apple DRI Name</t>
  </si>
  <si>
    <t>Heramb</t>
  </si>
  <si>
    <t>Apple DRI Email</t>
  </si>
  <si>
    <t>hbanavali@apple.com</t>
  </si>
  <si>
    <t>Use the blank page to detail your company's technical roadmap for apple or other customers</t>
  </si>
  <si>
    <t>Smartphone</t>
  </si>
  <si>
    <t>Temperature-controlled/force-controlled implantation and hot-pressing technology
Force controlled polishing and grinding technology
Precision dispensing and glue filling technology
Needle threading technology
Lens/camera lens/screen mounting technology</t>
    <phoneticPr fontId="1" type="noConversion"/>
  </si>
  <si>
    <t>Efficient requirements: UPH increase by 50%
Robustness requirement: Reduce the failure rate to 0.5-1%
Flexibility requirements: Quick switch lines, one click switch lines, AI debugging</t>
    <phoneticPr fontId="1" type="noConversion"/>
  </si>
  <si>
    <t>Expanding applications from the mobile phone industry to tablets and laptops
Track new technologies and processes for mobile phones, tablets, and laptops, and quickly develop and validate, seize the market
From 3C conducts technology extension verification in the industry and apply it to the automotive electronics industry</t>
    <phoneticPr fontId="1" type="noConversion"/>
  </si>
  <si>
    <t>Automotive Electronics</t>
    <phoneticPr fontId="1" type="noConversion"/>
  </si>
  <si>
    <t xml:space="preserve">Develop and integrate automated testing and assembly technology for display screens, radars, cameras, and small motors of central control </t>
    <phoneticPr fontId="1" type="noConversion"/>
  </si>
  <si>
    <t>Flexible production, fast switch lines
Realize intelligent warehousing and logistics
AI Drive and predictive maintenance
AI Drive combined with super algorithms to achieve all-round intelligent production</t>
    <phoneticPr fontId="1" type="noConversion"/>
  </si>
  <si>
    <t>Realize diversified product lighthouse factory
Build an intelligent production park for automotive electronics</t>
    <phoneticPr fontId="1" type="noConversion"/>
  </si>
  <si>
    <t>Test/System</t>
  </si>
  <si>
    <t>Noise detection technology
3D Scanning flatness/offset detection technology
Torque detection technology
CCD 2D Dimensional inspection technology
CCD Alignment guidance technology</t>
    <phoneticPr fontId="1" type="noConversion"/>
  </si>
  <si>
    <t>AI Defect detection technology
Smart Phone-the Whole product testing technology
Integration of whole line/whole plant control system</t>
    <phoneticPr fontId="1" type="noConversion"/>
  </si>
  <si>
    <t>Flexible wiring detection technology (suitable for multiple varieties and production for batches)</t>
    <phoneticPr fontId="1" type="noConversion"/>
  </si>
  <si>
    <t>Q1</t>
  </si>
  <si>
    <t>Q2</t>
  </si>
  <si>
    <t>Q3</t>
  </si>
  <si>
    <t>Q4</t>
  </si>
  <si>
    <t>10   Commercial Expectations</t>
  </si>
  <si>
    <r>
      <t xml:space="preserve">     10.1   </t>
    </r>
    <r>
      <rPr>
        <b/>
        <sz val="16"/>
        <color theme="0"/>
        <rFont val="SF Hello Regular"/>
      </rPr>
      <t>Contractual Standards</t>
    </r>
  </si>
  <si>
    <r>
      <t xml:space="preserve">     10.1.1 </t>
    </r>
    <r>
      <rPr>
        <b/>
        <sz val="16"/>
        <color theme="0"/>
        <rFont val="SF Hello Regular"/>
      </rPr>
      <t>  Company Organizational Structure &amp; Entities</t>
    </r>
  </si>
  <si>
    <t>Participant acknowledges and agrees that, if selected by Apple to provide the Goods and/or Services described in this RFI, any Definitive Agreement for the provision of such Goods and/or Services, REGARDLESS OF WHETHER an active Agreement between Apple and Participant exists, shall be executed with company overall parent entity and not subsidiary entity. Do you, the Participant, accept these terms and conditions? Please select from dropdown list.</t>
  </si>
  <si>
    <t>*If multiple company entities exist, please attach corporate org structure in response to RFI with parent and subsidiary entities clearly marked.</t>
  </si>
  <si>
    <r>
      <t>     10.1.2</t>
    </r>
    <r>
      <rPr>
        <b/>
        <sz val="16"/>
        <color theme="0"/>
        <rFont val="SF Hello Regular"/>
      </rPr>
      <t xml:space="preserve">  NDA, ARPA, &amp; EDPA</t>
    </r>
  </si>
  <si>
    <t>Participant acknowledges and agrees that, if selected by Apple to provide the Goods and/or Services described in this RFI, any Definitive Agreement for the provision of such Goods and/or Services, REGARDLESS OF WHETHER an active Agreement between Apple and Participant exists, shall follow Apple's terms and conditions. Do you, the Participant, accept these terms and conditions? Please select from dropdown list.</t>
  </si>
  <si>
    <t>*If there are existing NDA, ARPA, and EDPA, please attach in response to RFI.</t>
  </si>
  <si>
    <r>
      <t>     10.1.3</t>
    </r>
    <r>
      <rPr>
        <b/>
        <sz val="16"/>
        <color theme="0"/>
        <rFont val="SF Hello Regular"/>
      </rPr>
      <t xml:space="preserve">  New Product Security (NPS) Audit</t>
    </r>
  </si>
  <si>
    <t>Participant acknowledges and agrees to an on-site audit of workshop and facilities by Apple New Product Security (NPS) team. Participant agrees to comply with all requirements and requested information from NPS, including the complete implementation of all security requirements. Do you, the Participant, accept these terms and conditions? Please select from dropdown list.</t>
  </si>
  <si>
    <r>
      <t>     10.1.4</t>
    </r>
    <r>
      <rPr>
        <b/>
        <sz val="16"/>
        <color theme="0"/>
        <rFont val="SF Hello Regular"/>
      </rPr>
      <t xml:space="preserve">  Enviroment &amp; Supply Supply Chain Innovation (ESCI) Facility Readiness Assessment (FRA)</t>
    </r>
  </si>
  <si>
    <t>Participant acknowledges and agrees to an on-site Facility Readiness Assessment (FRA) of workshop and facilities by Apple Enviroment &amp; Supply Supply Chain Innovation (ESCI) team. Participant agrees to comply with all requirements and requested information from ESCI, including the complete implementation of all security and safety requirements. Do you, the Participant, accept these terms and conditions? Please select from dropdown list.</t>
  </si>
  <si>
    <r>
      <t xml:space="preserve">     10.2   </t>
    </r>
    <r>
      <rPr>
        <b/>
        <sz val="16"/>
        <color theme="0"/>
        <rFont val="SF Hello Regular"/>
      </rPr>
      <t>Commercial Standards</t>
    </r>
  </si>
  <si>
    <r>
      <t xml:space="preserve">     10.2.1 </t>
    </r>
    <r>
      <rPr>
        <b/>
        <sz val="16"/>
        <color theme="0"/>
        <rFont val="SF Hello Regular"/>
      </rPr>
      <t>   Demo EQ</t>
    </r>
  </si>
  <si>
    <t>Participant acknowledges and agrees to provide any and all demo EQ requested by Apple for NPI qualification. If Participant is not selected for MP, regardless of reason, Participant will receive back all EQ, without liability to Apple. Do you, the Participant, accept these terms and conditions? Please select from dropdown list.</t>
  </si>
  <si>
    <r>
      <t>     10.2.2</t>
    </r>
    <r>
      <rPr>
        <b/>
        <sz val="16"/>
        <color theme="0"/>
        <rFont val="SF Hello Regular"/>
      </rPr>
      <t>   Development Resources</t>
    </r>
  </si>
  <si>
    <t>Participant acknowledges and agrees to provide any and all Engineering, OSS, and R&amp;D requested by Apple for NPI qualification. If Participant is not selected for MP, regardless of reason, Participant will waive all liability to Apple. Do you, the Participant, accept these terms and conditions? Please select from dropdown list.</t>
  </si>
  <si>
    <r>
      <t>     10.2.3</t>
    </r>
    <r>
      <rPr>
        <b/>
        <sz val="16"/>
        <color theme="0"/>
        <rFont val="SF Hello Regular"/>
      </rPr>
      <t>   Price / Equipment Breakdown Transparency</t>
    </r>
  </si>
  <si>
    <t>Participant acknowledges and agrees to provide all pricing in Apple-specified format (i.e. Equipment Breakdown Down), to include Purchase Parts, Raw Material, Processing, Labor, SG&amp;A/Profit, or in any other format requested. Do you, the Participant, accept these terms and conditions? Please select from dropdown list.</t>
  </si>
  <si>
    <r>
      <t>     10.2.4</t>
    </r>
    <r>
      <rPr>
        <b/>
        <sz val="16"/>
        <color theme="0"/>
        <rFont val="SF Hello Regular"/>
      </rPr>
      <t>   Distribution Model &amp; Authorized Purchasers</t>
    </r>
  </si>
  <si>
    <t>Participant acknowledges and agrees to provide all Apple approved pricing directly to Apple and Apple Authorized Purchasers and work directly with Apple and Apple Authorized Purchasers. Operating through 3rd party distributors and distribution networks will dilute Participant margin. Do you, the Participant, accept these terms and conditions? Please select from dropdown list.</t>
  </si>
  <si>
    <r>
      <t>     10.2.5</t>
    </r>
    <r>
      <rPr>
        <b/>
        <sz val="16"/>
        <color theme="0"/>
        <rFont val="SF Hello Regular"/>
      </rPr>
      <t>   Equipment Design &amp; Retrofitability</t>
    </r>
  </si>
  <si>
    <t>Participant acknowledges and agrees to design equipment with future reuse opportunities in mind by minmizing the amount of re-work and cost required to redeploy equipment for new projects through flexible design. Future proofing equipment with design flexibility benefits both Apple and the Participant as resources can be focused on new challenges instead of reconfiguring old ones. Do you, the Participant, accept these terms and conditions? Please select from dropdown list.</t>
  </si>
  <si>
    <r>
      <t>     10.2.6</t>
    </r>
    <r>
      <rPr>
        <b/>
        <sz val="16"/>
        <color theme="0"/>
        <rFont val="SF Hello Regular"/>
      </rPr>
      <t>   OSS Requirements &amp; Necessity</t>
    </r>
  </si>
  <si>
    <t>Participant acknowledges and agrees to design equipment with simple operator and maintenance interfaces so that no or minimal OSS from the Participant or Authorized Purchaser is required to support it. Ideally, equipment should be delivered to Apple or the Authorized Purchaser without needing Participant direct support. Designing equipment simply with no or minimal OSS requirements benefits both Apple and the Participant as resources can be focused on new projects instead of supporting old ones. Do you, the Participant, accept these terms and conditions? Please select from dropdown list.</t>
  </si>
  <si>
    <r>
      <t>     10.2.7</t>
    </r>
    <r>
      <rPr>
        <b/>
        <sz val="16"/>
        <color theme="0"/>
        <rFont val="SF Hello Regular"/>
      </rPr>
      <t>   Equipment Component Selection</t>
    </r>
  </si>
  <si>
    <t>Participant acknowledges and agrees to design equipment with preference for off the shelf (OTS) components over custom components as they can be acquired quickly and more readily from the market. Custom components should only be used if no OTS component is capable. Designing equipment simply with OTS components benefits both Apple and the Participant by making delivering and maintaining equipment on schedule more attainable. Do you, the Participant, accept these terms and conditions? Please select from dropdown list.</t>
  </si>
  <si>
    <r>
      <t>     10.2.8</t>
    </r>
    <r>
      <rPr>
        <b/>
        <sz val="16"/>
        <color theme="0"/>
        <rFont val="SF Hello Regular"/>
      </rPr>
      <t>   Equipment Software &amp; Training Materials</t>
    </r>
  </si>
  <si>
    <t>Participant acknowledges and agrees to write all software and training materials in English or translate all software and training materials to English to faciliate delivery and transfer of equipment to new locations and geographies. Doing this benefits both Apple and the Participant by making delivering and maintaining equipment in new locations and geographies with different Authorized Purchasers more repeatable and requiring less in person support. Do you, the Participant, accept these terms and conditions? Please select from dropdown list.</t>
  </si>
  <si>
    <t>Company Type</t>
  </si>
  <si>
    <t>Component Category</t>
  </si>
  <si>
    <t>Binary</t>
  </si>
  <si>
    <t>Countries</t>
  </si>
  <si>
    <t>Motors/Drives</t>
  </si>
  <si>
    <t>Albania</t>
  </si>
  <si>
    <t>Private</t>
  </si>
  <si>
    <t>American Samoa</t>
  </si>
  <si>
    <t>Optics</t>
  </si>
  <si>
    <t>Australia</t>
  </si>
  <si>
    <t>IPC/PLC/Motion Controller</t>
  </si>
  <si>
    <t>Austria</t>
  </si>
  <si>
    <t>Pneumatics</t>
  </si>
  <si>
    <t>Belgium</t>
  </si>
  <si>
    <t>Safety/Electrical/Wiring</t>
  </si>
  <si>
    <t>Brazil</t>
  </si>
  <si>
    <t>Robotics</t>
  </si>
  <si>
    <t>British West Indie</t>
  </si>
  <si>
    <t>Mechanical Linear Motion</t>
  </si>
  <si>
    <t>Cambodia</t>
  </si>
  <si>
    <t>Gantry Systems/Linear Motors/Stages</t>
  </si>
  <si>
    <t>Canada</t>
  </si>
  <si>
    <t>Frame/Baseplate/Indexing Table</t>
  </si>
  <si>
    <t>Cayman Islands</t>
  </si>
  <si>
    <t>Force Measurement/Load Cells/Pressure Sensors/Accelerometers</t>
  </si>
  <si>
    <t>China</t>
  </si>
  <si>
    <t>Costa Rica</t>
  </si>
  <si>
    <t>Machined Part/Bracket</t>
  </si>
  <si>
    <t>Czech Republic</t>
  </si>
  <si>
    <t>Nest/Holder/Pallet</t>
  </si>
  <si>
    <t>Denmark</t>
  </si>
  <si>
    <t>Conveyor System</t>
  </si>
  <si>
    <t>Estonia</t>
  </si>
  <si>
    <t>Fan Filtration Unit/Ionizer/HEPA Filter</t>
  </si>
  <si>
    <t>Finland</t>
  </si>
  <si>
    <t>Feeder System</t>
  </si>
  <si>
    <t>France</t>
  </si>
  <si>
    <t>Screwdriving</t>
  </si>
  <si>
    <t>Germany</t>
  </si>
  <si>
    <t>Consumables</t>
  </si>
  <si>
    <t>Greece</t>
  </si>
  <si>
    <t>Other</t>
  </si>
  <si>
    <t>Hungary</t>
  </si>
  <si>
    <t>Indonesia</t>
  </si>
  <si>
    <t>Ireland</t>
  </si>
  <si>
    <t>Israel</t>
  </si>
  <si>
    <t>Italy</t>
  </si>
  <si>
    <t>Japan</t>
  </si>
  <si>
    <t>Korea</t>
  </si>
  <si>
    <t>Latvia</t>
  </si>
  <si>
    <t>Luxembourg</t>
  </si>
  <si>
    <t>Malaysia</t>
  </si>
  <si>
    <t>Malta</t>
  </si>
  <si>
    <t>Mauritius</t>
  </si>
  <si>
    <t>Mexico</t>
  </si>
  <si>
    <t>Morocco</t>
  </si>
  <si>
    <t>Netherlands</t>
  </si>
  <si>
    <t>New Zealand</t>
  </si>
  <si>
    <t>Nicaragua</t>
  </si>
  <si>
    <t>Norway</t>
  </si>
  <si>
    <t>Philippines</t>
  </si>
  <si>
    <t>Poland</t>
  </si>
  <si>
    <t>Portugal</t>
  </si>
  <si>
    <t>Puerto Rico</t>
  </si>
  <si>
    <t>Russia</t>
  </si>
  <si>
    <t>Singapore</t>
  </si>
  <si>
    <t>South Africa</t>
  </si>
  <si>
    <t>Spain</t>
  </si>
  <si>
    <t>Sweden</t>
  </si>
  <si>
    <t>Switzerland</t>
  </si>
  <si>
    <t>Taiwan</t>
  </si>
  <si>
    <t>Thailand</t>
  </si>
  <si>
    <t>Tunis</t>
  </si>
  <si>
    <t>Turkey</t>
  </si>
  <si>
    <t>UAE</t>
  </si>
  <si>
    <t>United Kingdom</t>
  </si>
  <si>
    <t>USA</t>
  </si>
  <si>
    <t>Vietnam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</si>
</sst>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_-[$$-409]* #,##0_ ;_-[$$-409]* \-#,##0\ ;_-[$$-409]* &quot;-&quot;??_ ;_-@_ "/>
    <numFmt numFmtId="165" formatCode="_-* #,##0_-;\-* #,##0_-;_-* &quot;-&quot;_-;_-@_-"/>
    <numFmt numFmtId="166" formatCode="_-[$$-409]* #,##0.00_ ;_-[$$-409]* \-#,##0.00\ ;_-[$$-409]* &quot;-&quot;_ ;_-@_ "/>
  </numFmts>
  <fonts count="37">
    <font>
      <sz val="12"/>
      <color theme="1"/>
      <name val="新細明體"/>
      <family val="2"/>
      <scheme val="minor"/>
    </font>
    <font>
      <sz val="12"/>
      <color theme="1"/>
      <name val="新細明體"/>
      <family val="2"/>
      <scheme val="minor"/>
    </font>
    <font>
      <sz val="12"/>
      <color theme="1"/>
      <name val="Helvetica Neue"/>
      <family val="2"/>
    </font>
    <font>
      <b/>
      <sz val="12"/>
      <color theme="1"/>
      <name val="Helvetica Neue"/>
      <family val="2"/>
    </font>
    <font>
      <b/>
      <sz val="12"/>
      <name val="Helvetica Neue"/>
      <family val="2"/>
    </font>
    <font>
      <b/>
      <sz val="16"/>
      <color theme="1"/>
      <name val="SF Hello Regular"/>
    </font>
    <font>
      <sz val="16"/>
      <color theme="1"/>
      <name val="SF Hello Regular"/>
    </font>
    <font>
      <b/>
      <sz val="16"/>
      <color rgb="FFFF0000"/>
      <name val="SF Hello Regular"/>
    </font>
    <font>
      <u/>
      <sz val="12"/>
      <color theme="10"/>
      <name val="新細明體"/>
      <family val="2"/>
      <scheme val="minor"/>
    </font>
    <font>
      <b/>
      <sz val="14"/>
      <color theme="1"/>
      <name val="Calibri"/>
      <family val="2"/>
    </font>
    <font>
      <sz val="14"/>
      <color theme="1"/>
      <name val="Calibri"/>
      <family val="2"/>
    </font>
    <font>
      <b/>
      <sz val="14"/>
      <color theme="0"/>
      <name val="Calibri"/>
      <family val="2"/>
    </font>
    <font>
      <sz val="14"/>
      <name val="Calibri"/>
      <family val="2"/>
    </font>
    <font>
      <b/>
      <sz val="12"/>
      <color theme="0"/>
      <name val="Calibri"/>
      <family val="2"/>
    </font>
    <font>
      <sz val="14"/>
      <color theme="0"/>
      <name val="Calibri"/>
      <family val="2"/>
    </font>
    <font>
      <sz val="16"/>
      <color theme="0"/>
      <name val="SF Hello Regular"/>
    </font>
    <font>
      <b/>
      <sz val="16"/>
      <color theme="0"/>
      <name val="SF Hello Regular"/>
    </font>
    <font>
      <b/>
      <sz val="14"/>
      <color theme="1"/>
      <name val="Helvetica Neue"/>
      <family val="2"/>
    </font>
    <font>
      <sz val="14"/>
      <color theme="1"/>
      <name val="Helvetica Neue"/>
      <family val="2"/>
    </font>
    <font>
      <sz val="12"/>
      <name val="Helvetica Neue Light"/>
    </font>
    <font>
      <sz val="12"/>
      <color theme="0"/>
      <name val="Helvetica Neue"/>
      <family val="2"/>
    </font>
    <font>
      <b/>
      <sz val="12"/>
      <color theme="0"/>
      <name val="Helvetica Neue"/>
      <family val="2"/>
    </font>
    <font>
      <b/>
      <u/>
      <sz val="14"/>
      <color rgb="FFFF0000"/>
      <name val="Helvetica Neue"/>
      <family val="2"/>
    </font>
    <font>
      <sz val="12"/>
      <color theme="1"/>
      <name val="SF Hello Regular"/>
    </font>
    <font>
      <sz val="16"/>
      <name val="SF Hello Regular"/>
    </font>
    <font>
      <b/>
      <sz val="14"/>
      <color theme="1"/>
      <name val="新細明體"/>
      <family val="2"/>
      <scheme val="minor"/>
    </font>
    <font>
      <b/>
      <u/>
      <sz val="12"/>
      <color theme="1"/>
      <name val="新細明體"/>
      <family val="2"/>
      <scheme val="minor"/>
    </font>
    <font>
      <sz val="14"/>
      <name val="Helvetica Neue"/>
      <family val="2"/>
    </font>
    <font>
      <sz val="12"/>
      <name val="Helvetica Neue"/>
      <family val="2"/>
    </font>
    <font>
      <b/>
      <u/>
      <sz val="14"/>
      <color theme="1"/>
      <name val="Helvetica Neue"/>
      <family val="2"/>
    </font>
    <font>
      <sz val="9"/>
      <name val="新細明體"/>
      <family val="3"/>
      <charset val="136"/>
      <scheme val="minor"/>
    </font>
    <font>
      <sz val="10"/>
      <color rgb="FF0000CC"/>
      <name val="新細明體"/>
      <family val="3"/>
      <charset val="134"/>
      <scheme val="minor"/>
    </font>
    <font>
      <sz val="11"/>
      <color rgb="FF0000CC"/>
      <name val="新細明體"/>
      <family val="3"/>
      <charset val="134"/>
      <scheme val="minor"/>
    </font>
    <font>
      <b/>
      <sz val="16"/>
      <color theme="1"/>
      <name val="Microsoft YaHei"/>
      <charset val="134"/>
    </font>
    <font>
      <sz val="18"/>
      <color theme="1"/>
      <name val="Arial"/>
    </font>
    <font>
      <b/>
      <sz val="18"/>
      <color theme="1"/>
      <name val="Microsoft YaHei"/>
      <charset val="134"/>
    </font>
    <font>
      <sz val="14"/>
      <color rgb="FF000000"/>
      <name val="Calibri"/>
      <family val="2"/>
    </font>
  </fonts>
  <fills count="10">
    <fill>
      <patternFill patternType="none"/>
    </fill>
    <fill>
      <patternFill patternType="gray125"/>
    </fill>
    <fill>
      <patternFill patternType="solid">
        <fgColor theme="0"/>
        <bgColor indexed="64"/>
      </patternFill>
    </fill>
    <fill>
      <patternFill patternType="solid">
        <fgColor theme="0" tint="-0.14999847407452621"/>
        <bgColor indexed="64"/>
      </patternFill>
    </fill>
    <fill>
      <patternFill patternType="solid">
        <fgColor rgb="FF4F81BD"/>
        <bgColor indexed="64"/>
      </patternFill>
    </fill>
    <fill>
      <patternFill patternType="solid">
        <fgColor theme="4" tint="0.79998168889431442"/>
        <bgColor indexed="64"/>
      </patternFill>
    </fill>
    <fill>
      <patternFill patternType="solid">
        <fgColor rgb="FF4E81BD"/>
        <bgColor indexed="64"/>
      </patternFill>
    </fill>
    <fill>
      <patternFill patternType="solid">
        <fgColor theme="0" tint="-0.249977111117893"/>
        <bgColor indexed="64"/>
      </patternFill>
    </fill>
    <fill>
      <patternFill patternType="solid">
        <fgColor theme="0" tint="-4.9989318521683403E-2"/>
        <bgColor indexed="64"/>
      </patternFill>
    </fill>
    <fill>
      <patternFill patternType="solid">
        <fgColor rgb="FFE7E8EA"/>
        <bgColor indexed="64"/>
      </patternFill>
    </fill>
  </fills>
  <borders count="21">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auto="1"/>
      </right>
      <top style="thin">
        <color auto="1"/>
      </top>
      <bottom style="thin">
        <color auto="1"/>
      </bottom>
      <diagonal/>
    </border>
    <border>
      <left style="thin">
        <color theme="1"/>
      </left>
      <right style="thin">
        <color indexed="64"/>
      </right>
      <top style="thin">
        <color theme="1"/>
      </top>
      <bottom style="thin">
        <color indexed="64"/>
      </bottom>
      <diagonal/>
    </border>
    <border>
      <left style="thin">
        <color indexed="64"/>
      </left>
      <right style="thin">
        <color indexed="64"/>
      </right>
      <top style="thin">
        <color theme="1"/>
      </top>
      <bottom style="thin">
        <color indexed="64"/>
      </bottom>
      <diagonal/>
    </border>
    <border>
      <left style="thin">
        <color indexed="64"/>
      </left>
      <right style="thin">
        <color theme="1"/>
      </right>
      <top style="thin">
        <color theme="1"/>
      </top>
      <bottom style="thin">
        <color indexed="64"/>
      </bottom>
      <diagonal/>
    </border>
    <border>
      <left style="thin">
        <color theme="1"/>
      </left>
      <right style="thin">
        <color indexed="64"/>
      </right>
      <top style="thin">
        <color indexed="64"/>
      </top>
      <bottom style="thin">
        <color indexed="64"/>
      </bottom>
      <diagonal/>
    </border>
    <border>
      <left style="thin">
        <color indexed="64"/>
      </left>
      <right style="thin">
        <color theme="1"/>
      </right>
      <top style="thin">
        <color indexed="64"/>
      </top>
      <bottom style="thin">
        <color indexed="64"/>
      </bottom>
      <diagonal/>
    </border>
    <border>
      <left style="thin">
        <color theme="1"/>
      </left>
      <right style="thin">
        <color indexed="64"/>
      </right>
      <top style="thin">
        <color indexed="64"/>
      </top>
      <bottom/>
      <diagonal/>
    </border>
    <border>
      <left style="thin">
        <color indexed="64"/>
      </left>
      <right style="thin">
        <color indexed="64"/>
      </right>
      <top style="thin">
        <color indexed="64"/>
      </top>
      <bottom style="thin">
        <color theme="1"/>
      </bottom>
      <diagonal/>
    </border>
    <border>
      <left style="thin">
        <color indexed="64"/>
      </left>
      <right style="thin">
        <color theme="1"/>
      </right>
      <top style="thin">
        <color indexed="64"/>
      </top>
      <bottom style="thin">
        <color theme="1"/>
      </bottom>
      <diagonal/>
    </border>
    <border>
      <left/>
      <right/>
      <top style="thin">
        <color indexed="64"/>
      </top>
      <bottom style="thin">
        <color indexed="64"/>
      </bottom>
      <diagonal/>
    </border>
    <border>
      <left style="thin">
        <color theme="1"/>
      </left>
      <right style="thin">
        <color theme="1"/>
      </right>
      <top style="thin">
        <color theme="1"/>
      </top>
      <bottom style="thin">
        <color theme="1"/>
      </bottom>
      <diagonal/>
    </border>
    <border>
      <left style="thin">
        <color indexed="64"/>
      </left>
      <right style="thin">
        <color indexed="64"/>
      </right>
      <top/>
      <bottom style="thin">
        <color indexed="64"/>
      </bottom>
      <diagonal/>
    </border>
    <border>
      <left style="thin">
        <color indexed="64"/>
      </left>
      <right/>
      <top style="thin">
        <color indexed="64"/>
      </top>
      <bottom/>
      <diagonal/>
    </border>
    <border>
      <left/>
      <right/>
      <top style="thin">
        <color indexed="64"/>
      </top>
      <bottom/>
      <diagonal/>
    </border>
    <border>
      <left style="thin">
        <color indexed="64"/>
      </left>
      <right/>
      <top/>
      <bottom/>
      <diagonal/>
    </border>
    <border>
      <left style="thin">
        <color indexed="64"/>
      </left>
      <right/>
      <top/>
      <bottom style="thin">
        <color indexed="64"/>
      </bottom>
      <diagonal/>
    </border>
    <border>
      <left/>
      <right/>
      <top/>
      <bottom style="thin">
        <color indexed="64"/>
      </bottom>
      <diagonal/>
    </border>
  </borders>
  <cellStyleXfs count="5">
    <xf numFmtId="0" fontId="0" fillId="0" borderId="0"/>
    <xf numFmtId="9" fontId="1" fillId="0" borderId="0" applyFont="0" applyFill="0" applyBorder="0" applyAlignment="0" applyProtection="0"/>
    <xf numFmtId="0" fontId="1" fillId="0" borderId="0"/>
    <xf numFmtId="0" fontId="8" fillId="0" borderId="0" applyNumberFormat="0" applyFill="0" applyBorder="0" applyAlignment="0" applyProtection="0"/>
    <xf numFmtId="165" fontId="1" fillId="0" borderId="0" applyFont="0" applyFill="0" applyBorder="0" applyAlignment="0" applyProtection="0">
      <alignment vertical="center"/>
    </xf>
  </cellStyleXfs>
  <cellXfs count="109">
    <xf numFmtId="0" fontId="0" fillId="0" borderId="0" xfId="0"/>
    <xf numFmtId="0" fontId="2" fillId="0" borderId="0" xfId="0" applyFont="1"/>
    <xf numFmtId="0" fontId="2" fillId="0" borderId="0" xfId="0" applyFont="1" applyAlignment="1">
      <alignment vertical="center"/>
    </xf>
    <xf numFmtId="0" fontId="2" fillId="0" borderId="0" xfId="0" applyFont="1" applyAlignment="1">
      <alignment horizontal="center" vertical="center"/>
    </xf>
    <xf numFmtId="0" fontId="2" fillId="0" borderId="0" xfId="0" applyFont="1" applyAlignment="1">
      <alignment horizontal="left" vertical="center"/>
    </xf>
    <xf numFmtId="0" fontId="3" fillId="0" borderId="0" xfId="0" applyFont="1"/>
    <xf numFmtId="0" fontId="2" fillId="0" borderId="0" xfId="0" applyFont="1" applyAlignment="1">
      <alignment horizontal="center" vertical="center" wrapText="1"/>
    </xf>
    <xf numFmtId="0" fontId="4" fillId="0" borderId="0" xfId="0" applyFont="1"/>
    <xf numFmtId="0" fontId="5" fillId="3" borderId="1" xfId="2" applyFont="1" applyFill="1" applyBorder="1" applyAlignment="1">
      <alignment horizontal="left" vertical="top" wrapText="1"/>
    </xf>
    <xf numFmtId="0" fontId="6" fillId="0" borderId="1" xfId="0" applyFont="1" applyBorder="1" applyAlignment="1">
      <alignment horizontal="left" vertical="top" wrapText="1"/>
    </xf>
    <xf numFmtId="0" fontId="6" fillId="0" borderId="0" xfId="0" applyFont="1" applyAlignment="1">
      <alignment horizontal="left" wrapText="1"/>
    </xf>
    <xf numFmtId="0" fontId="5" fillId="3" borderId="1" xfId="2" applyFont="1" applyFill="1" applyBorder="1" applyAlignment="1">
      <alignment horizontal="left" vertical="center" wrapText="1"/>
    </xf>
    <xf numFmtId="0" fontId="6" fillId="0" borderId="1" xfId="0" applyFont="1" applyBorder="1" applyAlignment="1">
      <alignment horizontal="left" wrapText="1"/>
    </xf>
    <xf numFmtId="0" fontId="6" fillId="0" borderId="0" xfId="0" applyFont="1" applyAlignment="1">
      <alignment horizontal="left" vertical="center"/>
    </xf>
    <xf numFmtId="0" fontId="9" fillId="2" borderId="0" xfId="0" applyFont="1" applyFill="1" applyAlignment="1">
      <alignment horizontal="left" vertical="center"/>
    </xf>
    <xf numFmtId="0" fontId="10" fillId="0" borderId="0" xfId="0" applyFont="1" applyAlignment="1">
      <alignment horizontal="center" vertical="center"/>
    </xf>
    <xf numFmtId="0" fontId="11" fillId="4" borderId="1" xfId="0" applyFont="1" applyFill="1" applyBorder="1" applyAlignment="1">
      <alignment horizontal="center" vertical="center"/>
    </xf>
    <xf numFmtId="14" fontId="12" fillId="5" borderId="1" xfId="0" applyNumberFormat="1" applyFont="1" applyFill="1" applyBorder="1" applyAlignment="1" applyProtection="1">
      <alignment horizontal="center" vertical="center" wrapText="1"/>
      <protection locked="0"/>
    </xf>
    <xf numFmtId="0" fontId="12" fillId="5" borderId="1" xfId="0" applyFont="1" applyFill="1" applyBorder="1" applyAlignment="1" applyProtection="1">
      <alignment horizontal="center" vertical="center" wrapText="1"/>
      <protection locked="0"/>
    </xf>
    <xf numFmtId="164" fontId="10" fillId="0" borderId="0" xfId="0" applyNumberFormat="1" applyFont="1" applyAlignment="1">
      <alignment horizontal="center" vertical="center"/>
    </xf>
    <xf numFmtId="0" fontId="8" fillId="5" borderId="1" xfId="3" applyFill="1" applyBorder="1" applyAlignment="1" applyProtection="1">
      <alignment horizontal="center" vertical="center" wrapText="1"/>
      <protection locked="0"/>
    </xf>
    <xf numFmtId="0" fontId="10" fillId="0" borderId="0" xfId="0" applyFont="1" applyAlignment="1">
      <alignment horizontal="left" vertical="center"/>
    </xf>
    <xf numFmtId="0" fontId="12" fillId="5" borderId="2" xfId="0" applyFont="1" applyFill="1" applyBorder="1" applyAlignment="1" applyProtection="1">
      <alignment horizontal="center" vertical="center" wrapText="1"/>
      <protection locked="0"/>
    </xf>
    <xf numFmtId="0" fontId="8" fillId="5" borderId="2" xfId="3" applyFill="1" applyBorder="1" applyAlignment="1" applyProtection="1">
      <alignment horizontal="center" vertical="center" wrapText="1"/>
      <protection locked="0"/>
    </xf>
    <xf numFmtId="0" fontId="11" fillId="4" borderId="5" xfId="0" applyFont="1" applyFill="1" applyBorder="1" applyAlignment="1">
      <alignment horizontal="center" vertical="center"/>
    </xf>
    <xf numFmtId="0" fontId="11" fillId="4" borderId="6" xfId="0" applyFont="1" applyFill="1" applyBorder="1" applyAlignment="1">
      <alignment horizontal="center" vertical="center"/>
    </xf>
    <xf numFmtId="0" fontId="11" fillId="4" borderId="7" xfId="0" applyFont="1" applyFill="1" applyBorder="1" applyAlignment="1">
      <alignment horizontal="center" vertical="center" wrapText="1"/>
    </xf>
    <xf numFmtId="0" fontId="13" fillId="4" borderId="8" xfId="0" applyFont="1" applyFill="1" applyBorder="1" applyAlignment="1">
      <alignment horizontal="center" vertical="center"/>
    </xf>
    <xf numFmtId="0" fontId="12" fillId="5" borderId="9" xfId="0" quotePrefix="1" applyFont="1" applyFill="1" applyBorder="1" applyAlignment="1" applyProtection="1">
      <alignment horizontal="center" vertical="center" wrapText="1"/>
      <protection locked="0"/>
    </xf>
    <xf numFmtId="0" fontId="13" fillId="4" borderId="10" xfId="0" applyFont="1" applyFill="1" applyBorder="1" applyAlignment="1">
      <alignment horizontal="center" vertical="center"/>
    </xf>
    <xf numFmtId="0" fontId="12" fillId="5" borderId="11" xfId="0" applyFont="1" applyFill="1" applyBorder="1" applyAlignment="1" applyProtection="1">
      <alignment horizontal="center" vertical="center" wrapText="1"/>
      <protection locked="0"/>
    </xf>
    <xf numFmtId="0" fontId="8" fillId="5" borderId="11" xfId="3" applyFill="1" applyBorder="1" applyAlignment="1" applyProtection="1">
      <alignment horizontal="center" vertical="center" wrapText="1"/>
      <protection locked="0"/>
    </xf>
    <xf numFmtId="0" fontId="12" fillId="5" borderId="12" xfId="0" quotePrefix="1" applyFont="1" applyFill="1" applyBorder="1" applyAlignment="1" applyProtection="1">
      <alignment horizontal="center" vertical="center" wrapText="1"/>
      <protection locked="0"/>
    </xf>
    <xf numFmtId="0" fontId="14" fillId="4" borderId="1" xfId="0" applyFont="1" applyFill="1" applyBorder="1" applyAlignment="1">
      <alignment horizontal="center" vertical="center"/>
    </xf>
    <xf numFmtId="0" fontId="17" fillId="2" borderId="0" xfId="0" applyFont="1" applyFill="1" applyAlignment="1">
      <alignment horizontal="left" vertical="center"/>
    </xf>
    <xf numFmtId="0" fontId="18" fillId="0" borderId="0" xfId="0" applyFont="1" applyAlignment="1">
      <alignment horizontal="center" vertical="center"/>
    </xf>
    <xf numFmtId="0" fontId="11" fillId="4" borderId="1" xfId="0" applyFont="1" applyFill="1" applyBorder="1" applyAlignment="1">
      <alignment horizontal="center" vertical="center" wrapText="1"/>
    </xf>
    <xf numFmtId="0" fontId="19" fillId="5" borderId="1" xfId="0" applyFont="1" applyFill="1" applyBorder="1" applyAlignment="1" applyProtection="1">
      <alignment horizontal="center" vertical="center" wrapText="1"/>
      <protection locked="0"/>
    </xf>
    <xf numFmtId="1" fontId="19" fillId="5" borderId="1" xfId="0" applyNumberFormat="1" applyFont="1" applyFill="1" applyBorder="1" applyAlignment="1" applyProtection="1">
      <alignment horizontal="center" vertical="center" wrapText="1"/>
      <protection locked="0"/>
    </xf>
    <xf numFmtId="1" fontId="12" fillId="5" borderId="1" xfId="0" applyNumberFormat="1" applyFont="1" applyFill="1" applyBorder="1" applyAlignment="1" applyProtection="1">
      <alignment horizontal="center" vertical="center" wrapText="1"/>
      <protection locked="0"/>
    </xf>
    <xf numFmtId="0" fontId="12" fillId="5" borderId="13" xfId="0" applyFont="1" applyFill="1" applyBorder="1" applyAlignment="1" applyProtection="1">
      <alignment horizontal="left" vertical="center" wrapText="1"/>
      <protection locked="0"/>
    </xf>
    <xf numFmtId="0" fontId="12" fillId="5" borderId="4" xfId="0" applyFont="1" applyFill="1" applyBorder="1" applyAlignment="1" applyProtection="1">
      <alignment horizontal="left" vertical="center" wrapText="1"/>
      <protection locked="0"/>
    </xf>
    <xf numFmtId="0" fontId="15" fillId="4" borderId="1" xfId="2" applyFont="1" applyFill="1" applyBorder="1" applyAlignment="1">
      <alignment horizontal="left" vertical="top" wrapText="1" indent="1"/>
    </xf>
    <xf numFmtId="0" fontId="15" fillId="4" borderId="1" xfId="2" applyFont="1" applyFill="1" applyBorder="1" applyAlignment="1">
      <alignment horizontal="left" vertical="top" wrapText="1"/>
    </xf>
    <xf numFmtId="0" fontId="17" fillId="0" borderId="0" xfId="0" applyFont="1" applyAlignment="1">
      <alignment horizontal="left" vertical="center"/>
    </xf>
    <xf numFmtId="0" fontId="20" fillId="6" borderId="1" xfId="0" applyFont="1" applyFill="1" applyBorder="1" applyAlignment="1">
      <alignment horizontal="center" vertical="center"/>
    </xf>
    <xf numFmtId="0" fontId="21" fillId="6" borderId="1" xfId="0" applyFont="1" applyFill="1" applyBorder="1" applyAlignment="1">
      <alignment horizontal="center" vertical="center" wrapText="1"/>
    </xf>
    <xf numFmtId="0" fontId="21" fillId="6" borderId="1" xfId="0" applyFont="1" applyFill="1" applyBorder="1" applyAlignment="1">
      <alignment horizontal="center" vertical="center"/>
    </xf>
    <xf numFmtId="0" fontId="10" fillId="7" borderId="1" xfId="0" applyFont="1" applyFill="1" applyBorder="1" applyAlignment="1">
      <alignment horizontal="center" vertical="center" wrapText="1"/>
    </xf>
    <xf numFmtId="14" fontId="24" fillId="5" borderId="1" xfId="0" applyNumberFormat="1" applyFont="1" applyFill="1" applyBorder="1" applyAlignment="1" applyProtection="1">
      <alignment horizontal="center" vertical="center" wrapText="1"/>
      <protection locked="0"/>
    </xf>
    <xf numFmtId="0" fontId="6" fillId="0" borderId="0" xfId="0" applyFont="1"/>
    <xf numFmtId="0" fontId="23" fillId="0" borderId="0" xfId="0" applyFont="1" applyAlignment="1">
      <alignment vertical="center"/>
    </xf>
    <xf numFmtId="0" fontId="21" fillId="5" borderId="1" xfId="0" applyFont="1" applyFill="1" applyBorder="1" applyAlignment="1" applyProtection="1">
      <alignment horizontal="center" vertical="center" wrapText="1"/>
      <protection locked="0"/>
    </xf>
    <xf numFmtId="0" fontId="25" fillId="0" borderId="0" xfId="0" applyFont="1" applyAlignment="1">
      <alignment horizontal="right"/>
    </xf>
    <xf numFmtId="1" fontId="25" fillId="0" borderId="0" xfId="0" applyNumberFormat="1" applyFont="1"/>
    <xf numFmtId="0" fontId="6" fillId="0" borderId="1" xfId="2" applyFont="1" applyBorder="1" applyAlignment="1">
      <alignment horizontal="left" vertical="top" wrapText="1" indent="6"/>
    </xf>
    <xf numFmtId="0" fontId="6" fillId="0" borderId="0" xfId="0" applyFont="1" applyAlignment="1">
      <alignment horizontal="left"/>
    </xf>
    <xf numFmtId="0" fontId="15" fillId="4" borderId="1" xfId="2" applyFont="1" applyFill="1" applyBorder="1" applyAlignment="1">
      <alignment horizontal="left" vertical="top" wrapText="1" indent="4"/>
    </xf>
    <xf numFmtId="0" fontId="6" fillId="4" borderId="1" xfId="0" applyFont="1" applyFill="1" applyBorder="1" applyAlignment="1">
      <alignment horizontal="left" vertical="center"/>
    </xf>
    <xf numFmtId="0" fontId="26" fillId="0" borderId="0" xfId="0" applyFont="1"/>
    <xf numFmtId="166" fontId="12" fillId="5" borderId="1" xfId="0" applyNumberFormat="1" applyFont="1" applyFill="1" applyBorder="1" applyAlignment="1" applyProtection="1">
      <alignment horizontal="center" vertical="center" wrapText="1"/>
      <protection locked="0"/>
    </xf>
    <xf numFmtId="166" fontId="12" fillId="5" borderId="1" xfId="4" applyNumberFormat="1" applyFont="1" applyFill="1" applyBorder="1" applyAlignment="1" applyProtection="1">
      <alignment horizontal="center" vertical="center" wrapText="1"/>
      <protection locked="0"/>
    </xf>
    <xf numFmtId="1" fontId="12" fillId="5" borderId="1" xfId="0" applyNumberFormat="1" applyFont="1" applyFill="1" applyBorder="1" applyAlignment="1" applyProtection="1">
      <alignment vertical="center" wrapText="1"/>
      <protection locked="0"/>
    </xf>
    <xf numFmtId="0" fontId="12" fillId="0" borderId="0" xfId="0" applyFont="1" applyAlignment="1">
      <alignment horizontal="center" vertical="center"/>
    </xf>
    <xf numFmtId="0" fontId="27" fillId="0" borderId="0" xfId="0" applyFont="1" applyAlignment="1">
      <alignment horizontal="center" vertical="center"/>
    </xf>
    <xf numFmtId="0" fontId="28" fillId="0" borderId="0" xfId="0" applyFont="1" applyAlignment="1">
      <alignment horizontal="center" vertical="center"/>
    </xf>
    <xf numFmtId="0" fontId="21" fillId="4" borderId="1" xfId="0" applyFont="1" applyFill="1" applyBorder="1" applyAlignment="1">
      <alignment horizontal="center" vertical="center"/>
    </xf>
    <xf numFmtId="0" fontId="11" fillId="4" borderId="3" xfId="0" applyFont="1" applyFill="1" applyBorder="1" applyAlignment="1">
      <alignment horizontal="center" vertical="center"/>
    </xf>
    <xf numFmtId="0" fontId="11" fillId="4" borderId="15" xfId="0" applyFont="1" applyFill="1" applyBorder="1" applyAlignment="1">
      <alignment horizontal="center" vertical="center"/>
    </xf>
    <xf numFmtId="0" fontId="11" fillId="4" borderId="15" xfId="0" applyFont="1" applyFill="1" applyBorder="1" applyAlignment="1">
      <alignment horizontal="center" vertical="center" wrapText="1"/>
    </xf>
    <xf numFmtId="1" fontId="12" fillId="5" borderId="1" xfId="0" quotePrefix="1" applyNumberFormat="1" applyFont="1" applyFill="1" applyBorder="1" applyAlignment="1" applyProtection="1">
      <alignment horizontal="center" vertical="center" wrapText="1"/>
      <protection locked="0"/>
    </xf>
    <xf numFmtId="0" fontId="24" fillId="0" borderId="1" xfId="0" applyFont="1" applyBorder="1" applyAlignment="1">
      <alignment horizontal="left" vertical="top" wrapText="1"/>
    </xf>
    <xf numFmtId="0" fontId="2" fillId="0" borderId="1" xfId="0" applyFont="1" applyBorder="1" applyAlignment="1" applyProtection="1">
      <alignment horizontal="center" vertical="center"/>
      <protection locked="0"/>
    </xf>
    <xf numFmtId="0" fontId="2" fillId="0" borderId="1" xfId="0" applyFont="1" applyBorder="1" applyAlignment="1" applyProtection="1">
      <alignment horizontal="center" vertical="center" wrapText="1"/>
      <protection locked="0"/>
    </xf>
    <xf numFmtId="9" fontId="2" fillId="0" borderId="1" xfId="1" applyFont="1" applyBorder="1" applyAlignment="1" applyProtection="1">
      <alignment horizontal="center" vertical="center" wrapText="1"/>
      <protection locked="0"/>
    </xf>
    <xf numFmtId="9" fontId="2" fillId="0" borderId="1" xfId="1" applyFont="1" applyBorder="1" applyAlignment="1" applyProtection="1">
      <alignment horizontal="center" vertical="center"/>
      <protection locked="0"/>
    </xf>
    <xf numFmtId="0" fontId="33" fillId="0" borderId="1" xfId="0" applyFont="1" applyBorder="1" applyAlignment="1">
      <alignment horizontal="left" vertical="center" wrapText="1" readingOrder="1"/>
    </xf>
    <xf numFmtId="0" fontId="34" fillId="0" borderId="1" xfId="0" applyFont="1" applyBorder="1" applyAlignment="1">
      <alignment horizontal="center" vertical="top" wrapText="1"/>
    </xf>
    <xf numFmtId="0" fontId="33" fillId="0" borderId="1" xfId="0" applyFont="1" applyBorder="1" applyAlignment="1">
      <alignment horizontal="center" vertical="center" wrapText="1" readingOrder="1"/>
    </xf>
    <xf numFmtId="0" fontId="33" fillId="9" borderId="1" xfId="0" applyFont="1" applyFill="1" applyBorder="1" applyAlignment="1">
      <alignment horizontal="center" vertical="center" wrapText="1" readingOrder="1"/>
    </xf>
    <xf numFmtId="0" fontId="36" fillId="5" borderId="3" xfId="0" applyFont="1" applyFill="1" applyBorder="1" applyAlignment="1" applyProtection="1">
      <alignment horizontal="left" vertical="center" wrapText="1"/>
      <protection locked="0"/>
    </xf>
    <xf numFmtId="3" fontId="12" fillId="5" borderId="1" xfId="0" applyNumberFormat="1" applyFont="1" applyFill="1" applyBorder="1" applyAlignment="1" applyProtection="1">
      <alignment horizontal="center" vertical="center" wrapText="1"/>
      <protection locked="0"/>
    </xf>
    <xf numFmtId="0" fontId="2" fillId="0" borderId="0" xfId="0" applyFont="1" applyAlignment="1" applyProtection="1">
      <alignment horizontal="center" vertical="center" wrapText="1"/>
      <protection locked="0"/>
    </xf>
    <xf numFmtId="0" fontId="11" fillId="4" borderId="1" xfId="0" applyFont="1" applyFill="1" applyBorder="1" applyAlignment="1">
      <alignment horizontal="left" vertical="center" wrapText="1"/>
    </xf>
    <xf numFmtId="0" fontId="12" fillId="5" borderId="3" xfId="0" applyFont="1" applyFill="1" applyBorder="1" applyAlignment="1" applyProtection="1">
      <alignment horizontal="left" vertical="center" wrapText="1"/>
      <protection locked="0"/>
    </xf>
    <xf numFmtId="0" fontId="12" fillId="5" borderId="13" xfId="0" applyFont="1" applyFill="1" applyBorder="1" applyAlignment="1" applyProtection="1">
      <alignment horizontal="left" vertical="center" wrapText="1"/>
      <protection locked="0"/>
    </xf>
    <xf numFmtId="0" fontId="12" fillId="5" borderId="4" xfId="0" applyFont="1" applyFill="1" applyBorder="1" applyAlignment="1" applyProtection="1">
      <alignment horizontal="left" vertical="center" wrapText="1"/>
      <protection locked="0"/>
    </xf>
    <xf numFmtId="0" fontId="36" fillId="5" borderId="3" xfId="0" applyFont="1" applyFill="1" applyBorder="1" applyAlignment="1" applyProtection="1">
      <alignment horizontal="left" vertical="center" wrapText="1"/>
      <protection locked="0"/>
    </xf>
    <xf numFmtId="0" fontId="11" fillId="4" borderId="3" xfId="0" applyFont="1" applyFill="1" applyBorder="1" applyAlignment="1">
      <alignment vertical="center" wrapText="1"/>
    </xf>
    <xf numFmtId="0" fontId="11" fillId="4" borderId="4" xfId="0" applyFont="1" applyFill="1" applyBorder="1" applyAlignment="1">
      <alignment vertical="center" wrapText="1"/>
    </xf>
    <xf numFmtId="0" fontId="12" fillId="8" borderId="1" xfId="0" applyFont="1" applyFill="1" applyBorder="1" applyAlignment="1">
      <alignment horizontal="center" vertical="center" wrapText="1"/>
    </xf>
    <xf numFmtId="0" fontId="11" fillId="4" borderId="1" xfId="0" applyFont="1" applyFill="1" applyBorder="1" applyAlignment="1">
      <alignment horizontal="center" vertical="center"/>
    </xf>
    <xf numFmtId="0" fontId="10" fillId="7" borderId="1" xfId="0" applyFont="1" applyFill="1" applyBorder="1" applyAlignment="1">
      <alignment horizontal="center" vertical="center" wrapText="1"/>
    </xf>
    <xf numFmtId="0" fontId="14" fillId="4" borderId="16" xfId="0" applyFont="1" applyFill="1" applyBorder="1" applyAlignment="1">
      <alignment horizontal="center" vertical="center" wrapText="1"/>
    </xf>
    <xf numFmtId="0" fontId="14" fillId="4" borderId="17" xfId="0" applyFont="1" applyFill="1" applyBorder="1" applyAlignment="1">
      <alignment horizontal="center" vertical="center" wrapText="1"/>
    </xf>
    <xf numFmtId="0" fontId="14" fillId="4" borderId="18" xfId="0" applyFont="1" applyFill="1" applyBorder="1" applyAlignment="1">
      <alignment horizontal="center" vertical="center" wrapText="1"/>
    </xf>
    <xf numFmtId="0" fontId="14" fillId="4" borderId="0" xfId="0" applyFont="1" applyFill="1" applyAlignment="1">
      <alignment horizontal="center" vertical="center" wrapText="1"/>
    </xf>
    <xf numFmtId="0" fontId="14" fillId="4" borderId="19" xfId="0" applyFont="1" applyFill="1" applyBorder="1" applyAlignment="1">
      <alignment horizontal="center" vertical="center" wrapText="1"/>
    </xf>
    <xf numFmtId="0" fontId="14" fillId="4" borderId="20" xfId="0" applyFont="1" applyFill="1" applyBorder="1" applyAlignment="1">
      <alignment horizontal="center" vertical="center" wrapText="1"/>
    </xf>
    <xf numFmtId="0" fontId="11" fillId="4" borderId="14" xfId="0" applyFont="1" applyFill="1" applyBorder="1" applyAlignment="1">
      <alignment horizontal="center" vertical="center"/>
    </xf>
    <xf numFmtId="0" fontId="35" fillId="0" borderId="1" xfId="0" applyFont="1" applyBorder="1" applyAlignment="1">
      <alignment horizontal="center" vertical="center" wrapText="1" readingOrder="1"/>
    </xf>
    <xf numFmtId="0" fontId="35" fillId="9" borderId="1" xfId="0" applyFont="1" applyFill="1" applyBorder="1" applyAlignment="1">
      <alignment horizontal="center" vertical="center" wrapText="1" readingOrder="1"/>
    </xf>
    <xf numFmtId="0" fontId="34" fillId="0" borderId="3" xfId="0" applyFont="1" applyBorder="1" applyAlignment="1">
      <alignment vertical="top" wrapText="1"/>
    </xf>
    <xf numFmtId="0" fontId="34" fillId="0" borderId="13" xfId="0" applyFont="1" applyBorder="1" applyAlignment="1">
      <alignment vertical="top" wrapText="1"/>
    </xf>
    <xf numFmtId="0" fontId="34" fillId="0" borderId="4" xfId="0" applyFont="1" applyBorder="1" applyAlignment="1">
      <alignment vertical="top" wrapText="1"/>
    </xf>
    <xf numFmtId="0" fontId="34" fillId="9" borderId="3" xfId="0" applyFont="1" applyFill="1" applyBorder="1" applyAlignment="1">
      <alignment vertical="top" wrapText="1"/>
    </xf>
    <xf numFmtId="0" fontId="34" fillId="9" borderId="13" xfId="0" applyFont="1" applyFill="1" applyBorder="1" applyAlignment="1">
      <alignment vertical="top" wrapText="1"/>
    </xf>
    <xf numFmtId="0" fontId="34" fillId="9" borderId="4" xfId="0" applyFont="1" applyFill="1" applyBorder="1" applyAlignment="1">
      <alignment vertical="top" wrapText="1"/>
    </xf>
    <xf numFmtId="0" fontId="14" fillId="4" borderId="1" xfId="0" applyFont="1" applyFill="1" applyBorder="1" applyAlignment="1">
      <alignment horizontal="center" vertical="center" wrapText="1"/>
    </xf>
  </cellXfs>
  <cellStyles count="5">
    <cellStyle name="Comma [0] 2" xfId="4" xr:uid="{286E3D10-827B-F54C-817D-B29004B17F97}"/>
    <cellStyle name="Hyperlink" xfId="3" builtinId="8"/>
    <cellStyle name="Normal" xfId="0" builtinId="0"/>
    <cellStyle name="Normal 2" xfId="2" xr:uid="{C3243E13-6EF8-E042-BC12-751DCDBFECFE}"/>
    <cellStyle name="Percent" xfId="1" builtinId="5"/>
  </cellStyles>
  <dxfs count="69">
    <dxf>
      <font>
        <strike val="0"/>
        <color theme="1"/>
      </font>
      <fill>
        <patternFill>
          <fgColor auto="1"/>
          <bgColor theme="0"/>
        </patternFill>
      </fill>
    </dxf>
    <dxf>
      <font>
        <b/>
        <i val="0"/>
        <color rgb="FFFF0000"/>
      </font>
      <fill>
        <patternFill patternType="solid">
          <bgColor theme="0"/>
        </patternFill>
      </fill>
    </dxf>
    <dxf>
      <font>
        <b/>
        <i val="0"/>
        <color rgb="FF00B050"/>
      </font>
      <fill>
        <patternFill patternType="solid">
          <bgColor theme="0"/>
        </patternFill>
      </fill>
    </dxf>
    <dxf>
      <font>
        <strike val="0"/>
        <color theme="1"/>
      </font>
      <fill>
        <patternFill>
          <fgColor auto="1"/>
          <bgColor theme="0"/>
        </patternFill>
      </fill>
    </dxf>
    <dxf>
      <font>
        <b/>
        <i val="0"/>
        <color rgb="FFFF0000"/>
      </font>
      <fill>
        <patternFill patternType="solid">
          <bgColor theme="0"/>
        </patternFill>
      </fill>
    </dxf>
    <dxf>
      <font>
        <b/>
        <i val="0"/>
        <color rgb="FF00B050"/>
      </font>
      <fill>
        <patternFill patternType="solid">
          <bgColor theme="0"/>
        </patternFill>
      </fill>
    </dxf>
    <dxf>
      <font>
        <strike val="0"/>
        <color theme="1"/>
      </font>
      <fill>
        <patternFill>
          <fgColor auto="1"/>
          <bgColor theme="0"/>
        </patternFill>
      </fill>
    </dxf>
    <dxf>
      <font>
        <b/>
        <i val="0"/>
        <color rgb="FFFF0000"/>
      </font>
      <fill>
        <patternFill patternType="solid">
          <bgColor theme="0"/>
        </patternFill>
      </fill>
    </dxf>
    <dxf>
      <font>
        <b/>
        <i val="0"/>
        <color rgb="FF00B050"/>
      </font>
      <fill>
        <patternFill patternType="solid">
          <bgColor theme="0"/>
        </patternFill>
      </fill>
    </dxf>
    <dxf>
      <font>
        <strike val="0"/>
        <color theme="1"/>
      </font>
      <fill>
        <patternFill>
          <fgColor auto="1"/>
          <bgColor theme="0"/>
        </patternFill>
      </fill>
    </dxf>
    <dxf>
      <font>
        <b/>
        <i val="0"/>
        <color rgb="FFFF0000"/>
      </font>
      <fill>
        <patternFill patternType="solid">
          <bgColor theme="0"/>
        </patternFill>
      </fill>
    </dxf>
    <dxf>
      <font>
        <b/>
        <i val="0"/>
        <color rgb="FF00B050"/>
      </font>
      <fill>
        <patternFill patternType="solid">
          <bgColor theme="0"/>
        </patternFill>
      </fill>
    </dxf>
    <dxf>
      <font>
        <strike val="0"/>
        <color theme="1"/>
      </font>
      <fill>
        <patternFill>
          <fgColor auto="1"/>
          <bgColor theme="0"/>
        </patternFill>
      </fill>
    </dxf>
    <dxf>
      <font>
        <b/>
        <i val="0"/>
        <color rgb="FFFF0000"/>
      </font>
      <fill>
        <patternFill patternType="solid">
          <bgColor theme="0"/>
        </patternFill>
      </fill>
    </dxf>
    <dxf>
      <font>
        <b/>
        <i val="0"/>
        <color rgb="FF00B050"/>
      </font>
      <fill>
        <patternFill patternType="solid">
          <bgColor theme="0"/>
        </patternFill>
      </fill>
    </dxf>
    <dxf>
      <font>
        <strike val="0"/>
        <color theme="1"/>
      </font>
      <fill>
        <patternFill>
          <fgColor auto="1"/>
          <bgColor theme="0"/>
        </patternFill>
      </fill>
    </dxf>
    <dxf>
      <font>
        <b/>
        <i val="0"/>
        <color rgb="FFFF0000"/>
      </font>
      <fill>
        <patternFill patternType="solid">
          <bgColor theme="0"/>
        </patternFill>
      </fill>
    </dxf>
    <dxf>
      <font>
        <b/>
        <i val="0"/>
        <color rgb="FF00B050"/>
      </font>
      <fill>
        <patternFill patternType="solid">
          <bgColor theme="0"/>
        </patternFill>
      </fill>
    </dxf>
    <dxf>
      <font>
        <strike val="0"/>
        <color theme="1"/>
      </font>
      <fill>
        <patternFill>
          <fgColor auto="1"/>
          <bgColor theme="0"/>
        </patternFill>
      </fill>
    </dxf>
    <dxf>
      <font>
        <b/>
        <i val="0"/>
        <color rgb="FFFF0000"/>
      </font>
      <fill>
        <patternFill patternType="solid">
          <bgColor theme="0"/>
        </patternFill>
      </fill>
    </dxf>
    <dxf>
      <font>
        <b/>
        <i val="0"/>
        <color rgb="FF00B050"/>
      </font>
      <fill>
        <patternFill patternType="solid">
          <bgColor theme="0"/>
        </patternFill>
      </fill>
    </dxf>
    <dxf>
      <font>
        <strike val="0"/>
        <color theme="1"/>
      </font>
      <fill>
        <patternFill>
          <fgColor auto="1"/>
          <bgColor theme="0"/>
        </patternFill>
      </fill>
    </dxf>
    <dxf>
      <font>
        <b/>
        <i val="0"/>
        <color rgb="FFFF0000"/>
      </font>
      <fill>
        <patternFill patternType="solid">
          <bgColor theme="0"/>
        </patternFill>
      </fill>
    </dxf>
    <dxf>
      <font>
        <b/>
        <i val="0"/>
        <color rgb="FF00B050"/>
      </font>
      <fill>
        <patternFill patternType="solid">
          <bgColor theme="0"/>
        </patternFill>
      </fill>
    </dxf>
    <dxf>
      <font>
        <strike val="0"/>
        <color theme="1"/>
      </font>
      <fill>
        <patternFill>
          <fgColor auto="1"/>
          <bgColor theme="0"/>
        </patternFill>
      </fill>
    </dxf>
    <dxf>
      <font>
        <b/>
        <i val="0"/>
        <color rgb="FFFF0000"/>
      </font>
      <fill>
        <patternFill patternType="solid">
          <bgColor theme="0"/>
        </patternFill>
      </fill>
    </dxf>
    <dxf>
      <font>
        <b/>
        <i val="0"/>
        <color rgb="FF00B050"/>
      </font>
      <fill>
        <patternFill patternType="solid">
          <bgColor theme="0"/>
        </patternFill>
      </fill>
    </dxf>
    <dxf>
      <font>
        <strike val="0"/>
        <color theme="1"/>
      </font>
      <fill>
        <patternFill>
          <fgColor auto="1"/>
          <bgColor theme="0"/>
        </patternFill>
      </fill>
    </dxf>
    <dxf>
      <font>
        <b/>
        <i val="0"/>
        <color rgb="FFFF0000"/>
      </font>
      <fill>
        <patternFill patternType="solid">
          <bgColor theme="0"/>
        </patternFill>
      </fill>
    </dxf>
    <dxf>
      <font>
        <b/>
        <i val="0"/>
        <color rgb="FF00B050"/>
      </font>
      <fill>
        <patternFill patternType="solid">
          <bgColor theme="0"/>
        </patternFill>
      </fill>
    </dxf>
    <dxf>
      <font>
        <strike val="0"/>
        <color theme="1"/>
      </font>
      <fill>
        <patternFill>
          <fgColor auto="1"/>
          <bgColor theme="0"/>
        </patternFill>
      </fill>
    </dxf>
    <dxf>
      <font>
        <b/>
        <i val="0"/>
        <color rgb="FFFF0000"/>
      </font>
      <fill>
        <patternFill patternType="solid">
          <bgColor theme="0"/>
        </patternFill>
      </fill>
    </dxf>
    <dxf>
      <font>
        <b/>
        <i val="0"/>
        <color rgb="FF00B050"/>
      </font>
      <fill>
        <patternFill patternType="solid">
          <bgColor theme="0"/>
        </patternFill>
      </fill>
    </dxf>
    <dxf>
      <font>
        <strike val="0"/>
        <color theme="1"/>
      </font>
      <fill>
        <patternFill>
          <fgColor auto="1"/>
          <bgColor theme="0"/>
        </patternFill>
      </fill>
    </dxf>
    <dxf>
      <font>
        <b/>
        <i val="0"/>
        <color rgb="FFFF0000"/>
      </font>
      <fill>
        <patternFill patternType="solid">
          <bgColor theme="0"/>
        </patternFill>
      </fill>
    </dxf>
    <dxf>
      <font>
        <b/>
        <i val="0"/>
        <color rgb="FF00B050"/>
      </font>
      <fill>
        <patternFill patternType="solid">
          <bgColor theme="0"/>
        </patternFill>
      </fill>
    </dxf>
    <dxf>
      <font>
        <strike val="0"/>
        <color theme="1"/>
      </font>
      <fill>
        <patternFill>
          <fgColor auto="1"/>
          <bgColor theme="0"/>
        </patternFill>
      </fill>
    </dxf>
    <dxf>
      <font>
        <b/>
        <i val="0"/>
        <color rgb="FFFF0000"/>
      </font>
      <fill>
        <patternFill patternType="solid">
          <bgColor theme="0"/>
        </patternFill>
      </fill>
    </dxf>
    <dxf>
      <font>
        <b/>
        <i val="0"/>
        <color rgb="FF00B050"/>
      </font>
      <fill>
        <patternFill patternType="solid">
          <bgColor theme="0"/>
        </patternFill>
      </fill>
    </dxf>
    <dxf>
      <font>
        <strike val="0"/>
        <color theme="1"/>
      </font>
      <fill>
        <patternFill>
          <fgColor auto="1"/>
          <bgColor theme="0"/>
        </patternFill>
      </fill>
    </dxf>
    <dxf>
      <font>
        <b/>
        <i val="0"/>
        <color rgb="FFFF0000"/>
      </font>
      <fill>
        <patternFill patternType="solid">
          <bgColor theme="0"/>
        </patternFill>
      </fill>
    </dxf>
    <dxf>
      <font>
        <b/>
        <i val="0"/>
        <color rgb="FF00B050"/>
      </font>
      <fill>
        <patternFill patternType="solid">
          <bgColor theme="0"/>
        </patternFill>
      </fill>
    </dxf>
    <dxf>
      <font>
        <strike val="0"/>
        <color theme="1"/>
      </font>
      <fill>
        <patternFill>
          <fgColor auto="1"/>
          <bgColor theme="0"/>
        </patternFill>
      </fill>
    </dxf>
    <dxf>
      <font>
        <b/>
        <i val="0"/>
        <color rgb="FFFF0000"/>
      </font>
      <fill>
        <patternFill patternType="solid">
          <bgColor theme="0"/>
        </patternFill>
      </fill>
    </dxf>
    <dxf>
      <font>
        <b/>
        <i val="0"/>
        <color rgb="FF00B050"/>
      </font>
      <fill>
        <patternFill patternType="solid">
          <bgColor theme="0"/>
        </patternFill>
      </fill>
    </dxf>
    <dxf>
      <font>
        <strike val="0"/>
        <color theme="1"/>
      </font>
      <fill>
        <patternFill>
          <fgColor auto="1"/>
          <bgColor theme="0"/>
        </patternFill>
      </fill>
    </dxf>
    <dxf>
      <font>
        <b/>
        <i val="0"/>
        <color rgb="FFFF0000"/>
      </font>
      <fill>
        <patternFill patternType="solid">
          <bgColor theme="0"/>
        </patternFill>
      </fill>
    </dxf>
    <dxf>
      <font>
        <b/>
        <i val="0"/>
        <color rgb="FF00B050"/>
      </font>
      <fill>
        <patternFill patternType="solid">
          <bgColor theme="0"/>
        </patternFill>
      </fill>
    </dxf>
    <dxf>
      <font>
        <strike val="0"/>
        <color theme="1"/>
      </font>
      <fill>
        <patternFill>
          <fgColor auto="1"/>
          <bgColor theme="0"/>
        </patternFill>
      </fill>
    </dxf>
    <dxf>
      <font>
        <b/>
        <i val="0"/>
        <color rgb="FFFF0000"/>
      </font>
      <fill>
        <patternFill patternType="solid">
          <bgColor theme="0"/>
        </patternFill>
      </fill>
    </dxf>
    <dxf>
      <font>
        <b/>
        <i val="0"/>
        <color rgb="FF00B050"/>
      </font>
      <fill>
        <patternFill patternType="solid">
          <bgColor theme="0"/>
        </patternFill>
      </fill>
    </dxf>
    <dxf>
      <font>
        <strike val="0"/>
        <color theme="1"/>
      </font>
      <fill>
        <patternFill>
          <fgColor auto="1"/>
          <bgColor theme="0"/>
        </patternFill>
      </fill>
    </dxf>
    <dxf>
      <font>
        <b/>
        <i val="0"/>
        <color rgb="FFFF0000"/>
      </font>
      <fill>
        <patternFill patternType="solid">
          <bgColor theme="0"/>
        </patternFill>
      </fill>
    </dxf>
    <dxf>
      <font>
        <b/>
        <i val="0"/>
        <color rgb="FF00B050"/>
      </font>
      <fill>
        <patternFill patternType="solid">
          <bgColor theme="0"/>
        </patternFill>
      </fill>
    </dxf>
    <dxf>
      <font>
        <strike val="0"/>
        <color theme="1"/>
      </font>
      <fill>
        <patternFill>
          <bgColor theme="0"/>
        </patternFill>
      </fill>
    </dxf>
    <dxf>
      <font>
        <strike val="0"/>
        <color theme="1"/>
      </font>
      <fill>
        <patternFill>
          <bgColor theme="0"/>
        </patternFill>
      </fill>
    </dxf>
    <dxf>
      <font>
        <strike val="0"/>
        <color theme="1"/>
      </font>
      <fill>
        <patternFill>
          <bgColor theme="0"/>
        </patternFill>
      </fill>
    </dxf>
    <dxf>
      <font>
        <strike val="0"/>
        <color theme="1"/>
      </font>
      <fill>
        <patternFill>
          <bgColor theme="0"/>
        </patternFill>
      </fill>
    </dxf>
    <dxf>
      <font>
        <strike val="0"/>
        <color theme="1"/>
      </font>
      <fill>
        <patternFill>
          <bgColor theme="0"/>
        </patternFill>
      </fill>
    </dxf>
    <dxf>
      <font>
        <strike val="0"/>
        <color theme="1"/>
      </font>
      <fill>
        <patternFill>
          <bgColor theme="0"/>
        </patternFill>
      </fill>
    </dxf>
    <dxf>
      <fill>
        <patternFill>
          <bgColor rgb="FFD9E1F2"/>
        </patternFill>
      </fill>
    </dxf>
    <dxf>
      <font>
        <strike val="0"/>
        <color theme="1"/>
      </font>
      <fill>
        <patternFill>
          <bgColor theme="0"/>
        </patternFill>
      </fill>
    </dxf>
    <dxf>
      <font>
        <strike val="0"/>
        <color theme="1"/>
      </font>
      <fill>
        <patternFill>
          <bgColor theme="0"/>
        </patternFill>
      </fill>
    </dxf>
    <dxf>
      <font>
        <strike val="0"/>
        <color theme="1"/>
      </font>
      <fill>
        <patternFill>
          <bgColor theme="0"/>
        </patternFill>
      </fill>
    </dxf>
    <dxf>
      <font>
        <color theme="1"/>
      </font>
      <fill>
        <patternFill>
          <bgColor theme="0"/>
        </patternFill>
      </fill>
    </dxf>
    <dxf>
      <font>
        <strike val="0"/>
        <color theme="1"/>
      </font>
      <fill>
        <patternFill>
          <fgColor auto="1"/>
          <bgColor theme="0"/>
        </patternFill>
      </fill>
    </dxf>
    <dxf>
      <font>
        <strike val="0"/>
        <color theme="1"/>
      </font>
      <fill>
        <patternFill>
          <fgColor auto="1"/>
          <bgColor theme="0"/>
        </patternFill>
      </fill>
    </dxf>
    <dxf>
      <font>
        <b/>
        <i val="0"/>
        <color rgb="FFFF0000"/>
      </font>
      <fill>
        <patternFill patternType="solid">
          <bgColor theme="0"/>
        </patternFill>
      </fill>
    </dxf>
    <dxf>
      <font>
        <b/>
        <i val="0"/>
        <color rgb="FF00B050"/>
      </font>
      <fill>
        <patternFill patternType="solid">
          <bgColor theme="0"/>
        </patternFill>
      </fill>
    </dxf>
  </dxfs>
  <tableStyles count="0" defaultTableStyle="TableStyleMedium2" defaultPivotStyle="PivotStyleLight16"/>
  <colors>
    <mruColors>
      <color rgb="FF4F81B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customXml" Target="../customXml/item3.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17/10/relationships/person" Target="persons/person.xml"/><Relationship Id="rId2" Type="http://schemas.openxmlformats.org/officeDocument/2006/relationships/worksheet" Target="worksheets/sheet2.xml"/><Relationship Id="rId16" Type="http://schemas.openxmlformats.org/officeDocument/2006/relationships/sharedStrings" Target="sharedStrings.xml"/><Relationship Id="rId20"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documenttasks/documenttask1.xml><?xml version="1.0" encoding="utf-8"?>
<Tasks xmlns="http://schemas.microsoft.com/office/tasks/2019/documenttasks">
  <Task id="{1CEA4EC5-B898-4DA2-AF34-8383DE929DA8}">
    <Anchor>
      <Comment id="{111CE81E-CA4D-44F6-9F96-A1946F95C3E4}"/>
    </Anchor>
    <History>
      <Event time="2025-06-12T08:59:56.06" id="{67E1C639-B670-44C4-97BD-4B57870C530E}">
        <Attribution userId="S::tommyzcpeng@fih-foxconn.com::1a787e20-e38c-4961-b195-d1212da4bbe2" userName="TommyZCPeng(彭自強)" userProvider="AD"/>
        <Anchor>
          <Comment id="{111CE81E-CA4D-44F6-9F96-A1946F95C3E4}"/>
        </Anchor>
        <Create/>
      </Event>
      <Event time="2025-06-12T08:59:56.06" id="{2481ECB8-57B2-4E3B-B5B8-D96222919CF5}">
        <Attribution userId="S::tommyzcpeng@fih-foxconn.com::1a787e20-e38c-4961-b195-d1212da4bbe2" userName="TommyZCPeng(彭自強)" userProvider="AD"/>
        <Anchor>
          <Comment id="{111CE81E-CA4D-44F6-9F96-A1946F95C3E4}"/>
        </Anchor>
        <Assign userId="S::SabcatTLShih@fih-foxconn.com::0357d678-2738-4903-ab52-f919fe4dcbc1" userName="SabcatTLShih(時定樑)" userProvider="AD"/>
      </Event>
      <Event time="2025-06-12T08:59:56.06" id="{D4ADC673-C552-4BDB-AD9C-31EF697CAB3F}">
        <Attribution userId="S::tommyzcpeng@fih-foxconn.com::1a787e20-e38c-4961-b195-d1212da4bbe2" userName="TommyZCPeng(彭自強)" userProvider="AD"/>
        <Anchor>
          <Comment id="{111CE81E-CA4D-44F6-9F96-A1946F95C3E4}"/>
        </Anchor>
        <SetTitle title="@SabcatTLShih(時定樑)"/>
      </Event>
    </History>
  </Task>
</Tasks>
</file>

<file path=xl/drawings/_rels/drawing2.xml.rels><?xml version="1.0" encoding="UTF-8" standalone="yes"?>
<Relationships xmlns="http://schemas.openxmlformats.org/package/2006/relationships"><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xdr:twoCellAnchor>
    <xdr:from>
      <xdr:col>1</xdr:col>
      <xdr:colOff>1266825</xdr:colOff>
      <xdr:row>1</xdr:row>
      <xdr:rowOff>114300</xdr:rowOff>
    </xdr:from>
    <xdr:to>
      <xdr:col>1</xdr:col>
      <xdr:colOff>2609850</xdr:colOff>
      <xdr:row>1</xdr:row>
      <xdr:rowOff>428625</xdr:rowOff>
    </xdr:to>
    <xdr:sp macro="" textlink="">
      <xdr:nvSpPr>
        <xdr:cNvPr id="3" name="文字方塊 2">
          <a:extLst>
            <a:ext uri="{FF2B5EF4-FFF2-40B4-BE49-F238E27FC236}">
              <a16:creationId xmlns:a16="http://schemas.microsoft.com/office/drawing/2014/main" id="{5998BAD2-BF1E-43EA-AB3E-57B014928780}"/>
            </a:ext>
            <a:ext uri="{147F2762-F138-4A5C-976F-8EAC2B608ADB}">
              <a16:predDERef xmlns:a16="http://schemas.microsoft.com/office/drawing/2014/main" pred="{700EBB36-4D40-4E05-A7FA-44D3E80B9603}"/>
            </a:ext>
          </a:extLst>
        </xdr:cNvPr>
        <xdr:cNvSpPr txBox="1"/>
      </xdr:nvSpPr>
      <xdr:spPr>
        <a:xfrm>
          <a:off x="1581150" y="962025"/>
          <a:ext cx="1343025" cy="314325"/>
        </a:xfrm>
        <a:prstGeom prst="rect">
          <a:avLst/>
        </a:prstGeom>
        <a:solidFill>
          <a:schemeClr val="accent5">
            <a:lumMod val="20000"/>
            <a:lumOff val="80000"/>
          </a:schemeClr>
        </a:solidFill>
        <a:ln w="9525" cmpd="sng">
          <a:solidFill>
            <a:schemeClr val="lt1">
              <a:shade val="50000"/>
            </a:schemeClr>
          </a:solidFill>
        </a:ln>
      </xdr:spPr>
      <xdr:txBody>
        <a:bodyPr rot="0" spcFirstLastPara="0" vert="horz" wrap="square" lIns="91440" tIns="45720" rIns="91440" bIns="45720" numCol="1" spcCol="0" rtlCol="0" fromWordArt="0" anchor="ctr"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marR="0" indent="0" algn="ctr">
            <a:lnSpc>
              <a:spcPct val="100000"/>
            </a:lnSpc>
            <a:spcBef>
              <a:spcPts val="0"/>
            </a:spcBef>
            <a:spcAft>
              <a:spcPts val="0"/>
            </a:spcAft>
          </a:pPr>
          <a:r>
            <a:rPr lang="en-US" sz="1100" b="0"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rPr>
            <a:t>India Chennai</a:t>
          </a:r>
        </a:p>
      </xdr:txBody>
    </xdr:sp>
    <xdr:clientData/>
  </xdr:twoCellAnchor>
  <xdr:twoCellAnchor>
    <xdr:from>
      <xdr:col>1</xdr:col>
      <xdr:colOff>1266825</xdr:colOff>
      <xdr:row>17</xdr:row>
      <xdr:rowOff>104775</xdr:rowOff>
    </xdr:from>
    <xdr:to>
      <xdr:col>1</xdr:col>
      <xdr:colOff>2609850</xdr:colOff>
      <xdr:row>17</xdr:row>
      <xdr:rowOff>419100</xdr:rowOff>
    </xdr:to>
    <xdr:sp macro="" textlink="">
      <xdr:nvSpPr>
        <xdr:cNvPr id="5" name="文字方塊 4">
          <a:extLst>
            <a:ext uri="{FF2B5EF4-FFF2-40B4-BE49-F238E27FC236}">
              <a16:creationId xmlns:a16="http://schemas.microsoft.com/office/drawing/2014/main" id="{C77966BF-2196-4B61-A7B9-A86A8F458A26}"/>
            </a:ext>
            <a:ext uri="{147F2762-F138-4A5C-976F-8EAC2B608ADB}">
              <a16:predDERef xmlns:a16="http://schemas.microsoft.com/office/drawing/2014/main" pred="{30E90612-291A-4E6B-BFAC-2343B953DA33}"/>
            </a:ext>
          </a:extLst>
        </xdr:cNvPr>
        <xdr:cNvSpPr txBox="1"/>
      </xdr:nvSpPr>
      <xdr:spPr>
        <a:xfrm>
          <a:off x="1581150" y="8467725"/>
          <a:ext cx="1343025" cy="314325"/>
        </a:xfrm>
        <a:prstGeom prst="rect">
          <a:avLst/>
        </a:prstGeom>
        <a:solidFill>
          <a:schemeClr val="accent5">
            <a:lumMod val="20000"/>
            <a:lumOff val="80000"/>
          </a:schemeClr>
        </a:solidFill>
        <a:ln w="9525" cmpd="sng">
          <a:solidFill>
            <a:schemeClr val="lt1">
              <a:shade val="50000"/>
            </a:schemeClr>
          </a:solidFill>
        </a:ln>
      </xdr:spPr>
      <xdr:txBody>
        <a:bodyPr rot="0" spcFirstLastPara="0" vert="horz" wrap="square" lIns="91440" tIns="45720" rIns="91440" bIns="45720" numCol="1" spcCol="0" rtlCol="0" fromWordArt="0" anchor="ctr"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marR="0" indent="0" algn="ctr">
            <a:lnSpc>
              <a:spcPct val="100000"/>
            </a:lnSpc>
            <a:spcBef>
              <a:spcPts val="0"/>
            </a:spcBef>
            <a:spcAft>
              <a:spcPts val="0"/>
            </a:spcAft>
          </a:pPr>
          <a:r>
            <a:rPr lang="en-US" sz="1100" b="0"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rPr>
            <a:t>China LangFang</a:t>
          </a:r>
        </a:p>
      </xdr:txBody>
    </xdr:sp>
    <xdr:clientData/>
  </xdr:twoCellAnchor>
  <xdr:twoCellAnchor>
    <xdr:from>
      <xdr:col>1</xdr:col>
      <xdr:colOff>1333500</xdr:colOff>
      <xdr:row>33</xdr:row>
      <xdr:rowOff>57150</xdr:rowOff>
    </xdr:from>
    <xdr:to>
      <xdr:col>1</xdr:col>
      <xdr:colOff>2676525</xdr:colOff>
      <xdr:row>33</xdr:row>
      <xdr:rowOff>371475</xdr:rowOff>
    </xdr:to>
    <xdr:sp macro="" textlink="">
      <xdr:nvSpPr>
        <xdr:cNvPr id="6" name="文字方塊 5">
          <a:extLst>
            <a:ext uri="{FF2B5EF4-FFF2-40B4-BE49-F238E27FC236}">
              <a16:creationId xmlns:a16="http://schemas.microsoft.com/office/drawing/2014/main" id="{23681C63-539B-47A4-9FD3-EE35A74D5497}"/>
            </a:ext>
            <a:ext uri="{147F2762-F138-4A5C-976F-8EAC2B608ADB}">
              <a16:predDERef xmlns:a16="http://schemas.microsoft.com/office/drawing/2014/main" pred="{C77966BF-2196-4B61-A7B9-A86A8F458A26}"/>
            </a:ext>
          </a:extLst>
        </xdr:cNvPr>
        <xdr:cNvSpPr txBox="1"/>
      </xdr:nvSpPr>
      <xdr:spPr>
        <a:xfrm>
          <a:off x="1647825" y="15916275"/>
          <a:ext cx="1343025" cy="314325"/>
        </a:xfrm>
        <a:prstGeom prst="rect">
          <a:avLst/>
        </a:prstGeom>
        <a:solidFill>
          <a:schemeClr val="accent5">
            <a:lumMod val="20000"/>
            <a:lumOff val="80000"/>
          </a:schemeClr>
        </a:solidFill>
        <a:ln w="9525" cmpd="sng">
          <a:solidFill>
            <a:schemeClr val="lt1">
              <a:shade val="50000"/>
            </a:schemeClr>
          </a:solidFill>
        </a:ln>
      </xdr:spPr>
      <xdr:txBody>
        <a:bodyPr rot="0" spcFirstLastPara="0" vert="horz" wrap="square" lIns="91440" tIns="45720" rIns="91440" bIns="45720" numCol="1" spcCol="0" rtlCol="0" fromWordArt="0" anchor="ctr"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marR="0" indent="0" algn="ctr">
            <a:lnSpc>
              <a:spcPct val="100000"/>
            </a:lnSpc>
            <a:spcBef>
              <a:spcPts val="0"/>
            </a:spcBef>
            <a:spcAft>
              <a:spcPts val="0"/>
            </a:spcAft>
          </a:pPr>
          <a:r>
            <a:rPr lang="en-US" sz="1100" b="0"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rPr>
            <a:t>Taiwan</a:t>
          </a:r>
        </a:p>
      </xdr:txBody>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390525</xdr:colOff>
      <xdr:row>4</xdr:row>
      <xdr:rowOff>552450</xdr:rowOff>
    </xdr:from>
    <xdr:to>
      <xdr:col>9</xdr:col>
      <xdr:colOff>104775</xdr:colOff>
      <xdr:row>124</xdr:row>
      <xdr:rowOff>104775</xdr:rowOff>
    </xdr:to>
    <xdr:pic>
      <xdr:nvPicPr>
        <xdr:cNvPr id="3" name="圖片 2">
          <a:extLst>
            <a:ext uri="{FF2B5EF4-FFF2-40B4-BE49-F238E27FC236}">
              <a16:creationId xmlns:a16="http://schemas.microsoft.com/office/drawing/2014/main" id="{F544E842-2989-4896-AF1C-E8E6E693CA0C}"/>
            </a:ext>
            <a:ext uri="{147F2762-F138-4A5C-976F-8EAC2B608ADB}">
              <a16:predDERef xmlns:a16="http://schemas.microsoft.com/office/drawing/2014/main" pred="{574387D0-2423-B4F9-9E08-51756068127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90525" y="2514600"/>
          <a:ext cx="18792825" cy="228123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persons/person.xml><?xml version="1.0" encoding="utf-8"?>
<personList xmlns="http://schemas.microsoft.com/office/spreadsheetml/2018/threadedcomments" xmlns:x="http://schemas.openxmlformats.org/spreadsheetml/2006/main">
  <person displayName="SabcatTLShih(時定樑)" id="{926E99BF-9A36-43C5-BCDA-1A5579300A16}" userId="SabcatTLShih@fih-foxconn.com" providerId="PeoplePicker"/>
  <person displayName="TommyZCPeng(彭自強)" id="{0445A085-3935-4F37-92D1-ED2A65348242}" userId="S::tommyzcpeng@fih-foxconn.com::1a787e20-e38c-4961-b195-d1212da4bbe2"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V3" dT="2025-06-12T08:59:56.14" personId="{0445A085-3935-4F37-92D1-ED2A65348242}" id="{111CE81E-CA4D-44F6-9F96-A1946F95C3E4}">
    <text xml:space="preserve">@SabcatTLShih(時定樑) </text>
    <mentions>
      <mention mentionpersonId="{926E99BF-9A36-43C5-BCDA-1A5579300A16}" mentionId="{7FB8B838-D59D-43C9-8B0F-2F1EF6CA13BE}" startIndex="0" length="18"/>
    </mentions>
  </threadedComment>
</ThreadedComment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10.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 Id="rId4" Type="http://schemas.microsoft.com/office/2019/04/relationships/documenttask" Target="../documenttasks/documenttask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528526-ABAF-014C-AF51-05D74B756853}">
  <sheetPr>
    <tabColor rgb="FFFFFF00"/>
  </sheetPr>
  <dimension ref="B2:B14"/>
  <sheetViews>
    <sheetView showGridLines="0" workbookViewId="0">
      <selection activeCell="B14" sqref="B14"/>
    </sheetView>
  </sheetViews>
  <sheetFormatPr defaultColWidth="10.875" defaultRowHeight="20.100000000000001"/>
  <cols>
    <col min="1" max="1" width="10.875" style="50"/>
    <col min="2" max="2" width="200.875" style="10" customWidth="1"/>
    <col min="3" max="16384" width="10.875" style="50"/>
  </cols>
  <sheetData>
    <row r="2" spans="2:2" ht="21">
      <c r="B2" s="8" t="s">
        <v>0</v>
      </c>
    </row>
    <row r="3" spans="2:2" ht="21">
      <c r="B3" s="43" t="s">
        <v>1</v>
      </c>
    </row>
    <row r="4" spans="2:2" ht="84">
      <c r="B4" s="9" t="s">
        <v>2</v>
      </c>
    </row>
    <row r="5" spans="2:2" ht="21">
      <c r="B5" s="43" t="s">
        <v>3</v>
      </c>
    </row>
    <row r="6" spans="2:2" ht="42">
      <c r="B6" s="9" t="s">
        <v>4</v>
      </c>
    </row>
    <row r="7" spans="2:2" ht="21">
      <c r="B7" s="43" t="s">
        <v>5</v>
      </c>
    </row>
    <row r="8" spans="2:2" ht="294">
      <c r="B8" s="9" t="s">
        <v>6</v>
      </c>
    </row>
    <row r="9" spans="2:2" ht="21">
      <c r="B9" s="43" t="s">
        <v>7</v>
      </c>
    </row>
    <row r="10" spans="2:2" ht="21">
      <c r="B10" s="9" t="s">
        <v>8</v>
      </c>
    </row>
    <row r="11" spans="2:2" ht="21">
      <c r="B11" s="43" t="s">
        <v>9</v>
      </c>
    </row>
    <row r="12" spans="2:2" ht="42">
      <c r="B12" s="9" t="s">
        <v>10</v>
      </c>
    </row>
    <row r="13" spans="2:2" ht="21">
      <c r="B13" s="43" t="s">
        <v>11</v>
      </c>
    </row>
    <row r="14" spans="2:2" ht="84">
      <c r="B14" s="71" t="s">
        <v>12</v>
      </c>
    </row>
  </sheetData>
  <sheetProtection algorithmName="SHA-512" hashValue="oqQmTTL1TGDehFTcAOr2PQzV2AF19eG2fsUcc8MPwK3DeUGnHmuByNhhMgg5CE2BrggHILzN+R4S0gsFxK+kfw==" saltValue="b/vDCHd/sP/Ufj+9MTyigg==" spinCount="100000" sheet="1" objects="1" scenarios="1"/>
  <phoneticPr fontId="30"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F4BF69-562E-D441-9927-EC884647A6CB}">
  <sheetPr>
    <tabColor rgb="FFFFFF00"/>
  </sheetPr>
  <dimension ref="B2:B30"/>
  <sheetViews>
    <sheetView showGridLines="0" topLeftCell="A22" workbookViewId="0">
      <selection activeCell="B24" sqref="B24"/>
    </sheetView>
  </sheetViews>
  <sheetFormatPr defaultColWidth="10.875" defaultRowHeight="20.100000000000001"/>
  <cols>
    <col min="1" max="1" width="10.875" style="50"/>
    <col min="2" max="2" width="200.875" style="10" customWidth="1"/>
    <col min="3" max="16384" width="10.875" style="50"/>
  </cols>
  <sheetData>
    <row r="2" spans="2:2" ht="21">
      <c r="B2" s="8" t="s">
        <v>13</v>
      </c>
    </row>
    <row r="3" spans="2:2" ht="21">
      <c r="B3" s="42" t="s">
        <v>14</v>
      </c>
    </row>
    <row r="4" spans="2:2" ht="42">
      <c r="B4" s="9" t="s">
        <v>15</v>
      </c>
    </row>
    <row r="5" spans="2:2" ht="21">
      <c r="B5" s="43" t="s">
        <v>16</v>
      </c>
    </row>
    <row r="6" spans="2:2" ht="42">
      <c r="B6" s="9" t="s">
        <v>17</v>
      </c>
    </row>
    <row r="7" spans="2:2" ht="21">
      <c r="B7" s="43" t="s">
        <v>18</v>
      </c>
    </row>
    <row r="8" spans="2:2" ht="63">
      <c r="B8" s="9" t="s">
        <v>19</v>
      </c>
    </row>
    <row r="9" spans="2:2" ht="21">
      <c r="B9" s="43" t="s">
        <v>20</v>
      </c>
    </row>
    <row r="10" spans="2:2" ht="42">
      <c r="B10" s="9" t="s">
        <v>21</v>
      </c>
    </row>
    <row r="11" spans="2:2" ht="21">
      <c r="B11" s="43" t="s">
        <v>22</v>
      </c>
    </row>
    <row r="12" spans="2:2" ht="105">
      <c r="B12" s="9" t="s">
        <v>23</v>
      </c>
    </row>
    <row r="13" spans="2:2" ht="21">
      <c r="B13" s="43" t="s">
        <v>24</v>
      </c>
    </row>
    <row r="14" spans="2:2" ht="84">
      <c r="B14" s="9" t="s">
        <v>25</v>
      </c>
    </row>
    <row r="15" spans="2:2" ht="21">
      <c r="B15" s="43" t="s">
        <v>26</v>
      </c>
    </row>
    <row r="16" spans="2:2" ht="168">
      <c r="B16" s="9" t="s">
        <v>27</v>
      </c>
    </row>
    <row r="17" spans="2:2" ht="21">
      <c r="B17" s="43" t="s">
        <v>28</v>
      </c>
    </row>
    <row r="18" spans="2:2" ht="42">
      <c r="B18" s="9" t="s">
        <v>29</v>
      </c>
    </row>
    <row r="19" spans="2:2" ht="21">
      <c r="B19" s="43" t="s">
        <v>30</v>
      </c>
    </row>
    <row r="20" spans="2:2" ht="105">
      <c r="B20" s="9" t="s">
        <v>31</v>
      </c>
    </row>
    <row r="21" spans="2:2" ht="21">
      <c r="B21" s="43" t="s">
        <v>32</v>
      </c>
    </row>
    <row r="22" spans="2:2" ht="63">
      <c r="B22" s="9" t="s">
        <v>33</v>
      </c>
    </row>
    <row r="23" spans="2:2" ht="21">
      <c r="B23" s="43" t="s">
        <v>34</v>
      </c>
    </row>
    <row r="24" spans="2:2" ht="210">
      <c r="B24" s="9" t="s">
        <v>35</v>
      </c>
    </row>
    <row r="25" spans="2:2" ht="21">
      <c r="B25" s="43" t="s">
        <v>36</v>
      </c>
    </row>
    <row r="26" spans="2:2" ht="147">
      <c r="B26" s="9" t="s">
        <v>37</v>
      </c>
    </row>
    <row r="27" spans="2:2" ht="21">
      <c r="B27" s="43" t="s">
        <v>38</v>
      </c>
    </row>
    <row r="28" spans="2:2" ht="42">
      <c r="B28" s="9" t="s">
        <v>39</v>
      </c>
    </row>
    <row r="29" spans="2:2" ht="21">
      <c r="B29" s="43" t="s">
        <v>40</v>
      </c>
    </row>
    <row r="30" spans="2:2" ht="42">
      <c r="B30" s="9" t="s">
        <v>41</v>
      </c>
    </row>
  </sheetData>
  <sheetProtection algorithmName="SHA-512" hashValue="16lh0SMdOYpgz3mnq1FR8VPhkQB9WkH38CSEnYhumJ7oOgzraD5PFwCtlNgfhiodXtWpUFbS52RGhhbDqUMGuw==" saltValue="TscPftiJMrKjkcTdY+qO4A==" spinCount="100000" sheet="1" objects="1" scenarios="1"/>
  <phoneticPr fontId="30"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2E9F49-5BD8-DF46-AF90-35C340E8EFC4}">
  <sheetPr>
    <tabColor rgb="FFFFFF00"/>
  </sheetPr>
  <dimension ref="B2:C4"/>
  <sheetViews>
    <sheetView showGridLines="0" workbookViewId="0">
      <selection activeCell="B4" sqref="B4"/>
    </sheetView>
  </sheetViews>
  <sheetFormatPr defaultColWidth="10.875" defaultRowHeight="20.100000000000001"/>
  <cols>
    <col min="1" max="1" width="10.875" style="50"/>
    <col min="2" max="2" width="141.5" style="10" customWidth="1"/>
    <col min="3" max="3" width="40.875" style="13" customWidth="1"/>
    <col min="4" max="16384" width="10.875" style="50"/>
  </cols>
  <sheetData>
    <row r="2" spans="2:3" ht="21">
      <c r="B2" s="8" t="s">
        <v>42</v>
      </c>
      <c r="C2" s="11"/>
    </row>
    <row r="3" spans="2:3" ht="21">
      <c r="B3" s="42" t="s">
        <v>43</v>
      </c>
      <c r="C3" s="11"/>
    </row>
    <row r="4" spans="2:3" ht="210">
      <c r="B4" s="12" t="s">
        <v>44</v>
      </c>
      <c r="C4" s="49" t="s">
        <v>45</v>
      </c>
    </row>
  </sheetData>
  <sheetProtection algorithmName="SHA-512" hashValue="cPVBRGIOKtrTXlo8MnBnv30QuoK2ij4jvok7Fuxi7SU44lPIkdnO5QVJCpjHhshse5xZzxGkMdhwa1LXka8wWQ==" saltValue="QyILU6nUmgu4hisGiP9AQw==" spinCount="100000" sheet="1" objects="1" scenarios="1"/>
  <phoneticPr fontId="30" type="noConversion"/>
  <conditionalFormatting sqref="C4">
    <cfRule type="containsText" dxfId="68" priority="1" operator="containsText" text="Yes">
      <formula>NOT(ISERROR(SEARCH("Yes",C4)))</formula>
    </cfRule>
    <cfRule type="containsText" dxfId="67" priority="2" operator="containsText" text="No">
      <formula>NOT(ISERROR(SEARCH("No",C4)))</formula>
    </cfRule>
    <cfRule type="notContainsBlanks" dxfId="66" priority="3" stopIfTrue="1">
      <formula>LEN(TRIM(C4))&gt;0</formula>
    </cfRule>
  </conditionalFormatting>
  <dataValidations count="1">
    <dataValidation type="list" allowBlank="1" showInputMessage="1" showErrorMessage="1" sqref="C4" xr:uid="{E82E43B1-DD90-F244-855A-4754571FC385}">
      <formula1>"Yes, No"</formula1>
    </dataValidation>
  </dataValidation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967FB4-6B8E-EC46-B518-AA4B397B9214}">
  <sheetPr>
    <tabColor rgb="FF4F81BD"/>
  </sheetPr>
  <dimension ref="A1:G25"/>
  <sheetViews>
    <sheetView showGridLines="0" topLeftCell="B1" zoomScaleNormal="100" workbookViewId="0">
      <selection activeCell="C24" sqref="C24"/>
    </sheetView>
  </sheetViews>
  <sheetFormatPr defaultColWidth="10.875" defaultRowHeight="18.95"/>
  <cols>
    <col min="1" max="1" width="3.5" style="15" customWidth="1"/>
    <col min="2" max="2" width="74.625" style="15" customWidth="1"/>
    <col min="3" max="4" width="29.125" style="15" customWidth="1"/>
    <col min="5" max="5" width="30.375" style="15" bestFit="1" customWidth="1"/>
    <col min="6" max="6" width="29.125" style="15" customWidth="1"/>
    <col min="7" max="7" width="38.375" style="15" customWidth="1"/>
    <col min="8" max="8" width="10.875" style="3" customWidth="1"/>
    <col min="9" max="16384" width="10.875" style="3"/>
  </cols>
  <sheetData>
    <row r="1" spans="1:7" ht="26.1" customHeight="1">
      <c r="B1" s="14" t="s">
        <v>46</v>
      </c>
    </row>
    <row r="2" spans="1:7" ht="26.1" customHeight="1">
      <c r="A2" s="15">
        <v>1</v>
      </c>
      <c r="B2" s="16" t="s">
        <v>47</v>
      </c>
      <c r="C2" s="17" t="s">
        <v>48</v>
      </c>
    </row>
    <row r="3" spans="1:7" ht="26.1" customHeight="1">
      <c r="A3" s="15">
        <v>2</v>
      </c>
      <c r="B3" s="16" t="s">
        <v>49</v>
      </c>
      <c r="C3" s="18" t="s">
        <v>50</v>
      </c>
    </row>
    <row r="4" spans="1:7" ht="26.1" customHeight="1">
      <c r="A4" s="15">
        <v>3</v>
      </c>
      <c r="B4" s="16" t="s">
        <v>51</v>
      </c>
      <c r="C4" s="18" t="s">
        <v>52</v>
      </c>
      <c r="E4" s="19"/>
    </row>
    <row r="5" spans="1:7" ht="26.1" customHeight="1">
      <c r="A5" s="15">
        <v>4</v>
      </c>
      <c r="B5" s="16" t="s">
        <v>53</v>
      </c>
      <c r="C5" s="18" t="s">
        <v>54</v>
      </c>
      <c r="E5" s="19"/>
    </row>
    <row r="6" spans="1:7" ht="26.1" customHeight="1">
      <c r="A6" s="15">
        <v>5</v>
      </c>
      <c r="B6" s="16" t="s">
        <v>55</v>
      </c>
      <c r="C6" s="20" t="s">
        <v>56</v>
      </c>
      <c r="E6" s="19"/>
    </row>
    <row r="7" spans="1:7" ht="26.1" customHeight="1">
      <c r="A7" s="15">
        <v>6</v>
      </c>
      <c r="B7" s="16" t="s">
        <v>57</v>
      </c>
      <c r="C7" s="18" t="s">
        <v>58</v>
      </c>
      <c r="E7" s="19"/>
    </row>
    <row r="8" spans="1:7" ht="26.1" customHeight="1">
      <c r="A8" s="15">
        <v>7</v>
      </c>
      <c r="B8" s="16" t="s">
        <v>59</v>
      </c>
      <c r="C8" s="18" t="s">
        <v>60</v>
      </c>
    </row>
    <row r="9" spans="1:7" ht="26.1" customHeight="1">
      <c r="A9" s="15">
        <v>8</v>
      </c>
      <c r="B9" s="16" t="s">
        <v>61</v>
      </c>
      <c r="C9" s="18" t="s">
        <v>62</v>
      </c>
    </row>
    <row r="10" spans="1:7" ht="26.1" customHeight="1">
      <c r="A10" s="15">
        <v>9</v>
      </c>
      <c r="B10" s="16" t="s">
        <v>63</v>
      </c>
      <c r="C10" s="18">
        <v>10000</v>
      </c>
    </row>
    <row r="11" spans="1:7" ht="18.75">
      <c r="A11" s="15">
        <v>10</v>
      </c>
      <c r="B11" s="16" t="s">
        <v>64</v>
      </c>
      <c r="C11" s="18">
        <v>2003</v>
      </c>
    </row>
    <row r="12" spans="1:7">
      <c r="A12" s="15">
        <v>11</v>
      </c>
      <c r="B12" s="16" t="s">
        <v>65</v>
      </c>
      <c r="C12" s="18">
        <v>2024</v>
      </c>
      <c r="F12" s="21"/>
    </row>
    <row r="15" spans="1:7" ht="39.950000000000003">
      <c r="B15" s="24" t="s">
        <v>66</v>
      </c>
      <c r="C15" s="25" t="s">
        <v>67</v>
      </c>
      <c r="D15" s="25" t="s">
        <v>68</v>
      </c>
      <c r="E15" s="25" t="s">
        <v>69</v>
      </c>
      <c r="F15" s="25" t="s">
        <v>70</v>
      </c>
      <c r="G15" s="26" t="s">
        <v>71</v>
      </c>
    </row>
    <row r="16" spans="1:7" ht="18.75">
      <c r="B16" s="27" t="s">
        <v>72</v>
      </c>
      <c r="C16" s="18" t="s">
        <v>73</v>
      </c>
      <c r="D16" s="18" t="s">
        <v>74</v>
      </c>
      <c r="E16" s="18" t="s">
        <v>75</v>
      </c>
      <c r="F16" s="20" t="s">
        <v>76</v>
      </c>
      <c r="G16" s="28"/>
    </row>
    <row r="17" spans="2:7" ht="18.75">
      <c r="B17" s="27" t="s">
        <v>77</v>
      </c>
      <c r="C17" s="18" t="s">
        <v>78</v>
      </c>
      <c r="D17" s="18" t="s">
        <v>79</v>
      </c>
      <c r="E17" s="18" t="s">
        <v>75</v>
      </c>
      <c r="F17" s="20" t="s">
        <v>80</v>
      </c>
      <c r="G17" s="28"/>
    </row>
    <row r="18" spans="2:7" ht="18.75">
      <c r="B18" s="27" t="s">
        <v>81</v>
      </c>
      <c r="C18" s="18" t="s">
        <v>82</v>
      </c>
      <c r="D18" s="18" t="s">
        <v>83</v>
      </c>
      <c r="E18" s="18" t="s">
        <v>84</v>
      </c>
      <c r="F18" s="20" t="s">
        <v>85</v>
      </c>
      <c r="G18" s="28"/>
    </row>
    <row r="19" spans="2:7" ht="20.100000000000001">
      <c r="B19" s="27" t="s">
        <v>86</v>
      </c>
      <c r="C19" s="18" t="s">
        <v>87</v>
      </c>
      <c r="D19" s="18" t="s">
        <v>88</v>
      </c>
      <c r="E19" s="18" t="s">
        <v>75</v>
      </c>
      <c r="F19" s="20" t="s">
        <v>89</v>
      </c>
      <c r="G19" s="28"/>
    </row>
    <row r="20" spans="2:7" ht="20.100000000000001">
      <c r="B20" s="29" t="s">
        <v>90</v>
      </c>
      <c r="C20" s="22" t="s">
        <v>91</v>
      </c>
      <c r="D20" s="22" t="s">
        <v>83</v>
      </c>
      <c r="E20" s="18" t="s">
        <v>75</v>
      </c>
      <c r="F20" s="23" t="s">
        <v>92</v>
      </c>
      <c r="G20" s="28"/>
    </row>
    <row r="21" spans="2:7" ht="20.100000000000001">
      <c r="B21" s="27" t="s">
        <v>93</v>
      </c>
      <c r="C21" s="18" t="s">
        <v>94</v>
      </c>
      <c r="D21" s="18" t="s">
        <v>83</v>
      </c>
      <c r="E21" s="18" t="s">
        <v>75</v>
      </c>
      <c r="F21" s="20" t="s">
        <v>95</v>
      </c>
      <c r="G21" s="28"/>
    </row>
    <row r="22" spans="2:7" ht="20.100000000000001">
      <c r="B22" s="27" t="s">
        <v>96</v>
      </c>
      <c r="C22" s="18" t="s">
        <v>97</v>
      </c>
      <c r="D22" s="22" t="s">
        <v>98</v>
      </c>
      <c r="E22" s="18" t="s">
        <v>75</v>
      </c>
      <c r="F22" s="20" t="s">
        <v>99</v>
      </c>
      <c r="G22" s="28"/>
    </row>
    <row r="23" spans="2:7" ht="20.100000000000001">
      <c r="B23" s="27" t="s">
        <v>100</v>
      </c>
      <c r="C23" s="18" t="s">
        <v>101</v>
      </c>
      <c r="D23" s="22" t="s">
        <v>88</v>
      </c>
      <c r="E23" s="18" t="s">
        <v>102</v>
      </c>
      <c r="F23" s="20" t="s">
        <v>103</v>
      </c>
      <c r="G23" s="28"/>
    </row>
    <row r="24" spans="2:7" ht="37.5">
      <c r="B24" s="27" t="s">
        <v>104</v>
      </c>
      <c r="C24" s="18" t="s">
        <v>105</v>
      </c>
      <c r="D24" s="18" t="s">
        <v>106</v>
      </c>
      <c r="E24" s="18" t="s">
        <v>75</v>
      </c>
      <c r="F24" s="20" t="s">
        <v>107</v>
      </c>
      <c r="G24" s="28"/>
    </row>
    <row r="25" spans="2:7">
      <c r="B25" s="27" t="s">
        <v>104</v>
      </c>
      <c r="C25" s="30"/>
      <c r="D25" s="30"/>
      <c r="E25" s="30"/>
      <c r="F25" s="31"/>
      <c r="G25" s="32"/>
    </row>
  </sheetData>
  <sheetProtection algorithmName="SHA-512" hashValue="6yI60cFygKABQ6hsh5VMwt5lwhrATZ21Hzv2csGFFn0nCOgRIkGTqVPEw9cgpAkSwjap78AvGrfGpwdsFd9Lnw==" saltValue="sj8fAt/Q3fALWU/fQ7kXBA==" spinCount="100000" sheet="1" objects="1" scenarios="1"/>
  <phoneticPr fontId="30" type="noConversion"/>
  <conditionalFormatting sqref="C2:C12">
    <cfRule type="notContainsBlanks" dxfId="65" priority="2">
      <formula>LEN(TRIM(C2))&gt;0</formula>
    </cfRule>
  </conditionalFormatting>
  <conditionalFormatting sqref="C16:G25">
    <cfRule type="notContainsBlanks" dxfId="64" priority="1">
      <formula>LEN(TRIM(C16))&gt;0</formula>
    </cfRule>
  </conditionalFormatting>
  <dataValidations count="1">
    <dataValidation type="whole" operator="greaterThan" allowBlank="1" showInputMessage="1" showErrorMessage="1" sqref="C10" xr:uid="{9090E2AA-80FC-4C48-94FD-5AB77E95CFDE}">
      <formula1>0</formula1>
    </dataValidation>
  </dataValidation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2A68EF-9483-A845-BDFB-78E6227C00B8}">
  <sheetPr>
    <tabColor rgb="FF4F81BD"/>
  </sheetPr>
  <dimension ref="A1:I10"/>
  <sheetViews>
    <sheetView showGridLines="0" tabSelected="1" zoomScaleNormal="100" workbookViewId="0">
      <selection activeCell="E6" sqref="E6"/>
    </sheetView>
  </sheetViews>
  <sheetFormatPr defaultColWidth="10.875" defaultRowHeight="15.95"/>
  <cols>
    <col min="1" max="1" width="4.875" customWidth="1"/>
    <col min="2" max="2" width="53.875" customWidth="1"/>
    <col min="3" max="8" width="28.125" customWidth="1"/>
    <col min="9" max="16384" width="10.875" style="1"/>
  </cols>
  <sheetData>
    <row r="1" spans="2:9" ht="51" customHeight="1">
      <c r="B1" s="14" t="s">
        <v>108</v>
      </c>
    </row>
    <row r="2" spans="2:9" ht="51" customHeight="1">
      <c r="B2" s="16" t="s">
        <v>109</v>
      </c>
      <c r="C2" s="16">
        <v>2022</v>
      </c>
      <c r="D2" s="16">
        <v>2023</v>
      </c>
      <c r="E2" s="16">
        <v>2024</v>
      </c>
      <c r="F2" s="16" t="s">
        <v>110</v>
      </c>
      <c r="G2" s="16" t="s">
        <v>111</v>
      </c>
      <c r="H2" s="16" t="s">
        <v>112</v>
      </c>
    </row>
    <row r="3" spans="2:9" ht="51" customHeight="1">
      <c r="B3" s="33" t="s">
        <v>113</v>
      </c>
      <c r="C3" s="60">
        <v>8556.64</v>
      </c>
      <c r="D3" s="60">
        <v>6172.74</v>
      </c>
      <c r="E3" s="60">
        <v>9345.51</v>
      </c>
      <c r="F3" s="60"/>
      <c r="G3" s="60"/>
      <c r="H3" s="60"/>
    </row>
    <row r="4" spans="2:9" ht="51" customHeight="1">
      <c r="B4" s="33" t="s">
        <v>114</v>
      </c>
      <c r="C4" s="60">
        <v>9394</v>
      </c>
      <c r="D4" s="60">
        <v>6446</v>
      </c>
      <c r="E4" s="60">
        <v>5703</v>
      </c>
      <c r="F4" s="60"/>
      <c r="G4" s="60"/>
      <c r="H4" s="60"/>
      <c r="I4" s="4"/>
    </row>
    <row r="5" spans="2:9" ht="51" customHeight="1">
      <c r="B5" s="33" t="s">
        <v>115</v>
      </c>
      <c r="C5" s="60"/>
      <c r="D5" s="60"/>
      <c r="E5" s="60"/>
      <c r="F5" s="60"/>
      <c r="G5" s="60"/>
      <c r="H5" s="60"/>
      <c r="I5" s="4" t="s">
        <v>116</v>
      </c>
    </row>
    <row r="6" spans="2:9" ht="51" customHeight="1">
      <c r="B6" s="33" t="s">
        <v>117</v>
      </c>
      <c r="C6" s="60"/>
      <c r="D6" s="60"/>
      <c r="E6" s="60">
        <v>0.5</v>
      </c>
      <c r="F6" s="60">
        <v>20</v>
      </c>
      <c r="G6" s="60"/>
      <c r="H6" s="60"/>
      <c r="I6" s="2" t="s">
        <v>118</v>
      </c>
    </row>
    <row r="8" spans="2:9" ht="18.95">
      <c r="B8" s="16" t="s">
        <v>109</v>
      </c>
      <c r="C8" s="16">
        <v>2023</v>
      </c>
      <c r="D8" s="16">
        <v>2023</v>
      </c>
      <c r="E8" s="16">
        <v>2024</v>
      </c>
      <c r="F8" s="16" t="s">
        <v>110</v>
      </c>
      <c r="G8" s="16" t="s">
        <v>111</v>
      </c>
      <c r="H8" s="16" t="s">
        <v>112</v>
      </c>
    </row>
    <row r="9" spans="2:9" ht="18.75">
      <c r="B9" s="33" t="s">
        <v>119</v>
      </c>
      <c r="C9" s="61">
        <v>192</v>
      </c>
      <c r="D9" s="61">
        <v>110</v>
      </c>
      <c r="E9" s="61">
        <v>135</v>
      </c>
      <c r="F9" s="61"/>
      <c r="G9" s="61"/>
      <c r="H9" s="61"/>
    </row>
    <row r="10" spans="2:9" ht="18.75">
      <c r="B10" s="33" t="s">
        <v>120</v>
      </c>
      <c r="C10" s="61">
        <v>62</v>
      </c>
      <c r="D10" s="61">
        <v>120</v>
      </c>
      <c r="E10" s="61">
        <v>84</v>
      </c>
      <c r="F10" s="61"/>
      <c r="G10" s="61"/>
      <c r="H10" s="61"/>
    </row>
  </sheetData>
  <sheetProtection algorithmName="SHA-512" hashValue="ADYHa84FNvxgDAPkQMA/ds4sXCGn4cmNRk+QJEHJSD6Mj+8x0KTQ9z3XQL2xdLYTVckdH232Lggvd0pM/Osjng==" saltValue="pjSFd/rHk5+ena2trvj3tA==" spinCount="100000" sheet="1" objects="1" scenarios="1"/>
  <phoneticPr fontId="30" type="noConversion"/>
  <conditionalFormatting sqref="C3:H6">
    <cfRule type="notContainsBlanks" dxfId="63" priority="4" stopIfTrue="1">
      <formula>LEN(TRIM(C3))&gt;0</formula>
    </cfRule>
  </conditionalFormatting>
  <conditionalFormatting sqref="C9:H10">
    <cfRule type="notContainsBlanks" dxfId="62" priority="3" stopIfTrue="1">
      <formula>LEN(TRIM(C9))&gt;0</formula>
    </cfRule>
  </conditionalFormatting>
  <dataValidations count="1">
    <dataValidation type="decimal" operator="greaterThan" allowBlank="1" showInputMessage="1" showErrorMessage="1" sqref="C9:H10 C3:H6" xr:uid="{C80DD866-3DB9-1B4B-A165-145642E3CFCC}">
      <formula1>0</formula1>
    </dataValidation>
  </dataValidation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FC1A3B-B0FD-FF47-BC1F-A6FB68374103}">
  <sheetPr>
    <tabColor rgb="FF4F81BD"/>
  </sheetPr>
  <dimension ref="A1:H29"/>
  <sheetViews>
    <sheetView showGridLines="0" zoomScaleNormal="100" workbookViewId="0">
      <pane xSplit="3" topLeftCell="D7" activePane="topRight" state="frozen"/>
      <selection pane="topRight" activeCell="D25" sqref="D25:H25"/>
    </sheetView>
  </sheetViews>
  <sheetFormatPr defaultColWidth="10.875" defaultRowHeight="26.1" customHeight="1"/>
  <cols>
    <col min="1" max="1" width="6.125" style="65" customWidth="1"/>
    <col min="2" max="2" width="59" style="35" customWidth="1"/>
    <col min="3" max="3" width="38.5" style="3" customWidth="1"/>
    <col min="4" max="8" width="38.5" style="6" customWidth="1"/>
    <col min="9" max="11" width="29.125" style="3" customWidth="1"/>
    <col min="12" max="16384" width="10.875" style="3"/>
  </cols>
  <sheetData>
    <row r="1" spans="1:8" s="15" customFormat="1" ht="51" customHeight="1">
      <c r="A1" s="63"/>
      <c r="B1" s="34" t="s">
        <v>121</v>
      </c>
    </row>
    <row r="2" spans="1:8" s="35" customFormat="1" ht="56.1" customHeight="1">
      <c r="A2" s="64"/>
      <c r="B2" s="16"/>
      <c r="C2" s="16" t="s">
        <v>122</v>
      </c>
      <c r="D2" s="36" t="s">
        <v>123</v>
      </c>
      <c r="E2" s="36" t="s">
        <v>124</v>
      </c>
      <c r="F2" s="36" t="s">
        <v>125</v>
      </c>
      <c r="G2" s="36" t="s">
        <v>126</v>
      </c>
      <c r="H2" s="36" t="s">
        <v>127</v>
      </c>
    </row>
    <row r="3" spans="1:8" ht="60" customHeight="1">
      <c r="A3" s="65">
        <v>1</v>
      </c>
      <c r="B3" s="16" t="s">
        <v>128</v>
      </c>
      <c r="C3" s="37" t="s">
        <v>50</v>
      </c>
      <c r="D3" s="37" t="s">
        <v>129</v>
      </c>
      <c r="E3" s="37" t="s">
        <v>130</v>
      </c>
      <c r="F3" s="18"/>
      <c r="G3" s="18"/>
      <c r="H3" s="18"/>
    </row>
    <row r="4" spans="1:8" ht="60" customHeight="1">
      <c r="A4" s="65">
        <v>2</v>
      </c>
      <c r="B4" s="16" t="s">
        <v>131</v>
      </c>
      <c r="C4" s="18" t="s">
        <v>54</v>
      </c>
      <c r="D4" s="18" t="s">
        <v>132</v>
      </c>
      <c r="E4" s="18" t="s">
        <v>133</v>
      </c>
      <c r="F4" s="18"/>
      <c r="G4" s="52"/>
      <c r="H4" s="18"/>
    </row>
    <row r="5" spans="1:8" ht="60" customHeight="1">
      <c r="A5" s="65">
        <v>3</v>
      </c>
      <c r="B5" s="16" t="s">
        <v>134</v>
      </c>
      <c r="C5" s="18" t="s">
        <v>135</v>
      </c>
      <c r="D5" s="18" t="s">
        <v>136</v>
      </c>
      <c r="E5" s="18" t="s">
        <v>137</v>
      </c>
      <c r="F5" s="18"/>
      <c r="G5" s="18"/>
      <c r="H5" s="18"/>
    </row>
    <row r="6" spans="1:8" ht="60" customHeight="1">
      <c r="A6" s="65">
        <v>4</v>
      </c>
      <c r="B6" s="36" t="s">
        <v>138</v>
      </c>
      <c r="C6" s="18" t="s">
        <v>139</v>
      </c>
      <c r="D6" s="18" t="s">
        <v>140</v>
      </c>
      <c r="E6" s="18" t="s">
        <v>140</v>
      </c>
      <c r="F6" s="18"/>
      <c r="G6" s="18"/>
      <c r="H6" s="18"/>
    </row>
    <row r="7" spans="1:8" ht="86.1" customHeight="1">
      <c r="A7" s="65">
        <v>5</v>
      </c>
      <c r="B7" s="36" t="s">
        <v>141</v>
      </c>
      <c r="C7" s="18" t="s">
        <v>142</v>
      </c>
      <c r="D7" s="18" t="s">
        <v>143</v>
      </c>
      <c r="E7" s="18" t="s">
        <v>143</v>
      </c>
      <c r="F7" s="18"/>
      <c r="G7" s="18"/>
      <c r="H7" s="18"/>
    </row>
    <row r="8" spans="1:8" ht="86.1" customHeight="1">
      <c r="A8" s="65">
        <v>6</v>
      </c>
      <c r="B8" s="36" t="s">
        <v>144</v>
      </c>
      <c r="C8" s="18" t="s">
        <v>142</v>
      </c>
      <c r="D8" s="18" t="s">
        <v>145</v>
      </c>
      <c r="E8" s="18" t="s">
        <v>146</v>
      </c>
      <c r="F8" s="18"/>
      <c r="G8" s="18"/>
      <c r="H8" s="18"/>
    </row>
    <row r="9" spans="1:8" ht="60" customHeight="1">
      <c r="A9" s="65">
        <v>7</v>
      </c>
      <c r="B9" s="16" t="s">
        <v>147</v>
      </c>
      <c r="C9" s="38" t="s">
        <v>142</v>
      </c>
      <c r="D9" s="38">
        <v>8899</v>
      </c>
      <c r="E9" s="39">
        <v>3000</v>
      </c>
      <c r="F9" s="39"/>
      <c r="G9" s="39"/>
      <c r="H9" s="39"/>
    </row>
    <row r="10" spans="1:8" ht="60" customHeight="1">
      <c r="A10" s="65">
        <v>8</v>
      </c>
      <c r="B10" s="36" t="s">
        <v>148</v>
      </c>
      <c r="C10" s="38">
        <v>50</v>
      </c>
      <c r="D10" s="38">
        <v>206</v>
      </c>
      <c r="E10" s="39">
        <v>450</v>
      </c>
      <c r="F10" s="39"/>
      <c r="G10" s="39"/>
      <c r="H10" s="39"/>
    </row>
    <row r="11" spans="1:8" ht="60" customHeight="1">
      <c r="A11" s="65">
        <v>9</v>
      </c>
      <c r="B11" s="36" t="s">
        <v>149</v>
      </c>
      <c r="C11" s="18" t="s">
        <v>142</v>
      </c>
      <c r="D11" s="18">
        <v>600</v>
      </c>
      <c r="E11" s="18">
        <v>100</v>
      </c>
      <c r="F11" s="18"/>
      <c r="G11" s="18"/>
      <c r="H11" s="18"/>
    </row>
    <row r="12" spans="1:8" ht="60" customHeight="1">
      <c r="A12" s="65">
        <v>10</v>
      </c>
      <c r="B12" s="36" t="s">
        <v>150</v>
      </c>
      <c r="C12" s="18" t="s">
        <v>142</v>
      </c>
      <c r="D12" s="18">
        <v>800</v>
      </c>
      <c r="E12" s="18">
        <v>200</v>
      </c>
      <c r="F12" s="18"/>
      <c r="G12" s="18"/>
      <c r="H12" s="18"/>
    </row>
    <row r="13" spans="1:8" ht="60" customHeight="1">
      <c r="A13" s="65">
        <v>11</v>
      </c>
      <c r="B13" s="36" t="s">
        <v>151</v>
      </c>
      <c r="C13" s="18" t="s">
        <v>142</v>
      </c>
      <c r="D13" s="18">
        <v>22300000</v>
      </c>
      <c r="E13" s="18">
        <v>20000000</v>
      </c>
      <c r="F13" s="81"/>
      <c r="G13" s="18"/>
      <c r="H13" s="18"/>
    </row>
    <row r="14" spans="1:8" ht="60" customHeight="1">
      <c r="A14" s="65">
        <v>12</v>
      </c>
      <c r="B14" s="36" t="s">
        <v>152</v>
      </c>
      <c r="C14" s="18" t="s">
        <v>153</v>
      </c>
      <c r="D14" s="18" t="s">
        <v>153</v>
      </c>
      <c r="E14" s="18" t="s">
        <v>153</v>
      </c>
      <c r="F14" s="18"/>
      <c r="G14" s="18"/>
      <c r="H14" s="18"/>
    </row>
    <row r="15" spans="1:8" ht="60" customHeight="1">
      <c r="A15" s="65">
        <v>13</v>
      </c>
      <c r="B15" s="36" t="s">
        <v>154</v>
      </c>
      <c r="C15" s="18" t="s">
        <v>153</v>
      </c>
      <c r="D15" s="18" t="s">
        <v>153</v>
      </c>
      <c r="E15" s="18" t="s">
        <v>153</v>
      </c>
      <c r="F15" s="18"/>
      <c r="G15" s="18"/>
      <c r="H15" s="18"/>
    </row>
    <row r="16" spans="1:8" ht="60" customHeight="1">
      <c r="A16" s="65">
        <v>14</v>
      </c>
      <c r="B16" s="36" t="s">
        <v>155</v>
      </c>
      <c r="C16" s="18" t="s">
        <v>156</v>
      </c>
      <c r="D16" s="18" t="s">
        <v>157</v>
      </c>
      <c r="E16" s="18" t="s">
        <v>84</v>
      </c>
      <c r="F16" s="18"/>
      <c r="G16" s="18"/>
      <c r="H16" s="18"/>
    </row>
    <row r="18" spans="1:8" ht="60.95" customHeight="1">
      <c r="A18" s="65">
        <v>15</v>
      </c>
      <c r="B18" s="83" t="s">
        <v>158</v>
      </c>
      <c r="C18" s="83"/>
      <c r="D18" s="84" t="s">
        <v>159</v>
      </c>
      <c r="E18" s="85"/>
      <c r="F18" s="85"/>
      <c r="G18" s="85"/>
      <c r="H18" s="86"/>
    </row>
    <row r="19" spans="1:8" ht="60.95" customHeight="1">
      <c r="A19" s="65">
        <v>16</v>
      </c>
      <c r="B19" s="83" t="s">
        <v>160</v>
      </c>
      <c r="C19" s="83"/>
      <c r="D19" s="84" t="s">
        <v>161</v>
      </c>
      <c r="E19" s="85"/>
      <c r="F19" s="85"/>
      <c r="G19" s="85"/>
      <c r="H19" s="86"/>
    </row>
    <row r="20" spans="1:8" ht="60.95" customHeight="1">
      <c r="A20" s="65">
        <v>17</v>
      </c>
      <c r="B20" s="83" t="s">
        <v>162</v>
      </c>
      <c r="C20" s="83"/>
      <c r="D20" s="84" t="s">
        <v>163</v>
      </c>
      <c r="E20" s="85"/>
      <c r="F20" s="85"/>
      <c r="G20" s="85"/>
      <c r="H20" s="86"/>
    </row>
    <row r="21" spans="1:8" ht="60.95" customHeight="1">
      <c r="A21" s="65">
        <v>18</v>
      </c>
      <c r="B21" s="83" t="s">
        <v>164</v>
      </c>
      <c r="C21" s="83"/>
      <c r="D21" s="84" t="s">
        <v>165</v>
      </c>
      <c r="E21" s="85"/>
      <c r="F21" s="85"/>
      <c r="G21" s="85"/>
      <c r="H21" s="86"/>
    </row>
    <row r="22" spans="1:8" ht="60.95" customHeight="1">
      <c r="A22" s="65">
        <v>19</v>
      </c>
      <c r="B22" s="83" t="s">
        <v>166</v>
      </c>
      <c r="C22" s="83"/>
      <c r="D22" s="87" t="s">
        <v>167</v>
      </c>
      <c r="E22" s="85"/>
      <c r="F22" s="85"/>
      <c r="G22" s="85"/>
      <c r="H22" s="86"/>
    </row>
    <row r="23" spans="1:8" ht="60.95" customHeight="1">
      <c r="A23" s="65">
        <v>20</v>
      </c>
      <c r="B23" s="88" t="s">
        <v>168</v>
      </c>
      <c r="C23" s="89"/>
      <c r="D23" s="80" t="s">
        <v>169</v>
      </c>
      <c r="E23" s="40" t="s">
        <v>170</v>
      </c>
      <c r="F23" s="40" t="s">
        <v>171</v>
      </c>
      <c r="G23" s="40"/>
      <c r="H23" s="41"/>
    </row>
    <row r="24" spans="1:8" ht="60.95" customHeight="1">
      <c r="A24" s="65">
        <v>21</v>
      </c>
      <c r="B24" s="88" t="s">
        <v>172</v>
      </c>
      <c r="C24" s="89"/>
      <c r="D24" s="80" t="s">
        <v>173</v>
      </c>
      <c r="E24" s="82"/>
      <c r="F24" s="82"/>
      <c r="G24" s="82"/>
      <c r="H24" s="82"/>
    </row>
    <row r="25" spans="1:8" ht="187.7" customHeight="1">
      <c r="A25" s="65">
        <v>22</v>
      </c>
      <c r="B25" s="83" t="s">
        <v>174</v>
      </c>
      <c r="C25" s="83"/>
      <c r="D25" s="84" t="s">
        <v>175</v>
      </c>
      <c r="E25" s="85"/>
      <c r="F25" s="85"/>
      <c r="G25" s="85"/>
      <c r="H25" s="86"/>
    </row>
    <row r="26" spans="1:8" ht="60.95" customHeight="1"/>
    <row r="27" spans="1:8" ht="60.95" customHeight="1"/>
    <row r="28" spans="1:8" ht="60.95" customHeight="1"/>
    <row r="29" spans="1:8" ht="60.95" customHeight="1"/>
  </sheetData>
  <sheetProtection algorithmName="SHA-512" hashValue="MfMEAblZjKBqAPX9VPQm6sFACoYf1wgSCXTunSYdqxnUDVIBn7Ehzs0RsgzyRvt0O5q+B8a8sVj/VubePBmZ+w==" saltValue="i4XABQq/CBPEu2Kvm2yl+A==" spinCount="100000" sheet="1" selectLockedCells="1"/>
  <mergeCells count="14">
    <mergeCell ref="B18:C18"/>
    <mergeCell ref="D18:H18"/>
    <mergeCell ref="B19:C19"/>
    <mergeCell ref="D19:H19"/>
    <mergeCell ref="B20:C20"/>
    <mergeCell ref="D20:H20"/>
    <mergeCell ref="B21:C21"/>
    <mergeCell ref="D21:H21"/>
    <mergeCell ref="B22:C22"/>
    <mergeCell ref="D22:H22"/>
    <mergeCell ref="B25:C25"/>
    <mergeCell ref="D25:H25"/>
    <mergeCell ref="B24:C24"/>
    <mergeCell ref="B23:C23"/>
  </mergeCells>
  <phoneticPr fontId="30" type="noConversion"/>
  <conditionalFormatting sqref="C3:H16 D18:D25">
    <cfRule type="notContainsBlanks" dxfId="61" priority="1">
      <formula>LEN(TRIM(C3))&gt;0</formula>
    </cfRule>
  </conditionalFormatting>
  <dataValidations count="3">
    <dataValidation type="decimal" operator="greaterThan" allowBlank="1" showInputMessage="1" showErrorMessage="1" sqref="C9:H10" xr:uid="{729C1851-60B4-2548-B527-9EB9AF6842FF}">
      <formula1>0</formula1>
    </dataValidation>
    <dataValidation type="list" allowBlank="1" showInputMessage="1" showErrorMessage="1" sqref="C14:H15" xr:uid="{BED30279-6FF8-9540-B9F0-66107877420E}">
      <formula1>"Yes,No"</formula1>
    </dataValidation>
    <dataValidation type="whole" operator="greaterThan" allowBlank="1" showInputMessage="1" showErrorMessage="1" sqref="C11:H13" xr:uid="{3BD27C0B-8095-D04C-8C74-BA6999DA2B14}">
      <formula1>0</formula1>
    </dataValidation>
  </dataValidations>
  <pageMargins left="0.7" right="0.7" top="0.75" bottom="0.75" header="0.3" footer="0.3"/>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D2F10A-AE33-7847-A469-AFC9D635ABF6}">
  <sheetPr>
    <tabColor rgb="FF4F81BD"/>
  </sheetPr>
  <dimension ref="B1:J25"/>
  <sheetViews>
    <sheetView showGridLines="0" zoomScaleNormal="100" workbookViewId="0">
      <selection activeCell="C4" sqref="C4:D6"/>
    </sheetView>
  </sheetViews>
  <sheetFormatPr defaultColWidth="10.875" defaultRowHeight="50.1" customHeight="1"/>
  <cols>
    <col min="1" max="1" width="5.125" style="3" customWidth="1"/>
    <col min="2" max="2" width="53.125" style="3" customWidth="1"/>
    <col min="3" max="10" width="32.625" style="3" customWidth="1"/>
    <col min="11" max="16384" width="10.875" style="3"/>
  </cols>
  <sheetData>
    <row r="1" spans="2:10" ht="50.1" customHeight="1">
      <c r="B1" s="44" t="s">
        <v>176</v>
      </c>
    </row>
    <row r="2" spans="2:10" ht="50.1" customHeight="1">
      <c r="B2" s="45"/>
      <c r="C2" s="46" t="s">
        <v>177</v>
      </c>
      <c r="D2" s="46" t="s">
        <v>178</v>
      </c>
      <c r="E2" s="46" t="s">
        <v>179</v>
      </c>
      <c r="F2" s="46" t="s">
        <v>180</v>
      </c>
      <c r="G2" s="46" t="s">
        <v>181</v>
      </c>
      <c r="H2" s="46" t="s">
        <v>182</v>
      </c>
      <c r="I2" s="46" t="s">
        <v>183</v>
      </c>
      <c r="J2" s="46" t="s">
        <v>184</v>
      </c>
    </row>
    <row r="3" spans="2:10" ht="50.1" customHeight="1">
      <c r="B3" s="46" t="s">
        <v>185</v>
      </c>
      <c r="C3" s="72" t="s">
        <v>186</v>
      </c>
      <c r="D3" s="72" t="s">
        <v>187</v>
      </c>
      <c r="E3" s="72"/>
      <c r="F3" s="72"/>
      <c r="G3" s="72"/>
      <c r="H3" s="72"/>
      <c r="I3" s="72"/>
      <c r="J3" s="72"/>
    </row>
    <row r="4" spans="2:10" ht="50.1" customHeight="1">
      <c r="B4" s="47" t="s">
        <v>188</v>
      </c>
      <c r="C4" s="72">
        <v>42</v>
      </c>
      <c r="D4" s="72">
        <v>42</v>
      </c>
      <c r="E4" s="72"/>
      <c r="F4" s="72"/>
      <c r="G4" s="72"/>
      <c r="H4" s="72"/>
      <c r="I4" s="72"/>
      <c r="J4" s="72"/>
    </row>
    <row r="5" spans="2:10" ht="50.1" customHeight="1">
      <c r="B5" s="47" t="s">
        <v>189</v>
      </c>
      <c r="C5" s="72">
        <v>78</v>
      </c>
      <c r="D5" s="72">
        <v>47</v>
      </c>
      <c r="E5" s="72"/>
      <c r="F5" s="72"/>
      <c r="G5" s="72"/>
      <c r="H5" s="72"/>
      <c r="I5" s="72"/>
      <c r="J5" s="72"/>
    </row>
    <row r="6" spans="2:10" ht="50.1" customHeight="1">
      <c r="B6" s="47" t="s">
        <v>190</v>
      </c>
      <c r="C6" s="72">
        <v>7</v>
      </c>
      <c r="D6" s="72">
        <v>9</v>
      </c>
      <c r="E6" s="72"/>
      <c r="F6" s="72"/>
      <c r="G6" s="72"/>
      <c r="H6" s="72"/>
      <c r="I6" s="72"/>
      <c r="J6" s="72"/>
    </row>
    <row r="7" spans="2:10" ht="50.1" customHeight="1">
      <c r="B7" s="47" t="s">
        <v>191</v>
      </c>
      <c r="C7" s="72">
        <v>500</v>
      </c>
      <c r="D7" s="72">
        <v>400</v>
      </c>
      <c r="E7" s="72"/>
      <c r="F7" s="72"/>
      <c r="G7" s="72"/>
      <c r="H7" s="72"/>
      <c r="I7" s="72"/>
      <c r="J7" s="72"/>
    </row>
    <row r="8" spans="2:10" ht="50.1" customHeight="1">
      <c r="B8" s="47" t="s">
        <v>192</v>
      </c>
      <c r="C8" s="72" t="s">
        <v>193</v>
      </c>
      <c r="D8" s="72" t="s">
        <v>193</v>
      </c>
      <c r="E8" s="72"/>
      <c r="F8" s="72"/>
      <c r="G8" s="72"/>
      <c r="H8" s="72"/>
      <c r="I8" s="72"/>
      <c r="J8" s="72"/>
    </row>
    <row r="9" spans="2:10" ht="50.1" customHeight="1">
      <c r="B9" s="47" t="s">
        <v>194</v>
      </c>
      <c r="C9" s="72" t="s">
        <v>195</v>
      </c>
      <c r="D9" s="72" t="s">
        <v>195</v>
      </c>
      <c r="E9" s="72"/>
      <c r="F9" s="72"/>
      <c r="G9" s="72"/>
      <c r="H9" s="72"/>
      <c r="I9" s="72"/>
      <c r="J9" s="72"/>
    </row>
    <row r="10" spans="2:10" ht="50.1" customHeight="1">
      <c r="B10" s="66" t="s">
        <v>196</v>
      </c>
      <c r="C10" s="72" t="s">
        <v>197</v>
      </c>
      <c r="D10" s="72" t="s">
        <v>198</v>
      </c>
      <c r="E10" s="72"/>
      <c r="F10" s="72"/>
      <c r="G10" s="72"/>
      <c r="H10" s="72"/>
      <c r="I10" s="72"/>
      <c r="J10" s="72"/>
    </row>
    <row r="11" spans="2:10" ht="50.1" customHeight="1">
      <c r="B11" s="47" t="s">
        <v>199</v>
      </c>
      <c r="C11" s="73">
        <v>72</v>
      </c>
      <c r="D11" s="73">
        <v>72</v>
      </c>
      <c r="E11" s="73"/>
      <c r="F11" s="72"/>
      <c r="G11" s="72"/>
      <c r="H11" s="72"/>
      <c r="I11" s="72"/>
      <c r="J11" s="72"/>
    </row>
    <row r="12" spans="2:10" ht="50.1" customHeight="1">
      <c r="B12" s="47" t="s">
        <v>200</v>
      </c>
      <c r="C12" s="74">
        <v>0.4</v>
      </c>
      <c r="D12" s="75">
        <v>0.2</v>
      </c>
      <c r="E12" s="75"/>
      <c r="F12" s="75"/>
      <c r="G12" s="75"/>
      <c r="H12" s="75"/>
      <c r="I12" s="75"/>
      <c r="J12" s="75"/>
    </row>
    <row r="14" spans="2:10" ht="50.1" customHeight="1">
      <c r="B14" s="91" t="s">
        <v>201</v>
      </c>
      <c r="C14" s="91"/>
      <c r="D14" s="91"/>
    </row>
    <row r="15" spans="2:10" ht="50.1" customHeight="1">
      <c r="B15" s="16" t="s">
        <v>202</v>
      </c>
      <c r="C15" s="91" t="s">
        <v>203</v>
      </c>
      <c r="D15" s="91"/>
    </row>
    <row r="16" spans="2:10" ht="50.1" customHeight="1">
      <c r="B16" s="48" t="s">
        <v>204</v>
      </c>
      <c r="C16" s="92" t="s">
        <v>205</v>
      </c>
      <c r="D16" s="92"/>
    </row>
    <row r="17" spans="2:4" ht="50.1" customHeight="1">
      <c r="B17" s="90" t="s">
        <v>206</v>
      </c>
      <c r="C17" s="90" t="s">
        <v>207</v>
      </c>
      <c r="D17" s="90"/>
    </row>
    <row r="18" spans="2:4" ht="50.1" customHeight="1">
      <c r="B18" s="90"/>
      <c r="C18" s="90" t="s">
        <v>208</v>
      </c>
      <c r="D18" s="90"/>
    </row>
    <row r="19" spans="2:4" ht="50.1" customHeight="1">
      <c r="B19" s="90"/>
      <c r="C19" s="90" t="s">
        <v>209</v>
      </c>
      <c r="D19" s="90"/>
    </row>
    <row r="20" spans="2:4" ht="50.1" customHeight="1">
      <c r="B20" s="90"/>
      <c r="C20" s="90" t="s">
        <v>210</v>
      </c>
      <c r="D20" s="90"/>
    </row>
    <row r="21" spans="2:4" ht="50.1" customHeight="1">
      <c r="B21" s="90" t="s">
        <v>211</v>
      </c>
      <c r="C21" s="90" t="s">
        <v>212</v>
      </c>
      <c r="D21" s="90"/>
    </row>
    <row r="22" spans="2:4" ht="50.1" customHeight="1">
      <c r="B22" s="90"/>
      <c r="C22" s="90" t="s">
        <v>213</v>
      </c>
      <c r="D22" s="90"/>
    </row>
    <row r="23" spans="2:4" ht="50.1" customHeight="1">
      <c r="B23" s="90"/>
      <c r="C23" s="90" t="s">
        <v>214</v>
      </c>
      <c r="D23" s="90"/>
    </row>
    <row r="24" spans="2:4" ht="50.1" customHeight="1">
      <c r="B24" s="90" t="s">
        <v>215</v>
      </c>
      <c r="C24" s="90" t="s">
        <v>216</v>
      </c>
      <c r="D24" s="90"/>
    </row>
    <row r="25" spans="2:4" ht="50.1" customHeight="1">
      <c r="B25" s="90"/>
      <c r="C25" s="90" t="s">
        <v>217</v>
      </c>
      <c r="D25" s="90"/>
    </row>
  </sheetData>
  <sheetProtection algorithmName="SHA-512" hashValue="bZUL6mD159NJzrDMfwN4drt+BOqtexhCohLvWTFiYmwi3OxjnrOscfwij2lbQWlD1y6kwb2Toihf5J7T9rDt2w==" saltValue="3UFfoL413EPmJz18ZLo85A==" spinCount="100000" sheet="1" objects="1" scenarios="1"/>
  <mergeCells count="15">
    <mergeCell ref="B14:D14"/>
    <mergeCell ref="C15:D15"/>
    <mergeCell ref="C16:D16"/>
    <mergeCell ref="B17:B20"/>
    <mergeCell ref="C17:D17"/>
    <mergeCell ref="C18:D18"/>
    <mergeCell ref="C19:D19"/>
    <mergeCell ref="C20:D20"/>
    <mergeCell ref="B21:B23"/>
    <mergeCell ref="C21:D21"/>
    <mergeCell ref="C22:D22"/>
    <mergeCell ref="C23:D23"/>
    <mergeCell ref="B24:B25"/>
    <mergeCell ref="C24:D24"/>
    <mergeCell ref="C25:D25"/>
  </mergeCells>
  <phoneticPr fontId="30" type="noConversion"/>
  <conditionalFormatting sqref="C3:J12">
    <cfRule type="containsBlanks" dxfId="60" priority="1" stopIfTrue="1">
      <formula>LEN(TRIM(C3))=0</formula>
    </cfRule>
  </conditionalFormatting>
  <dataValidations count="2">
    <dataValidation type="list" allowBlank="1" showInputMessage="1" showErrorMessage="1" sqref="C8:J9" xr:uid="{26019721-06B4-C344-8224-CB676EC62513}">
      <formula1>"High,Medium,Low"</formula1>
    </dataValidation>
    <dataValidation type="decimal" operator="greaterThan" allowBlank="1" showInputMessage="1" showErrorMessage="1" sqref="C4:J7 C11:J12" xr:uid="{3ACB799D-6863-874C-A853-DD4D01F96B84}">
      <formula1>0</formula1>
    </dataValidation>
  </dataValidations>
  <pageMargins left="0.7" right="0.7" top="0.75" bottom="0.75" header="0.3" footer="0.3"/>
  <pageSetup scale="47" orientation="portrait" horizontalDpi="0" verticalDpi="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E5F098-1FD7-C444-9DE7-00998B4A673C}">
  <sheetPr>
    <tabColor rgb="FF4F81BD"/>
  </sheetPr>
  <dimension ref="B1:K48"/>
  <sheetViews>
    <sheetView showGridLines="0" zoomScaleNormal="100" workbookViewId="0">
      <selection activeCell="C6" sqref="C6"/>
    </sheetView>
  </sheetViews>
  <sheetFormatPr defaultColWidth="10.875" defaultRowHeight="15.95"/>
  <cols>
    <col min="1" max="1" width="4.125" style="1" customWidth="1"/>
    <col min="2" max="2" width="51.5" style="1" customWidth="1"/>
    <col min="3" max="9" width="29.125" style="1" customWidth="1"/>
    <col min="10" max="10" width="57.875" style="1" customWidth="1"/>
    <col min="11" max="11" width="31.375" style="1" bestFit="1" customWidth="1"/>
    <col min="12" max="15" width="29.125" style="1" customWidth="1"/>
    <col min="16" max="16384" width="10.875" style="1"/>
  </cols>
  <sheetData>
    <row r="1" spans="2:11" ht="66.95" customHeight="1">
      <c r="B1" s="34" t="s">
        <v>218</v>
      </c>
    </row>
    <row r="2" spans="2:11" ht="39.75" customHeight="1">
      <c r="B2" s="33"/>
      <c r="C2" s="16">
        <v>2022</v>
      </c>
      <c r="D2" s="16">
        <v>2023</v>
      </c>
      <c r="E2" s="16">
        <v>2024</v>
      </c>
      <c r="F2" s="16" t="s">
        <v>110</v>
      </c>
      <c r="G2" s="16" t="s">
        <v>111</v>
      </c>
      <c r="H2" s="16" t="s">
        <v>112</v>
      </c>
      <c r="I2" s="16" t="s">
        <v>219</v>
      </c>
      <c r="J2" s="16" t="s">
        <v>220</v>
      </c>
    </row>
    <row r="3" spans="2:11" ht="39.75" customHeight="1">
      <c r="B3" s="16" t="s">
        <v>221</v>
      </c>
      <c r="C3" s="39">
        <v>1</v>
      </c>
      <c r="D3" s="39">
        <v>1</v>
      </c>
      <c r="E3" s="39">
        <v>5</v>
      </c>
      <c r="F3" s="39">
        <v>10</v>
      </c>
      <c r="G3" s="39">
        <v>15</v>
      </c>
      <c r="H3" s="39">
        <v>20</v>
      </c>
      <c r="I3" s="39">
        <v>28</v>
      </c>
      <c r="J3" s="62"/>
    </row>
    <row r="4" spans="2:11" ht="39.75" customHeight="1">
      <c r="B4" s="36" t="s">
        <v>222</v>
      </c>
      <c r="C4" s="39">
        <v>6</v>
      </c>
      <c r="D4" s="39">
        <v>6</v>
      </c>
      <c r="E4" s="39">
        <v>9</v>
      </c>
      <c r="F4" s="39">
        <v>15</v>
      </c>
      <c r="G4" s="39">
        <v>35</v>
      </c>
      <c r="H4" s="39">
        <v>45</v>
      </c>
      <c r="I4" s="39">
        <v>60</v>
      </c>
      <c r="J4" s="62"/>
    </row>
    <row r="5" spans="2:11" ht="39.75" customHeight="1">
      <c r="B5" s="16" t="s">
        <v>223</v>
      </c>
      <c r="C5" s="39">
        <v>100</v>
      </c>
      <c r="D5" s="39">
        <v>100</v>
      </c>
      <c r="E5" s="39">
        <v>200</v>
      </c>
      <c r="F5" s="39">
        <v>350</v>
      </c>
      <c r="G5" s="39">
        <v>500</v>
      </c>
      <c r="H5" s="39">
        <v>650</v>
      </c>
      <c r="I5" s="39">
        <v>800</v>
      </c>
      <c r="J5" s="62"/>
    </row>
    <row r="6" spans="2:11" ht="39.75" customHeight="1">
      <c r="B6" s="16" t="s">
        <v>224</v>
      </c>
      <c r="C6" s="39"/>
      <c r="D6" s="39"/>
      <c r="E6" s="39">
        <v>206</v>
      </c>
      <c r="F6" s="39">
        <v>250</v>
      </c>
      <c r="G6" s="39">
        <v>300</v>
      </c>
      <c r="H6" s="39">
        <v>400</v>
      </c>
      <c r="I6" s="39">
        <v>400</v>
      </c>
      <c r="J6" s="62"/>
      <c r="K6" s="4" t="s">
        <v>225</v>
      </c>
    </row>
    <row r="7" spans="2:11" ht="39.75" customHeight="1">
      <c r="B7" s="16" t="s">
        <v>226</v>
      </c>
      <c r="C7" s="39">
        <v>5</v>
      </c>
      <c r="D7" s="39">
        <v>5</v>
      </c>
      <c r="E7" s="39">
        <v>9</v>
      </c>
      <c r="F7" s="39">
        <v>15</v>
      </c>
      <c r="G7" s="39">
        <v>30</v>
      </c>
      <c r="H7" s="39">
        <v>50</v>
      </c>
      <c r="I7" s="39">
        <v>70</v>
      </c>
      <c r="J7" s="62"/>
    </row>
    <row r="8" spans="2:11" ht="39.75" customHeight="1">
      <c r="B8" s="16" t="s">
        <v>227</v>
      </c>
      <c r="C8" s="39">
        <v>10</v>
      </c>
      <c r="D8" s="39">
        <v>10</v>
      </c>
      <c r="E8" s="39">
        <v>18</v>
      </c>
      <c r="F8" s="39">
        <v>30</v>
      </c>
      <c r="G8" s="39">
        <v>60</v>
      </c>
      <c r="H8" s="39">
        <v>80</v>
      </c>
      <c r="I8" s="39">
        <v>100</v>
      </c>
      <c r="J8" s="62"/>
    </row>
    <row r="9" spans="2:11" ht="39.75" customHeight="1">
      <c r="B9" s="16" t="s">
        <v>228</v>
      </c>
      <c r="C9" s="39">
        <v>8</v>
      </c>
      <c r="D9" s="39">
        <v>8</v>
      </c>
      <c r="E9" s="39">
        <v>12</v>
      </c>
      <c r="F9" s="39">
        <v>20</v>
      </c>
      <c r="G9" s="39">
        <v>35</v>
      </c>
      <c r="H9" s="39">
        <v>50</v>
      </c>
      <c r="I9" s="39">
        <v>70</v>
      </c>
      <c r="J9" s="62"/>
    </row>
    <row r="10" spans="2:11" ht="39.75" customHeight="1">
      <c r="B10" s="36" t="s">
        <v>229</v>
      </c>
      <c r="C10" s="39"/>
      <c r="D10" s="39"/>
      <c r="E10" s="39"/>
      <c r="F10" s="39">
        <v>20</v>
      </c>
      <c r="G10" s="39">
        <v>30</v>
      </c>
      <c r="H10" s="39">
        <v>45</v>
      </c>
      <c r="I10" s="39">
        <v>60</v>
      </c>
      <c r="J10" s="62"/>
    </row>
    <row r="11" spans="2:11" ht="39.75" customHeight="1">
      <c r="B11" s="16" t="s">
        <v>230</v>
      </c>
      <c r="C11" s="39"/>
      <c r="D11" s="39"/>
      <c r="E11" s="39"/>
      <c r="F11" s="39">
        <v>1</v>
      </c>
      <c r="G11" s="39">
        <v>2</v>
      </c>
      <c r="H11" s="39">
        <v>2</v>
      </c>
      <c r="I11" s="39">
        <v>2</v>
      </c>
      <c r="J11" s="62"/>
    </row>
    <row r="12" spans="2:11" ht="39.75" customHeight="1">
      <c r="B12" s="16" t="s">
        <v>231</v>
      </c>
      <c r="C12" s="39">
        <v>2</v>
      </c>
      <c r="D12" s="39">
        <v>3</v>
      </c>
      <c r="E12" s="39">
        <v>8</v>
      </c>
      <c r="F12" s="39">
        <v>12</v>
      </c>
      <c r="G12" s="39">
        <v>16</v>
      </c>
      <c r="H12" s="39">
        <v>21</v>
      </c>
      <c r="I12" s="39">
        <v>27</v>
      </c>
      <c r="J12" s="62"/>
    </row>
    <row r="13" spans="2:11" ht="39.75" customHeight="1">
      <c r="B13" s="16" t="s">
        <v>232</v>
      </c>
      <c r="C13" s="39"/>
      <c r="D13" s="39"/>
      <c r="E13" s="39"/>
      <c r="F13" s="39"/>
      <c r="G13" s="39"/>
      <c r="H13" s="39"/>
      <c r="I13" s="39"/>
      <c r="J13" s="62"/>
    </row>
    <row r="14" spans="2:11" ht="39.75" customHeight="1">
      <c r="B14" s="16" t="s">
        <v>232</v>
      </c>
      <c r="C14" s="39"/>
      <c r="D14" s="39"/>
      <c r="E14" s="39"/>
      <c r="F14" s="39"/>
      <c r="G14" s="39"/>
      <c r="H14" s="39"/>
      <c r="I14" s="39"/>
      <c r="J14" s="62"/>
    </row>
    <row r="15" spans="2:11" ht="39.75" customHeight="1">
      <c r="B15" s="16" t="s">
        <v>232</v>
      </c>
      <c r="C15" s="39"/>
      <c r="D15" s="39"/>
      <c r="E15" s="39"/>
      <c r="F15" s="39"/>
      <c r="G15" s="39"/>
      <c r="H15" s="39"/>
      <c r="I15" s="39"/>
      <c r="J15" s="62"/>
    </row>
    <row r="16" spans="2:11" ht="20.100000000000001">
      <c r="B16" s="53" t="s">
        <v>233</v>
      </c>
      <c r="C16" s="54">
        <f t="shared" ref="C16:I16" si="0">SUM(C3:C15)</f>
        <v>132</v>
      </c>
      <c r="D16" s="54">
        <f t="shared" si="0"/>
        <v>133</v>
      </c>
      <c r="E16" s="54">
        <f t="shared" si="0"/>
        <v>467</v>
      </c>
      <c r="F16" s="54">
        <f t="shared" si="0"/>
        <v>723</v>
      </c>
      <c r="G16" s="54">
        <f t="shared" si="0"/>
        <v>1023</v>
      </c>
      <c r="H16" s="54">
        <f t="shared" si="0"/>
        <v>1363</v>
      </c>
      <c r="I16" s="54">
        <f t="shared" si="0"/>
        <v>1617</v>
      </c>
    </row>
    <row r="18" spans="2:11" ht="39.75" customHeight="1">
      <c r="B18" s="33"/>
      <c r="C18" s="16">
        <v>2022</v>
      </c>
      <c r="D18" s="16">
        <v>2023</v>
      </c>
      <c r="E18" s="16">
        <v>2024</v>
      </c>
      <c r="F18" s="16" t="s">
        <v>110</v>
      </c>
      <c r="G18" s="16" t="s">
        <v>111</v>
      </c>
      <c r="H18" s="16" t="s">
        <v>112</v>
      </c>
      <c r="I18" s="16" t="s">
        <v>219</v>
      </c>
      <c r="J18" s="16" t="s">
        <v>220</v>
      </c>
    </row>
    <row r="19" spans="2:11" ht="39.75" customHeight="1">
      <c r="B19" s="16" t="s">
        <v>221</v>
      </c>
      <c r="C19" s="39">
        <v>10</v>
      </c>
      <c r="D19" s="39">
        <v>10</v>
      </c>
      <c r="E19" s="39">
        <v>10</v>
      </c>
      <c r="F19" s="39">
        <v>10</v>
      </c>
      <c r="G19" s="39">
        <v>8</v>
      </c>
      <c r="H19" s="39">
        <v>8</v>
      </c>
      <c r="I19" s="39">
        <v>8</v>
      </c>
      <c r="J19" s="62"/>
    </row>
    <row r="20" spans="2:11" ht="39.75" customHeight="1">
      <c r="B20" s="36" t="s">
        <v>222</v>
      </c>
      <c r="C20" s="39"/>
      <c r="D20" s="39"/>
      <c r="E20" s="39"/>
      <c r="F20" s="39"/>
      <c r="G20" s="39"/>
      <c r="H20" s="39"/>
      <c r="I20" s="39"/>
      <c r="J20" s="62"/>
    </row>
    <row r="21" spans="2:11" ht="39.75" customHeight="1">
      <c r="B21" s="16" t="s">
        <v>223</v>
      </c>
      <c r="C21" s="39">
        <v>40</v>
      </c>
      <c r="D21" s="39">
        <v>35</v>
      </c>
      <c r="E21" s="39">
        <v>40</v>
      </c>
      <c r="F21" s="39">
        <v>45</v>
      </c>
      <c r="G21" s="39">
        <v>30</v>
      </c>
      <c r="H21" s="39">
        <v>30</v>
      </c>
      <c r="I21" s="39">
        <v>30</v>
      </c>
      <c r="J21" s="62"/>
    </row>
    <row r="22" spans="2:11" ht="39.75" customHeight="1">
      <c r="B22" s="16" t="s">
        <v>224</v>
      </c>
      <c r="C22" s="39"/>
      <c r="D22" s="39"/>
      <c r="E22" s="39"/>
      <c r="F22" s="39"/>
      <c r="G22" s="39"/>
      <c r="H22" s="39"/>
      <c r="I22" s="39"/>
      <c r="J22" s="62"/>
      <c r="K22" s="4" t="s">
        <v>225</v>
      </c>
    </row>
    <row r="23" spans="2:11" ht="39.75" customHeight="1">
      <c r="B23" s="16" t="s">
        <v>226</v>
      </c>
      <c r="C23" s="39">
        <v>8</v>
      </c>
      <c r="D23" s="39">
        <v>8</v>
      </c>
      <c r="E23" s="39">
        <v>8</v>
      </c>
      <c r="F23" s="39">
        <v>17</v>
      </c>
      <c r="G23" s="39">
        <v>17</v>
      </c>
      <c r="H23" s="39">
        <v>17</v>
      </c>
      <c r="I23" s="39">
        <v>17</v>
      </c>
      <c r="J23" s="62"/>
    </row>
    <row r="24" spans="2:11" ht="39.75" customHeight="1">
      <c r="B24" s="16" t="s">
        <v>227</v>
      </c>
      <c r="C24" s="39">
        <v>2</v>
      </c>
      <c r="D24" s="39">
        <v>2</v>
      </c>
      <c r="E24" s="39">
        <v>2</v>
      </c>
      <c r="F24" s="39">
        <v>2</v>
      </c>
      <c r="G24" s="39">
        <v>2</v>
      </c>
      <c r="H24" s="39">
        <v>2</v>
      </c>
      <c r="I24" s="39">
        <v>2</v>
      </c>
      <c r="J24" s="62"/>
    </row>
    <row r="25" spans="2:11" ht="39.75" customHeight="1">
      <c r="B25" s="16" t="s">
        <v>228</v>
      </c>
      <c r="C25" s="39"/>
      <c r="D25" s="39"/>
      <c r="E25" s="39"/>
      <c r="F25" s="39"/>
      <c r="G25" s="39"/>
      <c r="H25" s="39"/>
      <c r="I25" s="39"/>
      <c r="J25" s="62"/>
    </row>
    <row r="26" spans="2:11" ht="39.75" customHeight="1">
      <c r="B26" s="36" t="s">
        <v>229</v>
      </c>
      <c r="C26" s="39">
        <v>101</v>
      </c>
      <c r="D26" s="39">
        <v>87</v>
      </c>
      <c r="E26" s="39">
        <v>103</v>
      </c>
      <c r="F26" s="39">
        <v>106</v>
      </c>
      <c r="G26" s="39">
        <v>74</v>
      </c>
      <c r="H26" s="39">
        <v>74</v>
      </c>
      <c r="I26" s="39">
        <v>74</v>
      </c>
      <c r="J26" s="62"/>
    </row>
    <row r="27" spans="2:11" ht="39.75" customHeight="1">
      <c r="B27" s="16" t="s">
        <v>230</v>
      </c>
      <c r="C27" s="39">
        <v>1</v>
      </c>
      <c r="D27" s="39">
        <v>1</v>
      </c>
      <c r="E27" s="39">
        <v>1</v>
      </c>
      <c r="F27" s="39">
        <v>4</v>
      </c>
      <c r="G27" s="39">
        <v>4</v>
      </c>
      <c r="H27" s="39">
        <v>4</v>
      </c>
      <c r="I27" s="39">
        <v>4</v>
      </c>
      <c r="J27" s="62"/>
    </row>
    <row r="28" spans="2:11" ht="39.75" customHeight="1">
      <c r="B28" s="16" t="s">
        <v>234</v>
      </c>
      <c r="C28" s="39">
        <v>2</v>
      </c>
      <c r="D28" s="39">
        <v>2</v>
      </c>
      <c r="E28" s="39">
        <v>2</v>
      </c>
      <c r="F28" s="39">
        <v>2</v>
      </c>
      <c r="G28" s="39">
        <v>2</v>
      </c>
      <c r="H28" s="39">
        <v>2</v>
      </c>
      <c r="I28" s="39">
        <v>2</v>
      </c>
      <c r="J28" s="62"/>
    </row>
    <row r="29" spans="2:11" ht="39.75" customHeight="1">
      <c r="B29" s="16" t="s">
        <v>235</v>
      </c>
      <c r="C29" s="39">
        <v>10</v>
      </c>
      <c r="D29" s="39">
        <v>10</v>
      </c>
      <c r="E29" s="39">
        <v>10</v>
      </c>
      <c r="F29" s="39">
        <v>10</v>
      </c>
      <c r="G29" s="39">
        <v>8</v>
      </c>
      <c r="H29" s="39">
        <v>8</v>
      </c>
      <c r="I29" s="39">
        <v>8</v>
      </c>
      <c r="J29" s="62"/>
    </row>
    <row r="30" spans="2:11" ht="39.75" customHeight="1">
      <c r="B30" s="16" t="s">
        <v>236</v>
      </c>
      <c r="C30" s="39">
        <v>3</v>
      </c>
      <c r="D30" s="39">
        <v>3</v>
      </c>
      <c r="E30" s="39">
        <v>3</v>
      </c>
      <c r="F30" s="39">
        <v>3</v>
      </c>
      <c r="G30" s="39">
        <v>2</v>
      </c>
      <c r="H30" s="39">
        <v>2</v>
      </c>
      <c r="I30" s="39">
        <v>2</v>
      </c>
      <c r="J30" s="62"/>
    </row>
    <row r="31" spans="2:11" ht="39.75" customHeight="1">
      <c r="B31" s="16" t="s">
        <v>237</v>
      </c>
      <c r="C31" s="39">
        <v>5</v>
      </c>
      <c r="D31" s="39">
        <v>5</v>
      </c>
      <c r="E31" s="39">
        <v>5</v>
      </c>
      <c r="F31" s="39">
        <v>5</v>
      </c>
      <c r="G31" s="39">
        <v>3</v>
      </c>
      <c r="H31" s="39">
        <v>3</v>
      </c>
      <c r="I31" s="39">
        <v>3</v>
      </c>
      <c r="J31" s="62"/>
    </row>
    <row r="32" spans="2:11" ht="18">
      <c r="C32" s="54">
        <f t="shared" ref="C32:I32" si="1">SUM(C19:C31)</f>
        <v>182</v>
      </c>
      <c r="D32" s="54">
        <f t="shared" si="1"/>
        <v>163</v>
      </c>
      <c r="E32" s="54">
        <f t="shared" si="1"/>
        <v>184</v>
      </c>
      <c r="F32" s="54">
        <f t="shared" si="1"/>
        <v>204</v>
      </c>
      <c r="G32" s="54">
        <f t="shared" si="1"/>
        <v>150</v>
      </c>
      <c r="H32" s="54">
        <f t="shared" si="1"/>
        <v>150</v>
      </c>
      <c r="I32" s="54">
        <f t="shared" si="1"/>
        <v>150</v>
      </c>
      <c r="J32" s="54"/>
    </row>
    <row r="34" spans="2:10" ht="35.25" customHeight="1">
      <c r="B34" s="33"/>
      <c r="C34" s="16">
        <v>2022</v>
      </c>
      <c r="D34" s="16">
        <v>2023</v>
      </c>
      <c r="E34" s="16">
        <v>2024</v>
      </c>
      <c r="F34" s="16" t="s">
        <v>110</v>
      </c>
      <c r="G34" s="16" t="s">
        <v>111</v>
      </c>
      <c r="H34" s="16" t="s">
        <v>112</v>
      </c>
      <c r="I34" s="16" t="s">
        <v>219</v>
      </c>
      <c r="J34" s="16" t="s">
        <v>220</v>
      </c>
    </row>
    <row r="35" spans="2:10" ht="37.5">
      <c r="B35" s="36" t="s">
        <v>229</v>
      </c>
      <c r="C35" s="39"/>
      <c r="D35" s="39"/>
      <c r="E35" s="39">
        <v>20</v>
      </c>
      <c r="F35" s="39">
        <v>65</v>
      </c>
      <c r="G35" s="39">
        <v>70</v>
      </c>
      <c r="H35" s="39">
        <v>75</v>
      </c>
      <c r="I35" s="39">
        <v>80</v>
      </c>
      <c r="J35" s="62"/>
    </row>
    <row r="36" spans="2:10" ht="18">
      <c r="C36" s="54">
        <f>SUM(C35:C35)</f>
        <v>0</v>
      </c>
      <c r="D36" s="54">
        <f>SUM(D35:D35)</f>
        <v>0</v>
      </c>
      <c r="E36" s="54">
        <f>SUM(E35:E35)</f>
        <v>20</v>
      </c>
      <c r="F36" s="54">
        <f>SUM(F35:F35)</f>
        <v>65</v>
      </c>
      <c r="G36" s="54">
        <f>SUM(G35:G35)</f>
        <v>70</v>
      </c>
      <c r="H36" s="54">
        <f>SUM(H35:H35)</f>
        <v>75</v>
      </c>
      <c r="I36" s="54">
        <f>SUM(I35:I35)</f>
        <v>80</v>
      </c>
      <c r="J36" s="54"/>
    </row>
    <row r="37" spans="2:10" ht="15"/>
    <row r="38" spans="2:10" ht="15"/>
    <row r="39" spans="2:10" ht="15"/>
    <row r="40" spans="2:10" ht="15"/>
    <row r="41" spans="2:10" ht="15"/>
    <row r="42" spans="2:10" ht="15"/>
    <row r="43" spans="2:10" ht="15"/>
    <row r="44" spans="2:10" ht="15"/>
    <row r="45" spans="2:10" ht="15"/>
    <row r="46" spans="2:10" ht="15"/>
    <row r="47" spans="2:10" ht="15"/>
    <row r="48" spans="2:10" ht="15"/>
  </sheetData>
  <phoneticPr fontId="30" type="noConversion"/>
  <conditionalFormatting sqref="C6:J6 C35:J35 F3:J5 C10:J11 F7:J9 C13:J15 F12:J12">
    <cfRule type="notContainsBlanks" dxfId="59" priority="6">
      <formula>LEN(TRIM(C3))&gt;0</formula>
    </cfRule>
  </conditionalFormatting>
  <conditionalFormatting sqref="C19:J31">
    <cfRule type="notContainsBlanks" dxfId="58" priority="5">
      <formula>LEN(TRIM(C19))&gt;0</formula>
    </cfRule>
  </conditionalFormatting>
  <conditionalFormatting sqref="C3:E5">
    <cfRule type="notContainsBlanks" dxfId="57" priority="3">
      <formula>LEN(TRIM(C3))&gt;0</formula>
    </cfRule>
  </conditionalFormatting>
  <conditionalFormatting sqref="C7:E9">
    <cfRule type="notContainsBlanks" dxfId="56" priority="2">
      <formula>LEN(TRIM(C7))&gt;0</formula>
    </cfRule>
  </conditionalFormatting>
  <conditionalFormatting sqref="C12:E12">
    <cfRule type="notContainsBlanks" dxfId="55" priority="1">
      <formula>LEN(TRIM(C12))&gt;0</formula>
    </cfRule>
  </conditionalFormatting>
  <dataValidations count="1">
    <dataValidation type="whole" operator="greaterThan" allowBlank="1" showInputMessage="1" showErrorMessage="1" sqref="C19:I31 C35:I35 C3:I15" xr:uid="{75C14A06-AF67-4DC9-9D8D-C0E58C5D8DD2}">
      <formula1>0</formula1>
    </dataValidation>
  </dataValidations>
  <pageMargins left="0.7" right="0.7" top="0.75" bottom="0.75" header="0.3" footer="0.3"/>
  <pageSetup orientation="portrait"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24EA0C-0E40-6A44-9C2A-C32E79078142}">
  <sheetPr>
    <tabColor rgb="FF4F81BD"/>
  </sheetPr>
  <dimension ref="B2:I5"/>
  <sheetViews>
    <sheetView showGridLines="0" topLeftCell="A119" workbookViewId="0">
      <selection activeCell="D112" sqref="D112"/>
    </sheetView>
  </sheetViews>
  <sheetFormatPr defaultColWidth="10.875" defaultRowHeight="15"/>
  <cols>
    <col min="1" max="1" width="5.375" customWidth="1"/>
    <col min="2" max="9" width="30.625" customWidth="1"/>
  </cols>
  <sheetData>
    <row r="2" spans="2:9" ht="47.1" customHeight="1">
      <c r="B2" s="93" t="s">
        <v>238</v>
      </c>
      <c r="C2" s="94"/>
      <c r="D2" s="94"/>
      <c r="E2" s="94"/>
      <c r="F2" s="94"/>
      <c r="G2" s="94"/>
      <c r="H2" s="94"/>
      <c r="I2" s="94"/>
    </row>
    <row r="3" spans="2:9" ht="47.1" customHeight="1">
      <c r="B3" s="95"/>
      <c r="C3" s="96"/>
      <c r="D3" s="96"/>
      <c r="E3" s="96"/>
      <c r="F3" s="96"/>
      <c r="G3" s="96"/>
      <c r="H3" s="96"/>
      <c r="I3" s="96"/>
    </row>
    <row r="4" spans="2:9" ht="47.1" customHeight="1">
      <c r="B4" s="95"/>
      <c r="C4" s="96"/>
      <c r="D4" s="96"/>
      <c r="E4" s="96"/>
      <c r="F4" s="96"/>
      <c r="G4" s="96"/>
      <c r="H4" s="96"/>
      <c r="I4" s="96"/>
    </row>
    <row r="5" spans="2:9" ht="47.1" customHeight="1">
      <c r="B5" s="97"/>
      <c r="C5" s="98"/>
      <c r="D5" s="98"/>
      <c r="E5" s="98"/>
      <c r="F5" s="98"/>
      <c r="G5" s="98"/>
      <c r="H5" s="98"/>
      <c r="I5" s="98"/>
    </row>
  </sheetData>
  <mergeCells count="1">
    <mergeCell ref="B2:I5"/>
  </mergeCells>
  <phoneticPr fontId="30" type="noConversion"/>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CC0E82-C9FC-884C-B846-A111D80C5D4B}">
  <sheetPr>
    <tabColor rgb="FF4F81BD"/>
  </sheetPr>
  <dimension ref="A1:W18"/>
  <sheetViews>
    <sheetView topLeftCell="Q4" zoomScale="60" zoomScaleNormal="60" workbookViewId="0">
      <selection activeCell="W12" sqref="W12"/>
    </sheetView>
  </sheetViews>
  <sheetFormatPr defaultColWidth="11" defaultRowHeight="15.95"/>
  <cols>
    <col min="1" max="1" width="4.125" style="1" customWidth="1"/>
    <col min="2" max="2" width="51.5" style="1" customWidth="1"/>
    <col min="3" max="22" width="29.125" style="1" customWidth="1"/>
    <col min="23" max="23" width="57.875" style="1" customWidth="1"/>
  </cols>
  <sheetData>
    <row r="1" spans="2:23" ht="60" customHeight="1">
      <c r="B1" s="34" t="s">
        <v>239</v>
      </c>
    </row>
    <row r="2" spans="2:23" ht="60" customHeight="1">
      <c r="B2" s="67" t="s">
        <v>240</v>
      </c>
      <c r="C2" s="99" t="s">
        <v>241</v>
      </c>
      <c r="D2" s="99"/>
      <c r="E2" s="99"/>
      <c r="F2" s="99"/>
      <c r="G2" s="99" t="s">
        <v>242</v>
      </c>
      <c r="H2" s="99"/>
      <c r="I2" s="99"/>
      <c r="J2" s="99"/>
      <c r="K2" s="99"/>
      <c r="L2" s="99" t="s">
        <v>243</v>
      </c>
      <c r="M2" s="99"/>
      <c r="N2" s="99"/>
      <c r="O2" s="99"/>
      <c r="P2" s="99"/>
      <c r="Q2" s="99"/>
      <c r="R2" s="99"/>
      <c r="S2" s="99" t="s">
        <v>244</v>
      </c>
      <c r="T2" s="99"/>
      <c r="U2" s="99"/>
      <c r="V2" s="99"/>
    </row>
    <row r="3" spans="2:23" ht="60" customHeight="1">
      <c r="B3" s="16" t="s">
        <v>245</v>
      </c>
      <c r="C3" s="68" t="s">
        <v>246</v>
      </c>
      <c r="D3" s="68" t="s">
        <v>247</v>
      </c>
      <c r="E3" s="68" t="s">
        <v>248</v>
      </c>
      <c r="F3" s="68" t="s">
        <v>249</v>
      </c>
      <c r="G3" s="68" t="s">
        <v>250</v>
      </c>
      <c r="H3" s="68" t="s">
        <v>251</v>
      </c>
      <c r="I3" s="68" t="s">
        <v>252</v>
      </c>
      <c r="J3" s="68" t="s">
        <v>253</v>
      </c>
      <c r="K3" s="68" t="s">
        <v>254</v>
      </c>
      <c r="L3" s="68" t="s">
        <v>255</v>
      </c>
      <c r="M3" s="69" t="s">
        <v>256</v>
      </c>
      <c r="N3" s="68" t="s">
        <v>257</v>
      </c>
      <c r="O3" s="68" t="s">
        <v>258</v>
      </c>
      <c r="P3" s="68" t="s">
        <v>259</v>
      </c>
      <c r="Q3" s="68" t="s">
        <v>260</v>
      </c>
      <c r="R3" s="68" t="s">
        <v>261</v>
      </c>
      <c r="S3" s="68" t="s">
        <v>262</v>
      </c>
      <c r="T3" s="68" t="s">
        <v>263</v>
      </c>
      <c r="U3" s="68" t="s">
        <v>264</v>
      </c>
      <c r="V3" s="68" t="s">
        <v>265</v>
      </c>
      <c r="W3" s="16" t="s">
        <v>220</v>
      </c>
    </row>
    <row r="4" spans="2:23" ht="60" customHeight="1">
      <c r="B4" s="16" t="s">
        <v>266</v>
      </c>
      <c r="C4" s="39" t="s">
        <v>45</v>
      </c>
      <c r="D4" s="39" t="s">
        <v>45</v>
      </c>
      <c r="E4" s="39" t="s">
        <v>45</v>
      </c>
      <c r="F4" s="39" t="s">
        <v>45</v>
      </c>
      <c r="G4" s="39" t="s">
        <v>45</v>
      </c>
      <c r="H4" s="39" t="s">
        <v>45</v>
      </c>
      <c r="I4" s="39" t="s">
        <v>153</v>
      </c>
      <c r="J4" s="39" t="s">
        <v>45</v>
      </c>
      <c r="K4" s="39" t="s">
        <v>45</v>
      </c>
      <c r="L4" s="39" t="s">
        <v>45</v>
      </c>
      <c r="M4" s="39" t="s">
        <v>45</v>
      </c>
      <c r="N4" s="39" t="s">
        <v>45</v>
      </c>
      <c r="O4" s="39" t="s">
        <v>45</v>
      </c>
      <c r="P4" s="39" t="s">
        <v>153</v>
      </c>
      <c r="Q4" s="39" t="s">
        <v>45</v>
      </c>
      <c r="R4" s="39" t="s">
        <v>45</v>
      </c>
      <c r="S4" s="39" t="s">
        <v>45</v>
      </c>
      <c r="T4" s="39" t="s">
        <v>153</v>
      </c>
      <c r="U4" s="39" t="s">
        <v>153</v>
      </c>
      <c r="V4" s="39" t="s">
        <v>45</v>
      </c>
      <c r="W4" s="62"/>
    </row>
    <row r="5" spans="2:23" ht="60" customHeight="1">
      <c r="B5" s="36" t="s">
        <v>267</v>
      </c>
      <c r="C5" s="39" t="s">
        <v>193</v>
      </c>
      <c r="D5" s="39" t="s">
        <v>193</v>
      </c>
      <c r="E5" s="39" t="s">
        <v>193</v>
      </c>
      <c r="F5" s="39" t="s">
        <v>193</v>
      </c>
      <c r="G5" s="39" t="s">
        <v>195</v>
      </c>
      <c r="H5" s="39" t="s">
        <v>195</v>
      </c>
      <c r="I5" s="39" t="s">
        <v>195</v>
      </c>
      <c r="J5" s="39" t="s">
        <v>193</v>
      </c>
      <c r="K5" s="39" t="s">
        <v>193</v>
      </c>
      <c r="L5" s="39" t="s">
        <v>193</v>
      </c>
      <c r="M5" s="39" t="s">
        <v>193</v>
      </c>
      <c r="N5" s="39" t="s">
        <v>193</v>
      </c>
      <c r="O5" s="39" t="s">
        <v>193</v>
      </c>
      <c r="P5" s="39" t="s">
        <v>268</v>
      </c>
      <c r="Q5" s="39" t="s">
        <v>193</v>
      </c>
      <c r="R5" s="39" t="s">
        <v>193</v>
      </c>
      <c r="S5" s="39" t="s">
        <v>193</v>
      </c>
      <c r="T5" s="39" t="s">
        <v>268</v>
      </c>
      <c r="U5" s="39" t="s">
        <v>268</v>
      </c>
      <c r="V5" s="39" t="s">
        <v>193</v>
      </c>
      <c r="W5" s="62"/>
    </row>
    <row r="6" spans="2:23" ht="60" customHeight="1">
      <c r="B6" s="36" t="s">
        <v>269</v>
      </c>
      <c r="C6" s="39" t="s">
        <v>153</v>
      </c>
      <c r="D6" s="39" t="s">
        <v>153</v>
      </c>
      <c r="E6" s="39" t="s">
        <v>153</v>
      </c>
      <c r="F6" s="39" t="s">
        <v>153</v>
      </c>
      <c r="G6" s="39" t="s">
        <v>45</v>
      </c>
      <c r="H6" s="39" t="s">
        <v>45</v>
      </c>
      <c r="I6" s="39" t="s">
        <v>45</v>
      </c>
      <c r="J6" s="39" t="s">
        <v>153</v>
      </c>
      <c r="K6" s="39" t="s">
        <v>153</v>
      </c>
      <c r="L6" s="39" t="s">
        <v>153</v>
      </c>
      <c r="M6" s="39" t="s">
        <v>153</v>
      </c>
      <c r="N6" s="39" t="s">
        <v>153</v>
      </c>
      <c r="O6" s="39" t="s">
        <v>153</v>
      </c>
      <c r="P6" s="39" t="s">
        <v>153</v>
      </c>
      <c r="Q6" s="39" t="s">
        <v>153</v>
      </c>
      <c r="R6" s="39" t="s">
        <v>153</v>
      </c>
      <c r="S6" s="39" t="s">
        <v>153</v>
      </c>
      <c r="T6" s="39" t="s">
        <v>153</v>
      </c>
      <c r="U6" s="39" t="s">
        <v>153</v>
      </c>
      <c r="V6" s="39" t="s">
        <v>153</v>
      </c>
      <c r="W6" s="62"/>
    </row>
    <row r="7" spans="2:23" ht="60" customHeight="1">
      <c r="B7" s="36" t="s">
        <v>270</v>
      </c>
      <c r="C7" s="39" t="s">
        <v>271</v>
      </c>
      <c r="D7" s="39" t="s">
        <v>272</v>
      </c>
      <c r="E7" s="39" t="s">
        <v>273</v>
      </c>
      <c r="F7" s="39" t="s">
        <v>274</v>
      </c>
      <c r="G7" s="39" t="s">
        <v>275</v>
      </c>
      <c r="H7" s="39" t="s">
        <v>276</v>
      </c>
      <c r="I7" s="39" t="s">
        <v>277</v>
      </c>
      <c r="J7" s="39" t="s">
        <v>278</v>
      </c>
      <c r="K7" s="39" t="s">
        <v>279</v>
      </c>
      <c r="L7" s="39" t="s">
        <v>280</v>
      </c>
      <c r="M7" s="39" t="s">
        <v>280</v>
      </c>
      <c r="N7" s="39" t="s">
        <v>281</v>
      </c>
      <c r="O7" s="39" t="s">
        <v>282</v>
      </c>
      <c r="P7" s="39" t="s">
        <v>153</v>
      </c>
      <c r="Q7" s="39" t="s">
        <v>283</v>
      </c>
      <c r="R7" s="39" t="s">
        <v>284</v>
      </c>
      <c r="S7" s="39" t="s">
        <v>285</v>
      </c>
      <c r="T7" s="39" t="s">
        <v>153</v>
      </c>
      <c r="U7" s="39" t="s">
        <v>153</v>
      </c>
      <c r="V7" s="39" t="s">
        <v>286</v>
      </c>
      <c r="W7" s="62"/>
    </row>
    <row r="8" spans="2:23" ht="60" customHeight="1">
      <c r="B8" s="36" t="s">
        <v>287</v>
      </c>
      <c r="C8" s="39" t="s">
        <v>288</v>
      </c>
      <c r="D8" s="39" t="s">
        <v>289</v>
      </c>
      <c r="E8" s="39" t="s">
        <v>290</v>
      </c>
      <c r="F8" s="39" t="s">
        <v>291</v>
      </c>
      <c r="G8" s="39" t="s">
        <v>292</v>
      </c>
      <c r="H8" s="39" t="s">
        <v>292</v>
      </c>
      <c r="I8" s="39" t="s">
        <v>292</v>
      </c>
      <c r="J8" s="39" t="s">
        <v>293</v>
      </c>
      <c r="K8" s="39" t="s">
        <v>293</v>
      </c>
      <c r="L8" s="39" t="s">
        <v>292</v>
      </c>
      <c r="M8" s="39" t="s">
        <v>294</v>
      </c>
      <c r="N8" s="39" t="s">
        <v>292</v>
      </c>
      <c r="O8" s="39" t="s">
        <v>294</v>
      </c>
      <c r="P8" s="39" t="s">
        <v>153</v>
      </c>
      <c r="Q8" s="39">
        <v>6</v>
      </c>
      <c r="R8" s="39">
        <v>4</v>
      </c>
      <c r="S8" s="39">
        <v>6</v>
      </c>
      <c r="T8" s="39" t="s">
        <v>153</v>
      </c>
      <c r="U8" s="39" t="s">
        <v>153</v>
      </c>
      <c r="V8" s="39">
        <v>6</v>
      </c>
      <c r="W8" s="62"/>
    </row>
    <row r="9" spans="2:23" ht="60" customHeight="1">
      <c r="B9" s="36" t="s">
        <v>295</v>
      </c>
      <c r="C9" s="39" t="s">
        <v>296</v>
      </c>
      <c r="D9" s="39" t="s">
        <v>297</v>
      </c>
      <c r="E9" s="39" t="s">
        <v>298</v>
      </c>
      <c r="F9" s="39" t="s">
        <v>299</v>
      </c>
      <c r="G9" s="39" t="s">
        <v>300</v>
      </c>
      <c r="H9" s="39" t="s">
        <v>300</v>
      </c>
      <c r="I9" s="39" t="s">
        <v>301</v>
      </c>
      <c r="J9" s="39" t="s">
        <v>302</v>
      </c>
      <c r="K9" s="39" t="s">
        <v>302</v>
      </c>
      <c r="L9" s="39" t="s">
        <v>303</v>
      </c>
      <c r="M9" s="39" t="s">
        <v>303</v>
      </c>
      <c r="N9" s="39" t="s">
        <v>304</v>
      </c>
      <c r="O9" s="39" t="s">
        <v>305</v>
      </c>
      <c r="P9" s="39" t="s">
        <v>153</v>
      </c>
      <c r="Q9" s="39" t="s">
        <v>306</v>
      </c>
      <c r="R9" s="39" t="s">
        <v>307</v>
      </c>
      <c r="S9" s="39" t="s">
        <v>307</v>
      </c>
      <c r="T9" s="39" t="s">
        <v>153</v>
      </c>
      <c r="U9" s="39" t="s">
        <v>153</v>
      </c>
      <c r="V9" s="39" t="s">
        <v>308</v>
      </c>
      <c r="W9" s="62"/>
    </row>
    <row r="10" spans="2:23" ht="60" customHeight="1">
      <c r="B10" s="36" t="s">
        <v>309</v>
      </c>
      <c r="C10" s="39" t="s">
        <v>310</v>
      </c>
      <c r="D10" s="39" t="s">
        <v>311</v>
      </c>
      <c r="E10" s="39" t="s">
        <v>312</v>
      </c>
      <c r="F10" s="39" t="s">
        <v>313</v>
      </c>
      <c r="G10" s="39" t="s">
        <v>314</v>
      </c>
      <c r="H10" s="39" t="s">
        <v>315</v>
      </c>
      <c r="I10" s="39" t="s">
        <v>316</v>
      </c>
      <c r="J10" s="39" t="s">
        <v>317</v>
      </c>
      <c r="K10" s="39" t="s">
        <v>318</v>
      </c>
      <c r="L10" s="39" t="s">
        <v>319</v>
      </c>
      <c r="M10" s="39" t="s">
        <v>320</v>
      </c>
      <c r="N10" s="39" t="s">
        <v>321</v>
      </c>
      <c r="O10" s="39" t="s">
        <v>322</v>
      </c>
      <c r="P10" s="39" t="s">
        <v>153</v>
      </c>
      <c r="Q10" s="39" t="s">
        <v>323</v>
      </c>
      <c r="R10" s="39" t="s">
        <v>324</v>
      </c>
      <c r="S10" s="39" t="s">
        <v>325</v>
      </c>
      <c r="T10" s="39" t="s">
        <v>153</v>
      </c>
      <c r="U10" s="39" t="s">
        <v>153</v>
      </c>
      <c r="V10" s="39" t="s">
        <v>326</v>
      </c>
      <c r="W10" s="62"/>
    </row>
    <row r="11" spans="2:23" ht="60" customHeight="1">
      <c r="B11" s="36" t="s">
        <v>327</v>
      </c>
      <c r="C11" s="39" t="s">
        <v>328</v>
      </c>
      <c r="D11" s="39" t="s">
        <v>329</v>
      </c>
      <c r="E11" s="39" t="s">
        <v>330</v>
      </c>
      <c r="F11" s="39" t="s">
        <v>331</v>
      </c>
      <c r="G11" s="70" t="s">
        <v>332</v>
      </c>
      <c r="H11" s="39" t="s">
        <v>332</v>
      </c>
      <c r="I11" s="39" t="s">
        <v>332</v>
      </c>
      <c r="J11" s="39" t="s">
        <v>332</v>
      </c>
      <c r="K11" s="39" t="s">
        <v>332</v>
      </c>
      <c r="L11" s="39" t="s">
        <v>333</v>
      </c>
      <c r="M11" s="39" t="s">
        <v>334</v>
      </c>
      <c r="N11" s="39" t="s">
        <v>334</v>
      </c>
      <c r="O11" s="39" t="s">
        <v>333</v>
      </c>
      <c r="P11" s="39" t="s">
        <v>153</v>
      </c>
      <c r="Q11" s="39" t="s">
        <v>334</v>
      </c>
      <c r="R11" s="39" t="s">
        <v>333</v>
      </c>
      <c r="S11" s="39" t="s">
        <v>335</v>
      </c>
      <c r="T11" s="39" t="s">
        <v>153</v>
      </c>
      <c r="U11" s="39" t="s">
        <v>153</v>
      </c>
      <c r="V11" s="39" t="s">
        <v>336</v>
      </c>
      <c r="W11" s="62"/>
    </row>
    <row r="12" spans="2:23" ht="60" customHeight="1">
      <c r="B12" s="16" t="s">
        <v>337</v>
      </c>
      <c r="C12" s="39" t="s">
        <v>338</v>
      </c>
      <c r="D12" s="39" t="s">
        <v>338</v>
      </c>
      <c r="E12" s="39" t="s">
        <v>338</v>
      </c>
      <c r="F12" s="39" t="s">
        <v>339</v>
      </c>
      <c r="G12" s="39" t="s">
        <v>340</v>
      </c>
      <c r="H12" s="39" t="s">
        <v>340</v>
      </c>
      <c r="I12" s="39" t="s">
        <v>340</v>
      </c>
      <c r="J12" s="39" t="s">
        <v>338</v>
      </c>
      <c r="K12" s="39" t="s">
        <v>338</v>
      </c>
      <c r="L12" s="39" t="s">
        <v>341</v>
      </c>
      <c r="M12" s="39" t="s">
        <v>341</v>
      </c>
      <c r="N12" s="39" t="s">
        <v>341</v>
      </c>
      <c r="O12" s="39" t="s">
        <v>341</v>
      </c>
      <c r="P12" s="39" t="s">
        <v>153</v>
      </c>
      <c r="Q12" s="39" t="s">
        <v>342</v>
      </c>
      <c r="R12" s="39" t="s">
        <v>342</v>
      </c>
      <c r="S12" s="39" t="s">
        <v>325</v>
      </c>
      <c r="T12" s="39" t="s">
        <v>153</v>
      </c>
      <c r="U12" s="39" t="s">
        <v>153</v>
      </c>
      <c r="V12" s="39" t="s">
        <v>343</v>
      </c>
      <c r="W12" s="62"/>
    </row>
    <row r="13" spans="2:23" ht="60" customHeight="1">
      <c r="B13" s="36" t="s">
        <v>344</v>
      </c>
      <c r="C13" s="39" t="s">
        <v>345</v>
      </c>
      <c r="D13" s="39" t="s">
        <v>345</v>
      </c>
      <c r="E13" s="39" t="s">
        <v>346</v>
      </c>
      <c r="F13" s="39" t="s">
        <v>347</v>
      </c>
      <c r="G13" s="39" t="s">
        <v>348</v>
      </c>
      <c r="H13" s="39" t="s">
        <v>349</v>
      </c>
      <c r="I13" s="39" t="s">
        <v>350</v>
      </c>
      <c r="J13" s="39" t="s">
        <v>351</v>
      </c>
      <c r="K13" s="39" t="s">
        <v>352</v>
      </c>
      <c r="L13" s="39" t="s">
        <v>353</v>
      </c>
      <c r="M13" s="39" t="s">
        <v>354</v>
      </c>
      <c r="N13" s="39" t="s">
        <v>355</v>
      </c>
      <c r="O13" s="39" t="s">
        <v>356</v>
      </c>
      <c r="P13" s="39" t="s">
        <v>153</v>
      </c>
      <c r="Q13" s="39" t="s">
        <v>357</v>
      </c>
      <c r="R13" s="39" t="s">
        <v>358</v>
      </c>
      <c r="S13" s="39" t="s">
        <v>359</v>
      </c>
      <c r="T13" s="39" t="s">
        <v>153</v>
      </c>
      <c r="U13" s="39" t="s">
        <v>153</v>
      </c>
      <c r="V13" s="39" t="s">
        <v>360</v>
      </c>
      <c r="W13" s="62"/>
    </row>
    <row r="14" spans="2:23" ht="60" customHeight="1">
      <c r="B14" s="16" t="s">
        <v>361</v>
      </c>
      <c r="C14" s="39" t="s">
        <v>362</v>
      </c>
      <c r="D14" s="39" t="s">
        <v>362</v>
      </c>
      <c r="E14" s="39" t="s">
        <v>363</v>
      </c>
      <c r="F14" s="39" t="s">
        <v>364</v>
      </c>
      <c r="G14" s="39" t="s">
        <v>365</v>
      </c>
      <c r="H14" s="39" t="s">
        <v>365</v>
      </c>
      <c r="I14" s="39" t="s">
        <v>365</v>
      </c>
      <c r="J14" s="39" t="s">
        <v>366</v>
      </c>
      <c r="K14" s="39" t="s">
        <v>367</v>
      </c>
      <c r="L14" s="39" t="s">
        <v>368</v>
      </c>
      <c r="M14" s="39" t="s">
        <v>369</v>
      </c>
      <c r="N14" s="39" t="s">
        <v>370</v>
      </c>
      <c r="O14" s="39" t="s">
        <v>371</v>
      </c>
      <c r="P14" s="39" t="s">
        <v>153</v>
      </c>
      <c r="Q14" s="39" t="s">
        <v>372</v>
      </c>
      <c r="R14" s="39" t="s">
        <v>372</v>
      </c>
      <c r="S14" s="39" t="s">
        <v>372</v>
      </c>
      <c r="T14" s="39" t="s">
        <v>153</v>
      </c>
      <c r="U14" s="39" t="s">
        <v>153</v>
      </c>
      <c r="V14" s="39" t="s">
        <v>153</v>
      </c>
      <c r="W14" s="62"/>
    </row>
    <row r="15" spans="2:23" ht="60" customHeight="1">
      <c r="B15" s="16" t="s">
        <v>373</v>
      </c>
      <c r="C15" s="39" t="s">
        <v>153</v>
      </c>
      <c r="D15" s="39" t="s">
        <v>153</v>
      </c>
      <c r="E15" s="39" t="s">
        <v>153</v>
      </c>
      <c r="F15" s="39" t="s">
        <v>153</v>
      </c>
      <c r="G15" s="39" t="s">
        <v>153</v>
      </c>
      <c r="H15" s="39" t="s">
        <v>153</v>
      </c>
      <c r="I15" s="39" t="s">
        <v>153</v>
      </c>
      <c r="J15" s="39" t="s">
        <v>153</v>
      </c>
      <c r="K15" s="39" t="s">
        <v>153</v>
      </c>
      <c r="L15" s="39" t="s">
        <v>153</v>
      </c>
      <c r="M15" s="39" t="s">
        <v>153</v>
      </c>
      <c r="N15" s="39" t="s">
        <v>153</v>
      </c>
      <c r="O15" s="39" t="s">
        <v>153</v>
      </c>
      <c r="P15" s="39" t="s">
        <v>153</v>
      </c>
      <c r="Q15" s="39" t="s">
        <v>153</v>
      </c>
      <c r="R15" s="39" t="s">
        <v>153</v>
      </c>
      <c r="S15" s="39" t="s">
        <v>153</v>
      </c>
      <c r="T15" s="39" t="s">
        <v>153</v>
      </c>
      <c r="U15" s="39" t="s">
        <v>153</v>
      </c>
      <c r="V15" s="39" t="s">
        <v>153</v>
      </c>
      <c r="W15" s="62"/>
    </row>
    <row r="16" spans="2:23" ht="60" customHeight="1">
      <c r="B16" s="36" t="s">
        <v>374</v>
      </c>
      <c r="C16" s="39" t="s">
        <v>153</v>
      </c>
      <c r="D16" s="39" t="s">
        <v>375</v>
      </c>
      <c r="E16" s="39" t="s">
        <v>153</v>
      </c>
      <c r="F16" s="39" t="s">
        <v>375</v>
      </c>
      <c r="G16" s="39" t="s">
        <v>153</v>
      </c>
      <c r="H16" s="39" t="s">
        <v>153</v>
      </c>
      <c r="I16" s="39" t="s">
        <v>153</v>
      </c>
      <c r="J16" s="39" t="s">
        <v>153</v>
      </c>
      <c r="K16" s="39" t="s">
        <v>153</v>
      </c>
      <c r="L16" s="39" t="s">
        <v>153</v>
      </c>
      <c r="M16" s="39" t="s">
        <v>153</v>
      </c>
      <c r="N16" s="39" t="s">
        <v>153</v>
      </c>
      <c r="O16" s="39" t="s">
        <v>153</v>
      </c>
      <c r="P16" s="39" t="s">
        <v>153</v>
      </c>
      <c r="Q16" s="39" t="s">
        <v>153</v>
      </c>
      <c r="R16" s="39" t="s">
        <v>153</v>
      </c>
      <c r="S16" s="39" t="s">
        <v>153</v>
      </c>
      <c r="T16" s="39" t="s">
        <v>153</v>
      </c>
      <c r="U16" s="39" t="s">
        <v>153</v>
      </c>
      <c r="V16" s="39" t="s">
        <v>153</v>
      </c>
      <c r="W16" s="62"/>
    </row>
    <row r="17" spans="2:23" ht="60" customHeight="1">
      <c r="B17" s="16" t="s">
        <v>376</v>
      </c>
      <c r="C17" s="39" t="s">
        <v>153</v>
      </c>
      <c r="D17" s="39" t="s">
        <v>153</v>
      </c>
      <c r="E17" s="39" t="s">
        <v>153</v>
      </c>
      <c r="F17" s="39" t="s">
        <v>377</v>
      </c>
      <c r="G17" s="39" t="s">
        <v>153</v>
      </c>
      <c r="H17" s="39" t="s">
        <v>153</v>
      </c>
      <c r="I17" s="39" t="s">
        <v>153</v>
      </c>
      <c r="J17" s="39" t="s">
        <v>153</v>
      </c>
      <c r="K17" s="39" t="s">
        <v>153</v>
      </c>
      <c r="L17" s="39" t="s">
        <v>153</v>
      </c>
      <c r="M17" s="39" t="s">
        <v>153</v>
      </c>
      <c r="N17" s="39" t="s">
        <v>153</v>
      </c>
      <c r="O17" s="39" t="s">
        <v>153</v>
      </c>
      <c r="P17" s="39" t="s">
        <v>153</v>
      </c>
      <c r="Q17" s="39" t="s">
        <v>153</v>
      </c>
      <c r="R17" s="39" t="s">
        <v>153</v>
      </c>
      <c r="S17" s="39" t="s">
        <v>153</v>
      </c>
      <c r="T17" s="39" t="s">
        <v>153</v>
      </c>
      <c r="U17" s="39" t="s">
        <v>153</v>
      </c>
      <c r="V17" s="39" t="s">
        <v>153</v>
      </c>
      <c r="W17" s="62"/>
    </row>
    <row r="18" spans="2:23" ht="60" customHeight="1">
      <c r="B18" s="16" t="s">
        <v>378</v>
      </c>
      <c r="C18" s="39" t="s">
        <v>153</v>
      </c>
      <c r="D18" s="39" t="s">
        <v>153</v>
      </c>
      <c r="E18" s="39" t="s">
        <v>153</v>
      </c>
      <c r="F18" s="39" t="s">
        <v>379</v>
      </c>
      <c r="G18" s="39" t="s">
        <v>153</v>
      </c>
      <c r="H18" s="39" t="s">
        <v>153</v>
      </c>
      <c r="I18" s="39" t="s">
        <v>153</v>
      </c>
      <c r="J18" s="39" t="s">
        <v>153</v>
      </c>
      <c r="K18" s="39" t="s">
        <v>153</v>
      </c>
      <c r="L18" s="39" t="s">
        <v>153</v>
      </c>
      <c r="M18" s="39" t="s">
        <v>153</v>
      </c>
      <c r="N18" s="39" t="s">
        <v>153</v>
      </c>
      <c r="O18" s="39" t="s">
        <v>153</v>
      </c>
      <c r="P18" s="39" t="s">
        <v>153</v>
      </c>
      <c r="Q18" s="39" t="s">
        <v>153</v>
      </c>
      <c r="R18" s="39" t="s">
        <v>153</v>
      </c>
      <c r="S18" s="39" t="s">
        <v>153</v>
      </c>
      <c r="T18" s="39" t="s">
        <v>153</v>
      </c>
      <c r="U18" s="39" t="s">
        <v>153</v>
      </c>
      <c r="V18" s="39" t="s">
        <v>153</v>
      </c>
      <c r="W18" s="62"/>
    </row>
  </sheetData>
  <sheetProtection algorithmName="SHA-512" hashValue="u54zsgaFIUZLRboCn2nIO0kK2iKzR/bqsZfa3Z7j4sFBPsTIe6/OwUtJQzvi0sDIBKm5z4JU52amwOIijAjheQ==" saltValue="Uo14KH9C0o4WWmza+VqcUg==" spinCount="100000" sheet="1" objects="1" scenarios="1"/>
  <mergeCells count="4">
    <mergeCell ref="C2:F2"/>
    <mergeCell ref="S2:V2"/>
    <mergeCell ref="G2:K2"/>
    <mergeCell ref="L2:R2"/>
  </mergeCells>
  <phoneticPr fontId="30" type="noConversion"/>
  <conditionalFormatting sqref="C4:W18">
    <cfRule type="notContainsBlanks" dxfId="54" priority="4" stopIfTrue="1">
      <formula>LEN(TRIM(C4))&gt;0</formula>
    </cfRule>
  </conditionalFormatting>
  <dataValidations count="3">
    <dataValidation type="list" allowBlank="1" showInputMessage="1" showErrorMessage="1" sqref="C4:V4 C6:V6" xr:uid="{3C94C46B-AE0A-7546-AE4A-70564BCE0467}">
      <formula1>"Yes,No"</formula1>
    </dataValidation>
    <dataValidation type="whole" operator="greaterThan" allowBlank="1" showInputMessage="1" showErrorMessage="1" sqref="C8:V8" xr:uid="{0CDD62B7-BEBF-0648-A0A4-2C6D168439F0}">
      <formula1>0</formula1>
    </dataValidation>
    <dataValidation type="list" allowBlank="1" showInputMessage="1" showErrorMessage="1" sqref="C5:V5" xr:uid="{E9005C81-8F3A-004A-AD31-E0B88249D0D7}">
      <formula1>"High,Medium,Low,N/A"</formula1>
    </dataValidation>
  </dataValidations>
  <pageMargins left="0.7" right="0.7" top="0.75" bottom="0.75" header="0.3" footer="0.3"/>
  <pageSetup orientation="portrait" horizontalDpi="0" verticalDpi="0"/>
  <legacy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635BEE-ECCF-464E-B3BE-DA7F33AA34D2}">
  <sheetPr>
    <tabColor rgb="FF4F81BD"/>
  </sheetPr>
  <dimension ref="B3:N23"/>
  <sheetViews>
    <sheetView showGridLines="0" workbookViewId="0">
      <selection activeCell="B3" sqref="B3"/>
    </sheetView>
  </sheetViews>
  <sheetFormatPr defaultColWidth="10.875" defaultRowHeight="15"/>
  <cols>
    <col min="1" max="1" width="5.5" customWidth="1"/>
    <col min="2" max="14" width="20.625" customWidth="1"/>
  </cols>
  <sheetData>
    <row r="3" spans="2:14" ht="33.950000000000003" customHeight="1">
      <c r="B3" s="108" t="s">
        <v>380</v>
      </c>
      <c r="C3" s="108"/>
      <c r="D3" s="108"/>
      <c r="E3" s="108"/>
      <c r="F3" s="108"/>
      <c r="G3" s="108"/>
      <c r="H3" s="108"/>
      <c r="I3" s="108"/>
      <c r="J3" s="108"/>
      <c r="K3" s="108"/>
    </row>
    <row r="4" spans="2:14" ht="33.950000000000003" customHeight="1">
      <c r="B4" s="108"/>
      <c r="C4" s="108"/>
      <c r="D4" s="108"/>
      <c r="E4" s="108"/>
      <c r="F4" s="108"/>
      <c r="G4" s="108"/>
      <c r="H4" s="108"/>
      <c r="I4" s="108"/>
      <c r="J4" s="108"/>
      <c r="K4" s="108"/>
    </row>
    <row r="5" spans="2:14" ht="33.950000000000003" customHeight="1">
      <c r="B5" s="108"/>
      <c r="C5" s="108"/>
      <c r="D5" s="108"/>
      <c r="E5" s="108"/>
      <c r="F5" s="108"/>
      <c r="G5" s="108"/>
      <c r="H5" s="108"/>
      <c r="I5" s="108"/>
      <c r="J5" s="108"/>
      <c r="K5" s="108"/>
    </row>
    <row r="6" spans="2:14" ht="33.950000000000003" customHeight="1">
      <c r="B6" s="108"/>
      <c r="C6" s="108"/>
      <c r="D6" s="108"/>
      <c r="E6" s="108"/>
      <c r="F6" s="108"/>
      <c r="G6" s="108"/>
      <c r="H6" s="108"/>
      <c r="I6" s="108"/>
      <c r="J6" s="108"/>
      <c r="K6" s="108"/>
    </row>
    <row r="7" spans="2:14" ht="180" customHeight="1">
      <c r="B7" s="76" t="s">
        <v>381</v>
      </c>
      <c r="C7" s="102" t="s">
        <v>382</v>
      </c>
      <c r="D7" s="103"/>
      <c r="E7" s="103"/>
      <c r="F7" s="104"/>
      <c r="G7" s="105" t="s">
        <v>383</v>
      </c>
      <c r="H7" s="106"/>
      <c r="I7" s="106"/>
      <c r="J7" s="107"/>
      <c r="K7" s="105" t="s">
        <v>384</v>
      </c>
      <c r="L7" s="106"/>
      <c r="M7" s="106"/>
      <c r="N7" s="107"/>
    </row>
    <row r="8" spans="2:14" ht="150" customHeight="1">
      <c r="B8" s="76" t="s">
        <v>385</v>
      </c>
      <c r="C8" s="102" t="s">
        <v>386</v>
      </c>
      <c r="D8" s="103"/>
      <c r="E8" s="103"/>
      <c r="F8" s="104"/>
      <c r="G8" s="105" t="s">
        <v>387</v>
      </c>
      <c r="H8" s="106"/>
      <c r="I8" s="106"/>
      <c r="J8" s="107"/>
      <c r="K8" s="105" t="s">
        <v>388</v>
      </c>
      <c r="L8" s="106"/>
      <c r="M8" s="106"/>
      <c r="N8" s="107"/>
    </row>
    <row r="9" spans="2:14" ht="150" customHeight="1">
      <c r="B9" s="76" t="s">
        <v>389</v>
      </c>
      <c r="C9" s="102" t="s">
        <v>390</v>
      </c>
      <c r="D9" s="103"/>
      <c r="E9" s="103"/>
      <c r="F9" s="104"/>
      <c r="G9" s="105" t="s">
        <v>391</v>
      </c>
      <c r="H9" s="106"/>
      <c r="I9" s="106"/>
      <c r="J9" s="107"/>
      <c r="K9" s="105" t="s">
        <v>392</v>
      </c>
      <c r="L9" s="106"/>
      <c r="M9" s="106"/>
      <c r="N9" s="107"/>
    </row>
    <row r="10" spans="2:14" ht="50.25" customHeight="1">
      <c r="B10" s="77"/>
      <c r="C10" s="78" t="s">
        <v>393</v>
      </c>
      <c r="D10" s="78" t="s">
        <v>394</v>
      </c>
      <c r="E10" s="78" t="s">
        <v>395</v>
      </c>
      <c r="F10" s="78" t="s">
        <v>396</v>
      </c>
      <c r="G10" s="79" t="s">
        <v>393</v>
      </c>
      <c r="H10" s="79" t="s">
        <v>394</v>
      </c>
      <c r="I10" s="79" t="s">
        <v>395</v>
      </c>
      <c r="J10" s="79" t="s">
        <v>396</v>
      </c>
      <c r="K10" s="79" t="s">
        <v>393</v>
      </c>
      <c r="L10" s="79" t="s">
        <v>394</v>
      </c>
      <c r="M10" s="79" t="s">
        <v>395</v>
      </c>
      <c r="N10" s="79" t="s">
        <v>396</v>
      </c>
    </row>
    <row r="11" spans="2:14" ht="50.25" customHeight="1">
      <c r="B11" s="77"/>
      <c r="C11" s="100">
        <v>2025</v>
      </c>
      <c r="D11" s="100"/>
      <c r="E11" s="100"/>
      <c r="F11" s="100"/>
      <c r="G11" s="101">
        <v>2026</v>
      </c>
      <c r="H11" s="101"/>
      <c r="I11" s="101"/>
      <c r="J11" s="101"/>
      <c r="K11" s="101">
        <v>2027</v>
      </c>
      <c r="L11" s="101"/>
      <c r="M11" s="101"/>
      <c r="N11" s="101"/>
    </row>
    <row r="14" spans="2:14">
      <c r="B14" s="59"/>
    </row>
    <row r="17" spans="2:2">
      <c r="B17" s="59"/>
    </row>
    <row r="20" spans="2:2">
      <c r="B20" s="59"/>
    </row>
    <row r="23" spans="2:2">
      <c r="B23" s="59"/>
    </row>
  </sheetData>
  <mergeCells count="13">
    <mergeCell ref="B3:K6"/>
    <mergeCell ref="C7:F7"/>
    <mergeCell ref="G7:J7"/>
    <mergeCell ref="K7:N7"/>
    <mergeCell ref="C8:F8"/>
    <mergeCell ref="G8:J8"/>
    <mergeCell ref="K8:N8"/>
    <mergeCell ref="C11:F11"/>
    <mergeCell ref="G11:J11"/>
    <mergeCell ref="K11:N11"/>
    <mergeCell ref="C9:F9"/>
    <mergeCell ref="G9:J9"/>
    <mergeCell ref="K9:N9"/>
  </mergeCells>
  <phoneticPr fontId="30" type="noConversion"/>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7BD8D5-CD4F-D44B-8DDB-AA53C4225B46}">
  <sheetPr>
    <tabColor rgb="FFFFFF00"/>
  </sheetPr>
  <dimension ref="A2:D28"/>
  <sheetViews>
    <sheetView topLeftCell="B1" zoomScaleNormal="100" workbookViewId="0">
      <selection activeCell="B28" sqref="B28"/>
    </sheetView>
  </sheetViews>
  <sheetFormatPr defaultColWidth="10.875" defaultRowHeight="20.100000000000001"/>
  <cols>
    <col min="1" max="1" width="4.125" style="56" customWidth="1"/>
    <col min="2" max="2" width="200.875" style="10" customWidth="1"/>
    <col min="3" max="3" width="67.5" style="13" customWidth="1"/>
    <col min="4" max="16384" width="10.875" style="50"/>
  </cols>
  <sheetData>
    <row r="2" spans="2:4" ht="21">
      <c r="B2" s="8" t="s">
        <v>397</v>
      </c>
      <c r="C2" s="11"/>
    </row>
    <row r="3" spans="2:4" ht="21">
      <c r="B3" s="43" t="s">
        <v>398</v>
      </c>
      <c r="C3" s="58"/>
    </row>
    <row r="4" spans="2:4" ht="21">
      <c r="B4" s="57" t="s">
        <v>399</v>
      </c>
      <c r="C4" s="58"/>
    </row>
    <row r="5" spans="2:4" ht="63">
      <c r="B5" s="55" t="s">
        <v>400</v>
      </c>
      <c r="C5" s="49" t="s">
        <v>45</v>
      </c>
      <c r="D5" s="51" t="s">
        <v>401</v>
      </c>
    </row>
    <row r="6" spans="2:4" ht="21">
      <c r="B6" s="57" t="s">
        <v>402</v>
      </c>
      <c r="C6" s="58"/>
      <c r="D6" s="51"/>
    </row>
    <row r="7" spans="2:4" ht="63">
      <c r="B7" s="55" t="s">
        <v>403</v>
      </c>
      <c r="C7" s="49" t="s">
        <v>45</v>
      </c>
      <c r="D7" s="51" t="s">
        <v>404</v>
      </c>
    </row>
    <row r="8" spans="2:4" ht="21">
      <c r="B8" s="57" t="s">
        <v>405</v>
      </c>
      <c r="C8" s="58"/>
    </row>
    <row r="9" spans="2:4" ht="63">
      <c r="B9" s="55" t="s">
        <v>406</v>
      </c>
      <c r="C9" s="49" t="s">
        <v>45</v>
      </c>
    </row>
    <row r="10" spans="2:4" ht="21">
      <c r="B10" s="57" t="s">
        <v>407</v>
      </c>
      <c r="C10" s="58"/>
    </row>
    <row r="11" spans="2:4" ht="63">
      <c r="B11" s="55" t="s">
        <v>408</v>
      </c>
      <c r="C11" s="49" t="s">
        <v>45</v>
      </c>
    </row>
    <row r="12" spans="2:4" ht="21">
      <c r="B12" s="43" t="s">
        <v>409</v>
      </c>
      <c r="C12" s="58"/>
    </row>
    <row r="13" spans="2:4" ht="21">
      <c r="B13" s="57" t="s">
        <v>410</v>
      </c>
      <c r="C13" s="58"/>
    </row>
    <row r="14" spans="2:4" ht="47.25">
      <c r="B14" s="55" t="s">
        <v>411</v>
      </c>
      <c r="C14" s="49" t="s">
        <v>153</v>
      </c>
    </row>
    <row r="15" spans="2:4" ht="21">
      <c r="B15" s="57" t="s">
        <v>412</v>
      </c>
      <c r="C15" s="58"/>
    </row>
    <row r="16" spans="2:4" ht="47.25">
      <c r="B16" s="55" t="s">
        <v>413</v>
      </c>
      <c r="C16" s="49" t="s">
        <v>153</v>
      </c>
    </row>
    <row r="17" spans="2:3" ht="21">
      <c r="B17" s="57" t="s">
        <v>414</v>
      </c>
      <c r="C17" s="58"/>
    </row>
    <row r="18" spans="2:3" ht="42">
      <c r="B18" s="55" t="s">
        <v>415</v>
      </c>
      <c r="C18" s="49" t="s">
        <v>45</v>
      </c>
    </row>
    <row r="19" spans="2:3" ht="21">
      <c r="B19" s="57" t="s">
        <v>416</v>
      </c>
      <c r="C19" s="58"/>
    </row>
    <row r="20" spans="2:3" ht="63">
      <c r="B20" s="55" t="s">
        <v>417</v>
      </c>
      <c r="C20" s="49" t="s">
        <v>45</v>
      </c>
    </row>
    <row r="21" spans="2:3" ht="21">
      <c r="B21" s="57" t="s">
        <v>418</v>
      </c>
      <c r="C21" s="58"/>
    </row>
    <row r="22" spans="2:3" ht="63">
      <c r="B22" s="55" t="s">
        <v>419</v>
      </c>
      <c r="C22" s="49" t="s">
        <v>45</v>
      </c>
    </row>
    <row r="23" spans="2:3" ht="21">
      <c r="B23" s="57" t="s">
        <v>420</v>
      </c>
      <c r="C23" s="58"/>
    </row>
    <row r="24" spans="2:3" ht="84">
      <c r="B24" s="55" t="s">
        <v>421</v>
      </c>
      <c r="C24" s="49" t="s">
        <v>45</v>
      </c>
    </row>
    <row r="25" spans="2:3" ht="21">
      <c r="B25" s="57" t="s">
        <v>422</v>
      </c>
      <c r="C25" s="58"/>
    </row>
    <row r="26" spans="2:3" ht="84">
      <c r="B26" s="55" t="s">
        <v>423</v>
      </c>
      <c r="C26" s="49" t="s">
        <v>45</v>
      </c>
    </row>
    <row r="27" spans="2:3" ht="21">
      <c r="B27" s="57" t="s">
        <v>424</v>
      </c>
      <c r="C27" s="58"/>
    </row>
    <row r="28" spans="2:3" ht="84">
      <c r="B28" s="55" t="s">
        <v>425</v>
      </c>
      <c r="C28" s="49" t="s">
        <v>45</v>
      </c>
    </row>
  </sheetData>
  <sheetProtection algorithmName="SHA-512" hashValue="Q1tIzZW4q1svot2fTtUaZdE5Z769zrGxjL5mh+I++440Oe5SSDlQ+Yw1B8wb5grTlGVqFQYapO2TrAXiTNZB8Q==" saltValue="1MRRozV0QtnVfVJaMmG8Jg==" spinCount="100000" sheet="1" objects="1" scenarios="1"/>
  <phoneticPr fontId="30" type="noConversion"/>
  <conditionalFormatting sqref="C5">
    <cfRule type="containsText" dxfId="53" priority="70" operator="containsText" text="Yes">
      <formula>NOT(ISERROR(SEARCH("Yes",C5)))</formula>
    </cfRule>
    <cfRule type="containsText" dxfId="52" priority="71" operator="containsText" text="No">
      <formula>NOT(ISERROR(SEARCH("No",C5)))</formula>
    </cfRule>
    <cfRule type="notContainsBlanks" dxfId="51" priority="72" stopIfTrue="1">
      <formula>LEN(TRIM(C5))&gt;0</formula>
    </cfRule>
  </conditionalFormatting>
  <conditionalFormatting sqref="C7">
    <cfRule type="containsText" dxfId="50" priority="58" operator="containsText" text="Yes">
      <formula>NOT(ISERROR(SEARCH("Yes",C7)))</formula>
    </cfRule>
    <cfRule type="containsText" dxfId="49" priority="59" operator="containsText" text="No">
      <formula>NOT(ISERROR(SEARCH("No",C7)))</formula>
    </cfRule>
    <cfRule type="notContainsBlanks" dxfId="48" priority="60" stopIfTrue="1">
      <formula>LEN(TRIM(C7))&gt;0</formula>
    </cfRule>
  </conditionalFormatting>
  <conditionalFormatting sqref="C9:C12">
    <cfRule type="containsText" dxfId="47" priority="25" operator="containsText" text="Yes">
      <formula>NOT(ISERROR(SEARCH("Yes",C9)))</formula>
    </cfRule>
    <cfRule type="containsText" dxfId="46" priority="26" operator="containsText" text="No">
      <formula>NOT(ISERROR(SEARCH("No",C9)))</formula>
    </cfRule>
    <cfRule type="notContainsBlanks" dxfId="45" priority="27" stopIfTrue="1">
      <formula>LEN(TRIM(C9))&gt;0</formula>
    </cfRule>
  </conditionalFormatting>
  <conditionalFormatting sqref="C12">
    <cfRule type="containsText" dxfId="44" priority="43" operator="containsText" text="Yes">
      <formula>NOT(ISERROR(SEARCH("Yes",C12)))</formula>
    </cfRule>
    <cfRule type="containsText" dxfId="43" priority="44" operator="containsText" text="No">
      <formula>NOT(ISERROR(SEARCH("No",C12)))</formula>
    </cfRule>
    <cfRule type="notContainsBlanks" dxfId="42" priority="45" stopIfTrue="1">
      <formula>LEN(TRIM(C12))&gt;0</formula>
    </cfRule>
    <cfRule type="containsText" dxfId="41" priority="52" operator="containsText" text="Yes">
      <formula>NOT(ISERROR(SEARCH("Yes",C12)))</formula>
    </cfRule>
    <cfRule type="containsText" dxfId="40" priority="53" operator="containsText" text="No">
      <formula>NOT(ISERROR(SEARCH("No",C12)))</formula>
    </cfRule>
    <cfRule type="notContainsBlanks" dxfId="39" priority="54" stopIfTrue="1">
      <formula>LEN(TRIM(C12))&gt;0</formula>
    </cfRule>
  </conditionalFormatting>
  <conditionalFormatting sqref="C14">
    <cfRule type="containsText" dxfId="38" priority="22" operator="containsText" text="Yes">
      <formula>NOT(ISERROR(SEARCH("Yes",C14)))</formula>
    </cfRule>
    <cfRule type="containsText" dxfId="37" priority="23" operator="containsText" text="No">
      <formula>NOT(ISERROR(SEARCH("No",C14)))</formula>
    </cfRule>
    <cfRule type="notContainsBlanks" dxfId="36" priority="24" stopIfTrue="1">
      <formula>LEN(TRIM(C14))&gt;0</formula>
    </cfRule>
    <cfRule type="containsText" dxfId="35" priority="31" operator="containsText" text="Yes">
      <formula>NOT(ISERROR(SEARCH("Yes",C14)))</formula>
    </cfRule>
    <cfRule type="containsText" dxfId="34" priority="32" operator="containsText" text="No">
      <formula>NOT(ISERROR(SEARCH("No",C14)))</formula>
    </cfRule>
    <cfRule type="notContainsBlanks" dxfId="33" priority="33" stopIfTrue="1">
      <formula>LEN(TRIM(C14))&gt;0</formula>
    </cfRule>
    <cfRule type="containsText" dxfId="32" priority="40" operator="containsText" text="Yes">
      <formula>NOT(ISERROR(SEARCH("Yes",C14)))</formula>
    </cfRule>
    <cfRule type="containsText" dxfId="31" priority="41" operator="containsText" text="No">
      <formula>NOT(ISERROR(SEARCH("No",C14)))</formula>
    </cfRule>
    <cfRule type="notContainsBlanks" dxfId="30" priority="42" stopIfTrue="1">
      <formula>LEN(TRIM(C14))&gt;0</formula>
    </cfRule>
    <cfRule type="containsText" dxfId="29" priority="49" operator="containsText" text="Yes">
      <formula>NOT(ISERROR(SEARCH("Yes",C14)))</formula>
    </cfRule>
    <cfRule type="containsText" dxfId="28" priority="50" operator="containsText" text="No">
      <formula>NOT(ISERROR(SEARCH("No",C14)))</formula>
    </cfRule>
    <cfRule type="notContainsBlanks" dxfId="27" priority="51" stopIfTrue="1">
      <formula>LEN(TRIM(C14))&gt;0</formula>
    </cfRule>
  </conditionalFormatting>
  <conditionalFormatting sqref="C16">
    <cfRule type="containsText" dxfId="26" priority="19" operator="containsText" text="Yes">
      <formula>NOT(ISERROR(SEARCH("Yes",C16)))</formula>
    </cfRule>
    <cfRule type="containsText" dxfId="25" priority="20" operator="containsText" text="No">
      <formula>NOT(ISERROR(SEARCH("No",C16)))</formula>
    </cfRule>
    <cfRule type="notContainsBlanks" dxfId="24" priority="21" stopIfTrue="1">
      <formula>LEN(TRIM(C16))&gt;0</formula>
    </cfRule>
    <cfRule type="containsText" dxfId="23" priority="28" operator="containsText" text="Yes">
      <formula>NOT(ISERROR(SEARCH("Yes",C16)))</formula>
    </cfRule>
    <cfRule type="containsText" dxfId="22" priority="29" operator="containsText" text="No">
      <formula>NOT(ISERROR(SEARCH("No",C16)))</formula>
    </cfRule>
    <cfRule type="notContainsBlanks" dxfId="21" priority="30" stopIfTrue="1">
      <formula>LEN(TRIM(C16))&gt;0</formula>
    </cfRule>
    <cfRule type="containsText" dxfId="20" priority="37" operator="containsText" text="Yes">
      <formula>NOT(ISERROR(SEARCH("Yes",C16)))</formula>
    </cfRule>
    <cfRule type="containsText" dxfId="19" priority="38" operator="containsText" text="No">
      <formula>NOT(ISERROR(SEARCH("No",C16)))</formula>
    </cfRule>
    <cfRule type="notContainsBlanks" dxfId="18" priority="39" stopIfTrue="1">
      <formula>LEN(TRIM(C16))&gt;0</formula>
    </cfRule>
  </conditionalFormatting>
  <conditionalFormatting sqref="C18">
    <cfRule type="containsText" dxfId="17" priority="16" operator="containsText" text="Yes">
      <formula>NOT(ISERROR(SEARCH("Yes",C18)))</formula>
    </cfRule>
    <cfRule type="containsText" dxfId="16" priority="17" operator="containsText" text="No">
      <formula>NOT(ISERROR(SEARCH("No",C18)))</formula>
    </cfRule>
    <cfRule type="notContainsBlanks" dxfId="15" priority="18" stopIfTrue="1">
      <formula>LEN(TRIM(C18))&gt;0</formula>
    </cfRule>
  </conditionalFormatting>
  <conditionalFormatting sqref="C20">
    <cfRule type="containsText" dxfId="14" priority="13" operator="containsText" text="Yes">
      <formula>NOT(ISERROR(SEARCH("Yes",C20)))</formula>
    </cfRule>
    <cfRule type="containsText" dxfId="13" priority="14" operator="containsText" text="No">
      <formula>NOT(ISERROR(SEARCH("No",C20)))</formula>
    </cfRule>
    <cfRule type="notContainsBlanks" dxfId="12" priority="15" stopIfTrue="1">
      <formula>LEN(TRIM(C20))&gt;0</formula>
    </cfRule>
  </conditionalFormatting>
  <conditionalFormatting sqref="C22">
    <cfRule type="containsText" dxfId="11" priority="10" operator="containsText" text="Yes">
      <formula>NOT(ISERROR(SEARCH("Yes",C22)))</formula>
    </cfRule>
    <cfRule type="containsText" dxfId="10" priority="11" operator="containsText" text="No">
      <formula>NOT(ISERROR(SEARCH("No",C22)))</formula>
    </cfRule>
    <cfRule type="notContainsBlanks" dxfId="9" priority="12" stopIfTrue="1">
      <formula>LEN(TRIM(C22))&gt;0</formula>
    </cfRule>
  </conditionalFormatting>
  <conditionalFormatting sqref="C24">
    <cfRule type="containsText" dxfId="8" priority="7" operator="containsText" text="Yes">
      <formula>NOT(ISERROR(SEARCH("Yes",C24)))</formula>
    </cfRule>
    <cfRule type="containsText" dxfId="7" priority="8" operator="containsText" text="No">
      <formula>NOT(ISERROR(SEARCH("No",C24)))</formula>
    </cfRule>
    <cfRule type="notContainsBlanks" dxfId="6" priority="9" stopIfTrue="1">
      <formula>LEN(TRIM(C24))&gt;0</formula>
    </cfRule>
  </conditionalFormatting>
  <conditionalFormatting sqref="C26">
    <cfRule type="containsText" dxfId="5" priority="4" operator="containsText" text="Yes">
      <formula>NOT(ISERROR(SEARCH("Yes",C26)))</formula>
    </cfRule>
    <cfRule type="containsText" dxfId="4" priority="5" operator="containsText" text="No">
      <formula>NOT(ISERROR(SEARCH("No",C26)))</formula>
    </cfRule>
    <cfRule type="notContainsBlanks" dxfId="3" priority="6" stopIfTrue="1">
      <formula>LEN(TRIM(C26))&gt;0</formula>
    </cfRule>
  </conditionalFormatting>
  <conditionalFormatting sqref="C28">
    <cfRule type="containsText" dxfId="2" priority="1" operator="containsText" text="Yes">
      <formula>NOT(ISERROR(SEARCH("Yes",C28)))</formula>
    </cfRule>
    <cfRule type="containsText" dxfId="1" priority="2" operator="containsText" text="No">
      <formula>NOT(ISERROR(SEARCH("No",C28)))</formula>
    </cfRule>
    <cfRule type="notContainsBlanks" dxfId="0" priority="3" stopIfTrue="1">
      <formula>LEN(TRIM(C28))&gt;0</formula>
    </cfRule>
  </conditionalFormatting>
  <dataValidations count="1">
    <dataValidation type="list" allowBlank="1" showInputMessage="1" showErrorMessage="1" sqref="C5 C7 C9 C11 C14 C16 C18 C20 C22 C24 C26 C28" xr:uid="{5E0D2A51-2942-1841-888F-D0D48AAF8241}">
      <formula1>"Yes, No"</formula1>
    </dataValidation>
  </dataValidations>
  <pageMargins left="0.7" right="0.7" top="0.75" bottom="0.75" header="0.3" footer="0.3"/>
  <pageSetup orientation="portrait" horizontalDpi="0" verticalDpi="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BE6ECF-F3C0-424C-AD4C-E4E952C6C45C}">
  <dimension ref="A1:G57"/>
  <sheetViews>
    <sheetView workbookViewId="0"/>
  </sheetViews>
  <sheetFormatPr defaultColWidth="10.875" defaultRowHeight="15.95"/>
  <cols>
    <col min="1" max="1" width="14.625" style="1" bestFit="1" customWidth="1"/>
    <col min="2" max="2" width="10.875" style="1"/>
    <col min="3" max="3" width="60" style="1" bestFit="1" customWidth="1"/>
    <col min="4" max="4" width="10.875" style="1"/>
    <col min="5" max="5" width="7.125" style="1" bestFit="1" customWidth="1"/>
    <col min="6" max="6" width="10.875" style="1"/>
    <col min="7" max="7" width="17" style="1" bestFit="1" customWidth="1"/>
    <col min="8" max="8" width="21" style="1" customWidth="1"/>
    <col min="9" max="10" width="10.875" style="1"/>
    <col min="11" max="11" width="12" style="1" customWidth="1"/>
    <col min="12" max="16384" width="10.875" style="1"/>
  </cols>
  <sheetData>
    <row r="1" spans="1:7">
      <c r="A1" s="1" t="s">
        <v>426</v>
      </c>
      <c r="C1" s="7" t="s">
        <v>427</v>
      </c>
      <c r="E1" s="5" t="s">
        <v>428</v>
      </c>
      <c r="G1" s="5" t="s">
        <v>429</v>
      </c>
    </row>
    <row r="2" spans="1:7">
      <c r="A2" s="1" t="s">
        <v>58</v>
      </c>
      <c r="C2" s="1" t="s">
        <v>430</v>
      </c>
      <c r="E2" s="1" t="s">
        <v>45</v>
      </c>
      <c r="G2" s="1" t="s">
        <v>431</v>
      </c>
    </row>
    <row r="3" spans="1:7">
      <c r="A3" s="1" t="s">
        <v>432</v>
      </c>
      <c r="C3" s="1" t="s">
        <v>262</v>
      </c>
      <c r="E3" s="1" t="s">
        <v>153</v>
      </c>
      <c r="G3" s="1" t="s">
        <v>433</v>
      </c>
    </row>
    <row r="4" spans="1:7">
      <c r="C4" s="1" t="s">
        <v>434</v>
      </c>
      <c r="G4" s="1" t="s">
        <v>435</v>
      </c>
    </row>
    <row r="5" spans="1:7">
      <c r="C5" s="1" t="s">
        <v>436</v>
      </c>
      <c r="G5" s="1" t="s">
        <v>437</v>
      </c>
    </row>
    <row r="6" spans="1:7">
      <c r="C6" s="1" t="s">
        <v>438</v>
      </c>
      <c r="G6" s="1" t="s">
        <v>439</v>
      </c>
    </row>
    <row r="7" spans="1:7">
      <c r="C7" s="1" t="s">
        <v>440</v>
      </c>
      <c r="G7" s="1" t="s">
        <v>441</v>
      </c>
    </row>
    <row r="8" spans="1:7">
      <c r="C8" s="1" t="s">
        <v>442</v>
      </c>
      <c r="G8" s="1" t="s">
        <v>443</v>
      </c>
    </row>
    <row r="9" spans="1:7">
      <c r="C9" s="1" t="s">
        <v>444</v>
      </c>
      <c r="G9" s="1" t="s">
        <v>445</v>
      </c>
    </row>
    <row r="10" spans="1:7">
      <c r="C10" s="1" t="s">
        <v>446</v>
      </c>
      <c r="G10" s="1" t="s">
        <v>447</v>
      </c>
    </row>
    <row r="11" spans="1:7">
      <c r="C11" s="1" t="s">
        <v>448</v>
      </c>
      <c r="G11" s="1" t="s">
        <v>449</v>
      </c>
    </row>
    <row r="12" spans="1:7">
      <c r="C12" s="1" t="s">
        <v>450</v>
      </c>
      <c r="G12" s="1" t="s">
        <v>451</v>
      </c>
    </row>
    <row r="13" spans="1:7">
      <c r="C13" s="1" t="s">
        <v>250</v>
      </c>
      <c r="G13" s="1" t="s">
        <v>452</v>
      </c>
    </row>
    <row r="14" spans="1:7">
      <c r="C14" s="1" t="s">
        <v>453</v>
      </c>
      <c r="G14" s="1" t="s">
        <v>454</v>
      </c>
    </row>
    <row r="15" spans="1:7">
      <c r="C15" s="1" t="s">
        <v>455</v>
      </c>
      <c r="G15" s="1" t="s">
        <v>456</v>
      </c>
    </row>
    <row r="16" spans="1:7">
      <c r="C16" s="1" t="s">
        <v>457</v>
      </c>
      <c r="G16" s="1" t="s">
        <v>458</v>
      </c>
    </row>
    <row r="17" spans="3:7">
      <c r="C17" s="1" t="s">
        <v>459</v>
      </c>
      <c r="G17" s="1" t="s">
        <v>460</v>
      </c>
    </row>
    <row r="18" spans="3:7">
      <c r="C18" s="1" t="s">
        <v>461</v>
      </c>
      <c r="G18" s="1" t="s">
        <v>462</v>
      </c>
    </row>
    <row r="19" spans="3:7">
      <c r="C19" s="1" t="s">
        <v>463</v>
      </c>
      <c r="G19" s="1" t="s">
        <v>464</v>
      </c>
    </row>
    <row r="20" spans="3:7">
      <c r="C20" s="1" t="s">
        <v>465</v>
      </c>
      <c r="G20" s="1" t="s">
        <v>466</v>
      </c>
    </row>
    <row r="21" spans="3:7">
      <c r="C21" s="1" t="s">
        <v>467</v>
      </c>
      <c r="G21" s="1" t="s">
        <v>468</v>
      </c>
    </row>
    <row r="22" spans="3:7">
      <c r="G22" s="1" t="s">
        <v>84</v>
      </c>
    </row>
    <row r="23" spans="3:7">
      <c r="G23" s="1" t="s">
        <v>469</v>
      </c>
    </row>
    <row r="24" spans="3:7">
      <c r="G24" s="1" t="s">
        <v>470</v>
      </c>
    </row>
    <row r="25" spans="3:7">
      <c r="G25" s="1" t="s">
        <v>471</v>
      </c>
    </row>
    <row r="26" spans="3:7">
      <c r="G26" s="1" t="s">
        <v>472</v>
      </c>
    </row>
    <row r="27" spans="3:7">
      <c r="G27" s="1" t="s">
        <v>473</v>
      </c>
    </row>
    <row r="28" spans="3:7">
      <c r="G28" s="1" t="s">
        <v>474</v>
      </c>
    </row>
    <row r="29" spans="3:7">
      <c r="G29" s="1" t="s">
        <v>475</v>
      </c>
    </row>
    <row r="30" spans="3:7">
      <c r="G30" s="1" t="s">
        <v>476</v>
      </c>
    </row>
    <row r="31" spans="3:7">
      <c r="G31" s="1" t="s">
        <v>477</v>
      </c>
    </row>
    <row r="32" spans="3:7">
      <c r="G32" s="1" t="s">
        <v>478</v>
      </c>
    </row>
    <row r="33" spans="7:7">
      <c r="G33" s="1" t="s">
        <v>479</v>
      </c>
    </row>
    <row r="34" spans="7:7">
      <c r="G34" s="1" t="s">
        <v>480</v>
      </c>
    </row>
    <row r="35" spans="7:7">
      <c r="G35" s="1" t="s">
        <v>481</v>
      </c>
    </row>
    <row r="36" spans="7:7">
      <c r="G36" s="1" t="s">
        <v>482</v>
      </c>
    </row>
    <row r="37" spans="7:7">
      <c r="G37" s="1" t="s">
        <v>483</v>
      </c>
    </row>
    <row r="38" spans="7:7">
      <c r="G38" s="1" t="s">
        <v>484</v>
      </c>
    </row>
    <row r="39" spans="7:7">
      <c r="G39" s="1" t="s">
        <v>485</v>
      </c>
    </row>
    <row r="40" spans="7:7">
      <c r="G40" s="1" t="s">
        <v>486</v>
      </c>
    </row>
    <row r="41" spans="7:7">
      <c r="G41" s="1" t="s">
        <v>487</v>
      </c>
    </row>
    <row r="42" spans="7:7">
      <c r="G42" s="1" t="s">
        <v>488</v>
      </c>
    </row>
    <row r="43" spans="7:7">
      <c r="G43" s="1" t="s">
        <v>489</v>
      </c>
    </row>
    <row r="44" spans="7:7">
      <c r="G44" s="1" t="s">
        <v>490</v>
      </c>
    </row>
    <row r="45" spans="7:7">
      <c r="G45" s="1" t="s">
        <v>491</v>
      </c>
    </row>
    <row r="46" spans="7:7">
      <c r="G46" s="1" t="s">
        <v>492</v>
      </c>
    </row>
    <row r="47" spans="7:7">
      <c r="G47" s="1" t="s">
        <v>493</v>
      </c>
    </row>
    <row r="48" spans="7:7">
      <c r="G48" s="1" t="s">
        <v>494</v>
      </c>
    </row>
    <row r="49" spans="7:7">
      <c r="G49" s="1" t="s">
        <v>495</v>
      </c>
    </row>
    <row r="50" spans="7:7">
      <c r="G50" s="1" t="s">
        <v>496</v>
      </c>
    </row>
    <row r="51" spans="7:7">
      <c r="G51" s="1" t="s">
        <v>497</v>
      </c>
    </row>
    <row r="52" spans="7:7">
      <c r="G52" s="1" t="s">
        <v>498</v>
      </c>
    </row>
    <row r="53" spans="7:7">
      <c r="G53" s="1" t="s">
        <v>499</v>
      </c>
    </row>
    <row r="54" spans="7:7">
      <c r="G54" s="1" t="s">
        <v>500</v>
      </c>
    </row>
    <row r="55" spans="7:7">
      <c r="G55" s="1" t="s">
        <v>501</v>
      </c>
    </row>
    <row r="56" spans="7:7">
      <c r="G56" s="1" t="s">
        <v>502</v>
      </c>
    </row>
    <row r="57" spans="7:7">
      <c r="G57" s="1" t="s">
        <v>503</v>
      </c>
    </row>
  </sheetData>
  <phoneticPr fontId="30" type="noConversion"/>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7AF4F9C76ED4C449B4D71753ACEB5E35" ma:contentTypeVersion="13" ma:contentTypeDescription="Create a new document." ma:contentTypeScope="" ma:versionID="ebdef891c40da11f9c87891f5cd1b6e1">
  <xsd:schema xmlns:xsd="http://www.w3.org/2001/XMLSchema" xmlns:xs="http://www.w3.org/2001/XMLSchema" xmlns:p="http://schemas.microsoft.com/office/2006/metadata/properties" xmlns:ns2="c8728be1-d993-4e5a-b2e6-e09e6e0d0bd2" xmlns:ns3="18748cae-2249-40fb-999c-7886d69dcd9a" targetNamespace="http://schemas.microsoft.com/office/2006/metadata/properties" ma:root="true" ma:fieldsID="4efa45e92c6f9d594b107bae70b51fc2" ns2:_="" ns3:_="">
    <xsd:import namespace="c8728be1-d993-4e5a-b2e6-e09e6e0d0bd2"/>
    <xsd:import namespace="18748cae-2249-40fb-999c-7886d69dcd9a"/>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element ref="ns2:MediaServiceBillingMetadata"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8728be1-d993-4e5a-b2e6-e09e6e0d0bd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cf08e5f7-12bc-4682-a8f4-b6098a108ae4"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BillingMetadata" ma:index="19" nillable="true" ma:displayName="MediaServiceBillingMetadata" ma:hidden="true" ma:internalName="MediaServiceBillingMetadata" ma:readOnly="true">
      <xsd:simpleType>
        <xsd:restriction base="dms:Note"/>
      </xsd:simpleType>
    </xsd:element>
    <xsd:element name="MediaLengthInSeconds" ma:index="20"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18748cae-2249-40fb-999c-7886d69dcd9a"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9c9eba72-479c-47df-938e-2c0a5539bc5c}" ma:internalName="TaxCatchAll" ma:showField="CatchAllData" ma:web="18748cae-2249-40fb-999c-7886d69dcd9a">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18748cae-2249-40fb-999c-7886d69dcd9a" xsi:nil="true"/>
    <lcf76f155ced4ddcb4097134ff3c332f xmlns="c8728be1-d993-4e5a-b2e6-e09e6e0d0bd2">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864D420E-8C33-457A-9BC2-D05A709E7FB0}"/>
</file>

<file path=customXml/itemProps2.xml><?xml version="1.0" encoding="utf-8"?>
<ds:datastoreItem xmlns:ds="http://schemas.openxmlformats.org/officeDocument/2006/customXml" ds:itemID="{AC2221F3-1129-4548-A534-9F9B3D6FC17F}"/>
</file>

<file path=customXml/itemProps3.xml><?xml version="1.0" encoding="utf-8"?>
<ds:datastoreItem xmlns:ds="http://schemas.openxmlformats.org/officeDocument/2006/customXml" ds:itemID="{B5D0387B-CFA6-493E-9A7C-13E442B37C28}"/>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Microsoft Office User</dc:creator>
  <cp:keywords/>
  <dc:description/>
  <cp:lastModifiedBy/>
  <cp:revision/>
  <dcterms:created xsi:type="dcterms:W3CDTF">2018-09-10T17:18:27Z</dcterms:created>
  <dcterms:modified xsi:type="dcterms:W3CDTF">2025-06-12T11:35:16Z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0x0101007AF4F9C76ED4C449B4D71753ACEB5E35</vt:lpwstr>
  </property>
  <property fmtid="{D5CDD505-2E9C-101B-9397-08002B2CF9AE}" pid="3" name="MediaServiceImageTags">
    <vt:lpwstr/>
  </property>
</Properties>
</file>