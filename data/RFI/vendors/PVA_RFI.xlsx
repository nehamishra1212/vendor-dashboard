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https://pva01-my.sharepoint.com/personal/rkasperson_pva_net/Documents/Documents/Contracts/Apple/"/>
    </mc:Choice>
  </mc:AlternateContent>
  <xr:revisionPtr revIDLastSave="18" documentId="8_{6070AFB9-5F0E-4AA9-BB89-889B803756B1}" xr6:coauthVersionLast="47" xr6:coauthVersionMax="47" xr10:uidLastSave="{C2922DBD-65E0-444C-AA46-46C39D3AE662}"/>
  <bookViews>
    <workbookView xWindow="-110" yWindow="-110" windowWidth="19420" windowHeight="11500" firstSheet="11" activeTab="11" xr2:uid="{1DE64824-9F2A-024B-98E0-95D9197CA600}"/>
  </bookViews>
  <sheets>
    <sheet name="1. Introduction" sheetId="18" r:id="rId1"/>
    <sheet name="2. RFI Rules of Engagement" sheetId="17" r:id="rId2"/>
    <sheet name="3. RFI Terms &amp; Conditions" sheetId="16" r:id="rId3"/>
    <sheet name="4. General Company Information" sheetId="1" r:id="rId4"/>
    <sheet name="5. Financial Info" sheetId="6" r:id="rId5"/>
    <sheet name="6. Assembly &amp; Supply Chain" sheetId="19" r:id="rId6"/>
    <sheet name="7. OSS-Onsite Service &amp; Support" sheetId="9" r:id="rId7"/>
    <sheet name="8a. Headcount Summary" sheetId="20" r:id="rId8"/>
    <sheet name="8b. Project Management Process" sheetId="23" r:id="rId9"/>
    <sheet name="9a. Technical Capabilties" sheetId="21" r:id="rId10"/>
    <sheet name="9b. Technical Roadmap" sheetId="24" r:id="rId11"/>
    <sheet name="10. Commercial Expectations" sheetId="22" r:id="rId12"/>
    <sheet name="Formatting" sheetId="15" state="hidden"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6" i="20" l="1"/>
  <c r="H16" i="20"/>
  <c r="G16" i="20"/>
  <c r="F16" i="20"/>
  <c r="E16" i="20"/>
  <c r="D16" i="20"/>
  <c r="C16" i="20"/>
</calcChain>
</file>

<file path=xl/sharedStrings.xml><?xml version="1.0" encoding="utf-8"?>
<sst xmlns="http://schemas.openxmlformats.org/spreadsheetml/2006/main" count="684" uniqueCount="513">
  <si>
    <t xml:space="preserve">1   Introduction </t>
  </si>
  <si>
    <r>
      <t xml:space="preserve">     1.1   </t>
    </r>
    <r>
      <rPr>
        <b/>
        <sz val="16"/>
        <color theme="0"/>
        <rFont val="SF Hello Regular"/>
      </rPr>
      <t xml:space="preserve">About Apple </t>
    </r>
  </si>
  <si>
    <t>Apple revolutionized personal technology with the introduction of the Macintosh in 1984. Today, Apple leads the world in innovation with iPhone, iPad, Mac, AirPods, Apple Watch, and Apple Vision Pro. Apple’s six software platforms — iOS, iPadOS, macOS, watchOS, visionOS, and tvOS — provide seamless experiences across all Apple devices and empower people with breakthrough services including the App Store, Apple Music, Apple Pay, iCloud, and Apple TV+. Apple’s more than 150,000 employees are dedicated to making the best products on earth and to leaving the world better than we found it.</t>
  </si>
  <si>
    <r>
      <t xml:space="preserve">     1.2  </t>
    </r>
    <r>
      <rPr>
        <b/>
        <sz val="16"/>
        <color theme="0"/>
        <rFont val="SF Hello Regular"/>
      </rPr>
      <t xml:space="preserve">Project Overview and Purpose </t>
    </r>
  </si>
  <si>
    <t>This Request for Information (“RFI”) is to obtain information regarding certain products and/or services (collectively, the “Goods and/or Services”) specified in this RFI. Apple Inc. (“Apple”) requests that the responding company (“Participant”) submit a response (“Proposal”) in compliance with this RFI.</t>
  </si>
  <si>
    <r>
      <t xml:space="preserve">     1.3  </t>
    </r>
    <r>
      <rPr>
        <b/>
        <sz val="16"/>
        <color theme="0"/>
        <rFont val="SF Hello Regular"/>
      </rPr>
      <t>RFI Content &amp; Sections</t>
    </r>
  </si>
  <si>
    <t>This RFI consists of the following sections. Please review all sections in their entirety.
Section 1: Introduction
Section 2: RFI Rules of Engagement
Section 3: RFI Terms &amp; Conditions
Section 4: General Company Information
Section 5: Financial Info
Section 6: Assembly &amp; Supply Chain
Section 7: OSS - Onsite Service &amp; Support
Section 8a: Headcount Summary
Section 8b: Project Managment Process
Section 9a: Technical Capabilities
Section 9b: Technical Roadmap
Section 10: Commercial Expectations</t>
  </si>
  <si>
    <r>
      <t xml:space="preserve">     1.4  </t>
    </r>
    <r>
      <rPr>
        <b/>
        <sz val="16"/>
        <color theme="0"/>
        <rFont val="SF Hello Regular"/>
      </rPr>
      <t>RFI Due Date</t>
    </r>
  </si>
  <si>
    <r>
      <t xml:space="preserve">Participant's Proposal to this Request for Information (“RFI”) shall be sent via email by no later than </t>
    </r>
    <r>
      <rPr>
        <b/>
        <sz val="16"/>
        <color rgb="FFFF0000"/>
        <rFont val="SF Hello Regular"/>
      </rPr>
      <t>December 12, 2025</t>
    </r>
  </si>
  <si>
    <r>
      <t xml:space="preserve">     1.5  </t>
    </r>
    <r>
      <rPr>
        <b/>
        <sz val="16"/>
        <color theme="0"/>
        <rFont val="SF Hello Regular"/>
      </rPr>
      <t>RFI Response Requested</t>
    </r>
  </si>
  <si>
    <t xml:space="preserve">All sections requiring Participant's response are denoted by a highlighted cell. All responses shall be submitted, in writing, in the associated cell or attached via email response, where requested. </t>
  </si>
  <si>
    <r>
      <t>     1.6  </t>
    </r>
    <r>
      <rPr>
        <b/>
        <sz val="16"/>
        <color theme="0"/>
        <rFont val="SF Hello Regular"/>
      </rPr>
      <t xml:space="preserve">Procurement Contact </t>
    </r>
  </si>
  <si>
    <t xml:space="preserve">Amer Mokaddem
Global Sourcing &amp; Supply Management
+1 408-464-1693 amokaddem@apple.com  </t>
  </si>
  <si>
    <t xml:space="preserve">2   RFI Rules of Engagement </t>
  </si>
  <si>
    <r>
      <t xml:space="preserve">     2.1   </t>
    </r>
    <r>
      <rPr>
        <b/>
        <sz val="16"/>
        <color theme="0"/>
        <rFont val="SF Hello Regular"/>
      </rPr>
      <t xml:space="preserve">Communications </t>
    </r>
  </si>
  <si>
    <t xml:space="preserve">Participant shall direct any questions regarding this RFI to the Apple Procurement Contact. Participant shall not communicate with any other person at Apple regarding this RFI or the Proposal, unless otherwise expressly required in this RFI. Failure to comply with this requirement will result in elimination from the RFI process. </t>
  </si>
  <si>
    <r>
      <t xml:space="preserve">     2.2   </t>
    </r>
    <r>
      <rPr>
        <b/>
        <sz val="16"/>
        <color theme="0"/>
        <rFont val="SF Hello Regular"/>
      </rPr>
      <t xml:space="preserve">Proposal </t>
    </r>
  </si>
  <si>
    <t>Participant’s Proposal must be best and final and effective for at least one hundred eighty (180) days from the date of the RFI. Participant shall bear all costs associated with preparing and submitting the Proposal. All Proposals must be based on areas of Participant’s expertise and current methods of operation.</t>
  </si>
  <si>
    <r>
      <t xml:space="preserve">     2.3   </t>
    </r>
    <r>
      <rPr>
        <b/>
        <sz val="16"/>
        <color theme="0"/>
        <rFont val="SF Hello Regular"/>
      </rPr>
      <t xml:space="preserve">RFI Submission </t>
    </r>
  </si>
  <si>
    <r>
      <t>All Proposals shall be submitted via email to Procurement Contact no later than time indicated in Section 1.</t>
    </r>
    <r>
      <rPr>
        <b/>
        <sz val="16"/>
        <color theme="1"/>
        <rFont val="SF Hello Regular"/>
      </rPr>
      <t xml:space="preserve"> </t>
    </r>
    <r>
      <rPr>
        <sz val="16"/>
        <color theme="1"/>
        <rFont val="SF Hello Regular"/>
      </rPr>
      <t xml:space="preserve">Apple reserves the right to reject any Proposal submitted after the deadline or in the incorrect format. If Participant does not intend to respond to this RFI, please decline and advise the Apple Procurement Contact within seventy-two (72) hours of receipt of this RFI. </t>
    </r>
  </si>
  <si>
    <r>
      <t xml:space="preserve">     2.4   </t>
    </r>
    <r>
      <rPr>
        <b/>
        <sz val="16"/>
        <color theme="0"/>
        <rFont val="SF Hello Regular"/>
      </rPr>
      <t xml:space="preserve">Proposal Decision </t>
    </r>
  </si>
  <si>
    <t>Apple’s business decision will be based on price, performance, quality, and other requirements specified in the RFI. Apple reserves the right to accept or reject any and all Proposals, to award all or part of its requirements to a single Participant, or to award requirements to multiple Participants.</t>
  </si>
  <si>
    <r>
      <t xml:space="preserve">     2.5   </t>
    </r>
    <r>
      <rPr>
        <b/>
        <sz val="16"/>
        <color theme="0"/>
        <rFont val="SF Hello Regular"/>
      </rPr>
      <t xml:space="preserve">No Obligation </t>
    </r>
  </si>
  <si>
    <t>Apple reserves the right to negotiate any aspect of this RFI and any and all submitted Proposal(s), or to negotiate separately with any source whatsoever and in any manner necessary to serve the best interests of Apple. Any agreement that may be executed as a result from this RFI (“Definitive Agreement”) will be entered into on the condition that the Participant represent and guarantee that it possesses the necessary skill, means of performance and financial resources to provide the Goods and/or Services. THIS RFI IS NOT A PURCHASE ORDER OR AN OFFER OF ANY KIND, AND APPLE DOES NOT PROMISE THAT ANY CONTRACT OR AGREEMENT WILL BE AWARDED AS A RESULT OF THIS RFI. AWARD OF ANY AGREEMENT WILL BE SOLELY AT THE DISCRETION OF APPLE. NO COMMITMENT IS HEREBY EXPRESSED OR IMPLIED.</t>
  </si>
  <si>
    <r>
      <t xml:space="preserve">     2.6   </t>
    </r>
    <r>
      <rPr>
        <b/>
        <sz val="16"/>
        <color theme="0"/>
        <rFont val="SF Hello Regular"/>
      </rPr>
      <t xml:space="preserve">Purchase Orders </t>
    </r>
  </si>
  <si>
    <t>PARTICIPANT SHALL NOT BEGIN ANY WORK OR PROVIDE ANY GOODS AND/OR SERVICES UNDER ANY DEFINITIVE AGREEMENT OR THIS RFI UNLESS AND UNTIL IT HAS BEEN ISSUED A PURCHASE ORDER FOR THE GOODS AND/OR SERVICES BY APPLE’S GLOBAL SOUCING &amp; SUPPLY MANAGEMENT DEPARTMENT. APPLE SHALL HAVE THE RIGHT, IN ITS SOLE DISCRETION, TO REFUSE PAYMENT FOR ANY GOODS AND/OR SERVICES PROVIDED PRIOR TO OR WITHOUT A PURCHASE ORDER.</t>
  </si>
  <si>
    <r>
      <t xml:space="preserve">     2.7   </t>
    </r>
    <r>
      <rPr>
        <b/>
        <sz val="16"/>
        <color theme="0"/>
        <rFont val="SF Hello Regular"/>
      </rPr>
      <t xml:space="preserve">Confidentiality; Publicity; Marks </t>
    </r>
  </si>
  <si>
    <t>This RFI, including any addenda, corrections, or oral information related hereto, is Apple’s proprietary and confidential information (herein “Proprietary and Confidential Information”). Participant shall make no public statement (including without limitation, any press release, press statement, trade journal article, case study or the like) at any time regarding this RFI, the Proposal, the Goods and/or Services or the existence or nature of the relationship between Participant and Apple. IN NO EVENT MAY APPLE PROPRIETARY AND CONFIDENTIAL INFORMATION BE USED, DISSEMINATED, COPIED OR MADE AVAILABLE, WITHOUT THE EXPRESS PRIOR WRITTEN PERMISSION OF AN AUTHORIZED APPLE REPRESENTATIVE, IN ANY FORM WHATSOEVER TO ANYONE OTHER THAN THE AUTHORIZED EMPLOYEES OF PARTICIPANT, ON A “NEED TO KNOW” BASIS, FOR THE SOLE PURPOSE OF RESPONDING TO THIS RFI, WHICH EMPLOYEES HAVE BEEN ADVISED BY PARTICIPANT OF THEIR CONFIDENTIALITY OBLIGATIONS AS RELATED TO THIS RFI. Participant may not use any trade name, trademark, service mark, logo or other designation of Apple in its promotional or marketing activities or for any other purpose.</t>
  </si>
  <si>
    <r>
      <t xml:space="preserve">     2.8   </t>
    </r>
    <r>
      <rPr>
        <b/>
        <sz val="16"/>
        <color theme="0"/>
        <rFont val="SF Hello Regular"/>
      </rPr>
      <t xml:space="preserve">Risk of Loss, Damage or Delay </t>
    </r>
  </si>
  <si>
    <t>Participant acknowledges and agrees to release and hold harmless Apple, its employees, agents, officers, and contractors from and against any and all claims, liability, damages, costs, including court costs and attorneys’ fees, arising out of or pursuant to submission of the Proposal or failure to submit the Proposal to Apple, as specified in this RFI.</t>
  </si>
  <si>
    <r>
      <t xml:space="preserve">     2.9   </t>
    </r>
    <r>
      <rPr>
        <b/>
        <sz val="16"/>
        <color theme="0"/>
        <rFont val="SF Hello Regular"/>
      </rPr>
      <t xml:space="preserve">No Gift Policy </t>
    </r>
  </si>
  <si>
    <t>Apple's policy governing its procurement relationships provides that no Apple employee may receive a gift from a current or prospective supplier, or anyone associated with that current or prospective supplier. This rule applies regardless of the value of the gift, and there are no exceptions. Participant must therefore ensure that throughout this RFI process and thereafter (whether Participant becomes a supplier for Apple or not), Participant will not under any circumstances provide any gift(s) to any Apple employee or contractor. A violation of this policy will result in the immediate disqualification of Participant from continuing with the RFI process or any future RFIs. Termination of Participant’s relationship with Apple will result if a Participant becomes a supplier, and Apple later discovers a violation of this policy by such supplier.</t>
  </si>
  <si>
    <r>
      <t xml:space="preserve">     2.10   </t>
    </r>
    <r>
      <rPr>
        <b/>
        <sz val="16"/>
        <color theme="0"/>
        <rFont val="SF Hello Regular"/>
      </rPr>
      <t xml:space="preserve">Participant Information </t>
    </r>
  </si>
  <si>
    <t xml:space="preserve">All materials submitted by Participant in connection with this RFI shall be considered as part of this RFI, and will become the property of Apple to be used as Apple deems appropriate, subject to any obligation to maintain the confidentiality of all materials designated by the Participant as confidential or proprietary. Apple shall own all products delivered or developed by Participant for Apple. </t>
  </si>
  <si>
    <r>
      <t xml:space="preserve">     2.11   </t>
    </r>
    <r>
      <rPr>
        <b/>
        <sz val="16"/>
        <color theme="0"/>
        <rFont val="SF Hello Regular"/>
      </rPr>
      <t xml:space="preserve">Collusive Bidding </t>
    </r>
  </si>
  <si>
    <t>Apple does not tolerate collusive bidding, and shall eliminate from the RFI process any Participants who engage in such bidding. Collusive bidding is considered to have taken place if any Participant:
(a) Fixes or adjusts the amount of its bid by or in accordance with any agreement or arrangement with any other person or entity;
(b) Communicates to any person or entity other than Apple the amount or approximate amount of proposed bid(s), except where such disclosure is made in confidence in order to obtain quotations necessary for the preparation of the bid or for insurance;
(c) Enters into any agreement or arrangement with any other person or entity that it shall refrain from bidding, or collaborate on the amount of any bid to be submitted;
(d) Offers or agrees to pay or give, or does pay or give any sum of money, inducement or valuable consideration directly or indirectly to any person or entity for doing or having done or causing or having caused to be done any act or omission in relation to any other bid or proposed bid for the works under the RFI; or 
(e) Otherwise engages in collusive behavior prohibited by law.</t>
  </si>
  <si>
    <r>
      <t xml:space="preserve">     2.12   </t>
    </r>
    <r>
      <rPr>
        <b/>
        <sz val="16"/>
        <color theme="0"/>
        <rFont val="SF Hello Regular"/>
      </rPr>
      <t xml:space="preserve">Personnel </t>
    </r>
  </si>
  <si>
    <t>As part of the evaluation process, Apple requires that the successful bid employ staff of appropriate caliber, including but not limited to, appropriate Apple certifications, to meet the requirements of any relevant Definitive Agreement, and may request additional information regarding all key personnel relevant to any such Definitive Agreement.
Participant’s Personnel must comply with Apple’s safety and security requirements. Apple reserves the right to conduct or require Participant to conduct background checks on such Participant Personnel. Apple may require that Apple personnel escort Participant’s Personnel at all times while on Apple’s premises. Apple may immediately remove, or require that, upon Apple’s request, Participant immediately remove any Participant Personnel from Apple’s premises or the Apple account. The term “Personnel” shall mean any employee, officer, independent contractor, subcontractor, or agent of Participant.</t>
  </si>
  <si>
    <r>
      <t xml:space="preserve">     2.13   </t>
    </r>
    <r>
      <rPr>
        <b/>
        <sz val="16"/>
        <color theme="0"/>
        <rFont val="SF Hello Regular"/>
      </rPr>
      <t xml:space="preserve">Subcontractors </t>
    </r>
  </si>
  <si>
    <t xml:space="preserve">Participant’s Proposal must identify and describe the Goods and/or Services to be provided by each subcontractor, if any, which Participant intends to use in providing any Goods and/or Services to Apple. </t>
  </si>
  <si>
    <r>
      <t xml:space="preserve">     2.14   </t>
    </r>
    <r>
      <rPr>
        <b/>
        <sz val="16"/>
        <color theme="0"/>
        <rFont val="SF Hello Regular"/>
      </rPr>
      <t xml:space="preserve">Errors and Omissions </t>
    </r>
  </si>
  <si>
    <t xml:space="preserve">Should this RFI include any apparent errors or omissions, Participant shall immediately notify Apple of such discovered errors and omissions, and shall not take advantage of such errors and omissions. </t>
  </si>
  <si>
    <t xml:space="preserve">3   RFI Terms and Conditions </t>
  </si>
  <si>
    <r>
      <t>     3.1  </t>
    </r>
    <r>
      <rPr>
        <b/>
        <sz val="16"/>
        <color theme="0"/>
        <rFont val="SF Hello Regular"/>
      </rPr>
      <t xml:space="preserve"> Participant Acknowledgment</t>
    </r>
  </si>
  <si>
    <t>By submitting a Proposal to Apple, the Participant:
(a) agrees to and shall comply with all requirements set forth in this RFI;
(b) represents and warrants that the individual accepting the requirements set forth in this RFI has the authority to accept such requirements on behalf of Participant entity’s behalf; and
(c) acknowledges and agrees that, if selected by Apple to provide the Goods and/or Services described in this RFI, any Definitive Agreement for the provision of such Goods and/or Services shall follow Apple's terms and conditions, whose mention does not constitute an offer by Apple to Participant.
Do you, the Participant, accept these terms and conditions? Please select from dropdown list.</t>
  </si>
  <si>
    <t>Yes</t>
  </si>
  <si>
    <t>Please fill in all fields to complete this section. If there are supplemental compnay overview slides, please attach to RFI response.</t>
  </si>
  <si>
    <t xml:space="preserve">RFI Submission Date </t>
  </si>
  <si>
    <t>Official Legal Name</t>
  </si>
  <si>
    <t>Precision Valve &amp; Automation</t>
  </si>
  <si>
    <t>Parent Company Official Name</t>
  </si>
  <si>
    <t>HQ Location</t>
  </si>
  <si>
    <t>Halfmoon, NY, USA</t>
  </si>
  <si>
    <t>Website</t>
  </si>
  <si>
    <t>www.pva.net</t>
  </si>
  <si>
    <t>Public/Private</t>
  </si>
  <si>
    <t>Private</t>
  </si>
  <si>
    <t>Ticker Symbol (if Public)</t>
  </si>
  <si>
    <t>Type</t>
  </si>
  <si>
    <t>Total # of Employees</t>
  </si>
  <si>
    <t>Year Founded</t>
  </si>
  <si>
    <t>First Year of Engagement with Apple</t>
  </si>
  <si>
    <t>Key Area Leaders (Example : CEO, COO, CFO etc)</t>
  </si>
  <si>
    <t>Name (First, Last)</t>
  </si>
  <si>
    <t>Title</t>
  </si>
  <si>
    <t>Country of Residence</t>
  </si>
  <si>
    <t>Email</t>
  </si>
  <si>
    <t xml:space="preserve">Contact Number (include country code - e.g. USA +1) </t>
  </si>
  <si>
    <t>CEO or President</t>
  </si>
  <si>
    <t>Tony Hynes</t>
  </si>
  <si>
    <t>CEO</t>
  </si>
  <si>
    <t>USA</t>
  </si>
  <si>
    <t>Commercial DRI / Apple Executive Contact</t>
  </si>
  <si>
    <t>Operations Leader</t>
  </si>
  <si>
    <t>Jaime Erickson</t>
  </si>
  <si>
    <t>Director of Operations</t>
  </si>
  <si>
    <t>jerickson@pva.net</t>
  </si>
  <si>
    <t>(518) 371-2684</t>
  </si>
  <si>
    <t xml:space="preserve">Finance </t>
  </si>
  <si>
    <t>Jason McCreary</t>
  </si>
  <si>
    <t>Accounting Conrtoller</t>
  </si>
  <si>
    <t>jmccreary@pva.net</t>
  </si>
  <si>
    <t>Engineering</t>
  </si>
  <si>
    <t>Andy Nally</t>
  </si>
  <si>
    <t>Director of Engineering</t>
  </si>
  <si>
    <t>anally@pva.net</t>
  </si>
  <si>
    <t>Supply chain</t>
  </si>
  <si>
    <t>Rich DeGonza</t>
  </si>
  <si>
    <t>Director of Global Supply Chain</t>
  </si>
  <si>
    <t>rdegonza@pva.net</t>
  </si>
  <si>
    <t>Project Management</t>
  </si>
  <si>
    <t>Production</t>
  </si>
  <si>
    <t>Chris Hughes</t>
  </si>
  <si>
    <t>Director of Manufacturing</t>
  </si>
  <si>
    <t>chughes@pva.net</t>
  </si>
  <si>
    <t>If any other, please add …</t>
  </si>
  <si>
    <t>Rod Kasperson</t>
  </si>
  <si>
    <t>Vice President, Global Sales and Marketing</t>
  </si>
  <si>
    <t>rkasperson@pva.net</t>
  </si>
  <si>
    <t>Jason Schoen</t>
  </si>
  <si>
    <t>Vice President</t>
  </si>
  <si>
    <t>jschoen@pva.net</t>
  </si>
  <si>
    <t>Please fill in all fields with year end numbers to complete this section. Only numbers are allowed to be input.</t>
  </si>
  <si>
    <t>*Enter Data in USD in millions</t>
  </si>
  <si>
    <t>2025 (expected)</t>
  </si>
  <si>
    <t>2026 (expected)</t>
  </si>
  <si>
    <t>2027 (expected)</t>
  </si>
  <si>
    <t>Market Cap (USD)</t>
  </si>
  <si>
    <t>Company Total Revenue (USD)</t>
  </si>
  <si>
    <t>Apple Direct Generated Revenue (USD)</t>
  </si>
  <si>
    <t>*Apple issued a PO to you for this spend</t>
  </si>
  <si>
    <t>Apple Indirect Generated Revenue (USD)</t>
  </si>
  <si>
    <t>*CMs and Module Integrators issued a PO to you for this spend</t>
  </si>
  <si>
    <t>Gross Profit</t>
  </si>
  <si>
    <t>Operating Profit</t>
  </si>
  <si>
    <r>
      <t xml:space="preserve">Please fill in all fields for Company HQ and all Manufacturing Locations to complete this section. </t>
    </r>
    <r>
      <rPr>
        <b/>
        <u/>
        <sz val="14"/>
        <color theme="1"/>
        <rFont val="Helvetica Neue"/>
        <family val="2"/>
      </rPr>
      <t>ALL</t>
    </r>
    <r>
      <rPr>
        <b/>
        <sz val="14"/>
        <color theme="1"/>
        <rFont val="Helvetica Neue"/>
        <family val="2"/>
      </rPr>
      <t xml:space="preserve"> potential manufacturing locations and local labs must be included, </t>
    </r>
    <r>
      <rPr>
        <b/>
        <u/>
        <sz val="14"/>
        <color rgb="FFFF0000"/>
        <rFont val="Helvetica Neue"/>
        <family val="2"/>
      </rPr>
      <t>especially locations covering China, India, Vietnam, Thailand, and Brazil.</t>
    </r>
  </si>
  <si>
    <t>Company HQ</t>
  </si>
  <si>
    <t>Manufacturing Location 1</t>
  </si>
  <si>
    <t>Manufacturing Location 2</t>
  </si>
  <si>
    <t>Manufacturing Location 3</t>
  </si>
  <si>
    <t>Manufacturing Location 4</t>
  </si>
  <si>
    <t>Manufacturing Location 5</t>
  </si>
  <si>
    <t>Facility Name (if any)</t>
  </si>
  <si>
    <t>PVA</t>
  </si>
  <si>
    <t>PVA - Mexico</t>
  </si>
  <si>
    <t>PVA Europe</t>
  </si>
  <si>
    <t>PVA China</t>
  </si>
  <si>
    <t xml:space="preserve">City and Country </t>
  </si>
  <si>
    <t>Halfmoon, USA</t>
  </si>
  <si>
    <t>Jalisco, MX</t>
  </si>
  <si>
    <t>Helmond, NL</t>
  </si>
  <si>
    <t>Suzhou, CN</t>
  </si>
  <si>
    <t>Full Address</t>
  </si>
  <si>
    <t>6 Corporate Drive, Halfmoon, NY 12065</t>
  </si>
  <si>
    <t>Current Apple Programs Supported
 (List Program Name or N/A)</t>
  </si>
  <si>
    <t>N/A</t>
  </si>
  <si>
    <t>EQ Type manufactured in above location for Apple
(Dispense, Pick and place, Assembly, Die Attach, Wire Bond, Test, etc)</t>
  </si>
  <si>
    <t>EQ Type manufactured in above location for other customers
(Dispense, Pick and place, Assembly, Die Attach, Wire Bond, Test, etc)</t>
  </si>
  <si>
    <t>Dispense, Meter Mix, Pick and Place, IR ovens, UV Ovens, Board Handling</t>
  </si>
  <si>
    <t>Sales, Service and Applications Lab</t>
  </si>
  <si>
    <t>Facility Floor Space (Square Meters)</t>
    <phoneticPr fontId="0" type="noConversion"/>
  </si>
  <si>
    <t>Facility Headcount (HC)
(PM, Engineering, Production, OSS, Supply Chain, Quality, Shipping &amp; Logistics, R&amp;D, Sales &amp; Marketing, Executive)</t>
  </si>
  <si>
    <t>Average Weekly Manufacturing Capacity
(by volume of units shipped)</t>
  </si>
  <si>
    <t>Max Weekly Manufacturing Capacity
(by volume of units shipped)</t>
  </si>
  <si>
    <t xml:space="preserve">Average Total Annual Revenue from Units Produced </t>
  </si>
  <si>
    <t>Facility New Product Security (NPS) Approved?</t>
  </si>
  <si>
    <t>No</t>
  </si>
  <si>
    <t>Enviroment &amp; Supply Supply Chain Innovation (ESCI) Facility Readiness Assessment (FRA) Approved?</t>
  </si>
  <si>
    <t>Customer Base served from this location
(City and Country of the customer)</t>
  </si>
  <si>
    <t>Various, Global</t>
  </si>
  <si>
    <t>Various, LATAM</t>
  </si>
  <si>
    <t>Various, Europe</t>
  </si>
  <si>
    <t>Various, Asia Pacific</t>
  </si>
  <si>
    <t>Are there any Global expansion plans in the future for Manufacturing? Please desrcibe in detail.</t>
  </si>
  <si>
    <t>Not currently</t>
  </si>
  <si>
    <t>What are all the key subcomponent vendors used and where are they located (city, country)? Please provide rough volume &amp; spend with key subcomponent vendors as well.</t>
  </si>
  <si>
    <t xml:space="preserve">THK, Galil, Unitronics, </t>
  </si>
  <si>
    <t>Any previous issues faced in shipping to certain countries?</t>
  </si>
  <si>
    <t>Only those regulated by US Export Control laws</t>
  </si>
  <si>
    <t>What are the key supply chain tactics being followed?</t>
  </si>
  <si>
    <t>Develop strong relationships with all of our suppliers, provide feedback surveys and second sourcing wheneven possible.</t>
  </si>
  <si>
    <t>Are there any inhouse machining / job shop capabilities? If so, please explain in detail in terms of machine qty available (CNC, Mill, Lathe, EDM Weld, etc.), volume produced, &amp; available capacity.</t>
  </si>
  <si>
    <t>Full machining capabilities(CNC Vertical mills, lathes, gantry), Full sheet metal fabrication capabilities(CNC Laser, CNC Press brakes, welding, PEM insertion), In-house Powder Coating capability</t>
  </si>
  <si>
    <t>What are the incoming (IQC), in process (IPQC), and outgoing (OQC) quality control systems and/or processes? Please desrcibe in detail.</t>
  </si>
  <si>
    <t>PVA Employs Lean manufacturing principles.  Each machine follows a full debug and burn-in process prior to release to Programming.  Once through Programming, a full QA process inspects all functionality prior to either an in-house customer buy-off or final QC.</t>
  </si>
  <si>
    <t>Are there ERP system and processes, including any automation or integration functionality across EQ manufacturing supply chain? Please desrcibe in detail.</t>
  </si>
  <si>
    <t>Yes, PVA uses a full ERP system.  ERP is also tied to Engineering Solidworks for seamless transfer from design to procurment and manufcaturing.</t>
  </si>
  <si>
    <t>What are the supply chain resiliency plans to ensure no distruption in supply?</t>
  </si>
  <si>
    <t>Second and third sources for critical components, frequent communication with forecasting and blanket contracts.</t>
  </si>
  <si>
    <r>
      <t xml:space="preserve">Please fill in all fields for </t>
    </r>
    <r>
      <rPr>
        <b/>
        <u/>
        <sz val="14"/>
        <color theme="1"/>
        <rFont val="Helvetica Neue"/>
        <family val="2"/>
      </rPr>
      <t>ALL</t>
    </r>
    <r>
      <rPr>
        <b/>
        <sz val="14"/>
        <color theme="1"/>
        <rFont val="Helvetica Neue"/>
        <family val="2"/>
      </rPr>
      <t xml:space="preserve"> regions currently serviced to complete this section. Only numbers are allowed to be input. </t>
    </r>
    <r>
      <rPr>
        <b/>
        <u/>
        <sz val="14"/>
        <color rgb="FFFF0000"/>
        <rFont val="Helvetica Neue"/>
        <family val="2"/>
      </rPr>
      <t>Please make sure to include how you would plan to cover China, India, Vietnam, Thailand, and Brazil.</t>
    </r>
  </si>
  <si>
    <t>Region 1</t>
  </si>
  <si>
    <t>Region 2</t>
  </si>
  <si>
    <t>Region 3</t>
  </si>
  <si>
    <t>Region 4</t>
  </si>
  <si>
    <t>Region 5</t>
  </si>
  <si>
    <t>Region 6</t>
  </si>
  <si>
    <t>Region 7</t>
  </si>
  <si>
    <t>Region 8</t>
  </si>
  <si>
    <t>Region Country</t>
  </si>
  <si>
    <t>Global, USA</t>
  </si>
  <si>
    <t>LATAM, Mexico</t>
  </si>
  <si>
    <t>EU, Netherlands</t>
  </si>
  <si>
    <t>Asia-Pacific</t>
  </si>
  <si>
    <t>Total Field Service Engineers - L1 (HC)</t>
  </si>
  <si>
    <t>Total Field Service Engineers - L2 (HC)</t>
  </si>
  <si>
    <t>Total Field Service Engineers - L3 (HC)</t>
  </si>
  <si>
    <t>Support Capabilities in Region - Total # of Units (QTY)</t>
  </si>
  <si>
    <t>Hiring Difficulty in Region (High/Medium/Low)</t>
  </si>
  <si>
    <t>Low</t>
  </si>
  <si>
    <t>Dispatch Difficulty from Region (High/Medium/Low)</t>
  </si>
  <si>
    <t>Medium</t>
  </si>
  <si>
    <t>Regions Served (Countries &amp; QTY)</t>
  </si>
  <si>
    <t>Global</t>
  </si>
  <si>
    <t>Mexico and LATAM</t>
  </si>
  <si>
    <t>Europe</t>
  </si>
  <si>
    <t>Asia Pacific</t>
  </si>
  <si>
    <t>Training Time (wks)</t>
  </si>
  <si>
    <t>Attrition Rate (%)</t>
  </si>
  <si>
    <t>Glossary</t>
  </si>
  <si>
    <t>Term</t>
  </si>
  <si>
    <t>Definition</t>
  </si>
  <si>
    <t>Level</t>
  </si>
  <si>
    <t>After passing exam, must fulfill the folllowing requirements below:</t>
  </si>
  <si>
    <t>L3</t>
  </si>
  <si>
    <t>1. Familiar electrical and mechanical related specialty</t>
  </si>
  <si>
    <t>2. Familiar SW edit, and parameter SW modification</t>
  </si>
  <si>
    <t>3. Can analyze the data independently, find the root cause, to improve downtime by top issue</t>
  </si>
  <si>
    <t>4. Also can be independently training for all people</t>
  </si>
  <si>
    <t>L2</t>
  </si>
  <si>
    <t>1. At least six months equipment maintenance expereince, familiar with principles of equipment operation</t>
  </si>
  <si>
    <t>2. Be able to indepedently deal with machine abnormality, and maitenance related issues</t>
  </si>
  <si>
    <t>3. Adjust some parameters inside of SW or machine</t>
  </si>
  <si>
    <t>L1</t>
  </si>
  <si>
    <t>1. Understand the structure of the equipment &amp; operation progress, to confirm equipment parts &amp; checklist</t>
  </si>
  <si>
    <t xml:space="preserve">2. can operate the SW simply, and judge abnormal condition, to do troubleshooting simply </t>
  </si>
  <si>
    <t>Please fill in Headcount (HC) information. Only numbers are allowed to be input.</t>
  </si>
  <si>
    <t>2028 (expected)</t>
  </si>
  <si>
    <t>Comments</t>
  </si>
  <si>
    <t>Total Project Management (HC)</t>
  </si>
  <si>
    <t>Total Engineering (HC)
(Mechanical, Electircal, Software, etc.)</t>
  </si>
  <si>
    <t>US:
China:
India:
Vietnam:
Thailand:
Brazil:
ETC:</t>
  </si>
  <si>
    <t>Please add geographic breakdown of 2024/2025 Engineering resources by geography in the comments section
Suggested geogrpahies already incldued, feel free to edit/add/subtract geogrpahies as necessary</t>
  </si>
  <si>
    <t>Total Production (HC)</t>
  </si>
  <si>
    <t>Total OSS (HC)</t>
  </si>
  <si>
    <t>Exclude 3rd Party Agency Partners</t>
  </si>
  <si>
    <t>Supply Chain (HC)</t>
  </si>
  <si>
    <t>Quality (HC)</t>
  </si>
  <si>
    <t>Shipping &amp; Logistics (HC)</t>
  </si>
  <si>
    <t>R&amp;D (HC)
(Mechanical, Electircal, Software, etc.)</t>
  </si>
  <si>
    <t>Sales &amp; Marketing (HC)</t>
  </si>
  <si>
    <t>Executive (HC)</t>
  </si>
  <si>
    <t>TOTAL</t>
  </si>
  <si>
    <r>
      <t>Use the blank page to detail your company's project management process.
E.g. If given a new project today. List out the your internal processes from each phase the project lifecycle: Concept, Feasibility and Engineering, Execution, and Ramp/Bring up.
You may chose to include things like: Process Map, Project management structure for each project / Single PM on each project, decision making process, etc.</t>
    </r>
    <r>
      <rPr>
        <b/>
        <sz val="14"/>
        <color theme="0"/>
        <rFont val="Calibri"/>
        <family val="2"/>
      </rPr>
      <t xml:space="preserve">
</t>
    </r>
  </si>
  <si>
    <t>Project Phase</t>
  </si>
  <si>
    <t>Department(s)</t>
  </si>
  <si>
    <t>Task</t>
  </si>
  <si>
    <t>Order Receipt</t>
  </si>
  <si>
    <t>Operations and Sales</t>
  </si>
  <si>
    <t>Director of Operations reviews Purchase order, Process Validation Form, Quotation and End User Statements for accuracy and consistencey</t>
  </si>
  <si>
    <t>Order Entry</t>
  </si>
  <si>
    <t>Sales, Operations, Engineering</t>
  </si>
  <si>
    <t>Internal Sales Order is generated, top level jobs created in ERP, Project folder created</t>
  </si>
  <si>
    <t>Order release-1</t>
  </si>
  <si>
    <t>Engineering Quality, Sales</t>
  </si>
  <si>
    <t>Order is released via email with link to project folder with all relevant details.</t>
  </si>
  <si>
    <t>Order release-2</t>
  </si>
  <si>
    <t>Sales Engineering</t>
  </si>
  <si>
    <t>Sales Engineer provides all relevant information the Sales and/or Applications data, video reports etc…</t>
  </si>
  <si>
    <t>Team Assignments</t>
  </si>
  <si>
    <t>Engineering, Operations</t>
  </si>
  <si>
    <t>Engineering team is assigned(Project-Mech, Controls, Software, Fluids), Project Mangager also assigned.  Project milestones are set and entered into ERP system.</t>
  </si>
  <si>
    <t>Internal Kick-off(Teams mtg)</t>
  </si>
  <si>
    <t>Engineering, Project Manager, Sales, Production, Programming</t>
  </si>
  <si>
    <t>Internal meeting to review Sales Order, Quotation and initial machine specifications.  This is to allow all departments to gather information, determine any missing information, determine customer deliverables(drawings, materials, sample parts etc…).  Long lead items are identified as well as any other potential project risks(process, Applications, materials)</t>
  </si>
  <si>
    <t>Customer Kick-off(Teams mtg)</t>
  </si>
  <si>
    <t>Engineering, Project Manager, Sales</t>
  </si>
  <si>
    <t>Initial kick-off to review machine and process specifications, set expectations, discuss project timeline</t>
  </si>
  <si>
    <t>Spec Approval</t>
  </si>
  <si>
    <t>All machine and software specifications are emailed to the customer for written approval.  Teams meeting scheduled to review with the customer.</t>
  </si>
  <si>
    <t>Engineering Phase 1</t>
  </si>
  <si>
    <t>Led primarily by the Project Engineer, the team collaborates on mechanical, fluid, controls, pneumatics and software.   Complex projects can require design reviews with the customer at various phases of the design process.</t>
  </si>
  <si>
    <t>Engineering Phase 2</t>
  </si>
  <si>
    <t>Engineering, CAD</t>
  </si>
  <si>
    <t>Detailed machine drawings and documentation are created.</t>
  </si>
  <si>
    <t>Procurement</t>
  </si>
  <si>
    <t xml:space="preserve">Supply Chain, Machine and Fabrications </t>
  </si>
  <si>
    <t>Machine designs are pushed into ERP.  MRP jobs created, purchase orders placed</t>
  </si>
  <si>
    <t>Manufacturing - Assembly</t>
  </si>
  <si>
    <t>Production, Engineering, Project Manager</t>
  </si>
  <si>
    <t>Machine assembly, wiring, component integration.  Daily YTT(yesterday/today/tomorrow) meetings identify any at risk components or schedule changes.  Engineering performs routine checks with Productino during the build</t>
  </si>
  <si>
    <t>Manufacturing - Debug</t>
  </si>
  <si>
    <t>Machines are powered on, all functionality verified.</t>
  </si>
  <si>
    <t>Programming</t>
  </si>
  <si>
    <t>Operations Programming, Engineering, Project Manager</t>
  </si>
  <si>
    <t>Machines are programmed per the customer requirements.</t>
  </si>
  <si>
    <t>Quality Assurance</t>
  </si>
  <si>
    <t>Operations Quality Assurance, Engineering, Project Manager</t>
  </si>
  <si>
    <t>All machine functionality is verified to meet the customer requirements.  Custom Software verified and tested.  Machine burn-in.</t>
  </si>
  <si>
    <t>Run-off Prep</t>
  </si>
  <si>
    <t>Operations Run-off, Engineering, Project manager</t>
  </si>
  <si>
    <t>Run-off group works with QA to get machines prepared and wet down for customer approval.  Approval can be in-person or virtual using a video conference</t>
  </si>
  <si>
    <t>Run-off</t>
  </si>
  <si>
    <t>Perform customer buy-off/acceptance.</t>
  </si>
  <si>
    <t>Run-off - Punchlist</t>
  </si>
  <si>
    <t>Operations Run-off, Engineering, Production, Project manager</t>
  </si>
  <si>
    <t>A detailed Punchlist is generated during the customer run-off identifying any issues, or change requests.  The Punchlist contains due dates, responsible parties and is tracked in the daily YTT meeting.  Function changes are verified by either Run-off and/or QA personnel</t>
  </si>
  <si>
    <t>Final QC</t>
  </si>
  <si>
    <t>Operations QC, Engineering, Project Manager</t>
  </si>
  <si>
    <t>Machines go through a final QC process verifying cleanliness, neatness, labeling etc…Final sign-off required from Programming, Engineering team and Run-off Engineer</t>
  </si>
  <si>
    <t>Crating-Shipping</t>
  </si>
  <si>
    <t>Operations Logistics</t>
  </si>
  <si>
    <t>Machines are wrapped, crated and prepared for shipping.  Logistics works with customer team and freight forwarders.</t>
  </si>
  <si>
    <t>Please fill in Technical Capabilties information by Category and Sub-Category.</t>
  </si>
  <si>
    <t>Categories</t>
  </si>
  <si>
    <t>Core Tech</t>
  </si>
  <si>
    <t>Process Equipment Tech</t>
  </si>
  <si>
    <t>Test Equipment Tech</t>
  </si>
  <si>
    <t>Inspection Equipment Tech</t>
  </si>
  <si>
    <t>Sub-Categories</t>
  </si>
  <si>
    <t>System Integtation</t>
  </si>
  <si>
    <t>SW/PLC Integration</t>
  </si>
  <si>
    <t>Custom Automation</t>
  </si>
  <si>
    <t>Fixture Design &amp; Fabrication</t>
  </si>
  <si>
    <t>Dispensing</t>
  </si>
  <si>
    <t>Laser</t>
  </si>
  <si>
    <t>Plasma/Oven</t>
  </si>
  <si>
    <t>P&amp;P / Attach</t>
  </si>
  <si>
    <t>Assembly</t>
  </si>
  <si>
    <t>Laser Compliance Test</t>
  </si>
  <si>
    <t>Display Sensing/L
uminance Test</t>
  </si>
  <si>
    <t>Button Test</t>
  </si>
  <si>
    <t>Force Test</t>
  </si>
  <si>
    <t>Camera Test</t>
  </si>
  <si>
    <t>Optical Test</t>
  </si>
  <si>
    <t>Acoustic Test</t>
  </si>
  <si>
    <t>Machine Vision</t>
  </si>
  <si>
    <t>Lighting</t>
  </si>
  <si>
    <t>Metrology</t>
  </si>
  <si>
    <t>AI/ML</t>
  </si>
  <si>
    <t>In House Capability?</t>
  </si>
  <si>
    <t>Proficiency</t>
  </si>
  <si>
    <t>High</t>
  </si>
  <si>
    <t>Outsourced?</t>
  </si>
  <si>
    <t>Core Competencies</t>
  </si>
  <si>
    <t>Dispensing, curing, Robotics, Plasma, AOI, Screwdriving</t>
  </si>
  <si>
    <t>PLC's are used for all of PVA's product handlng and curing equipment</t>
  </si>
  <si>
    <t>Oversized Cartesian Robots, Custom curing ovens, robotic cells, parts handling</t>
  </si>
  <si>
    <t>Nest, fixtures, pallet design</t>
  </si>
  <si>
    <t>Coating, Meter-Mix, gasketing TIM, SMT, Underfill, staking</t>
  </si>
  <si>
    <t>Laser Height measurement for dispense offset calcs</t>
  </si>
  <si>
    <t>PVA works closely with Plasmatreat to integrate their systems.  PVA builds IR, UV, Vertical Convection and UV LED ovens</t>
  </si>
  <si>
    <t>General Pick and Place for assembly and parts handling.  Not PCB component level.</t>
  </si>
  <si>
    <t>Product assembly, scredriving</t>
  </si>
  <si>
    <t>Dedicated Resourcing (HC)
(PM, Engineering, Production, OSS, etc.)</t>
  </si>
  <si>
    <t>Equipment Type &amp; Key Technologies</t>
  </si>
  <si>
    <t>Key Components &amp; Average Annual Spend ($M)
(Prefernce for off the shelf components)</t>
  </si>
  <si>
    <t xml:space="preserve">Typcical Development &amp; Equipment Lead Times
(RFP to DFM, KO to ETA, ETA to SAT, OEE, etc.) </t>
  </si>
  <si>
    <t>12-20 weeks</t>
  </si>
  <si>
    <t>8-12 weeks</t>
  </si>
  <si>
    <t>14 - 25 weeks</t>
  </si>
  <si>
    <t>8-14 weeks</t>
  </si>
  <si>
    <t>3-20 weeks</t>
  </si>
  <si>
    <t>12-14 weeks</t>
  </si>
  <si>
    <t>Competitive Advantage(s)</t>
  </si>
  <si>
    <t>32 years of experience, Seasoned Engineering and Software teams</t>
  </si>
  <si>
    <t>32 years of experience, Seasoned Engineering, machining and fabrication teams</t>
  </si>
  <si>
    <t>32 years of development, applications and customer install base globally</t>
  </si>
  <si>
    <t>Simple, standardized solutions that work.  Experienced Software team</t>
  </si>
  <si>
    <t>~12 years of experience working with Plasmatreat and building ovens.</t>
  </si>
  <si>
    <t>32 years of Engineering, manufacturing and software experience</t>
  </si>
  <si>
    <t>Applicable Project Experience
(Year, Machine Description &amp; QTY, Spend, Timeline)</t>
  </si>
  <si>
    <t>PVA has 1000's of integrated systems that have been installed and supported globally since 1993</t>
  </si>
  <si>
    <t>Software and PLC integration has been at the core of PVA's machines since 1993</t>
  </si>
  <si>
    <t>PVA has built over 2000 custom machines, dating back to 1993</t>
  </si>
  <si>
    <t>PVA has fixtured everything from small SMT components, stone tiles to Automotive bumpers</t>
  </si>
  <si>
    <t>PVA has 32 years of experience dispensing a vast variety of materials from coatings, solutions, RTV's, Urethanes, Methacylates, CA's, TIM's, slurries etc…</t>
  </si>
  <si>
    <t>Been using Lasers for dispense correction since early 90's.</t>
  </si>
  <si>
    <t>30+ years of experience in oven manufacturing</t>
  </si>
  <si>
    <t>PVA builds a variety of P&amp;P machines for asembly of electronics, Optical Display Bonding and parts handling.  30+ years of experience</t>
  </si>
  <si>
    <t>PVA has built a number of assembly machines utilizing automated screwdrivers</t>
  </si>
  <si>
    <t>Client / Reference</t>
  </si>
  <si>
    <t>Client / Reference Email</t>
  </si>
  <si>
    <t>Applicable Apple Experience
(Year, Machine Description &amp; QTY, Spend, Timeline)</t>
  </si>
  <si>
    <t>Custom UV curing system, 200 Meter mix ABB integration</t>
  </si>
  <si>
    <t>~1000 machines</t>
  </si>
  <si>
    <t>Custom Metering systems, custom Dispense.coating with UV cure</t>
  </si>
  <si>
    <t>Custom fixturing for various products</t>
  </si>
  <si>
    <t>Apple DRI Name</t>
  </si>
  <si>
    <t>Apple DRI Email</t>
  </si>
  <si>
    <t>Use the blank page to detail your company's technical roadmap for apple or other customers</t>
  </si>
  <si>
    <t>Market Segment</t>
  </si>
  <si>
    <t>Product</t>
  </si>
  <si>
    <t>Description of development - recent and future release</t>
  </si>
  <si>
    <t>Conformal Coating</t>
  </si>
  <si>
    <t>FC100-CFR</t>
  </si>
  <si>
    <t>Film Coating valve with integrated 0-90deg rotation, improved spray definition, recirculation built in</t>
  </si>
  <si>
    <t>GPCC</t>
  </si>
  <si>
    <t>Reduced footprint Coating recirculation system for Film coating</t>
  </si>
  <si>
    <t>Auto-Solvent Refill</t>
  </si>
  <si>
    <t>Automated Solvent refill, drain and purge system</t>
  </si>
  <si>
    <t>Thermal Interface(TIM)</t>
  </si>
  <si>
    <t>6oz Servo cartridge Drive</t>
  </si>
  <si>
    <t>Gantry mounted Servo driven TIM metering system</t>
  </si>
  <si>
    <t>Meter-Mix</t>
  </si>
  <si>
    <t>Servo Rod Pump</t>
  </si>
  <si>
    <t>Medium volume carbide rod displacement metering system for filled 1 and 2K materials</t>
  </si>
  <si>
    <t>SMR</t>
  </si>
  <si>
    <t>Large Volume Carbide rod displacement metering system</t>
  </si>
  <si>
    <t>PCC Series Valve</t>
  </si>
  <si>
    <t>2K high flow meter-mix valve</t>
  </si>
  <si>
    <t>DX150</t>
  </si>
  <si>
    <t>2K Servo driven Dynamic mix valve, high flow rate</t>
  </si>
  <si>
    <t>General Dispense</t>
  </si>
  <si>
    <t>SP100</t>
  </si>
  <si>
    <t>Servo driven Syringe Pump, 5cc glass metering chamber.  30cc, 6oz or remote feed</t>
  </si>
  <si>
    <t>Dispense and Coating</t>
  </si>
  <si>
    <t>Delta 6 and Delta 8</t>
  </si>
  <si>
    <t>Updated Delta 6 and Delta 8 machines.  Increased stability, 1g accel</t>
  </si>
  <si>
    <t>Flex-Cell</t>
  </si>
  <si>
    <t>Larger platform Flex-cells, 1500mm+ axis travel, increased performance and repeatabilty for large PCB Underfill and Staking processes</t>
  </si>
  <si>
    <t>Handling</t>
  </si>
  <si>
    <t>Loader, elevators</t>
  </si>
  <si>
    <t>A variety of Magazine loaders, unloaders, end of line elevators</t>
  </si>
  <si>
    <t>Software - All</t>
  </si>
  <si>
    <t>Pathmaster X</t>
  </si>
  <si>
    <t>Continuous updates to PMX for Jetting, UV curing, Plasma, Shot scales, Servo pump controls, image stitching and processing, logging, Hermes integration</t>
  </si>
  <si>
    <t>10   Commercial Expectations</t>
  </si>
  <si>
    <r>
      <t xml:space="preserve">     10.1   </t>
    </r>
    <r>
      <rPr>
        <b/>
        <sz val="16"/>
        <color theme="0"/>
        <rFont val="SF Hello Regular"/>
      </rPr>
      <t>Contractual Standards</t>
    </r>
  </si>
  <si>
    <r>
      <t xml:space="preserve">     10.1.1 </t>
    </r>
    <r>
      <rPr>
        <b/>
        <sz val="16"/>
        <color theme="0"/>
        <rFont val="SF Hello Regular"/>
      </rPr>
      <t>  Company Organizational Structure &amp; Entities</t>
    </r>
  </si>
  <si>
    <t>Participant acknowledges and agrees that, if selected by Apple to provide the Goods and/or Services described in this RFI, any Definitive Agreement for the provision of such Goods and/or Services, REGARDLESS OF WHETHER an active Agreement between Apple and Participant exists, shall be executed with company overall parent entity and not subsidiary entity. Do you, the Participant, accept these terms and conditions? Please select from dropdown list.</t>
  </si>
  <si>
    <t>*If multiple company entities exist, please attach corporate org structure in response to RFI with parent and subsidiary entities clearly marked.</t>
  </si>
  <si>
    <r>
      <t>     10.1.2</t>
    </r>
    <r>
      <rPr>
        <b/>
        <sz val="16"/>
        <color theme="0"/>
        <rFont val="SF Hello Regular"/>
      </rPr>
      <t xml:space="preserve">  NDA, ARPA, &amp; EDPA</t>
    </r>
  </si>
  <si>
    <t>Participant acknowledges and agrees that, if selected by Apple to provide the Goods and/or Services described in this RFI, any Definitive Agreement for the provision of such Goods and/or Services, REGARDLESS OF WHETHER an active Agreement between Apple and Participant exists, shall follow Apple's terms and conditions. Do you, the Participant, accept these terms and conditions? Please select from dropdown list.</t>
  </si>
  <si>
    <t>*If there are existing NDA, ARPA, and EDPA, please attach in response to RFI.</t>
  </si>
  <si>
    <r>
      <t>     10.1.3</t>
    </r>
    <r>
      <rPr>
        <b/>
        <sz val="16"/>
        <color theme="0"/>
        <rFont val="SF Hello Regular"/>
      </rPr>
      <t xml:space="preserve">  New Product Security (NPS) Audit</t>
    </r>
  </si>
  <si>
    <t>Participant acknowledges and agrees to an on-site audit of workshop and facilities by Apple New Product Security (NPS) team. Participant agrees to comply with all requirements and requested information from NPS, including the complete implementation of all security requirements. Do you, the Participant, accept these terms and conditions? Please select from dropdown list.</t>
  </si>
  <si>
    <r>
      <t>     10.1.4</t>
    </r>
    <r>
      <rPr>
        <b/>
        <sz val="16"/>
        <color theme="0"/>
        <rFont val="SF Hello Regular"/>
      </rPr>
      <t xml:space="preserve">  Enviroment &amp; Supply Supply Chain Innovation (ESCI) Facility Readiness Assessment (FRA)</t>
    </r>
  </si>
  <si>
    <t>Participant acknowledges and agrees to an on-site Facility Readiness Assessment (FRA) of workshop and facilities by Apple Environment &amp; Supply Chain Innovation (ESCI) team. Participant agrees to comply with all requirements and requested information from ESCI, including the complete implementation of all security and safety requirements. Do you, the Participant, accept these terms and conditions? Please select from dropdown list.</t>
  </si>
  <si>
    <r>
      <t xml:space="preserve">     10.2   </t>
    </r>
    <r>
      <rPr>
        <b/>
        <sz val="16"/>
        <color theme="0"/>
        <rFont val="SF Hello Regular"/>
      </rPr>
      <t>Commercial Standards</t>
    </r>
  </si>
  <si>
    <r>
      <t xml:space="preserve">     10.2.1 </t>
    </r>
    <r>
      <rPr>
        <b/>
        <sz val="16"/>
        <color theme="0"/>
        <rFont val="SF Hello Regular"/>
      </rPr>
      <t>   Demo EQ</t>
    </r>
  </si>
  <si>
    <t>Participant acknowledges and agrees to provide any and all demo EQ requested by Apple for NPI qualification. If Participant is not selected for MP, regardless of reason, Participant will receive back all EQ, without liability to Apple. Do you, the Participant, accept these terms and conditions? Please select from dropdown list.</t>
  </si>
  <si>
    <r>
      <t>     10.2.2</t>
    </r>
    <r>
      <rPr>
        <b/>
        <sz val="16"/>
        <color theme="0"/>
        <rFont val="SF Hello Regular"/>
      </rPr>
      <t>   Development Resources</t>
    </r>
  </si>
  <si>
    <t>Participant acknowledges and agrees to provide any and all Engineering, OSS, and R&amp;D requested by Apple for NPI qualification. If Participant is not selected for MP, regardless of reason, Participant will waive all liability to Apple. Do you, the Participant, accept these terms and conditions? Please select from dropdown list.</t>
  </si>
  <si>
    <r>
      <t>     10.2.3</t>
    </r>
    <r>
      <rPr>
        <b/>
        <sz val="16"/>
        <color theme="0"/>
        <rFont val="SF Hello Regular"/>
      </rPr>
      <t>   Price / Equipment Breakdown Transparency</t>
    </r>
  </si>
  <si>
    <t>Participant acknowledges and agrees to provide all pricing in Apple-specified format (i.e. Equipment Breakdown Down), to include Purchase Parts, Raw Material, Processing, Labor, SG&amp;A/Profit, or in any other format requested. Do you, the Participant, accept these terms and conditions? Please select from dropdown list.</t>
  </si>
  <si>
    <r>
      <t>     10.2.4</t>
    </r>
    <r>
      <rPr>
        <b/>
        <sz val="16"/>
        <color theme="0"/>
        <rFont val="SF Hello Regular"/>
      </rPr>
      <t>   Distribution Model &amp; Authorized Purchasers</t>
    </r>
  </si>
  <si>
    <t>Participant acknowledges and agrees to provide all Apple approved pricing directly to Apple and Apple Authorized Purchasers and work directly with Apple and Apple Authorized Purchasers. Operating through 3rd party distributors and distribution networks will dilute Participant margin. Do you, the Participant, accept these terms and conditions? Please select from dropdown list.</t>
  </si>
  <si>
    <r>
      <t>     10.2.5</t>
    </r>
    <r>
      <rPr>
        <b/>
        <sz val="16"/>
        <color theme="0"/>
        <rFont val="SF Hello Regular"/>
      </rPr>
      <t>   Equipment Design &amp; Retrofitability</t>
    </r>
  </si>
  <si>
    <t>Participant acknowledges and agrees to design equipment with future reuse opportunities in mind by minmizing the amount of re-work and cost required to redeploy equipment for new projects through flexible design. Future proofing equipment with design flexibility benefits both Apple and the Participant as resources can be focused on new challenges instead of reconfiguring old ones. Do you, the Participant, accept these terms and conditions? Please select from dropdown list.</t>
  </si>
  <si>
    <r>
      <t>     10.2.6</t>
    </r>
    <r>
      <rPr>
        <b/>
        <sz val="16"/>
        <color theme="0"/>
        <rFont val="SF Hello Regular"/>
      </rPr>
      <t>   OSS Requirements &amp; Necessity</t>
    </r>
  </si>
  <si>
    <t>Participant acknowledges and agrees to design equipment with simple operator and maintenance interfaces so that no or minimal OSS from the Participant or Authorized Purchaser is required to support it. Ideally, equipment should be delivered to Apple or the Authorized Purchaser without needing Participant direct support. Designing equipment simply with no or minimal OSS requirements benefits both Apple and the Participant as resources can be focused on new projects instead of supporting old ones. Do you, the Participant, accept these terms and conditions? Please select from dropdown list.</t>
  </si>
  <si>
    <r>
      <t>     10.2.7</t>
    </r>
    <r>
      <rPr>
        <b/>
        <sz val="16"/>
        <color theme="0"/>
        <rFont val="SF Hello Regular"/>
      </rPr>
      <t>   Equipment Component Selection</t>
    </r>
  </si>
  <si>
    <t>Participant acknowledges and agrees to design equipment with preference for off the shelf (OTS) components over custom components as they can be acquired quickly and more readily from the market. Custom components should only be used if no OTS component is capable. Designing equipment simply with OTS components benefits both Apple and the Participant by making delivering and maintaining equipment on schedule more attainable. Do you, the Participant, accept these terms and conditions? Please select from dropdown list.</t>
  </si>
  <si>
    <r>
      <t>     10.2.8</t>
    </r>
    <r>
      <rPr>
        <b/>
        <sz val="16"/>
        <color theme="0"/>
        <rFont val="SF Hello Regular"/>
      </rPr>
      <t>   Equipment Software &amp; Training Materials</t>
    </r>
  </si>
  <si>
    <t>Participant acknowledges and agrees to write all software and training materials in English or translate all software and training materials to English to faciliate delivery and transfer of equipment to new locations and geographies. Doing this benefits both Apple and the Participant by making delivering and maintaining equipment in new locations and geographies with different Authorized Purchasers more repeatable and requiring less in person support. Do you, the Participant, accept these terms and conditions? Please select from dropdown list.</t>
  </si>
  <si>
    <t>Company Type</t>
  </si>
  <si>
    <t>Component Category</t>
  </si>
  <si>
    <t>Binary</t>
  </si>
  <si>
    <t>Countries</t>
  </si>
  <si>
    <t>Public</t>
  </si>
  <si>
    <t>Motors/Drives</t>
  </si>
  <si>
    <t>Albania</t>
  </si>
  <si>
    <t>American Samoa</t>
  </si>
  <si>
    <t>Optics</t>
  </si>
  <si>
    <t>Australia</t>
  </si>
  <si>
    <t>IPC/PLC/Motion Controller</t>
  </si>
  <si>
    <t>Austria</t>
  </si>
  <si>
    <t>Pneumatics</t>
  </si>
  <si>
    <t>Belgium</t>
  </si>
  <si>
    <t>Safety/Electrical/Wiring</t>
  </si>
  <si>
    <t>Brazil</t>
  </si>
  <si>
    <t>Robotics</t>
  </si>
  <si>
    <t>British West Indie</t>
  </si>
  <si>
    <t>Mechanical Linear Motion</t>
  </si>
  <si>
    <t>Cambodia</t>
  </si>
  <si>
    <t>Gantry Systems/Linear Motors/Stages</t>
  </si>
  <si>
    <t>Canada</t>
  </si>
  <si>
    <t>Frame/Baseplate/Indexing Table</t>
  </si>
  <si>
    <t>Cayman Islands</t>
  </si>
  <si>
    <t>Force Measurement/Load Cells/Pressure Sensors/Accelerometers</t>
  </si>
  <si>
    <t>China</t>
  </si>
  <si>
    <t>Costa Rica</t>
  </si>
  <si>
    <t>Machined Part/Bracket</t>
  </si>
  <si>
    <t>Czech Republic</t>
  </si>
  <si>
    <t>Nest/Holder/Pallet</t>
  </si>
  <si>
    <t>Denmark</t>
  </si>
  <si>
    <t>Conveyor System</t>
  </si>
  <si>
    <t>Estonia</t>
  </si>
  <si>
    <t>Fan Filtration Unit/Ionizer/HEPA Filter</t>
  </si>
  <si>
    <t>Finland</t>
  </si>
  <si>
    <t>Feeder System</t>
  </si>
  <si>
    <t>France</t>
  </si>
  <si>
    <t>Screwdriving</t>
  </si>
  <si>
    <t>Germany</t>
  </si>
  <si>
    <t>Consumables</t>
  </si>
  <si>
    <t>Greece</t>
  </si>
  <si>
    <t>Other</t>
  </si>
  <si>
    <t>Hungary</t>
  </si>
  <si>
    <t>India</t>
  </si>
  <si>
    <t>Indonesia</t>
  </si>
  <si>
    <t>Ireland</t>
  </si>
  <si>
    <t>Israel</t>
  </si>
  <si>
    <t>Italy</t>
  </si>
  <si>
    <t>Japan</t>
  </si>
  <si>
    <t>Korea</t>
  </si>
  <si>
    <t>Latvia</t>
  </si>
  <si>
    <t>Luxembourg</t>
  </si>
  <si>
    <t>Malaysia</t>
  </si>
  <si>
    <t>Malta</t>
  </si>
  <si>
    <t>Mauritius</t>
  </si>
  <si>
    <t>Mexico</t>
  </si>
  <si>
    <t>Morocco</t>
  </si>
  <si>
    <t>Netherlands</t>
  </si>
  <si>
    <t>New Zealand</t>
  </si>
  <si>
    <t>Nicaragua</t>
  </si>
  <si>
    <t>Norway</t>
  </si>
  <si>
    <t>Philippines</t>
  </si>
  <si>
    <t>Poland</t>
  </si>
  <si>
    <t>Portugal</t>
  </si>
  <si>
    <t>Puerto Rico</t>
  </si>
  <si>
    <t>Russia</t>
  </si>
  <si>
    <t>Singapore</t>
  </si>
  <si>
    <t>South Africa</t>
  </si>
  <si>
    <t>Spain</t>
  </si>
  <si>
    <t>Sweden</t>
  </si>
  <si>
    <t>Switzerland</t>
  </si>
  <si>
    <t>Taiwan</t>
  </si>
  <si>
    <t>Thailand</t>
  </si>
  <si>
    <t>Tunis</t>
  </si>
  <si>
    <t>Turkey</t>
  </si>
  <si>
    <t>UAE</t>
  </si>
  <si>
    <t>United Kingdom</t>
  </si>
  <si>
    <t>Vietnam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</si>
</sst>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409]* #,##0_ ;_-[$$-409]* \-#,##0\ ;_-[$$-409]* &quot;-&quot;??_ ;_-@_ "/>
    <numFmt numFmtId="165" formatCode="_-* #,##0_-;\-* #,##0_-;_-* &quot;-&quot;_-;_-@_-"/>
    <numFmt numFmtId="166" formatCode="_-[$$-409]* #,##0.00_ ;_-[$$-409]* \-#,##0.00\ ;_-[$$-409]* &quot;-&quot;_ ;_-@_ "/>
  </numFmts>
  <fonts count="32">
    <font>
      <sz val="12"/>
      <color theme="1"/>
      <name val="Calibri"/>
      <family val="2"/>
      <scheme val="minor"/>
    </font>
    <font>
      <sz val="12"/>
      <color theme="1"/>
      <name val="Calibri"/>
      <family val="2"/>
      <scheme val="minor"/>
    </font>
    <font>
      <sz val="12"/>
      <color theme="1"/>
      <name val="Helvetica Neue"/>
      <family val="2"/>
    </font>
    <font>
      <b/>
      <sz val="12"/>
      <color theme="1"/>
      <name val="Helvetica Neue"/>
      <family val="2"/>
    </font>
    <font>
      <b/>
      <sz val="12"/>
      <name val="Helvetica Neue"/>
      <family val="2"/>
    </font>
    <font>
      <b/>
      <sz val="16"/>
      <color theme="1"/>
      <name val="SF Hello Regular"/>
    </font>
    <font>
      <sz val="16"/>
      <color theme="1"/>
      <name val="SF Hello Regular"/>
    </font>
    <font>
      <b/>
      <sz val="16"/>
      <color rgb="FFFF0000"/>
      <name val="SF Hello Regular"/>
    </font>
    <font>
      <u/>
      <sz val="12"/>
      <color theme="10"/>
      <name val="Calibri"/>
      <family val="2"/>
      <scheme val="minor"/>
    </font>
    <font>
      <b/>
      <sz val="14"/>
      <color theme="1"/>
      <name val="Calibri"/>
      <family val="2"/>
    </font>
    <font>
      <sz val="14"/>
      <color theme="1"/>
      <name val="Calibri"/>
      <family val="2"/>
    </font>
    <font>
      <b/>
      <sz val="14"/>
      <color theme="0"/>
      <name val="Calibri"/>
      <family val="2"/>
    </font>
    <font>
      <sz val="14"/>
      <name val="Calibri"/>
      <family val="2"/>
    </font>
    <font>
      <b/>
      <sz val="12"/>
      <color theme="0"/>
      <name val="Calibri"/>
      <family val="2"/>
    </font>
    <font>
      <sz val="14"/>
      <color theme="0"/>
      <name val="Calibri"/>
      <family val="2"/>
    </font>
    <font>
      <sz val="16"/>
      <color theme="0"/>
      <name val="SF Hello Regular"/>
    </font>
    <font>
      <b/>
      <sz val="16"/>
      <color theme="0"/>
      <name val="SF Hello Regular"/>
    </font>
    <font>
      <b/>
      <sz val="14"/>
      <color theme="1"/>
      <name val="Helvetica Neue"/>
      <family val="2"/>
    </font>
    <font>
      <sz val="14"/>
      <color theme="1"/>
      <name val="Helvetica Neue"/>
      <family val="2"/>
    </font>
    <font>
      <sz val="12"/>
      <name val="Helvetica Neue Light"/>
    </font>
    <font>
      <sz val="12"/>
      <color theme="0"/>
      <name val="Helvetica Neue"/>
      <family val="2"/>
    </font>
    <font>
      <b/>
      <sz val="12"/>
      <color theme="0"/>
      <name val="Helvetica Neue"/>
      <family val="2"/>
    </font>
    <font>
      <b/>
      <u/>
      <sz val="14"/>
      <color rgb="FFFF0000"/>
      <name val="Helvetica Neue"/>
      <family val="2"/>
    </font>
    <font>
      <sz val="12"/>
      <color theme="1"/>
      <name val="SF Hello Regular"/>
    </font>
    <font>
      <sz val="16"/>
      <name val="SF Hello Regular"/>
    </font>
    <font>
      <b/>
      <sz val="14"/>
      <color theme="1"/>
      <name val="Calibri"/>
      <family val="2"/>
      <scheme val="minor"/>
    </font>
    <font>
      <b/>
      <u/>
      <sz val="12"/>
      <color theme="1"/>
      <name val="Calibri"/>
      <family val="2"/>
      <scheme val="minor"/>
    </font>
    <font>
      <sz val="14"/>
      <name val="Helvetica Neue"/>
      <family val="2"/>
    </font>
    <font>
      <sz val="12"/>
      <name val="Helvetica Neue"/>
      <family val="2"/>
    </font>
    <font>
      <b/>
      <u/>
      <sz val="14"/>
      <color theme="1"/>
      <name val="Helvetica Neue"/>
      <family val="2"/>
    </font>
    <font>
      <sz val="8"/>
      <name val="Calibri"/>
      <family val="2"/>
      <scheme val="minor"/>
    </font>
    <font>
      <b/>
      <sz val="12"/>
      <color theme="1"/>
      <name val="Calibri"/>
      <family val="2"/>
      <scheme val="minor"/>
    </font>
  </fonts>
  <fills count="9">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4F81BD"/>
        <bgColor indexed="64"/>
      </patternFill>
    </fill>
    <fill>
      <patternFill patternType="solid">
        <fgColor theme="4" tint="0.79998168889431442"/>
        <bgColor indexed="64"/>
      </patternFill>
    </fill>
    <fill>
      <patternFill patternType="solid">
        <fgColor rgb="FF4E81BD"/>
        <bgColor indexed="64"/>
      </patternFill>
    </fill>
    <fill>
      <patternFill patternType="solid">
        <fgColor theme="0" tint="-0.249977111117893"/>
        <bgColor indexed="64"/>
      </patternFill>
    </fill>
    <fill>
      <patternFill patternType="solid">
        <fgColor theme="0" tint="-4.9989318521683403E-2"/>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auto="1"/>
      </right>
      <top style="thin">
        <color auto="1"/>
      </top>
      <bottom style="thin">
        <color auto="1"/>
      </bottom>
      <diagonal/>
    </border>
    <border>
      <left style="thin">
        <color theme="1"/>
      </left>
      <right style="thin">
        <color indexed="64"/>
      </right>
      <top style="thin">
        <color theme="1"/>
      </top>
      <bottom style="thin">
        <color indexed="64"/>
      </bottom>
      <diagonal/>
    </border>
    <border>
      <left style="thin">
        <color indexed="64"/>
      </left>
      <right style="thin">
        <color indexed="64"/>
      </right>
      <top style="thin">
        <color theme="1"/>
      </top>
      <bottom style="thin">
        <color indexed="64"/>
      </bottom>
      <diagonal/>
    </border>
    <border>
      <left style="thin">
        <color indexed="64"/>
      </left>
      <right style="thin">
        <color theme="1"/>
      </right>
      <top style="thin">
        <color theme="1"/>
      </top>
      <bottom style="thin">
        <color indexed="64"/>
      </bottom>
      <diagonal/>
    </border>
    <border>
      <left style="thin">
        <color theme="1"/>
      </left>
      <right style="thin">
        <color indexed="64"/>
      </right>
      <top style="thin">
        <color indexed="64"/>
      </top>
      <bottom style="thin">
        <color indexed="64"/>
      </bottom>
      <diagonal/>
    </border>
    <border>
      <left style="thin">
        <color indexed="64"/>
      </left>
      <right style="thin">
        <color theme="1"/>
      </right>
      <top style="thin">
        <color indexed="64"/>
      </top>
      <bottom style="thin">
        <color indexed="64"/>
      </bottom>
      <diagonal/>
    </border>
    <border>
      <left style="thin">
        <color theme="1"/>
      </left>
      <right style="thin">
        <color indexed="64"/>
      </right>
      <top style="thin">
        <color indexed="64"/>
      </top>
      <bottom/>
      <diagonal/>
    </border>
    <border>
      <left style="thin">
        <color indexed="64"/>
      </left>
      <right style="thin">
        <color indexed="64"/>
      </right>
      <top style="thin">
        <color indexed="64"/>
      </top>
      <bottom style="thin">
        <color theme="1"/>
      </bottom>
      <diagonal/>
    </border>
    <border>
      <left style="thin">
        <color indexed="64"/>
      </left>
      <right style="thin">
        <color theme="1"/>
      </right>
      <top style="thin">
        <color indexed="64"/>
      </top>
      <bottom style="thin">
        <color theme="1"/>
      </bottom>
      <diagonal/>
    </border>
    <border>
      <left/>
      <right/>
      <top style="thin">
        <color indexed="64"/>
      </top>
      <bottom style="thin">
        <color indexed="64"/>
      </bottom>
      <diagonal/>
    </border>
    <border>
      <left style="thin">
        <color theme="1"/>
      </left>
      <right style="thin">
        <color theme="1"/>
      </right>
      <top style="thin">
        <color theme="1"/>
      </top>
      <bottom style="thin">
        <color theme="1"/>
      </bottom>
      <diagonal/>
    </border>
    <border>
      <left style="thin">
        <color indexed="64"/>
      </left>
      <right style="thin">
        <color indexed="64"/>
      </right>
      <top/>
      <bottom style="thin">
        <color indexed="64"/>
      </bottom>
      <diagonal/>
    </border>
    <border>
      <left/>
      <right/>
      <top/>
      <bottom style="thin">
        <color indexed="64"/>
      </bottom>
      <diagonal/>
    </border>
  </borders>
  <cellStyleXfs count="5">
    <xf numFmtId="0" fontId="0" fillId="0" borderId="0"/>
    <xf numFmtId="9" fontId="1" fillId="0" borderId="0" applyFont="0" applyFill="0" applyBorder="0" applyAlignment="0" applyProtection="0"/>
    <xf numFmtId="0" fontId="1" fillId="0" borderId="0"/>
    <xf numFmtId="0" fontId="8" fillId="0" borderId="0" applyNumberFormat="0" applyFill="0" applyBorder="0" applyAlignment="0" applyProtection="0"/>
    <xf numFmtId="165" fontId="1" fillId="0" borderId="0" applyFont="0" applyFill="0" applyBorder="0" applyAlignment="0" applyProtection="0">
      <alignment vertical="center"/>
    </xf>
  </cellStyleXfs>
  <cellXfs count="91">
    <xf numFmtId="0" fontId="0" fillId="0" borderId="0" xfId="0"/>
    <xf numFmtId="0" fontId="2" fillId="0" borderId="0" xfId="0" applyFont="1"/>
    <xf numFmtId="0" fontId="2" fillId="0" borderId="0" xfId="0" applyFont="1" applyAlignment="1">
      <alignment vertical="center"/>
    </xf>
    <xf numFmtId="0" fontId="2" fillId="0" borderId="0" xfId="0" applyFont="1" applyAlignment="1">
      <alignment horizontal="center" vertical="center"/>
    </xf>
    <xf numFmtId="0" fontId="2" fillId="0" borderId="0" xfId="0" applyFont="1" applyAlignment="1">
      <alignment horizontal="left" vertical="center"/>
    </xf>
    <xf numFmtId="0" fontId="3" fillId="0" borderId="0" xfId="0" applyFont="1"/>
    <xf numFmtId="0" fontId="2" fillId="0" borderId="0" xfId="0" applyFont="1" applyAlignment="1">
      <alignment horizontal="center" vertical="center" wrapText="1"/>
    </xf>
    <xf numFmtId="0" fontId="4" fillId="0" borderId="0" xfId="0" applyFont="1"/>
    <xf numFmtId="0" fontId="5" fillId="3" borderId="1" xfId="2" applyFont="1" applyFill="1" applyBorder="1" applyAlignment="1">
      <alignment horizontal="left" vertical="top" wrapText="1"/>
    </xf>
    <xf numFmtId="0" fontId="6" fillId="0" borderId="1" xfId="0" applyFont="1" applyBorder="1" applyAlignment="1">
      <alignment horizontal="left" vertical="top" wrapText="1"/>
    </xf>
    <xf numFmtId="0" fontId="6" fillId="0" borderId="0" xfId="0" applyFont="1" applyAlignment="1">
      <alignment horizontal="left" wrapText="1"/>
    </xf>
    <xf numFmtId="0" fontId="5" fillId="3" borderId="1" xfId="2" applyFont="1" applyFill="1" applyBorder="1" applyAlignment="1">
      <alignment horizontal="left" vertical="center" wrapText="1"/>
    </xf>
    <xf numFmtId="0" fontId="6" fillId="0" borderId="1" xfId="0" applyFont="1" applyBorder="1" applyAlignment="1">
      <alignment horizontal="left" wrapText="1"/>
    </xf>
    <xf numFmtId="0" fontId="6" fillId="0" borderId="0" xfId="0" applyFont="1" applyAlignment="1">
      <alignment horizontal="left" vertical="center"/>
    </xf>
    <xf numFmtId="0" fontId="9" fillId="2" borderId="0" xfId="0" applyFont="1" applyFill="1" applyAlignment="1">
      <alignment horizontal="left" vertical="center"/>
    </xf>
    <xf numFmtId="0" fontId="10" fillId="0" borderId="0" xfId="0" applyFont="1" applyAlignment="1">
      <alignment horizontal="center" vertical="center"/>
    </xf>
    <xf numFmtId="0" fontId="11" fillId="4" borderId="1" xfId="0" applyFont="1" applyFill="1" applyBorder="1" applyAlignment="1">
      <alignment horizontal="center" vertical="center"/>
    </xf>
    <xf numFmtId="14" fontId="12" fillId="5" borderId="1" xfId="0" applyNumberFormat="1" applyFont="1" applyFill="1" applyBorder="1" applyAlignment="1" applyProtection="1">
      <alignment horizontal="center" vertical="center" wrapText="1"/>
      <protection locked="0"/>
    </xf>
    <xf numFmtId="0" fontId="12" fillId="5" borderId="1" xfId="0" applyFont="1" applyFill="1" applyBorder="1" applyAlignment="1" applyProtection="1">
      <alignment horizontal="center" vertical="center" wrapText="1"/>
      <protection locked="0"/>
    </xf>
    <xf numFmtId="164" fontId="10" fillId="0" borderId="0" xfId="0" applyNumberFormat="1" applyFont="1" applyAlignment="1">
      <alignment horizontal="center" vertical="center"/>
    </xf>
    <xf numFmtId="0" fontId="8" fillId="5" borderId="1" xfId="3" applyFill="1" applyBorder="1" applyAlignment="1" applyProtection="1">
      <alignment horizontal="center" vertical="center" wrapText="1"/>
      <protection locked="0"/>
    </xf>
    <xf numFmtId="0" fontId="10" fillId="0" borderId="0" xfId="0" applyFont="1" applyAlignment="1">
      <alignment horizontal="left" vertical="center"/>
    </xf>
    <xf numFmtId="0" fontId="12" fillId="5" borderId="2" xfId="0" applyFont="1" applyFill="1" applyBorder="1" applyAlignment="1" applyProtection="1">
      <alignment horizontal="center" vertical="center" wrapText="1"/>
      <protection locked="0"/>
    </xf>
    <xf numFmtId="0" fontId="8" fillId="5" borderId="2" xfId="3" applyFill="1" applyBorder="1" applyAlignment="1" applyProtection="1">
      <alignment horizontal="center" vertical="center" wrapText="1"/>
      <protection locked="0"/>
    </xf>
    <xf numFmtId="0" fontId="11" fillId="4" borderId="5" xfId="0" applyFont="1" applyFill="1" applyBorder="1" applyAlignment="1">
      <alignment horizontal="center" vertical="center"/>
    </xf>
    <xf numFmtId="0" fontId="11" fillId="4" borderId="6" xfId="0" applyFont="1" applyFill="1" applyBorder="1" applyAlignment="1">
      <alignment horizontal="center" vertical="center"/>
    </xf>
    <xf numFmtId="0" fontId="11" fillId="4" borderId="7" xfId="0" applyFont="1" applyFill="1" applyBorder="1" applyAlignment="1">
      <alignment horizontal="center" vertical="center" wrapText="1"/>
    </xf>
    <xf numFmtId="0" fontId="13" fillId="4" borderId="8" xfId="0" applyFont="1" applyFill="1" applyBorder="1" applyAlignment="1">
      <alignment horizontal="center" vertical="center"/>
    </xf>
    <xf numFmtId="0" fontId="12" fillId="5" borderId="9" xfId="0" quotePrefix="1" applyFont="1" applyFill="1" applyBorder="1" applyAlignment="1" applyProtection="1">
      <alignment horizontal="center" vertical="center" wrapText="1"/>
      <protection locked="0"/>
    </xf>
    <xf numFmtId="0" fontId="13" fillId="4" borderId="10" xfId="0" applyFont="1" applyFill="1" applyBorder="1" applyAlignment="1">
      <alignment horizontal="center" vertical="center"/>
    </xf>
    <xf numFmtId="0" fontId="12" fillId="5" borderId="11" xfId="0" applyFont="1" applyFill="1" applyBorder="1" applyAlignment="1" applyProtection="1">
      <alignment horizontal="center" vertical="center" wrapText="1"/>
      <protection locked="0"/>
    </xf>
    <xf numFmtId="0" fontId="8" fillId="5" borderId="11" xfId="3" applyFill="1" applyBorder="1" applyAlignment="1" applyProtection="1">
      <alignment horizontal="center" vertical="center" wrapText="1"/>
      <protection locked="0"/>
    </xf>
    <xf numFmtId="0" fontId="12" fillId="5" borderId="12" xfId="0" quotePrefix="1" applyFont="1" applyFill="1" applyBorder="1" applyAlignment="1" applyProtection="1">
      <alignment horizontal="center" vertical="center" wrapText="1"/>
      <protection locked="0"/>
    </xf>
    <xf numFmtId="0" fontId="14" fillId="4" borderId="1" xfId="0" applyFont="1" applyFill="1" applyBorder="1" applyAlignment="1">
      <alignment horizontal="center" vertical="center"/>
    </xf>
    <xf numFmtId="0" fontId="17" fillId="2" borderId="0" xfId="0" applyFont="1" applyFill="1" applyAlignment="1">
      <alignment horizontal="left" vertical="center"/>
    </xf>
    <xf numFmtId="0" fontId="18" fillId="0" borderId="0" xfId="0" applyFont="1" applyAlignment="1">
      <alignment horizontal="center" vertical="center"/>
    </xf>
    <xf numFmtId="0" fontId="11" fillId="4" borderId="1" xfId="0" applyFont="1" applyFill="1" applyBorder="1" applyAlignment="1">
      <alignment horizontal="center" vertical="center" wrapText="1"/>
    </xf>
    <xf numFmtId="0" fontId="19" fillId="5" borderId="1" xfId="0" applyFont="1" applyFill="1" applyBorder="1" applyAlignment="1" applyProtection="1">
      <alignment horizontal="center" vertical="center" wrapText="1"/>
      <protection locked="0"/>
    </xf>
    <xf numFmtId="1" fontId="19" fillId="5" borderId="1" xfId="0" applyNumberFormat="1" applyFont="1" applyFill="1" applyBorder="1" applyAlignment="1" applyProtection="1">
      <alignment horizontal="center" vertical="center" wrapText="1"/>
      <protection locked="0"/>
    </xf>
    <xf numFmtId="1" fontId="12" fillId="5" borderId="1" xfId="0" applyNumberFormat="1" applyFont="1" applyFill="1" applyBorder="1" applyAlignment="1" applyProtection="1">
      <alignment horizontal="center" vertical="center" wrapText="1"/>
      <protection locked="0"/>
    </xf>
    <xf numFmtId="0" fontId="15" fillId="4" borderId="1" xfId="2" applyFont="1" applyFill="1" applyBorder="1" applyAlignment="1">
      <alignment horizontal="left" vertical="top" wrapText="1" indent="1"/>
    </xf>
    <xf numFmtId="0" fontId="15" fillId="4" borderId="1" xfId="2" applyFont="1" applyFill="1" applyBorder="1" applyAlignment="1">
      <alignment horizontal="left" vertical="top" wrapText="1"/>
    </xf>
    <xf numFmtId="0" fontId="17" fillId="0" borderId="0" xfId="0" applyFont="1" applyAlignment="1">
      <alignment horizontal="left" vertical="center"/>
    </xf>
    <xf numFmtId="0" fontId="20" fillId="6" borderId="1" xfId="0" applyFont="1" applyFill="1" applyBorder="1" applyAlignment="1">
      <alignment horizontal="center" vertical="center"/>
    </xf>
    <xf numFmtId="0" fontId="21" fillId="6" borderId="1" xfId="0" applyFont="1" applyFill="1" applyBorder="1" applyAlignment="1">
      <alignment horizontal="center" vertical="center" wrapText="1"/>
    </xf>
    <xf numFmtId="0" fontId="21" fillId="6" borderId="1" xfId="0" applyFont="1" applyFill="1" applyBorder="1" applyAlignment="1">
      <alignment horizontal="center" vertical="center"/>
    </xf>
    <xf numFmtId="0" fontId="10" fillId="7" borderId="1" xfId="0" applyFont="1" applyFill="1" applyBorder="1" applyAlignment="1">
      <alignment horizontal="center" vertical="center" wrapText="1"/>
    </xf>
    <xf numFmtId="14" fontId="24" fillId="5" borderId="1" xfId="0" applyNumberFormat="1" applyFont="1" applyFill="1" applyBorder="1" applyAlignment="1" applyProtection="1">
      <alignment horizontal="center" vertical="center" wrapText="1"/>
      <protection locked="0"/>
    </xf>
    <xf numFmtId="0" fontId="6" fillId="0" borderId="0" xfId="0" applyFont="1"/>
    <xf numFmtId="0" fontId="23" fillId="0" borderId="0" xfId="0" applyFont="1" applyAlignment="1">
      <alignment vertical="center"/>
    </xf>
    <xf numFmtId="0" fontId="21" fillId="5" borderId="1" xfId="0" applyFont="1" applyFill="1" applyBorder="1" applyAlignment="1" applyProtection="1">
      <alignment horizontal="center" vertical="center" wrapText="1"/>
      <protection locked="0"/>
    </xf>
    <xf numFmtId="0" fontId="25" fillId="0" borderId="0" xfId="0" applyFont="1" applyAlignment="1">
      <alignment horizontal="right"/>
    </xf>
    <xf numFmtId="1" fontId="25" fillId="0" borderId="0" xfId="0" applyNumberFormat="1" applyFont="1"/>
    <xf numFmtId="0" fontId="6" fillId="0" borderId="1" xfId="2" applyFont="1" applyBorder="1" applyAlignment="1">
      <alignment horizontal="left" vertical="top" wrapText="1" indent="6"/>
    </xf>
    <xf numFmtId="0" fontId="6" fillId="0" borderId="0" xfId="0" applyFont="1" applyAlignment="1">
      <alignment horizontal="left"/>
    </xf>
    <xf numFmtId="0" fontId="15" fillId="4" borderId="1" xfId="2" applyFont="1" applyFill="1" applyBorder="1" applyAlignment="1">
      <alignment horizontal="left" vertical="top" wrapText="1" indent="4"/>
    </xf>
    <xf numFmtId="0" fontId="6" fillId="4" borderId="1" xfId="0" applyFont="1" applyFill="1" applyBorder="1" applyAlignment="1">
      <alignment horizontal="left" vertical="center"/>
    </xf>
    <xf numFmtId="0" fontId="26" fillId="0" borderId="0" xfId="0" applyFont="1"/>
    <xf numFmtId="166" fontId="12" fillId="5" borderId="1" xfId="0" applyNumberFormat="1" applyFont="1" applyFill="1" applyBorder="1" applyAlignment="1" applyProtection="1">
      <alignment horizontal="center" vertical="center" wrapText="1"/>
      <protection locked="0"/>
    </xf>
    <xf numFmtId="166" fontId="12" fillId="5" borderId="1" xfId="4" applyNumberFormat="1" applyFont="1" applyFill="1" applyBorder="1" applyAlignment="1" applyProtection="1">
      <alignment horizontal="center" vertical="center" wrapText="1"/>
      <protection locked="0"/>
    </xf>
    <xf numFmtId="1" fontId="12" fillId="5" borderId="1" xfId="0" applyNumberFormat="1" applyFont="1" applyFill="1" applyBorder="1" applyAlignment="1" applyProtection="1">
      <alignment vertical="center" wrapText="1"/>
      <protection locked="0"/>
    </xf>
    <xf numFmtId="0" fontId="12" fillId="0" borderId="0" xfId="0" applyFont="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21" fillId="4" borderId="1" xfId="0" applyFont="1" applyFill="1" applyBorder="1" applyAlignment="1">
      <alignment horizontal="center" vertical="center"/>
    </xf>
    <xf numFmtId="0" fontId="11" fillId="4" borderId="3" xfId="0" applyFont="1" applyFill="1" applyBorder="1" applyAlignment="1">
      <alignment horizontal="center" vertical="center"/>
    </xf>
    <xf numFmtId="0" fontId="11" fillId="4" borderId="15" xfId="0" applyFont="1" applyFill="1" applyBorder="1" applyAlignment="1">
      <alignment horizontal="center" vertical="center"/>
    </xf>
    <xf numFmtId="0" fontId="11" fillId="4" borderId="15" xfId="0" applyFont="1" applyFill="1" applyBorder="1" applyAlignment="1">
      <alignment horizontal="center" vertical="center" wrapText="1"/>
    </xf>
    <xf numFmtId="1" fontId="12" fillId="5" borderId="1" xfId="0" quotePrefix="1" applyNumberFormat="1" applyFont="1" applyFill="1" applyBorder="1" applyAlignment="1" applyProtection="1">
      <alignment horizontal="center" vertical="center" wrapText="1"/>
      <protection locked="0"/>
    </xf>
    <xf numFmtId="0" fontId="24" fillId="0" borderId="1" xfId="0" applyFont="1" applyBorder="1" applyAlignment="1">
      <alignment horizontal="left" vertical="top" wrapText="1"/>
    </xf>
    <xf numFmtId="0" fontId="2" fillId="0" borderId="1" xfId="0" applyFont="1" applyBorder="1" applyAlignment="1" applyProtection="1">
      <alignment horizontal="center" vertical="center"/>
      <protection locked="0"/>
    </xf>
    <xf numFmtId="0" fontId="2" fillId="0" borderId="1" xfId="0" applyFont="1" applyBorder="1" applyAlignment="1" applyProtection="1">
      <alignment horizontal="center" vertical="center" wrapText="1"/>
      <protection locked="0"/>
    </xf>
    <xf numFmtId="9" fontId="2" fillId="0" borderId="1" xfId="1" applyFont="1" applyBorder="1" applyAlignment="1" applyProtection="1">
      <alignment horizontal="center" vertical="center" wrapText="1"/>
      <protection locked="0"/>
    </xf>
    <xf numFmtId="9" fontId="2" fillId="0" borderId="1" xfId="1" applyFont="1" applyBorder="1" applyAlignment="1" applyProtection="1">
      <alignment horizontal="center" vertical="center"/>
      <protection locked="0"/>
    </xf>
    <xf numFmtId="0" fontId="2" fillId="0" borderId="0" xfId="0" applyFont="1" applyAlignment="1">
      <alignment vertical="center" wrapText="1"/>
    </xf>
    <xf numFmtId="0" fontId="10" fillId="0" borderId="0" xfId="0" applyFont="1" applyAlignment="1" applyProtection="1">
      <alignment horizontal="center" vertical="center"/>
      <protection locked="0"/>
    </xf>
    <xf numFmtId="0" fontId="31" fillId="0" borderId="0" xfId="0" applyFont="1"/>
    <xf numFmtId="0" fontId="31" fillId="0" borderId="16" xfId="0" applyFont="1" applyBorder="1"/>
    <xf numFmtId="0" fontId="0" fillId="0" borderId="1" xfId="0" applyBorder="1"/>
    <xf numFmtId="0" fontId="0" fillId="0" borderId="1" xfId="0" applyBorder="1" applyAlignment="1">
      <alignment wrapText="1"/>
    </xf>
    <xf numFmtId="0" fontId="11" fillId="4" borderId="1" xfId="0" applyFont="1" applyFill="1" applyBorder="1" applyAlignment="1">
      <alignment horizontal="left" vertical="center" wrapText="1"/>
    </xf>
    <xf numFmtId="0" fontId="12" fillId="5" borderId="3" xfId="0" applyFont="1" applyFill="1" applyBorder="1" applyAlignment="1" applyProtection="1">
      <alignment horizontal="left" vertical="center" wrapText="1"/>
      <protection locked="0"/>
    </xf>
    <xf numFmtId="0" fontId="12" fillId="5" borderId="13" xfId="0" applyFont="1" applyFill="1" applyBorder="1" applyAlignment="1" applyProtection="1">
      <alignment horizontal="left" vertical="center" wrapText="1"/>
      <protection locked="0"/>
    </xf>
    <xf numFmtId="0" fontId="12" fillId="5" borderId="4" xfId="0" applyFont="1" applyFill="1" applyBorder="1" applyAlignment="1" applyProtection="1">
      <alignment horizontal="left" vertical="center" wrapText="1"/>
      <protection locked="0"/>
    </xf>
    <xf numFmtId="0" fontId="11" fillId="4" borderId="3" xfId="0" applyFont="1" applyFill="1" applyBorder="1" applyAlignment="1">
      <alignment vertical="center" wrapText="1"/>
    </xf>
    <xf numFmtId="0" fontId="11" fillId="4" borderId="4" xfId="0" applyFont="1" applyFill="1" applyBorder="1" applyAlignment="1">
      <alignment vertical="center" wrapText="1"/>
    </xf>
    <xf numFmtId="0" fontId="11" fillId="4" borderId="1" xfId="0" applyFont="1" applyFill="1" applyBorder="1" applyAlignment="1">
      <alignment horizontal="center" vertical="center"/>
    </xf>
    <xf numFmtId="0" fontId="10" fillId="7" borderId="1" xfId="0" applyFont="1" applyFill="1" applyBorder="1" applyAlignment="1">
      <alignment horizontal="center" vertical="center" wrapText="1"/>
    </xf>
    <xf numFmtId="0" fontId="12" fillId="8" borderId="1" xfId="0" applyFont="1" applyFill="1" applyBorder="1" applyAlignment="1">
      <alignment horizontal="center" vertical="center" wrapText="1"/>
    </xf>
    <xf numFmtId="0" fontId="14" fillId="4" borderId="1" xfId="0" applyFont="1" applyFill="1" applyBorder="1" applyAlignment="1">
      <alignment horizontal="center" vertical="center" wrapText="1"/>
    </xf>
    <xf numFmtId="0" fontId="11" fillId="4" borderId="14" xfId="0" applyFont="1" applyFill="1" applyBorder="1" applyAlignment="1">
      <alignment horizontal="center" vertical="center"/>
    </xf>
  </cellXfs>
  <cellStyles count="5">
    <cellStyle name="Comma [0] 2" xfId="4" xr:uid="{286E3D10-827B-F54C-817D-B29004B17F97}"/>
    <cellStyle name="Hyperlink" xfId="3" builtinId="8"/>
    <cellStyle name="Normal" xfId="0" builtinId="0"/>
    <cellStyle name="Normal 2" xfId="2" xr:uid="{C3243E13-6EF8-E042-BC12-751DCDBFECFE}"/>
    <cellStyle name="Percent" xfId="1" builtinId="5"/>
  </cellStyles>
  <dxfs count="66">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strike val="0"/>
        <color theme="1"/>
      </font>
      <fill>
        <patternFill>
          <bgColor theme="0"/>
        </patternFill>
      </fill>
    </dxf>
    <dxf>
      <font>
        <strike val="0"/>
        <color theme="1"/>
      </font>
      <fill>
        <patternFill>
          <bgColor theme="0"/>
        </patternFill>
      </fill>
    </dxf>
    <dxf>
      <fill>
        <patternFill>
          <bgColor rgb="FFD9E1F2"/>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color theme="1"/>
      </font>
      <fill>
        <patternFill>
          <bgColor theme="0"/>
        </patternFill>
      </fill>
    </dxf>
    <dxf>
      <font>
        <strike val="0"/>
        <color theme="1"/>
      </font>
      <fill>
        <patternFill>
          <fgColor auto="1"/>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s>
  <tableStyles count="0" defaultTableStyle="TableStyleMedium2" defaultPivotStyle="PivotStyleLight16"/>
  <colors>
    <mruColors>
      <color rgb="FF4F81B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28526-ABAF-014C-AF51-05D74B756853}">
  <sheetPr>
    <tabColor rgb="FFFFFF00"/>
  </sheetPr>
  <dimension ref="B2:B14"/>
  <sheetViews>
    <sheetView showGridLines="0" topLeftCell="A8" workbookViewId="0">
      <selection activeCell="C12" sqref="C12"/>
    </sheetView>
  </sheetViews>
  <sheetFormatPr defaultColWidth="10.83203125" defaultRowHeight="20"/>
  <cols>
    <col min="1" max="1" width="10.83203125" style="48"/>
    <col min="2" max="2" width="200.83203125" style="10" customWidth="1"/>
    <col min="3" max="16384" width="10.83203125" style="48"/>
  </cols>
  <sheetData>
    <row r="2" spans="2:2">
      <c r="B2" s="8" t="s">
        <v>0</v>
      </c>
    </row>
    <row r="3" spans="2:2">
      <c r="B3" s="41" t="s">
        <v>1</v>
      </c>
    </row>
    <row r="4" spans="2:2" ht="80">
      <c r="B4" s="9" t="s">
        <v>2</v>
      </c>
    </row>
    <row r="5" spans="2:2">
      <c r="B5" s="41" t="s">
        <v>3</v>
      </c>
    </row>
    <row r="6" spans="2:2" ht="40">
      <c r="B6" s="9" t="s">
        <v>4</v>
      </c>
    </row>
    <row r="7" spans="2:2">
      <c r="B7" s="41" t="s">
        <v>5</v>
      </c>
    </row>
    <row r="8" spans="2:2" ht="280">
      <c r="B8" s="9" t="s">
        <v>6</v>
      </c>
    </row>
    <row r="9" spans="2:2">
      <c r="B9" s="41" t="s">
        <v>7</v>
      </c>
    </row>
    <row r="10" spans="2:2">
      <c r="B10" s="9" t="s">
        <v>8</v>
      </c>
    </row>
    <row r="11" spans="2:2">
      <c r="B11" s="41" t="s">
        <v>9</v>
      </c>
    </row>
    <row r="12" spans="2:2" ht="40">
      <c r="B12" s="9" t="s">
        <v>10</v>
      </c>
    </row>
    <row r="13" spans="2:2">
      <c r="B13" s="41" t="s">
        <v>11</v>
      </c>
    </row>
    <row r="14" spans="2:2" ht="60">
      <c r="B14" s="69" t="s">
        <v>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4BF69-562E-D441-9927-EC884647A6CB}">
  <sheetPr>
    <tabColor rgb="FFFFFF00"/>
  </sheetPr>
  <dimension ref="B2:B30"/>
  <sheetViews>
    <sheetView showGridLines="0" topLeftCell="B25" workbookViewId="0">
      <selection activeCell="B24" sqref="B24"/>
    </sheetView>
  </sheetViews>
  <sheetFormatPr defaultColWidth="10.83203125" defaultRowHeight="20"/>
  <cols>
    <col min="1" max="1" width="10.83203125" style="48"/>
    <col min="2" max="2" width="200.83203125" style="10" customWidth="1"/>
    <col min="3" max="16384" width="10.83203125" style="48"/>
  </cols>
  <sheetData>
    <row r="2" spans="2:2">
      <c r="B2" s="8" t="s">
        <v>13</v>
      </c>
    </row>
    <row r="3" spans="2:2">
      <c r="B3" s="40" t="s">
        <v>14</v>
      </c>
    </row>
    <row r="4" spans="2:2" ht="40">
      <c r="B4" s="9" t="s">
        <v>15</v>
      </c>
    </row>
    <row r="5" spans="2:2">
      <c r="B5" s="41" t="s">
        <v>16</v>
      </c>
    </row>
    <row r="6" spans="2:2" ht="40">
      <c r="B6" s="9" t="s">
        <v>17</v>
      </c>
    </row>
    <row r="7" spans="2:2">
      <c r="B7" s="41" t="s">
        <v>18</v>
      </c>
    </row>
    <row r="8" spans="2:2" ht="60">
      <c r="B8" s="9" t="s">
        <v>19</v>
      </c>
    </row>
    <row r="9" spans="2:2">
      <c r="B9" s="41" t="s">
        <v>20</v>
      </c>
    </row>
    <row r="10" spans="2:2" ht="40">
      <c r="B10" s="9" t="s">
        <v>21</v>
      </c>
    </row>
    <row r="11" spans="2:2">
      <c r="B11" s="41" t="s">
        <v>22</v>
      </c>
    </row>
    <row r="12" spans="2:2" ht="120">
      <c r="B12" s="9" t="s">
        <v>23</v>
      </c>
    </row>
    <row r="13" spans="2:2">
      <c r="B13" s="41" t="s">
        <v>24</v>
      </c>
    </row>
    <row r="14" spans="2:2" ht="80">
      <c r="B14" s="9" t="s">
        <v>25</v>
      </c>
    </row>
    <row r="15" spans="2:2">
      <c r="B15" s="41" t="s">
        <v>26</v>
      </c>
    </row>
    <row r="16" spans="2:2" ht="160">
      <c r="B16" s="9" t="s">
        <v>27</v>
      </c>
    </row>
    <row r="17" spans="2:2">
      <c r="B17" s="41" t="s">
        <v>28</v>
      </c>
    </row>
    <row r="18" spans="2:2" ht="60">
      <c r="B18" s="9" t="s">
        <v>29</v>
      </c>
    </row>
    <row r="19" spans="2:2">
      <c r="B19" s="41" t="s">
        <v>30</v>
      </c>
    </row>
    <row r="20" spans="2:2" ht="120">
      <c r="B20" s="9" t="s">
        <v>31</v>
      </c>
    </row>
    <row r="21" spans="2:2">
      <c r="B21" s="41" t="s">
        <v>32</v>
      </c>
    </row>
    <row r="22" spans="2:2" ht="60">
      <c r="B22" s="9" t="s">
        <v>33</v>
      </c>
    </row>
    <row r="23" spans="2:2">
      <c r="B23" s="41" t="s">
        <v>34</v>
      </c>
    </row>
    <row r="24" spans="2:2" ht="200">
      <c r="B24" s="9" t="s">
        <v>35</v>
      </c>
    </row>
    <row r="25" spans="2:2">
      <c r="B25" s="41" t="s">
        <v>36</v>
      </c>
    </row>
    <row r="26" spans="2:2" ht="160">
      <c r="B26" s="9" t="s">
        <v>37</v>
      </c>
    </row>
    <row r="27" spans="2:2">
      <c r="B27" s="41" t="s">
        <v>38</v>
      </c>
    </row>
    <row r="28" spans="2:2" ht="40">
      <c r="B28" s="9" t="s">
        <v>39</v>
      </c>
    </row>
    <row r="29" spans="2:2">
      <c r="B29" s="41" t="s">
        <v>40</v>
      </c>
    </row>
    <row r="30" spans="2:2" ht="40">
      <c r="B30" s="9" t="s">
        <v>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E9F49-5BD8-DF46-AF90-35C340E8EFC4}">
  <sheetPr>
    <tabColor rgb="FFFFFF00"/>
  </sheetPr>
  <dimension ref="B2:C4"/>
  <sheetViews>
    <sheetView showGridLines="0" zoomScale="85" zoomScaleNormal="85" workbookViewId="0">
      <selection activeCell="B13" sqref="B13"/>
    </sheetView>
  </sheetViews>
  <sheetFormatPr defaultColWidth="10.83203125" defaultRowHeight="20"/>
  <cols>
    <col min="1" max="1" width="10.83203125" style="48"/>
    <col min="2" max="2" width="141.5" style="10" customWidth="1"/>
    <col min="3" max="3" width="40.83203125" style="13" customWidth="1"/>
    <col min="4" max="16384" width="10.83203125" style="48"/>
  </cols>
  <sheetData>
    <row r="2" spans="2:3">
      <c r="B2" s="8" t="s">
        <v>42</v>
      </c>
      <c r="C2" s="11"/>
    </row>
    <row r="3" spans="2:3">
      <c r="B3" s="40" t="s">
        <v>43</v>
      </c>
      <c r="C3" s="11"/>
    </row>
    <row r="4" spans="2:3" ht="200">
      <c r="B4" s="12" t="s">
        <v>44</v>
      </c>
      <c r="C4" s="47" t="s">
        <v>45</v>
      </c>
    </row>
  </sheetData>
  <sheetProtection algorithmName="SHA-512" hashValue="cPVBRGIOKtrTXlo8MnBnv30QuoK2ij4jvok7Fuxi7SU44lPIkdnO5QVJCpjHhshse5xZzxGkMdhwa1LXka8wWQ==" saltValue="QyILU6nUmgu4hisGiP9AQw==" spinCount="100000" sheet="1" objects="1" scenarios="1"/>
  <conditionalFormatting sqref="C4">
    <cfRule type="containsText" dxfId="65" priority="1" operator="containsText" text="Yes">
      <formula>NOT(ISERROR(SEARCH("Yes",C4)))</formula>
    </cfRule>
    <cfRule type="containsText" dxfId="64" priority="2" operator="containsText" text="No">
      <formula>NOT(ISERROR(SEARCH("No",C4)))</formula>
    </cfRule>
    <cfRule type="notContainsBlanks" dxfId="63" priority="3" stopIfTrue="1">
      <formula>LEN(TRIM(C4))&gt;0</formula>
    </cfRule>
  </conditionalFormatting>
  <dataValidations count="1">
    <dataValidation type="list" allowBlank="1" showInputMessage="1" showErrorMessage="1" sqref="C4" xr:uid="{E82E43B1-DD90-F244-855A-4754571FC385}">
      <formula1>"Yes, No"</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67FB4-6B8E-EC46-B518-AA4B397B9214}">
  <sheetPr>
    <tabColor rgb="FF4F81BD"/>
  </sheetPr>
  <dimension ref="A1:G25"/>
  <sheetViews>
    <sheetView showGridLines="0" topLeftCell="A5" zoomScale="85" zoomScaleNormal="85" workbookViewId="0">
      <selection activeCell="C12" sqref="C12"/>
    </sheetView>
  </sheetViews>
  <sheetFormatPr defaultColWidth="10.83203125" defaultRowHeight="18.5"/>
  <cols>
    <col min="1" max="1" width="3.5" style="15" customWidth="1"/>
    <col min="2" max="2" width="74.58203125" style="15" customWidth="1"/>
    <col min="3" max="4" width="29.08203125" style="15" customWidth="1"/>
    <col min="5" max="5" width="30.33203125" style="15" bestFit="1" customWidth="1"/>
    <col min="6" max="6" width="29.08203125" style="15" customWidth="1"/>
    <col min="7" max="7" width="38.33203125" style="15" customWidth="1"/>
    <col min="8" max="8" width="10.83203125" style="3" customWidth="1"/>
    <col min="9" max="16384" width="10.83203125" style="3"/>
  </cols>
  <sheetData>
    <row r="1" spans="1:7" ht="26.15" customHeight="1">
      <c r="B1" s="14" t="s">
        <v>46</v>
      </c>
    </row>
    <row r="2" spans="1:7" ht="26.15" customHeight="1">
      <c r="A2" s="15">
        <v>1</v>
      </c>
      <c r="B2" s="16" t="s">
        <v>47</v>
      </c>
      <c r="C2" s="17"/>
    </row>
    <row r="3" spans="1:7" ht="26.15" customHeight="1">
      <c r="A3" s="15">
        <v>2</v>
      </c>
      <c r="B3" s="16" t="s">
        <v>48</v>
      </c>
      <c r="C3" s="18" t="s">
        <v>49</v>
      </c>
    </row>
    <row r="4" spans="1:7" ht="26.15" customHeight="1">
      <c r="A4" s="15">
        <v>3</v>
      </c>
      <c r="B4" s="16" t="s">
        <v>50</v>
      </c>
      <c r="C4" s="18"/>
      <c r="E4" s="19"/>
    </row>
    <row r="5" spans="1:7" ht="26.15" customHeight="1">
      <c r="A5" s="15">
        <v>4</v>
      </c>
      <c r="B5" s="16" t="s">
        <v>51</v>
      </c>
      <c r="C5" s="18" t="s">
        <v>52</v>
      </c>
      <c r="E5" s="19"/>
    </row>
    <row r="6" spans="1:7" ht="26.15" customHeight="1">
      <c r="A6" s="15">
        <v>5</v>
      </c>
      <c r="B6" s="16" t="s">
        <v>53</v>
      </c>
      <c r="C6" s="20" t="s">
        <v>54</v>
      </c>
      <c r="E6" s="19"/>
    </row>
    <row r="7" spans="1:7" ht="26.15" customHeight="1">
      <c r="A7" s="15">
        <v>6</v>
      </c>
      <c r="B7" s="16" t="s">
        <v>55</v>
      </c>
      <c r="C7" s="18" t="s">
        <v>56</v>
      </c>
      <c r="E7" s="19"/>
    </row>
    <row r="8" spans="1:7" ht="26.15" customHeight="1">
      <c r="A8" s="15">
        <v>7</v>
      </c>
      <c r="B8" s="16" t="s">
        <v>57</v>
      </c>
      <c r="C8" s="18"/>
    </row>
    <row r="9" spans="1:7" ht="26.15" customHeight="1">
      <c r="A9" s="15">
        <v>8</v>
      </c>
      <c r="B9" s="16" t="s">
        <v>58</v>
      </c>
      <c r="C9" s="18"/>
    </row>
    <row r="10" spans="1:7" ht="26.15" customHeight="1">
      <c r="A10" s="15">
        <v>9</v>
      </c>
      <c r="B10" s="16" t="s">
        <v>59</v>
      </c>
      <c r="C10" s="18">
        <v>210</v>
      </c>
    </row>
    <row r="11" spans="1:7">
      <c r="A11" s="15">
        <v>10</v>
      </c>
      <c r="B11" s="16" t="s">
        <v>60</v>
      </c>
      <c r="C11" s="18">
        <v>1992</v>
      </c>
    </row>
    <row r="12" spans="1:7">
      <c r="A12" s="15">
        <v>11</v>
      </c>
      <c r="B12" s="16" t="s">
        <v>61</v>
      </c>
      <c r="C12" s="18">
        <v>2005</v>
      </c>
      <c r="F12" s="21"/>
    </row>
    <row r="15" spans="1:7" ht="37">
      <c r="B15" s="24" t="s">
        <v>62</v>
      </c>
      <c r="C15" s="25" t="s">
        <v>63</v>
      </c>
      <c r="D15" s="25" t="s">
        <v>64</v>
      </c>
      <c r="E15" s="25" t="s">
        <v>65</v>
      </c>
      <c r="F15" s="25" t="s">
        <v>66</v>
      </c>
      <c r="G15" s="26" t="s">
        <v>67</v>
      </c>
    </row>
    <row r="16" spans="1:7">
      <c r="B16" s="27" t="s">
        <v>68</v>
      </c>
      <c r="C16" s="18" t="s">
        <v>69</v>
      </c>
      <c r="D16" s="18" t="s">
        <v>70</v>
      </c>
      <c r="E16" s="18" t="s">
        <v>71</v>
      </c>
      <c r="F16" s="20"/>
      <c r="G16" s="28"/>
    </row>
    <row r="17" spans="2:7">
      <c r="B17" s="27" t="s">
        <v>72</v>
      </c>
      <c r="C17" s="75"/>
      <c r="D17" s="75"/>
      <c r="E17" s="75"/>
      <c r="F17" s="20"/>
      <c r="G17" s="28"/>
    </row>
    <row r="18" spans="2:7">
      <c r="B18" s="27" t="s">
        <v>73</v>
      </c>
      <c r="C18" s="18" t="s">
        <v>74</v>
      </c>
      <c r="D18" s="18" t="s">
        <v>75</v>
      </c>
      <c r="E18" s="18" t="s">
        <v>71</v>
      </c>
      <c r="F18" s="20" t="s">
        <v>76</v>
      </c>
      <c r="G18" s="28" t="s">
        <v>77</v>
      </c>
    </row>
    <row r="19" spans="2:7">
      <c r="B19" s="27" t="s">
        <v>78</v>
      </c>
      <c r="C19" s="18" t="s">
        <v>79</v>
      </c>
      <c r="D19" s="18" t="s">
        <v>80</v>
      </c>
      <c r="E19" s="18" t="s">
        <v>71</v>
      </c>
      <c r="F19" s="20" t="s">
        <v>81</v>
      </c>
      <c r="G19" s="28" t="s">
        <v>77</v>
      </c>
    </row>
    <row r="20" spans="2:7">
      <c r="B20" s="29" t="s">
        <v>82</v>
      </c>
      <c r="C20" s="22" t="s">
        <v>83</v>
      </c>
      <c r="D20" s="22" t="s">
        <v>84</v>
      </c>
      <c r="E20" s="18" t="s">
        <v>71</v>
      </c>
      <c r="F20" s="23" t="s">
        <v>85</v>
      </c>
      <c r="G20" s="28" t="s">
        <v>77</v>
      </c>
    </row>
    <row r="21" spans="2:7" ht="37">
      <c r="B21" s="27" t="s">
        <v>86</v>
      </c>
      <c r="C21" s="18" t="s">
        <v>87</v>
      </c>
      <c r="D21" s="18" t="s">
        <v>88</v>
      </c>
      <c r="E21" s="18" t="s">
        <v>71</v>
      </c>
      <c r="F21" s="20" t="s">
        <v>89</v>
      </c>
      <c r="G21" s="28" t="s">
        <v>77</v>
      </c>
    </row>
    <row r="22" spans="2:7">
      <c r="B22" s="27" t="s">
        <v>90</v>
      </c>
      <c r="C22" s="18" t="s">
        <v>74</v>
      </c>
      <c r="D22" s="22" t="s">
        <v>75</v>
      </c>
      <c r="E22" s="18" t="s">
        <v>71</v>
      </c>
      <c r="F22" s="20" t="s">
        <v>76</v>
      </c>
      <c r="G22" s="28" t="s">
        <v>77</v>
      </c>
    </row>
    <row r="23" spans="2:7">
      <c r="B23" s="27" t="s">
        <v>91</v>
      </c>
      <c r="C23" s="18" t="s">
        <v>92</v>
      </c>
      <c r="D23" s="22" t="s">
        <v>93</v>
      </c>
      <c r="E23" s="18" t="s">
        <v>71</v>
      </c>
      <c r="F23" s="20" t="s">
        <v>94</v>
      </c>
      <c r="G23" s="28" t="s">
        <v>77</v>
      </c>
    </row>
    <row r="24" spans="2:7" ht="37">
      <c r="B24" s="27" t="s">
        <v>95</v>
      </c>
      <c r="C24" s="18" t="s">
        <v>96</v>
      </c>
      <c r="D24" s="18" t="s">
        <v>97</v>
      </c>
      <c r="E24" s="18" t="s">
        <v>71</v>
      </c>
      <c r="F24" s="20" t="s">
        <v>98</v>
      </c>
      <c r="G24" s="28" t="s">
        <v>77</v>
      </c>
    </row>
    <row r="25" spans="2:7">
      <c r="B25" s="27" t="s">
        <v>95</v>
      </c>
      <c r="C25" s="30" t="s">
        <v>99</v>
      </c>
      <c r="D25" s="30" t="s">
        <v>100</v>
      </c>
      <c r="E25" s="30" t="s">
        <v>71</v>
      </c>
      <c r="F25" s="31" t="s">
        <v>101</v>
      </c>
      <c r="G25" s="32" t="s">
        <v>77</v>
      </c>
    </row>
  </sheetData>
  <sheetProtection algorithmName="SHA-512" hashValue="6yI60cFygKABQ6hsh5VMwt5lwhrATZ21Hzv2csGFFn0nCOgRIkGTqVPEw9cgpAkSwjap78AvGrfGpwdsFd9Lnw==" saltValue="sj8fAt/Q3fALWU/fQ7kXBA==" spinCount="100000" sheet="1" objects="1" scenarios="1"/>
  <phoneticPr fontId="30" type="noConversion"/>
  <conditionalFormatting sqref="C2:C12">
    <cfRule type="notContainsBlanks" dxfId="62" priority="2">
      <formula>LEN(TRIM(C2))&gt;0</formula>
    </cfRule>
  </conditionalFormatting>
  <conditionalFormatting sqref="C16:G16 F17:G17 C18:G25">
    <cfRule type="notContainsBlanks" dxfId="61" priority="1">
      <formula>LEN(TRIM(C16))&gt;0</formula>
    </cfRule>
  </conditionalFormatting>
  <dataValidations count="1">
    <dataValidation type="whole" operator="greaterThan" allowBlank="1" showInputMessage="1" showErrorMessage="1" sqref="C10" xr:uid="{9090E2AA-80FC-4C48-94FD-5AB77E95CFDE}">
      <formula1>0</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A68EF-9483-A845-BDFB-78E6227C00B8}">
  <sheetPr>
    <tabColor rgb="FF4F81BD"/>
  </sheetPr>
  <dimension ref="A1:I10"/>
  <sheetViews>
    <sheetView showGridLines="0" topLeftCell="B1" zoomScaleNormal="100" workbookViewId="0">
      <selection activeCell="A4" sqref="A4"/>
    </sheetView>
  </sheetViews>
  <sheetFormatPr defaultColWidth="10.83203125" defaultRowHeight="15.5"/>
  <cols>
    <col min="1" max="1" width="4.83203125" customWidth="1"/>
    <col min="2" max="2" width="53.83203125" customWidth="1"/>
    <col min="3" max="8" width="28.08203125" customWidth="1"/>
    <col min="9" max="16384" width="10.83203125" style="1"/>
  </cols>
  <sheetData>
    <row r="1" spans="2:9" ht="51" customHeight="1">
      <c r="B1" s="14" t="s">
        <v>102</v>
      </c>
    </row>
    <row r="2" spans="2:9" ht="51" customHeight="1">
      <c r="B2" s="16" t="s">
        <v>103</v>
      </c>
      <c r="C2" s="16">
        <v>2022</v>
      </c>
      <c r="D2" s="16">
        <v>2023</v>
      </c>
      <c r="E2" s="16">
        <v>2024</v>
      </c>
      <c r="F2" s="16" t="s">
        <v>104</v>
      </c>
      <c r="G2" s="16" t="s">
        <v>105</v>
      </c>
      <c r="H2" s="16" t="s">
        <v>106</v>
      </c>
    </row>
    <row r="3" spans="2:9" ht="51" customHeight="1">
      <c r="B3" s="33" t="s">
        <v>107</v>
      </c>
      <c r="C3" s="58"/>
      <c r="D3" s="58"/>
      <c r="E3" s="58"/>
      <c r="F3" s="58"/>
      <c r="G3" s="58"/>
      <c r="H3" s="58"/>
    </row>
    <row r="4" spans="2:9" ht="51" customHeight="1">
      <c r="B4" s="33" t="s">
        <v>108</v>
      </c>
      <c r="C4" s="58"/>
      <c r="D4" s="58"/>
      <c r="E4" s="58"/>
      <c r="F4" s="58"/>
      <c r="G4" s="58"/>
      <c r="H4" s="58"/>
      <c r="I4" s="4"/>
    </row>
    <row r="5" spans="2:9" ht="51" customHeight="1">
      <c r="B5" s="33" t="s">
        <v>109</v>
      </c>
      <c r="C5" s="58"/>
      <c r="D5" s="58"/>
      <c r="E5" s="58"/>
      <c r="F5" s="58"/>
      <c r="G5" s="58"/>
      <c r="H5" s="58"/>
      <c r="I5" s="4" t="s">
        <v>110</v>
      </c>
    </row>
    <row r="6" spans="2:9" ht="51" customHeight="1">
      <c r="B6" s="33" t="s">
        <v>111</v>
      </c>
      <c r="C6" s="58"/>
      <c r="D6" s="58"/>
      <c r="E6" s="58"/>
      <c r="F6" s="58"/>
      <c r="G6" s="58"/>
      <c r="H6" s="58"/>
      <c r="I6" s="2" t="s">
        <v>112</v>
      </c>
    </row>
    <row r="8" spans="2:9" ht="18.5">
      <c r="B8" s="16" t="s">
        <v>103</v>
      </c>
      <c r="C8" s="16">
        <v>2023</v>
      </c>
      <c r="D8" s="16">
        <v>2023</v>
      </c>
      <c r="E8" s="16">
        <v>2024</v>
      </c>
      <c r="F8" s="16" t="s">
        <v>104</v>
      </c>
      <c r="G8" s="16" t="s">
        <v>105</v>
      </c>
      <c r="H8" s="16" t="s">
        <v>106</v>
      </c>
    </row>
    <row r="9" spans="2:9" ht="18.5">
      <c r="B9" s="33" t="s">
        <v>113</v>
      </c>
      <c r="C9" s="59"/>
      <c r="D9" s="59"/>
      <c r="E9" s="59"/>
      <c r="F9" s="59"/>
      <c r="G9" s="59"/>
      <c r="H9" s="59"/>
    </row>
    <row r="10" spans="2:9" ht="18.5">
      <c r="B10" s="33" t="s">
        <v>114</v>
      </c>
      <c r="C10" s="59"/>
      <c r="D10" s="59"/>
      <c r="E10" s="59"/>
      <c r="F10" s="59"/>
      <c r="G10" s="59"/>
      <c r="H10" s="59"/>
    </row>
  </sheetData>
  <sheetProtection algorithmName="SHA-512" hashValue="ADYHa84FNvxgDAPkQMA/ds4sXCGn4cmNRk+QJEHJSD6Mj+8x0KTQ9z3XQL2xdLYTVckdH232Lggvd0pM/Osjng==" saltValue="pjSFd/rHk5+ena2trvj3tA==" spinCount="100000" sheet="1" objects="1" scenarios="1"/>
  <conditionalFormatting sqref="C3:H6">
    <cfRule type="notContainsBlanks" dxfId="60" priority="4" stopIfTrue="1">
      <formula>LEN(TRIM(C3))&gt;0</formula>
    </cfRule>
  </conditionalFormatting>
  <conditionalFormatting sqref="C9:H10">
    <cfRule type="notContainsBlanks" dxfId="59" priority="3" stopIfTrue="1">
      <formula>LEN(TRIM(C9))&gt;0</formula>
    </cfRule>
  </conditionalFormatting>
  <dataValidations count="1">
    <dataValidation type="decimal" operator="greaterThan" allowBlank="1" showInputMessage="1" showErrorMessage="1" sqref="C9:H10 C3:H6" xr:uid="{C80DD866-3DB9-1B4B-A165-145642E3CFCC}">
      <formula1>0</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C1A3B-B0FD-FF47-BC1F-A6FB68374103}">
  <sheetPr>
    <tabColor rgb="FF4F81BD"/>
  </sheetPr>
  <dimension ref="A1:H29"/>
  <sheetViews>
    <sheetView showGridLines="0" topLeftCell="A15" zoomScale="60" zoomScaleNormal="60" workbookViewId="0">
      <selection activeCell="E3" sqref="E3"/>
    </sheetView>
  </sheetViews>
  <sheetFormatPr defaultColWidth="10.83203125" defaultRowHeight="26.15" customHeight="1"/>
  <cols>
    <col min="1" max="1" width="6.08203125" style="63" customWidth="1"/>
    <col min="2" max="2" width="59" style="35" customWidth="1"/>
    <col min="3" max="3" width="38.5" style="3" customWidth="1"/>
    <col min="4" max="8" width="38.5" style="6" customWidth="1"/>
    <col min="9" max="11" width="29.08203125" style="3" customWidth="1"/>
    <col min="12" max="16384" width="10.83203125" style="3"/>
  </cols>
  <sheetData>
    <row r="1" spans="1:8" s="15" customFormat="1" ht="51" customHeight="1">
      <c r="A1" s="61"/>
      <c r="B1" s="34" t="s">
        <v>115</v>
      </c>
    </row>
    <row r="2" spans="1:8" s="35" customFormat="1" ht="56.15" customHeight="1">
      <c r="A2" s="62"/>
      <c r="B2" s="16"/>
      <c r="C2" s="16" t="s">
        <v>116</v>
      </c>
      <c r="D2" s="36" t="s">
        <v>117</v>
      </c>
      <c r="E2" s="36" t="s">
        <v>118</v>
      </c>
      <c r="F2" s="36" t="s">
        <v>119</v>
      </c>
      <c r="G2" s="36" t="s">
        <v>120</v>
      </c>
      <c r="H2" s="36" t="s">
        <v>121</v>
      </c>
    </row>
    <row r="3" spans="1:8" ht="60" customHeight="1">
      <c r="A3" s="63">
        <v>1</v>
      </c>
      <c r="B3" s="16" t="s">
        <v>122</v>
      </c>
      <c r="C3" s="37" t="s">
        <v>123</v>
      </c>
      <c r="D3" s="37" t="s">
        <v>124</v>
      </c>
      <c r="E3" s="37" t="s">
        <v>125</v>
      </c>
      <c r="F3" s="18" t="s">
        <v>126</v>
      </c>
      <c r="G3" s="18"/>
      <c r="H3" s="18"/>
    </row>
    <row r="4" spans="1:8" ht="60" customHeight="1">
      <c r="A4" s="63">
        <v>2</v>
      </c>
      <c r="B4" s="16" t="s">
        <v>127</v>
      </c>
      <c r="C4" s="18" t="s">
        <v>128</v>
      </c>
      <c r="D4" s="18" t="s">
        <v>129</v>
      </c>
      <c r="E4" s="18" t="s">
        <v>130</v>
      </c>
      <c r="F4" s="18" t="s">
        <v>131</v>
      </c>
      <c r="G4" s="50"/>
      <c r="H4" s="18"/>
    </row>
    <row r="5" spans="1:8" ht="60" customHeight="1">
      <c r="A5" s="63">
        <v>3</v>
      </c>
      <c r="B5" s="16" t="s">
        <v>132</v>
      </c>
      <c r="C5" s="18" t="s">
        <v>133</v>
      </c>
      <c r="D5" s="18"/>
      <c r="E5" s="18"/>
      <c r="F5" s="18"/>
      <c r="G5" s="18"/>
      <c r="H5" s="18"/>
    </row>
    <row r="6" spans="1:8" ht="60" customHeight="1">
      <c r="A6" s="63">
        <v>4</v>
      </c>
      <c r="B6" s="36" t="s">
        <v>134</v>
      </c>
      <c r="C6" s="18" t="s">
        <v>135</v>
      </c>
      <c r="D6" s="18" t="s">
        <v>135</v>
      </c>
      <c r="E6" s="18" t="s">
        <v>135</v>
      </c>
      <c r="F6" s="18" t="s">
        <v>135</v>
      </c>
      <c r="G6" s="18"/>
      <c r="H6" s="18"/>
    </row>
    <row r="7" spans="1:8" ht="86.15" customHeight="1">
      <c r="A7" s="63">
        <v>5</v>
      </c>
      <c r="B7" s="36" t="s">
        <v>136</v>
      </c>
      <c r="C7" s="18" t="s">
        <v>135</v>
      </c>
      <c r="D7" s="18" t="s">
        <v>135</v>
      </c>
      <c r="E7" s="18" t="s">
        <v>135</v>
      </c>
      <c r="F7" s="18" t="s">
        <v>135</v>
      </c>
      <c r="G7" s="18"/>
      <c r="H7" s="18"/>
    </row>
    <row r="8" spans="1:8" ht="86.15" customHeight="1">
      <c r="A8" s="63">
        <v>6</v>
      </c>
      <c r="B8" s="36" t="s">
        <v>137</v>
      </c>
      <c r="C8" s="18" t="s">
        <v>138</v>
      </c>
      <c r="D8" s="18" t="s">
        <v>139</v>
      </c>
      <c r="E8" s="18" t="s">
        <v>139</v>
      </c>
      <c r="F8" s="18" t="s">
        <v>139</v>
      </c>
      <c r="G8" s="18"/>
      <c r="H8" s="18"/>
    </row>
    <row r="9" spans="1:8" ht="60" customHeight="1">
      <c r="A9" s="63">
        <v>7</v>
      </c>
      <c r="B9" s="16" t="s">
        <v>140</v>
      </c>
      <c r="C9" s="38">
        <v>8775</v>
      </c>
      <c r="D9" s="38">
        <v>634</v>
      </c>
      <c r="E9" s="39">
        <v>425</v>
      </c>
      <c r="F9" s="39">
        <v>575</v>
      </c>
      <c r="G9" s="39"/>
      <c r="H9" s="39"/>
    </row>
    <row r="10" spans="1:8" ht="60" customHeight="1">
      <c r="A10" s="63">
        <v>8</v>
      </c>
      <c r="B10" s="36" t="s">
        <v>141</v>
      </c>
      <c r="C10" s="38">
        <v>188</v>
      </c>
      <c r="D10" s="38">
        <v>5</v>
      </c>
      <c r="E10" s="39">
        <v>6</v>
      </c>
      <c r="F10" s="39">
        <v>11</v>
      </c>
      <c r="G10" s="39"/>
      <c r="H10" s="39"/>
    </row>
    <row r="11" spans="1:8" ht="60" customHeight="1">
      <c r="A11" s="63">
        <v>9</v>
      </c>
      <c r="B11" s="36" t="s">
        <v>142</v>
      </c>
      <c r="C11" s="18">
        <v>41</v>
      </c>
      <c r="D11" s="18"/>
      <c r="E11" s="18"/>
      <c r="F11" s="18"/>
      <c r="G11" s="18"/>
      <c r="H11" s="18"/>
    </row>
    <row r="12" spans="1:8" ht="60" customHeight="1">
      <c r="A12" s="63">
        <v>10</v>
      </c>
      <c r="B12" s="36" t="s">
        <v>143</v>
      </c>
      <c r="C12" s="18">
        <v>50</v>
      </c>
      <c r="D12" s="18"/>
      <c r="E12" s="18"/>
      <c r="F12" s="18"/>
      <c r="G12" s="18"/>
      <c r="H12" s="18"/>
    </row>
    <row r="13" spans="1:8" ht="60" customHeight="1">
      <c r="A13" s="63">
        <v>11</v>
      </c>
      <c r="B13" s="36" t="s">
        <v>144</v>
      </c>
      <c r="C13" s="18"/>
      <c r="D13" s="18"/>
      <c r="E13" s="18"/>
      <c r="F13" s="18"/>
      <c r="G13" s="18"/>
      <c r="H13" s="18"/>
    </row>
    <row r="14" spans="1:8" ht="60" customHeight="1">
      <c r="A14" s="63">
        <v>12</v>
      </c>
      <c r="B14" s="36" t="s">
        <v>145</v>
      </c>
      <c r="C14" s="18" t="s">
        <v>146</v>
      </c>
      <c r="D14" s="18" t="s">
        <v>146</v>
      </c>
      <c r="E14" s="18" t="s">
        <v>146</v>
      </c>
      <c r="F14" s="18" t="s">
        <v>146</v>
      </c>
      <c r="G14" s="18"/>
      <c r="H14" s="18"/>
    </row>
    <row r="15" spans="1:8" ht="60" customHeight="1">
      <c r="A15" s="63">
        <v>13</v>
      </c>
      <c r="B15" s="36" t="s">
        <v>147</v>
      </c>
      <c r="C15" s="18" t="s">
        <v>146</v>
      </c>
      <c r="D15" s="18" t="s">
        <v>146</v>
      </c>
      <c r="E15" s="18" t="s">
        <v>146</v>
      </c>
      <c r="F15" s="18" t="s">
        <v>146</v>
      </c>
      <c r="G15" s="18"/>
      <c r="H15" s="18"/>
    </row>
    <row r="16" spans="1:8" ht="60" customHeight="1">
      <c r="A16" s="63">
        <v>14</v>
      </c>
      <c r="B16" s="36" t="s">
        <v>148</v>
      </c>
      <c r="C16" s="18" t="s">
        <v>149</v>
      </c>
      <c r="D16" s="18" t="s">
        <v>150</v>
      </c>
      <c r="E16" s="18" t="s">
        <v>151</v>
      </c>
      <c r="F16" s="18" t="s">
        <v>152</v>
      </c>
      <c r="G16" s="18"/>
      <c r="H16" s="18"/>
    </row>
    <row r="18" spans="1:8" ht="61" customHeight="1">
      <c r="A18" s="63">
        <v>15</v>
      </c>
      <c r="B18" s="80" t="s">
        <v>153</v>
      </c>
      <c r="C18" s="80"/>
      <c r="D18" s="81" t="s">
        <v>154</v>
      </c>
      <c r="E18" s="82"/>
      <c r="F18" s="82"/>
      <c r="G18" s="82"/>
      <c r="H18" s="83"/>
    </row>
    <row r="19" spans="1:8" ht="61" customHeight="1">
      <c r="A19" s="63">
        <v>16</v>
      </c>
      <c r="B19" s="80" t="s">
        <v>155</v>
      </c>
      <c r="C19" s="80"/>
      <c r="D19" s="81" t="s">
        <v>156</v>
      </c>
      <c r="E19" s="82"/>
      <c r="F19" s="82"/>
      <c r="G19" s="82"/>
      <c r="H19" s="83"/>
    </row>
    <row r="20" spans="1:8" ht="61" customHeight="1">
      <c r="A20" s="63">
        <v>17</v>
      </c>
      <c r="B20" s="80" t="s">
        <v>157</v>
      </c>
      <c r="C20" s="80"/>
      <c r="D20" s="81" t="s">
        <v>158</v>
      </c>
      <c r="E20" s="82"/>
      <c r="F20" s="82"/>
      <c r="G20" s="82"/>
      <c r="H20" s="83"/>
    </row>
    <row r="21" spans="1:8" ht="61" customHeight="1">
      <c r="A21" s="63">
        <v>18</v>
      </c>
      <c r="B21" s="80" t="s">
        <v>159</v>
      </c>
      <c r="C21" s="80"/>
      <c r="D21" s="81" t="s">
        <v>160</v>
      </c>
      <c r="E21" s="82"/>
      <c r="F21" s="82"/>
      <c r="G21" s="82"/>
      <c r="H21" s="83"/>
    </row>
    <row r="22" spans="1:8" ht="61" customHeight="1">
      <c r="A22" s="63">
        <v>19</v>
      </c>
      <c r="B22" s="80" t="s">
        <v>161</v>
      </c>
      <c r="C22" s="80"/>
      <c r="D22" s="81" t="s">
        <v>162</v>
      </c>
      <c r="E22" s="82"/>
      <c r="F22" s="82"/>
      <c r="G22" s="82"/>
      <c r="H22" s="83"/>
    </row>
    <row r="23" spans="1:8" ht="61" customHeight="1">
      <c r="A23" s="63">
        <v>20</v>
      </c>
      <c r="B23" s="84" t="s">
        <v>163</v>
      </c>
      <c r="C23" s="85"/>
      <c r="D23" s="81" t="s">
        <v>164</v>
      </c>
      <c r="E23" s="82"/>
      <c r="F23" s="82"/>
      <c r="G23" s="82"/>
      <c r="H23" s="83"/>
    </row>
    <row r="24" spans="1:8" ht="61" customHeight="1">
      <c r="A24" s="63">
        <v>21</v>
      </c>
      <c r="B24" s="84" t="s">
        <v>165</v>
      </c>
      <c r="C24" s="85"/>
      <c r="D24" s="81" t="s">
        <v>166</v>
      </c>
      <c r="E24" s="82"/>
      <c r="F24" s="82"/>
      <c r="G24" s="82"/>
      <c r="H24" s="83"/>
    </row>
    <row r="25" spans="1:8" ht="187.75" customHeight="1">
      <c r="A25" s="63">
        <v>22</v>
      </c>
      <c r="B25" s="80" t="s">
        <v>167</v>
      </c>
      <c r="C25" s="80"/>
      <c r="D25" s="81" t="s">
        <v>168</v>
      </c>
      <c r="E25" s="82"/>
      <c r="F25" s="82"/>
      <c r="G25" s="82"/>
      <c r="H25" s="83"/>
    </row>
    <row r="26" spans="1:8" ht="61" customHeight="1"/>
    <row r="27" spans="1:8" ht="61" customHeight="1"/>
    <row r="28" spans="1:8" ht="61" customHeight="1"/>
    <row r="29" spans="1:8" ht="61" customHeight="1"/>
  </sheetData>
  <sheetProtection algorithmName="SHA-512" hashValue="zQUmRTblo7NwmNDoVbXM0yjst7rVPj5/m4axI2ivAgmUPwHZYj2vbWzF/lmehodxi4GZXwtagu0UzxPO76uzxg==" saltValue="p9e4rdm25WVOlVQ/gvBS1w==" spinCount="100000" sheet="1" selectLockedCells="1"/>
  <mergeCells count="16">
    <mergeCell ref="B21:C21"/>
    <mergeCell ref="D21:H21"/>
    <mergeCell ref="B22:C22"/>
    <mergeCell ref="D22:H22"/>
    <mergeCell ref="B25:C25"/>
    <mergeCell ref="D25:H25"/>
    <mergeCell ref="B24:C24"/>
    <mergeCell ref="B23:C23"/>
    <mergeCell ref="D23:H23"/>
    <mergeCell ref="D24:H24"/>
    <mergeCell ref="B18:C18"/>
    <mergeCell ref="D18:H18"/>
    <mergeCell ref="B19:C19"/>
    <mergeCell ref="D19:H19"/>
    <mergeCell ref="B20:C20"/>
    <mergeCell ref="D20:H20"/>
  </mergeCells>
  <conditionalFormatting sqref="C3:H16">
    <cfRule type="notContainsBlanks" dxfId="58" priority="1">
      <formula>LEN(TRIM(C3))&gt;0</formula>
    </cfRule>
  </conditionalFormatting>
  <conditionalFormatting sqref="D18:D25">
    <cfRule type="notContainsBlanks" dxfId="57" priority="2">
      <formula>LEN(TRIM(D18))&gt;0</formula>
    </cfRule>
  </conditionalFormatting>
  <dataValidations count="3">
    <dataValidation type="decimal" operator="greaterThan" allowBlank="1" showInputMessage="1" showErrorMessage="1" sqref="C9:H10" xr:uid="{729C1851-60B4-2548-B527-9EB9AF6842FF}">
      <formula1>0</formula1>
    </dataValidation>
    <dataValidation type="list" allowBlank="1" showInputMessage="1" showErrorMessage="1" sqref="C14:H15" xr:uid="{BED30279-6FF8-9540-B9F0-66107877420E}">
      <formula1>"Yes,No"</formula1>
    </dataValidation>
    <dataValidation type="whole" operator="greaterThan" allowBlank="1" showInputMessage="1" showErrorMessage="1" sqref="C11:H13" xr:uid="{3BD27C0B-8095-D04C-8C74-BA6999DA2B14}">
      <formula1>0</formula1>
    </dataValidation>
  </dataValidation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2F10A-AE33-7847-A469-AFC9D635ABF6}">
  <sheetPr>
    <tabColor rgb="FF4F81BD"/>
  </sheetPr>
  <dimension ref="B1:J25"/>
  <sheetViews>
    <sheetView showGridLines="0" topLeftCell="A13" zoomScaleNormal="100" workbookViewId="0">
      <selection activeCell="E11" sqref="E11"/>
    </sheetView>
  </sheetViews>
  <sheetFormatPr defaultColWidth="10.83203125" defaultRowHeight="50.15" customHeight="1"/>
  <cols>
    <col min="1" max="1" width="5.08203125" style="3" customWidth="1"/>
    <col min="2" max="2" width="53.08203125" style="3" customWidth="1"/>
    <col min="3" max="10" width="32.58203125" style="3" customWidth="1"/>
    <col min="11" max="16384" width="10.83203125" style="3"/>
  </cols>
  <sheetData>
    <row r="1" spans="2:10" ht="50.15" customHeight="1">
      <c r="B1" s="42" t="s">
        <v>169</v>
      </c>
    </row>
    <row r="2" spans="2:10" ht="50.15" customHeight="1">
      <c r="B2" s="43"/>
      <c r="C2" s="44" t="s">
        <v>170</v>
      </c>
      <c r="D2" s="44" t="s">
        <v>171</v>
      </c>
      <c r="E2" s="44" t="s">
        <v>172</v>
      </c>
      <c r="F2" s="44" t="s">
        <v>173</v>
      </c>
      <c r="G2" s="44" t="s">
        <v>174</v>
      </c>
      <c r="H2" s="44" t="s">
        <v>175</v>
      </c>
      <c r="I2" s="44" t="s">
        <v>176</v>
      </c>
      <c r="J2" s="44" t="s">
        <v>177</v>
      </c>
    </row>
    <row r="3" spans="2:10" ht="50.15" customHeight="1">
      <c r="B3" s="44" t="s">
        <v>178</v>
      </c>
      <c r="C3" s="70" t="s">
        <v>179</v>
      </c>
      <c r="D3" s="70" t="s">
        <v>180</v>
      </c>
      <c r="E3" s="70" t="s">
        <v>181</v>
      </c>
      <c r="F3" s="70" t="s">
        <v>182</v>
      </c>
      <c r="G3" s="70"/>
      <c r="H3" s="70"/>
      <c r="I3" s="70"/>
      <c r="J3" s="70"/>
    </row>
    <row r="4" spans="2:10" ht="50.15" customHeight="1">
      <c r="B4" s="45" t="s">
        <v>183</v>
      </c>
      <c r="C4" s="70">
        <v>2</v>
      </c>
      <c r="D4" s="70"/>
      <c r="E4" s="70"/>
      <c r="F4" s="70"/>
      <c r="G4" s="70"/>
      <c r="H4" s="70"/>
      <c r="I4" s="70"/>
      <c r="J4" s="70"/>
    </row>
    <row r="5" spans="2:10" ht="50.15" customHeight="1">
      <c r="B5" s="45" t="s">
        <v>184</v>
      </c>
      <c r="C5" s="70">
        <v>3</v>
      </c>
      <c r="D5" s="70">
        <v>2</v>
      </c>
      <c r="E5" s="70">
        <v>2</v>
      </c>
      <c r="F5" s="70"/>
      <c r="G5" s="70"/>
      <c r="H5" s="70"/>
      <c r="I5" s="70"/>
      <c r="J5" s="70"/>
    </row>
    <row r="6" spans="2:10" ht="50.15" customHeight="1">
      <c r="B6" s="45" t="s">
        <v>185</v>
      </c>
      <c r="C6" s="70">
        <v>7</v>
      </c>
      <c r="D6" s="70">
        <v>5</v>
      </c>
      <c r="E6" s="70">
        <v>2</v>
      </c>
      <c r="F6" s="70">
        <v>8</v>
      </c>
      <c r="G6" s="70"/>
      <c r="H6" s="70"/>
      <c r="I6" s="70"/>
      <c r="J6" s="70"/>
    </row>
    <row r="7" spans="2:10" ht="50.15" customHeight="1">
      <c r="B7" s="45" t="s">
        <v>186</v>
      </c>
      <c r="C7" s="70"/>
      <c r="D7" s="70"/>
      <c r="E7" s="70"/>
      <c r="F7" s="70"/>
      <c r="G7" s="70"/>
      <c r="H7" s="70"/>
      <c r="I7" s="70"/>
      <c r="J7" s="70"/>
    </row>
    <row r="8" spans="2:10" ht="50.15" customHeight="1">
      <c r="B8" s="45" t="s">
        <v>187</v>
      </c>
      <c r="C8" s="70" t="s">
        <v>188</v>
      </c>
      <c r="D8" s="70" t="s">
        <v>188</v>
      </c>
      <c r="E8" s="70" t="s">
        <v>188</v>
      </c>
      <c r="F8" s="70" t="s">
        <v>188</v>
      </c>
      <c r="G8" s="70"/>
      <c r="H8" s="70"/>
      <c r="I8" s="70"/>
      <c r="J8" s="70"/>
    </row>
    <row r="9" spans="2:10" ht="50.15" customHeight="1">
      <c r="B9" s="45" t="s">
        <v>189</v>
      </c>
      <c r="C9" s="70" t="s">
        <v>188</v>
      </c>
      <c r="D9" s="70" t="s">
        <v>188</v>
      </c>
      <c r="E9" s="70" t="s">
        <v>188</v>
      </c>
      <c r="F9" s="70" t="s">
        <v>190</v>
      </c>
      <c r="G9" s="70"/>
      <c r="H9" s="70"/>
      <c r="I9" s="70"/>
      <c r="J9" s="70"/>
    </row>
    <row r="10" spans="2:10" ht="50.15" customHeight="1">
      <c r="B10" s="64" t="s">
        <v>191</v>
      </c>
      <c r="C10" s="70" t="s">
        <v>192</v>
      </c>
      <c r="D10" s="70" t="s">
        <v>193</v>
      </c>
      <c r="E10" s="70" t="s">
        <v>194</v>
      </c>
      <c r="F10" s="70" t="s">
        <v>195</v>
      </c>
      <c r="G10" s="70"/>
      <c r="H10" s="70"/>
      <c r="I10" s="70"/>
      <c r="J10" s="70"/>
    </row>
    <row r="11" spans="2:10" ht="50.15" customHeight="1">
      <c r="B11" s="45" t="s">
        <v>196</v>
      </c>
      <c r="C11" s="71"/>
      <c r="D11" s="71"/>
      <c r="E11" s="71"/>
      <c r="F11" s="70"/>
      <c r="G11" s="70"/>
      <c r="H11" s="70"/>
      <c r="I11" s="70"/>
      <c r="J11" s="70"/>
    </row>
    <row r="12" spans="2:10" ht="50.15" customHeight="1">
      <c r="B12" s="45" t="s">
        <v>197</v>
      </c>
      <c r="C12" s="72"/>
      <c r="D12" s="73"/>
      <c r="E12" s="73"/>
      <c r="F12" s="73"/>
      <c r="G12" s="73"/>
      <c r="H12" s="73"/>
      <c r="I12" s="73"/>
      <c r="J12" s="73"/>
    </row>
    <row r="14" spans="2:10" ht="50.15" customHeight="1">
      <c r="B14" s="86" t="s">
        <v>198</v>
      </c>
      <c r="C14" s="86"/>
      <c r="D14" s="86"/>
    </row>
    <row r="15" spans="2:10" ht="50.15" customHeight="1">
      <c r="B15" s="16" t="s">
        <v>199</v>
      </c>
      <c r="C15" s="86" t="s">
        <v>200</v>
      </c>
      <c r="D15" s="86"/>
    </row>
    <row r="16" spans="2:10" ht="50.15" customHeight="1">
      <c r="B16" s="46" t="s">
        <v>201</v>
      </c>
      <c r="C16" s="87" t="s">
        <v>202</v>
      </c>
      <c r="D16" s="87"/>
    </row>
    <row r="17" spans="2:4" ht="50.15" customHeight="1">
      <c r="B17" s="88" t="s">
        <v>203</v>
      </c>
      <c r="C17" s="88" t="s">
        <v>204</v>
      </c>
      <c r="D17" s="88"/>
    </row>
    <row r="18" spans="2:4" ht="50.15" customHeight="1">
      <c r="B18" s="88"/>
      <c r="C18" s="88" t="s">
        <v>205</v>
      </c>
      <c r="D18" s="88"/>
    </row>
    <row r="19" spans="2:4" ht="50.15" customHeight="1">
      <c r="B19" s="88"/>
      <c r="C19" s="88" t="s">
        <v>206</v>
      </c>
      <c r="D19" s="88"/>
    </row>
    <row r="20" spans="2:4" ht="50.15" customHeight="1">
      <c r="B20" s="88"/>
      <c r="C20" s="88" t="s">
        <v>207</v>
      </c>
      <c r="D20" s="88"/>
    </row>
    <row r="21" spans="2:4" ht="50.15" customHeight="1">
      <c r="B21" s="88" t="s">
        <v>208</v>
      </c>
      <c r="C21" s="88" t="s">
        <v>209</v>
      </c>
      <c r="D21" s="88"/>
    </row>
    <row r="22" spans="2:4" ht="50.15" customHeight="1">
      <c r="B22" s="88"/>
      <c r="C22" s="88" t="s">
        <v>210</v>
      </c>
      <c r="D22" s="88"/>
    </row>
    <row r="23" spans="2:4" ht="50.15" customHeight="1">
      <c r="B23" s="88"/>
      <c r="C23" s="88" t="s">
        <v>211</v>
      </c>
      <c r="D23" s="88"/>
    </row>
    <row r="24" spans="2:4" ht="50.15" customHeight="1">
      <c r="B24" s="88" t="s">
        <v>212</v>
      </c>
      <c r="C24" s="88" t="s">
        <v>213</v>
      </c>
      <c r="D24" s="88"/>
    </row>
    <row r="25" spans="2:4" ht="50.15" customHeight="1">
      <c r="B25" s="88"/>
      <c r="C25" s="88" t="s">
        <v>214</v>
      </c>
      <c r="D25" s="88"/>
    </row>
  </sheetData>
  <sheetProtection algorithmName="SHA-512" hashValue="bZUL6mD159NJzrDMfwN4drt+BOqtexhCohLvWTFiYmwi3OxjnrOscfwij2lbQWlD1y6kwb2Toihf5J7T9rDt2w==" saltValue="3UFfoL413EPmJz18ZLo85A==" spinCount="100000" sheet="1" objects="1" scenarios="1"/>
  <mergeCells count="15">
    <mergeCell ref="B21:B23"/>
    <mergeCell ref="C21:D21"/>
    <mergeCell ref="C22:D22"/>
    <mergeCell ref="C23:D23"/>
    <mergeCell ref="B24:B25"/>
    <mergeCell ref="C24:D24"/>
    <mergeCell ref="C25:D25"/>
    <mergeCell ref="B14:D14"/>
    <mergeCell ref="C15:D15"/>
    <mergeCell ref="C16:D16"/>
    <mergeCell ref="B17:B20"/>
    <mergeCell ref="C17:D17"/>
    <mergeCell ref="C18:D18"/>
    <mergeCell ref="C19:D19"/>
    <mergeCell ref="C20:D20"/>
  </mergeCells>
  <conditionalFormatting sqref="C3:J12">
    <cfRule type="containsBlanks" dxfId="56" priority="1" stopIfTrue="1">
      <formula>LEN(TRIM(C3))=0</formula>
    </cfRule>
  </conditionalFormatting>
  <dataValidations count="2">
    <dataValidation type="list" allowBlank="1" showInputMessage="1" showErrorMessage="1" sqref="C8:J9" xr:uid="{26019721-06B4-C344-8224-CB676EC62513}">
      <formula1>"High,Medium,Low"</formula1>
    </dataValidation>
    <dataValidation type="decimal" operator="greaterThan" allowBlank="1" showInputMessage="1" showErrorMessage="1" sqref="C4:J7 C11:J12" xr:uid="{3ACB799D-6863-874C-A853-DD4D01F96B84}">
      <formula1>0</formula1>
    </dataValidation>
  </dataValidations>
  <pageMargins left="0.7" right="0.7" top="0.75" bottom="0.75" header="0.3" footer="0.3"/>
  <pageSetup scale="47"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5F098-1FD7-C444-9DE7-00998B4A673C}">
  <sheetPr>
    <tabColor rgb="FF4F81BD"/>
  </sheetPr>
  <dimension ref="B1:K16"/>
  <sheetViews>
    <sheetView showGridLines="0" topLeftCell="A4" zoomScale="70" zoomScaleNormal="70" workbookViewId="0">
      <selection activeCell="G18" sqref="G18"/>
    </sheetView>
  </sheetViews>
  <sheetFormatPr defaultColWidth="10.83203125" defaultRowHeight="15.5"/>
  <cols>
    <col min="1" max="1" width="4.08203125" style="1" customWidth="1"/>
    <col min="2" max="2" width="51.5" style="1" customWidth="1"/>
    <col min="3" max="9" width="29.08203125" style="1" customWidth="1"/>
    <col min="10" max="10" width="57.83203125" style="1" customWidth="1"/>
    <col min="11" max="11" width="102.58203125" style="1" bestFit="1" customWidth="1"/>
    <col min="12" max="15" width="29.08203125" style="1" customWidth="1"/>
    <col min="16" max="16384" width="10.83203125" style="1"/>
  </cols>
  <sheetData>
    <row r="1" spans="2:11" ht="67" customHeight="1">
      <c r="B1" s="34" t="s">
        <v>215</v>
      </c>
    </row>
    <row r="2" spans="2:11" ht="67" customHeight="1">
      <c r="B2" s="33"/>
      <c r="C2" s="16">
        <v>2022</v>
      </c>
      <c r="D2" s="16">
        <v>2023</v>
      </c>
      <c r="E2" s="16">
        <v>2024</v>
      </c>
      <c r="F2" s="16" t="s">
        <v>104</v>
      </c>
      <c r="G2" s="16" t="s">
        <v>105</v>
      </c>
      <c r="H2" s="16" t="s">
        <v>106</v>
      </c>
      <c r="I2" s="16" t="s">
        <v>216</v>
      </c>
      <c r="J2" s="16" t="s">
        <v>217</v>
      </c>
    </row>
    <row r="3" spans="2:11" ht="67" customHeight="1">
      <c r="B3" s="16" t="s">
        <v>218</v>
      </c>
      <c r="C3" s="39"/>
      <c r="D3" s="39"/>
      <c r="E3" s="39"/>
      <c r="F3" s="39">
        <v>2</v>
      </c>
      <c r="G3" s="39"/>
      <c r="H3" s="39"/>
      <c r="I3" s="39"/>
      <c r="J3" s="60"/>
    </row>
    <row r="4" spans="2:11" ht="129.5">
      <c r="B4" s="36" t="s">
        <v>219</v>
      </c>
      <c r="C4" s="39"/>
      <c r="D4" s="39"/>
      <c r="E4" s="39"/>
      <c r="F4" s="39">
        <v>21</v>
      </c>
      <c r="G4" s="39"/>
      <c r="H4" s="39"/>
      <c r="I4" s="39"/>
      <c r="J4" s="60" t="s">
        <v>220</v>
      </c>
      <c r="K4" s="74" t="s">
        <v>221</v>
      </c>
    </row>
    <row r="5" spans="2:11" ht="67" customHeight="1">
      <c r="B5" s="16" t="s">
        <v>222</v>
      </c>
      <c r="C5" s="39"/>
      <c r="D5" s="39"/>
      <c r="E5" s="39"/>
      <c r="F5" s="39">
        <v>85</v>
      </c>
      <c r="G5" s="39"/>
      <c r="H5" s="39"/>
      <c r="I5" s="39"/>
      <c r="J5" s="60"/>
    </row>
    <row r="6" spans="2:11" ht="67" customHeight="1">
      <c r="B6" s="16" t="s">
        <v>223</v>
      </c>
      <c r="C6" s="39"/>
      <c r="D6" s="39"/>
      <c r="E6" s="39"/>
      <c r="F6" s="39">
        <v>10</v>
      </c>
      <c r="G6" s="39"/>
      <c r="H6" s="39"/>
      <c r="I6" s="39"/>
      <c r="J6" s="60"/>
      <c r="K6" s="4" t="s">
        <v>224</v>
      </c>
    </row>
    <row r="7" spans="2:11" ht="67" customHeight="1">
      <c r="B7" s="16" t="s">
        <v>225</v>
      </c>
      <c r="C7" s="39"/>
      <c r="D7" s="39"/>
      <c r="E7" s="39"/>
      <c r="F7" s="39">
        <v>9</v>
      </c>
      <c r="G7" s="39"/>
      <c r="H7" s="39"/>
      <c r="I7" s="39"/>
      <c r="J7" s="60"/>
    </row>
    <row r="8" spans="2:11" ht="67" customHeight="1">
      <c r="B8" s="16" t="s">
        <v>226</v>
      </c>
      <c r="C8" s="39"/>
      <c r="D8" s="39"/>
      <c r="E8" s="39"/>
      <c r="F8" s="39">
        <v>10</v>
      </c>
      <c r="G8" s="39"/>
      <c r="H8" s="39"/>
      <c r="I8" s="39"/>
      <c r="J8" s="60"/>
    </row>
    <row r="9" spans="2:11" ht="67" customHeight="1">
      <c r="B9" s="16" t="s">
        <v>227</v>
      </c>
      <c r="C9" s="39"/>
      <c r="D9" s="39"/>
      <c r="E9" s="39"/>
      <c r="F9" s="39">
        <v>3</v>
      </c>
      <c r="G9" s="39"/>
      <c r="H9" s="39"/>
      <c r="I9" s="39"/>
      <c r="J9" s="60"/>
    </row>
    <row r="10" spans="2:11" ht="67" customHeight="1">
      <c r="B10" s="36" t="s">
        <v>228</v>
      </c>
      <c r="C10" s="39"/>
      <c r="D10" s="39"/>
      <c r="E10" s="39"/>
      <c r="F10" s="39">
        <v>10</v>
      </c>
      <c r="G10" s="39"/>
      <c r="H10" s="39"/>
      <c r="I10" s="39"/>
      <c r="J10" s="60"/>
    </row>
    <row r="11" spans="2:11" ht="67" customHeight="1">
      <c r="B11" s="16" t="s">
        <v>229</v>
      </c>
      <c r="C11" s="39"/>
      <c r="D11" s="39"/>
      <c r="E11" s="39"/>
      <c r="F11" s="39">
        <v>21</v>
      </c>
      <c r="G11" s="39"/>
      <c r="H11" s="39"/>
      <c r="I11" s="39"/>
      <c r="J11" s="60"/>
    </row>
    <row r="12" spans="2:11" ht="67" customHeight="1">
      <c r="B12" s="16" t="s">
        <v>230</v>
      </c>
      <c r="C12" s="39"/>
      <c r="D12" s="39"/>
      <c r="E12" s="39"/>
      <c r="F12" s="39">
        <v>9</v>
      </c>
      <c r="G12" s="39"/>
      <c r="H12" s="39"/>
      <c r="I12" s="39"/>
      <c r="J12" s="60"/>
    </row>
    <row r="13" spans="2:11" ht="67" customHeight="1">
      <c r="B13" s="16" t="s">
        <v>95</v>
      </c>
      <c r="C13" s="39"/>
      <c r="D13" s="39"/>
      <c r="E13" s="39"/>
      <c r="F13" s="39"/>
      <c r="G13" s="39"/>
      <c r="H13" s="39"/>
      <c r="I13" s="39"/>
      <c r="J13" s="60"/>
    </row>
    <row r="14" spans="2:11" ht="67" customHeight="1">
      <c r="B14" s="16" t="s">
        <v>95</v>
      </c>
      <c r="C14" s="39"/>
      <c r="D14" s="39"/>
      <c r="E14" s="39"/>
      <c r="F14" s="39"/>
      <c r="G14" s="39"/>
      <c r="H14" s="39"/>
      <c r="I14" s="39"/>
      <c r="J14" s="60"/>
    </row>
    <row r="15" spans="2:11" ht="67" customHeight="1">
      <c r="B15" s="16" t="s">
        <v>95</v>
      </c>
      <c r="C15" s="39"/>
      <c r="D15" s="39"/>
      <c r="E15" s="39"/>
      <c r="F15" s="39"/>
      <c r="G15" s="39"/>
      <c r="H15" s="39"/>
      <c r="I15" s="39"/>
      <c r="J15" s="60"/>
    </row>
    <row r="16" spans="2:11" ht="18.5">
      <c r="B16" s="51" t="s">
        <v>231</v>
      </c>
      <c r="C16" s="52">
        <f t="shared" ref="C16:I16" si="0">SUM(C3:C15)</f>
        <v>0</v>
      </c>
      <c r="D16" s="52">
        <f t="shared" si="0"/>
        <v>0</v>
      </c>
      <c r="E16" s="52">
        <f t="shared" si="0"/>
        <v>0</v>
      </c>
      <c r="F16" s="52">
        <f t="shared" si="0"/>
        <v>180</v>
      </c>
      <c r="G16" s="52">
        <f t="shared" si="0"/>
        <v>0</v>
      </c>
      <c r="H16" s="52">
        <f t="shared" si="0"/>
        <v>0</v>
      </c>
      <c r="I16" s="52">
        <f t="shared" si="0"/>
        <v>0</v>
      </c>
    </row>
  </sheetData>
  <sheetProtection algorithmName="SHA-512" hashValue="PhkzxIhRU/NEqiY5KBZ8osucQOINuCuNxmLGQ4G6ElnHL0RVLYel/mPUcfz2JPa3W0fO6h3g2OZ30cklvyYhDA==" saltValue="Iw59MJ83Pv69NpgKR5baOg==" spinCount="100000" sheet="1" objects="1" scenarios="1"/>
  <conditionalFormatting sqref="C3:J15">
    <cfRule type="notContainsBlanks" dxfId="55" priority="1">
      <formula>LEN(TRIM(C3))&gt;0</formula>
    </cfRule>
  </conditionalFormatting>
  <dataValidations count="1">
    <dataValidation type="whole" operator="greaterThan" allowBlank="1" showInputMessage="1" showErrorMessage="1" sqref="C3:I15" xr:uid="{E2094605-44BD-C24A-B860-DF8CFA448BC3}">
      <formula1>0</formula1>
    </dataValidation>
  </dataValidation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4EA0C-0E40-6A44-9C2A-C32E79078142}">
  <sheetPr>
    <tabColor rgb="FF4F81BD"/>
  </sheetPr>
  <dimension ref="B2:K33"/>
  <sheetViews>
    <sheetView showGridLines="0" topLeftCell="A17" zoomScale="90" zoomScaleNormal="90" workbookViewId="0">
      <selection activeCell="H15" sqref="H15"/>
    </sheetView>
  </sheetViews>
  <sheetFormatPr defaultColWidth="10.83203125" defaultRowHeight="15.5"/>
  <cols>
    <col min="1" max="1" width="5.33203125" customWidth="1"/>
    <col min="2" max="2" width="27" customWidth="1"/>
    <col min="3" max="3" width="53.08203125" customWidth="1"/>
    <col min="4" max="4" width="93.58203125" customWidth="1"/>
  </cols>
  <sheetData>
    <row r="2" spans="2:11" ht="47.15" customHeight="1">
      <c r="B2" s="89" t="s">
        <v>232</v>
      </c>
      <c r="C2" s="89"/>
      <c r="D2" s="89"/>
      <c r="E2" s="89"/>
      <c r="F2" s="89"/>
      <c r="G2" s="89"/>
      <c r="H2" s="89"/>
      <c r="I2" s="89"/>
      <c r="J2" s="89"/>
      <c r="K2" s="89"/>
    </row>
    <row r="3" spans="2:11" ht="47.15" customHeight="1">
      <c r="B3" s="89"/>
      <c r="C3" s="89"/>
      <c r="D3" s="89"/>
      <c r="E3" s="89"/>
      <c r="F3" s="89"/>
      <c r="G3" s="89"/>
      <c r="H3" s="89"/>
      <c r="I3" s="89"/>
      <c r="J3" s="89"/>
      <c r="K3" s="89"/>
    </row>
    <row r="4" spans="2:11" ht="47.15" customHeight="1">
      <c r="B4" s="89"/>
      <c r="C4" s="89"/>
      <c r="D4" s="89"/>
      <c r="E4" s="89"/>
      <c r="F4" s="89"/>
      <c r="G4" s="89"/>
      <c r="H4" s="89"/>
      <c r="I4" s="89"/>
      <c r="J4" s="89"/>
      <c r="K4" s="89"/>
    </row>
    <row r="5" spans="2:11" ht="47.15" customHeight="1">
      <c r="B5" s="89"/>
      <c r="C5" s="89"/>
      <c r="D5" s="89"/>
      <c r="E5" s="89"/>
      <c r="F5" s="89"/>
      <c r="G5" s="89"/>
      <c r="H5" s="89"/>
      <c r="I5" s="89"/>
      <c r="J5" s="89"/>
      <c r="K5" s="89"/>
    </row>
    <row r="7" spans="2:11" s="77" customFormat="1">
      <c r="B7" s="77" t="s">
        <v>233</v>
      </c>
      <c r="C7" s="77" t="s">
        <v>234</v>
      </c>
      <c r="D7" s="77" t="s">
        <v>235</v>
      </c>
    </row>
    <row r="8" spans="2:11" ht="31">
      <c r="B8" s="78" t="s">
        <v>236</v>
      </c>
      <c r="C8" s="78" t="s">
        <v>237</v>
      </c>
      <c r="D8" s="79" t="s">
        <v>238</v>
      </c>
    </row>
    <row r="9" spans="2:11">
      <c r="B9" s="78" t="s">
        <v>239</v>
      </c>
      <c r="C9" s="78" t="s">
        <v>240</v>
      </c>
      <c r="D9" s="79" t="s">
        <v>241</v>
      </c>
    </row>
    <row r="10" spans="2:11">
      <c r="B10" s="78" t="s">
        <v>242</v>
      </c>
      <c r="C10" s="78" t="s">
        <v>243</v>
      </c>
      <c r="D10" s="79" t="s">
        <v>244</v>
      </c>
    </row>
    <row r="11" spans="2:11">
      <c r="B11" s="78" t="s">
        <v>245</v>
      </c>
      <c r="C11" s="78" t="s">
        <v>246</v>
      </c>
      <c r="D11" s="79" t="s">
        <v>247</v>
      </c>
    </row>
    <row r="12" spans="2:11" ht="31">
      <c r="B12" s="78" t="s">
        <v>248</v>
      </c>
      <c r="C12" s="78" t="s">
        <v>249</v>
      </c>
      <c r="D12" s="79" t="s">
        <v>250</v>
      </c>
    </row>
    <row r="13" spans="2:11" ht="62">
      <c r="B13" s="78" t="s">
        <v>251</v>
      </c>
      <c r="C13" s="78" t="s">
        <v>252</v>
      </c>
      <c r="D13" s="79" t="s">
        <v>253</v>
      </c>
    </row>
    <row r="14" spans="2:11">
      <c r="B14" s="78" t="s">
        <v>254</v>
      </c>
      <c r="C14" s="78" t="s">
        <v>255</v>
      </c>
      <c r="D14" s="79" t="s">
        <v>256</v>
      </c>
    </row>
    <row r="15" spans="2:11" ht="31">
      <c r="B15" s="78" t="s">
        <v>257</v>
      </c>
      <c r="C15" s="78" t="s">
        <v>255</v>
      </c>
      <c r="D15" s="79" t="s">
        <v>258</v>
      </c>
    </row>
    <row r="16" spans="2:11" ht="46.5">
      <c r="B16" s="78" t="s">
        <v>259</v>
      </c>
      <c r="C16" s="78" t="s">
        <v>82</v>
      </c>
      <c r="D16" s="79" t="s">
        <v>260</v>
      </c>
    </row>
    <row r="17" spans="2:4">
      <c r="B17" s="78" t="s">
        <v>261</v>
      </c>
      <c r="C17" s="78" t="s">
        <v>262</v>
      </c>
      <c r="D17" s="79" t="s">
        <v>263</v>
      </c>
    </row>
    <row r="18" spans="2:4">
      <c r="B18" s="78" t="s">
        <v>264</v>
      </c>
      <c r="C18" s="78" t="s">
        <v>265</v>
      </c>
      <c r="D18" s="79" t="s">
        <v>266</v>
      </c>
    </row>
    <row r="19" spans="2:4" ht="46.5">
      <c r="B19" s="78" t="s">
        <v>267</v>
      </c>
      <c r="C19" s="78" t="s">
        <v>268</v>
      </c>
      <c r="D19" s="79" t="s">
        <v>269</v>
      </c>
    </row>
    <row r="20" spans="2:4">
      <c r="B20" s="78" t="s">
        <v>270</v>
      </c>
      <c r="C20" s="78" t="s">
        <v>268</v>
      </c>
      <c r="D20" s="79" t="s">
        <v>271</v>
      </c>
    </row>
    <row r="21" spans="2:4">
      <c r="B21" s="78" t="s">
        <v>272</v>
      </c>
      <c r="C21" s="78" t="s">
        <v>273</v>
      </c>
      <c r="D21" s="79" t="s">
        <v>274</v>
      </c>
    </row>
    <row r="22" spans="2:4" ht="31">
      <c r="B22" s="78" t="s">
        <v>275</v>
      </c>
      <c r="C22" s="78" t="s">
        <v>276</v>
      </c>
      <c r="D22" s="79" t="s">
        <v>277</v>
      </c>
    </row>
    <row r="23" spans="2:4" ht="31">
      <c r="B23" s="78" t="s">
        <v>278</v>
      </c>
      <c r="C23" s="78" t="s">
        <v>279</v>
      </c>
      <c r="D23" s="79" t="s">
        <v>280</v>
      </c>
    </row>
    <row r="24" spans="2:4">
      <c r="B24" s="78" t="s">
        <v>281</v>
      </c>
      <c r="C24" s="78" t="s">
        <v>279</v>
      </c>
      <c r="D24" s="79" t="s">
        <v>282</v>
      </c>
    </row>
    <row r="25" spans="2:4" ht="46.5">
      <c r="B25" s="78" t="s">
        <v>283</v>
      </c>
      <c r="C25" s="78" t="s">
        <v>284</v>
      </c>
      <c r="D25" s="79" t="s">
        <v>285</v>
      </c>
    </row>
    <row r="26" spans="2:4" ht="31">
      <c r="B26" s="78" t="s">
        <v>286</v>
      </c>
      <c r="C26" s="78" t="s">
        <v>287</v>
      </c>
      <c r="D26" s="79" t="s">
        <v>288</v>
      </c>
    </row>
    <row r="27" spans="2:4" ht="31">
      <c r="B27" s="78" t="s">
        <v>289</v>
      </c>
      <c r="C27" s="78" t="s">
        <v>290</v>
      </c>
      <c r="D27" s="79" t="s">
        <v>291</v>
      </c>
    </row>
    <row r="28" spans="2:4">
      <c r="B28" s="78"/>
      <c r="C28" s="78"/>
      <c r="D28" s="79"/>
    </row>
    <row r="29" spans="2:4">
      <c r="B29" s="78"/>
      <c r="C29" s="78"/>
      <c r="D29" s="79"/>
    </row>
    <row r="30" spans="2:4">
      <c r="B30" s="78"/>
      <c r="C30" s="78"/>
      <c r="D30" s="79"/>
    </row>
    <row r="31" spans="2:4">
      <c r="B31" s="78"/>
      <c r="C31" s="78"/>
      <c r="D31" s="79"/>
    </row>
    <row r="32" spans="2:4">
      <c r="B32" s="78"/>
      <c r="C32" s="78"/>
      <c r="D32" s="79"/>
    </row>
    <row r="33" spans="2:4">
      <c r="B33" s="78"/>
      <c r="C33" s="78"/>
      <c r="D33" s="79"/>
    </row>
  </sheetData>
  <mergeCells count="1">
    <mergeCell ref="B2:K5"/>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C0E82-C9FC-884C-B846-A111D80C5D4B}">
  <sheetPr>
    <tabColor rgb="FF4F81BD"/>
  </sheetPr>
  <dimension ref="A1:W18"/>
  <sheetViews>
    <sheetView topLeftCell="A8" zoomScale="60" zoomScaleNormal="60" workbookViewId="0">
      <selection activeCell="A22" sqref="A22"/>
    </sheetView>
  </sheetViews>
  <sheetFormatPr defaultColWidth="11" defaultRowHeight="15.5"/>
  <cols>
    <col min="1" max="1" width="4.08203125" style="1" customWidth="1"/>
    <col min="2" max="2" width="51.5" style="1" customWidth="1"/>
    <col min="3" max="22" width="29.08203125" style="1" customWidth="1"/>
    <col min="23" max="23" width="57.83203125" style="1" customWidth="1"/>
  </cols>
  <sheetData>
    <row r="1" spans="2:23" ht="60" customHeight="1">
      <c r="B1" s="34" t="s">
        <v>292</v>
      </c>
    </row>
    <row r="2" spans="2:23" ht="60" customHeight="1">
      <c r="B2" s="65" t="s">
        <v>293</v>
      </c>
      <c r="C2" s="90" t="s">
        <v>294</v>
      </c>
      <c r="D2" s="90"/>
      <c r="E2" s="90"/>
      <c r="F2" s="90"/>
      <c r="G2" s="90" t="s">
        <v>295</v>
      </c>
      <c r="H2" s="90"/>
      <c r="I2" s="90"/>
      <c r="J2" s="90"/>
      <c r="K2" s="90"/>
      <c r="L2" s="90" t="s">
        <v>296</v>
      </c>
      <c r="M2" s="90"/>
      <c r="N2" s="90"/>
      <c r="O2" s="90"/>
      <c r="P2" s="90"/>
      <c r="Q2" s="90"/>
      <c r="R2" s="90"/>
      <c r="S2" s="90" t="s">
        <v>297</v>
      </c>
      <c r="T2" s="90"/>
      <c r="U2" s="90"/>
      <c r="V2" s="90"/>
    </row>
    <row r="3" spans="2:23" ht="60" customHeight="1">
      <c r="B3" s="16" t="s">
        <v>298</v>
      </c>
      <c r="C3" s="66" t="s">
        <v>299</v>
      </c>
      <c r="D3" s="66" t="s">
        <v>300</v>
      </c>
      <c r="E3" s="66" t="s">
        <v>301</v>
      </c>
      <c r="F3" s="66" t="s">
        <v>302</v>
      </c>
      <c r="G3" s="66" t="s">
        <v>303</v>
      </c>
      <c r="H3" s="66" t="s">
        <v>304</v>
      </c>
      <c r="I3" s="66" t="s">
        <v>305</v>
      </c>
      <c r="J3" s="66" t="s">
        <v>306</v>
      </c>
      <c r="K3" s="66" t="s">
        <v>307</v>
      </c>
      <c r="L3" s="66" t="s">
        <v>308</v>
      </c>
      <c r="M3" s="67" t="s">
        <v>309</v>
      </c>
      <c r="N3" s="66" t="s">
        <v>310</v>
      </c>
      <c r="O3" s="66" t="s">
        <v>311</v>
      </c>
      <c r="P3" s="66" t="s">
        <v>312</v>
      </c>
      <c r="Q3" s="66" t="s">
        <v>313</v>
      </c>
      <c r="R3" s="66" t="s">
        <v>314</v>
      </c>
      <c r="S3" s="66" t="s">
        <v>315</v>
      </c>
      <c r="T3" s="66" t="s">
        <v>316</v>
      </c>
      <c r="U3" s="66" t="s">
        <v>317</v>
      </c>
      <c r="V3" s="66" t="s">
        <v>318</v>
      </c>
      <c r="W3" s="16" t="s">
        <v>217</v>
      </c>
    </row>
    <row r="4" spans="2:23" ht="60" customHeight="1">
      <c r="B4" s="16" t="s">
        <v>319</v>
      </c>
      <c r="C4" s="39" t="s">
        <v>45</v>
      </c>
      <c r="D4" s="39" t="s">
        <v>45</v>
      </c>
      <c r="E4" s="39" t="s">
        <v>45</v>
      </c>
      <c r="F4" s="39" t="s">
        <v>45</v>
      </c>
      <c r="G4" s="39" t="s">
        <v>45</v>
      </c>
      <c r="H4" s="39" t="s">
        <v>45</v>
      </c>
      <c r="I4" s="39" t="s">
        <v>45</v>
      </c>
      <c r="J4" s="39" t="s">
        <v>45</v>
      </c>
      <c r="K4" s="39" t="s">
        <v>45</v>
      </c>
      <c r="L4" s="39" t="s">
        <v>146</v>
      </c>
      <c r="M4" s="39" t="s">
        <v>146</v>
      </c>
      <c r="N4" s="39" t="s">
        <v>146</v>
      </c>
      <c r="O4" s="39" t="s">
        <v>146</v>
      </c>
      <c r="P4" s="39" t="s">
        <v>146</v>
      </c>
      <c r="Q4" s="39" t="s">
        <v>146</v>
      </c>
      <c r="R4" s="39" t="s">
        <v>146</v>
      </c>
      <c r="S4" s="39" t="s">
        <v>45</v>
      </c>
      <c r="T4" s="39" t="s">
        <v>45</v>
      </c>
      <c r="U4" s="39" t="s">
        <v>146</v>
      </c>
      <c r="V4" s="39" t="s">
        <v>146</v>
      </c>
      <c r="W4" s="60"/>
    </row>
    <row r="5" spans="2:23" ht="60" customHeight="1">
      <c r="B5" s="36" t="s">
        <v>320</v>
      </c>
      <c r="C5" s="39" t="s">
        <v>321</v>
      </c>
      <c r="D5" s="39" t="s">
        <v>321</v>
      </c>
      <c r="E5" s="39" t="s">
        <v>321</v>
      </c>
      <c r="F5" s="39" t="s">
        <v>321</v>
      </c>
      <c r="G5" s="39" t="s">
        <v>321</v>
      </c>
      <c r="H5" s="39" t="s">
        <v>190</v>
      </c>
      <c r="I5" s="39" t="s">
        <v>321</v>
      </c>
      <c r="J5" s="39" t="s">
        <v>321</v>
      </c>
      <c r="K5" s="39" t="s">
        <v>321</v>
      </c>
      <c r="L5" s="39" t="s">
        <v>135</v>
      </c>
      <c r="M5" s="39" t="s">
        <v>135</v>
      </c>
      <c r="N5" s="39" t="s">
        <v>135</v>
      </c>
      <c r="O5" s="39" t="s">
        <v>135</v>
      </c>
      <c r="P5" s="39" t="s">
        <v>135</v>
      </c>
      <c r="Q5" s="39" t="s">
        <v>135</v>
      </c>
      <c r="R5" s="39" t="s">
        <v>135</v>
      </c>
      <c r="S5" s="39" t="s">
        <v>135</v>
      </c>
      <c r="T5" s="39" t="s">
        <v>135</v>
      </c>
      <c r="U5" s="39" t="s">
        <v>135</v>
      </c>
      <c r="V5" s="39" t="s">
        <v>135</v>
      </c>
      <c r="W5" s="60"/>
    </row>
    <row r="6" spans="2:23" ht="60" customHeight="1">
      <c r="B6" s="36" t="s">
        <v>322</v>
      </c>
      <c r="C6" s="39" t="s">
        <v>146</v>
      </c>
      <c r="D6" s="39" t="s">
        <v>146</v>
      </c>
      <c r="E6" s="39" t="s">
        <v>146</v>
      </c>
      <c r="F6" s="39" t="s">
        <v>146</v>
      </c>
      <c r="G6" s="39" t="s">
        <v>146</v>
      </c>
      <c r="H6" s="39" t="s">
        <v>146</v>
      </c>
      <c r="I6" s="39" t="s">
        <v>146</v>
      </c>
      <c r="J6" s="39" t="s">
        <v>146</v>
      </c>
      <c r="K6" s="39" t="s">
        <v>146</v>
      </c>
      <c r="L6" s="39" t="s">
        <v>135</v>
      </c>
      <c r="M6" s="39" t="s">
        <v>135</v>
      </c>
      <c r="N6" s="39" t="s">
        <v>135</v>
      </c>
      <c r="O6" s="39" t="s">
        <v>135</v>
      </c>
      <c r="P6" s="39" t="s">
        <v>135</v>
      </c>
      <c r="Q6" s="39" t="s">
        <v>135</v>
      </c>
      <c r="R6" s="39" t="s">
        <v>135</v>
      </c>
      <c r="S6" s="39" t="s">
        <v>135</v>
      </c>
      <c r="T6" s="39" t="s">
        <v>135</v>
      </c>
      <c r="U6" s="39" t="s">
        <v>135</v>
      </c>
      <c r="V6" s="39" t="s">
        <v>135</v>
      </c>
      <c r="W6" s="60"/>
    </row>
    <row r="7" spans="2:23" ht="60" customHeight="1">
      <c r="B7" s="36" t="s">
        <v>323</v>
      </c>
      <c r="C7" s="39" t="s">
        <v>324</v>
      </c>
      <c r="D7" s="39" t="s">
        <v>325</v>
      </c>
      <c r="E7" s="39" t="s">
        <v>326</v>
      </c>
      <c r="F7" s="39" t="s">
        <v>327</v>
      </c>
      <c r="G7" s="39" t="s">
        <v>328</v>
      </c>
      <c r="H7" s="39" t="s">
        <v>329</v>
      </c>
      <c r="I7" s="39" t="s">
        <v>330</v>
      </c>
      <c r="J7" s="39" t="s">
        <v>331</v>
      </c>
      <c r="K7" s="39" t="s">
        <v>332</v>
      </c>
      <c r="L7" s="39" t="s">
        <v>135</v>
      </c>
      <c r="M7" s="39" t="s">
        <v>135</v>
      </c>
      <c r="N7" s="39" t="s">
        <v>135</v>
      </c>
      <c r="O7" s="39" t="s">
        <v>135</v>
      </c>
      <c r="P7" s="39" t="s">
        <v>135</v>
      </c>
      <c r="Q7" s="39" t="s">
        <v>135</v>
      </c>
      <c r="R7" s="39" t="s">
        <v>135</v>
      </c>
      <c r="S7" s="39" t="s">
        <v>135</v>
      </c>
      <c r="T7" s="39" t="s">
        <v>135</v>
      </c>
      <c r="U7" s="39" t="s">
        <v>135</v>
      </c>
      <c r="V7" s="39" t="s">
        <v>135</v>
      </c>
      <c r="W7" s="60"/>
    </row>
    <row r="8" spans="2:23" ht="60" customHeight="1">
      <c r="B8" s="36" t="s">
        <v>333</v>
      </c>
      <c r="C8" s="39">
        <v>50</v>
      </c>
      <c r="D8" s="39">
        <v>20</v>
      </c>
      <c r="E8" s="39">
        <v>50</v>
      </c>
      <c r="F8" s="39">
        <v>10</v>
      </c>
      <c r="G8" s="39">
        <v>100</v>
      </c>
      <c r="H8" s="39">
        <v>4</v>
      </c>
      <c r="I8" s="39">
        <v>10</v>
      </c>
      <c r="J8" s="39">
        <v>15</v>
      </c>
      <c r="K8" s="39">
        <v>15</v>
      </c>
      <c r="L8" s="39" t="s">
        <v>135</v>
      </c>
      <c r="M8" s="39" t="s">
        <v>135</v>
      </c>
      <c r="N8" s="39" t="s">
        <v>135</v>
      </c>
      <c r="O8" s="39" t="s">
        <v>135</v>
      </c>
      <c r="P8" s="39" t="s">
        <v>135</v>
      </c>
      <c r="Q8" s="39" t="s">
        <v>135</v>
      </c>
      <c r="R8" s="39" t="s">
        <v>135</v>
      </c>
      <c r="S8" s="39" t="s">
        <v>135</v>
      </c>
      <c r="T8" s="39" t="s">
        <v>135</v>
      </c>
      <c r="U8" s="39" t="s">
        <v>135</v>
      </c>
      <c r="V8" s="39" t="s">
        <v>135</v>
      </c>
      <c r="W8" s="60"/>
    </row>
    <row r="9" spans="2:23" ht="60" customHeight="1">
      <c r="B9" s="36" t="s">
        <v>334</v>
      </c>
      <c r="C9" s="39"/>
      <c r="D9" s="39"/>
      <c r="E9" s="39"/>
      <c r="F9" s="39"/>
      <c r="G9" s="39"/>
      <c r="H9" s="39"/>
      <c r="I9" s="39"/>
      <c r="J9" s="39"/>
      <c r="K9" s="39"/>
      <c r="L9" s="39"/>
      <c r="M9" s="39"/>
      <c r="N9" s="39"/>
      <c r="O9" s="39"/>
      <c r="P9" s="39"/>
      <c r="Q9" s="39"/>
      <c r="R9" s="39"/>
      <c r="S9" s="39"/>
      <c r="T9" s="39"/>
      <c r="U9" s="39"/>
      <c r="V9" s="39"/>
      <c r="W9" s="60"/>
    </row>
    <row r="10" spans="2:23" ht="60" customHeight="1">
      <c r="B10" s="36" t="s">
        <v>335</v>
      </c>
      <c r="C10" s="39"/>
      <c r="D10" s="39"/>
      <c r="E10" s="39"/>
      <c r="F10" s="39"/>
      <c r="G10" s="39"/>
      <c r="H10" s="39"/>
      <c r="I10" s="39"/>
      <c r="J10" s="39"/>
      <c r="K10" s="39"/>
      <c r="L10" s="39"/>
      <c r="M10" s="39"/>
      <c r="N10" s="39"/>
      <c r="O10" s="39"/>
      <c r="P10" s="39"/>
      <c r="Q10" s="39"/>
      <c r="R10" s="39"/>
      <c r="S10" s="39"/>
      <c r="T10" s="39"/>
      <c r="U10" s="39"/>
      <c r="V10" s="39"/>
      <c r="W10" s="60"/>
    </row>
    <row r="11" spans="2:23" ht="60" customHeight="1">
      <c r="B11" s="36" t="s">
        <v>336</v>
      </c>
      <c r="C11" s="39" t="s">
        <v>337</v>
      </c>
      <c r="D11" s="39" t="s">
        <v>338</v>
      </c>
      <c r="E11" s="39" t="s">
        <v>339</v>
      </c>
      <c r="F11" s="39" t="s">
        <v>340</v>
      </c>
      <c r="G11" s="68" t="s">
        <v>341</v>
      </c>
      <c r="H11" s="39" t="s">
        <v>341</v>
      </c>
      <c r="I11" s="39" t="s">
        <v>342</v>
      </c>
      <c r="J11" s="39" t="s">
        <v>337</v>
      </c>
      <c r="K11" s="39" t="s">
        <v>337</v>
      </c>
      <c r="L11" s="39"/>
      <c r="M11" s="39"/>
      <c r="N11" s="39"/>
      <c r="O11" s="39"/>
      <c r="P11" s="39"/>
      <c r="Q11" s="39"/>
      <c r="R11" s="39"/>
      <c r="S11" s="39"/>
      <c r="T11" s="39"/>
      <c r="U11" s="39"/>
      <c r="V11" s="39"/>
      <c r="W11" s="60"/>
    </row>
    <row r="12" spans="2:23" ht="60" customHeight="1">
      <c r="B12" s="16" t="s">
        <v>343</v>
      </c>
      <c r="C12" s="39" t="s">
        <v>344</v>
      </c>
      <c r="D12" s="39" t="s">
        <v>344</v>
      </c>
      <c r="E12" s="39" t="s">
        <v>344</v>
      </c>
      <c r="F12" s="39" t="s">
        <v>345</v>
      </c>
      <c r="G12" s="39" t="s">
        <v>346</v>
      </c>
      <c r="H12" s="39" t="s">
        <v>347</v>
      </c>
      <c r="I12" s="39" t="s">
        <v>348</v>
      </c>
      <c r="J12" s="39" t="s">
        <v>349</v>
      </c>
      <c r="K12" s="39" t="s">
        <v>349</v>
      </c>
      <c r="L12" s="39"/>
      <c r="M12" s="39"/>
      <c r="N12" s="39"/>
      <c r="O12" s="39"/>
      <c r="P12" s="39"/>
      <c r="Q12" s="39"/>
      <c r="R12" s="39"/>
      <c r="S12" s="39"/>
      <c r="T12" s="39"/>
      <c r="U12" s="39"/>
      <c r="V12" s="39"/>
      <c r="W12" s="60"/>
    </row>
    <row r="13" spans="2:23" ht="60" customHeight="1">
      <c r="B13" s="36" t="s">
        <v>350</v>
      </c>
      <c r="C13" s="39" t="s">
        <v>351</v>
      </c>
      <c r="D13" s="39" t="s">
        <v>352</v>
      </c>
      <c r="E13" s="39" t="s">
        <v>353</v>
      </c>
      <c r="F13" s="39" t="s">
        <v>354</v>
      </c>
      <c r="G13" s="39" t="s">
        <v>355</v>
      </c>
      <c r="H13" s="39" t="s">
        <v>356</v>
      </c>
      <c r="I13" s="39" t="s">
        <v>357</v>
      </c>
      <c r="J13" s="39" t="s">
        <v>358</v>
      </c>
      <c r="K13" s="39" t="s">
        <v>359</v>
      </c>
      <c r="L13" s="39"/>
      <c r="M13" s="39"/>
      <c r="N13" s="39"/>
      <c r="O13" s="39"/>
      <c r="P13" s="39"/>
      <c r="Q13" s="39"/>
      <c r="R13" s="39"/>
      <c r="S13" s="39"/>
      <c r="T13" s="39"/>
      <c r="U13" s="39"/>
      <c r="V13" s="39"/>
      <c r="W13" s="60"/>
    </row>
    <row r="14" spans="2:23" ht="60" customHeight="1">
      <c r="B14" s="16" t="s">
        <v>360</v>
      </c>
      <c r="C14" s="39"/>
      <c r="D14" s="39"/>
      <c r="E14" s="39"/>
      <c r="F14" s="39"/>
      <c r="G14" s="39"/>
      <c r="H14" s="39"/>
      <c r="I14" s="39"/>
      <c r="J14" s="39"/>
      <c r="K14" s="39"/>
      <c r="L14" s="39"/>
      <c r="M14" s="39"/>
      <c r="N14" s="39"/>
      <c r="O14" s="39"/>
      <c r="P14" s="39"/>
      <c r="Q14" s="39"/>
      <c r="R14" s="39"/>
      <c r="S14" s="39"/>
      <c r="T14" s="39"/>
      <c r="U14" s="39"/>
      <c r="V14" s="39"/>
      <c r="W14" s="60"/>
    </row>
    <row r="15" spans="2:23" ht="60" customHeight="1">
      <c r="B15" s="16" t="s">
        <v>361</v>
      </c>
      <c r="C15" s="39"/>
      <c r="D15" s="39"/>
      <c r="E15" s="39"/>
      <c r="F15" s="39"/>
      <c r="G15" s="39"/>
      <c r="H15" s="39"/>
      <c r="I15" s="39"/>
      <c r="J15" s="39"/>
      <c r="K15" s="39"/>
      <c r="L15" s="39"/>
      <c r="M15" s="39"/>
      <c r="N15" s="39"/>
      <c r="O15" s="39"/>
      <c r="P15" s="39"/>
      <c r="Q15" s="39"/>
      <c r="R15" s="39"/>
      <c r="S15" s="39"/>
      <c r="T15" s="39"/>
      <c r="U15" s="39"/>
      <c r="V15" s="39"/>
      <c r="W15" s="60"/>
    </row>
    <row r="16" spans="2:23" ht="60" customHeight="1">
      <c r="B16" s="36" t="s">
        <v>362</v>
      </c>
      <c r="C16" s="39" t="s">
        <v>363</v>
      </c>
      <c r="D16" s="39" t="s">
        <v>364</v>
      </c>
      <c r="E16" s="39" t="s">
        <v>365</v>
      </c>
      <c r="F16" s="39" t="s">
        <v>366</v>
      </c>
      <c r="G16" s="39" t="s">
        <v>364</v>
      </c>
      <c r="H16" s="39"/>
      <c r="I16" s="39" t="s">
        <v>135</v>
      </c>
      <c r="J16" s="39" t="s">
        <v>135</v>
      </c>
      <c r="K16" s="39" t="s">
        <v>135</v>
      </c>
      <c r="L16" s="39"/>
      <c r="M16" s="39"/>
      <c r="N16" s="39"/>
      <c r="O16" s="39"/>
      <c r="P16" s="39"/>
      <c r="Q16" s="39"/>
      <c r="R16" s="39"/>
      <c r="S16" s="39"/>
      <c r="T16" s="39"/>
      <c r="U16" s="39"/>
      <c r="V16" s="39"/>
      <c r="W16" s="60"/>
    </row>
    <row r="17" spans="2:23" ht="60" customHeight="1">
      <c r="B17" s="16" t="s">
        <v>367</v>
      </c>
      <c r="C17" s="39"/>
      <c r="D17" s="39"/>
      <c r="E17" s="39"/>
      <c r="F17" s="39"/>
      <c r="G17" s="39"/>
      <c r="H17" s="39"/>
      <c r="I17" s="39"/>
      <c r="J17" s="39"/>
      <c r="K17" s="39"/>
      <c r="L17" s="39"/>
      <c r="M17" s="39"/>
      <c r="N17" s="39"/>
      <c r="O17" s="39"/>
      <c r="P17" s="39"/>
      <c r="Q17" s="39"/>
      <c r="R17" s="39"/>
      <c r="S17" s="39"/>
      <c r="T17" s="39"/>
      <c r="U17" s="39"/>
      <c r="V17" s="39"/>
      <c r="W17" s="60"/>
    </row>
    <row r="18" spans="2:23" ht="60" customHeight="1">
      <c r="B18" s="16" t="s">
        <v>368</v>
      </c>
      <c r="C18" s="39"/>
      <c r="D18" s="39"/>
      <c r="E18" s="39"/>
      <c r="F18" s="39"/>
      <c r="G18" s="39"/>
      <c r="H18" s="39"/>
      <c r="I18" s="39"/>
      <c r="J18" s="39"/>
      <c r="K18" s="39"/>
      <c r="L18" s="39"/>
      <c r="M18" s="39"/>
      <c r="N18" s="39"/>
      <c r="O18" s="39"/>
      <c r="P18" s="39"/>
      <c r="Q18" s="39"/>
      <c r="R18" s="39"/>
      <c r="S18" s="39"/>
      <c r="T18" s="39"/>
      <c r="U18" s="39"/>
      <c r="V18" s="39"/>
      <c r="W18" s="60"/>
    </row>
  </sheetData>
  <sheetProtection algorithmName="SHA-512" hashValue="u54zsgaFIUZLRboCn2nIO0kK2iKzR/bqsZfa3Z7j4sFBPsTIe6/OwUtJQzvi0sDIBKm5z4JU52amwOIijAjheQ==" saltValue="Uo14KH9C0o4WWmza+VqcUg==" spinCount="100000" sheet="1" objects="1" scenarios="1"/>
  <mergeCells count="4">
    <mergeCell ref="C2:F2"/>
    <mergeCell ref="S2:V2"/>
    <mergeCell ref="G2:K2"/>
    <mergeCell ref="L2:R2"/>
  </mergeCells>
  <conditionalFormatting sqref="C4:W18">
    <cfRule type="notContainsBlanks" dxfId="54" priority="4" stopIfTrue="1">
      <formula>LEN(TRIM(C4))&gt;0</formula>
    </cfRule>
  </conditionalFormatting>
  <dataValidations count="3">
    <dataValidation type="list" allowBlank="1" showInputMessage="1" showErrorMessage="1" sqref="C4:V4 C6:V6" xr:uid="{3C94C46B-AE0A-7546-AE4A-70564BCE0467}">
      <formula1>"Yes,No"</formula1>
    </dataValidation>
    <dataValidation type="whole" operator="greaterThan" allowBlank="1" showInputMessage="1" showErrorMessage="1" sqref="C8:V8" xr:uid="{0CDD62B7-BEBF-0648-A0A4-2C6D168439F0}">
      <formula1>0</formula1>
    </dataValidation>
    <dataValidation type="list" allowBlank="1" showInputMessage="1" showErrorMessage="1" sqref="C5:V5" xr:uid="{E9005C81-8F3A-004A-AD31-E0B88249D0D7}">
      <formula1>"High,Medium,Low,N/A"</formula1>
    </dataValidation>
  </dataValidations>
  <pageMargins left="0.7" right="0.7" top="0.75" bottom="0.75" header="0.3" footer="0.3"/>
  <pageSetup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35BEE-ECCF-464E-B3BE-DA7F33AA34D2}">
  <sheetPr>
    <tabColor rgb="FF4F81BD"/>
  </sheetPr>
  <dimension ref="B3:K24"/>
  <sheetViews>
    <sheetView showGridLines="0" topLeftCell="A8" workbookViewId="0">
      <selection activeCell="D27" sqref="D27"/>
    </sheetView>
  </sheetViews>
  <sheetFormatPr defaultColWidth="10.83203125" defaultRowHeight="15.5"/>
  <cols>
    <col min="1" max="1" width="5.5" customWidth="1"/>
    <col min="2" max="2" width="23.58203125" customWidth="1"/>
    <col min="3" max="3" width="24.33203125" customWidth="1"/>
    <col min="4" max="4" width="126.83203125" customWidth="1"/>
  </cols>
  <sheetData>
    <row r="3" spans="2:11" ht="34" customHeight="1">
      <c r="B3" s="89" t="s">
        <v>369</v>
      </c>
      <c r="C3" s="89"/>
      <c r="D3" s="89"/>
      <c r="E3" s="89"/>
      <c r="F3" s="89"/>
      <c r="G3" s="89"/>
      <c r="H3" s="89"/>
      <c r="I3" s="89"/>
      <c r="J3" s="89"/>
      <c r="K3" s="89"/>
    </row>
    <row r="4" spans="2:11" ht="34" customHeight="1">
      <c r="B4" s="89"/>
      <c r="C4" s="89"/>
      <c r="D4" s="89"/>
      <c r="E4" s="89"/>
      <c r="F4" s="89"/>
      <c r="G4" s="89"/>
      <c r="H4" s="89"/>
      <c r="I4" s="89"/>
      <c r="J4" s="89"/>
      <c r="K4" s="89"/>
    </row>
    <row r="5" spans="2:11" ht="34" customHeight="1">
      <c r="B5" s="89"/>
      <c r="C5" s="89"/>
      <c r="D5" s="89"/>
      <c r="E5" s="89"/>
      <c r="F5" s="89"/>
      <c r="G5" s="89"/>
      <c r="H5" s="89"/>
      <c r="I5" s="89"/>
      <c r="J5" s="89"/>
      <c r="K5" s="89"/>
    </row>
    <row r="6" spans="2:11" ht="34" customHeight="1">
      <c r="B6" s="89"/>
      <c r="C6" s="89"/>
      <c r="D6" s="89"/>
      <c r="E6" s="89"/>
      <c r="F6" s="89"/>
      <c r="G6" s="89"/>
      <c r="H6" s="89"/>
      <c r="I6" s="89"/>
      <c r="J6" s="89"/>
      <c r="K6" s="89"/>
    </row>
    <row r="9" spans="2:11">
      <c r="B9" s="76" t="s">
        <v>370</v>
      </c>
      <c r="C9" s="76" t="s">
        <v>371</v>
      </c>
      <c r="D9" s="76" t="s">
        <v>372</v>
      </c>
    </row>
    <row r="10" spans="2:11">
      <c r="B10" t="s">
        <v>373</v>
      </c>
      <c r="C10" t="s">
        <v>374</v>
      </c>
      <c r="D10" t="s">
        <v>375</v>
      </c>
    </row>
    <row r="11" spans="2:11">
      <c r="B11" t="s">
        <v>373</v>
      </c>
      <c r="C11" t="s">
        <v>376</v>
      </c>
      <c r="D11" t="s">
        <v>377</v>
      </c>
    </row>
    <row r="12" spans="2:11">
      <c r="B12" t="s">
        <v>373</v>
      </c>
      <c r="C12" t="s">
        <v>378</v>
      </c>
      <c r="D12" t="s">
        <v>379</v>
      </c>
    </row>
    <row r="14" spans="2:11">
      <c r="B14" t="s">
        <v>380</v>
      </c>
      <c r="C14" t="s">
        <v>381</v>
      </c>
      <c r="D14" t="s">
        <v>382</v>
      </c>
    </row>
    <row r="15" spans="2:11">
      <c r="B15" t="s">
        <v>383</v>
      </c>
      <c r="C15" t="s">
        <v>384</v>
      </c>
      <c r="D15" t="s">
        <v>385</v>
      </c>
    </row>
    <row r="16" spans="2:11">
      <c r="B16" t="s">
        <v>383</v>
      </c>
      <c r="C16" t="s">
        <v>386</v>
      </c>
      <c r="D16" t="s">
        <v>387</v>
      </c>
    </row>
    <row r="17" spans="2:4">
      <c r="B17" t="s">
        <v>383</v>
      </c>
      <c r="C17" t="s">
        <v>388</v>
      </c>
      <c r="D17" t="s">
        <v>389</v>
      </c>
    </row>
    <row r="18" spans="2:4">
      <c r="B18" t="s">
        <v>383</v>
      </c>
      <c r="C18" t="s">
        <v>390</v>
      </c>
      <c r="D18" t="s">
        <v>391</v>
      </c>
    </row>
    <row r="19" spans="2:4">
      <c r="B19" t="s">
        <v>392</v>
      </c>
      <c r="C19" t="s">
        <v>393</v>
      </c>
      <c r="D19" t="s">
        <v>394</v>
      </c>
    </row>
    <row r="20" spans="2:4">
      <c r="B20" t="s">
        <v>395</v>
      </c>
      <c r="C20" t="s">
        <v>396</v>
      </c>
      <c r="D20" t="s">
        <v>397</v>
      </c>
    </row>
    <row r="21" spans="2:4">
      <c r="B21" t="s">
        <v>395</v>
      </c>
      <c r="C21" t="s">
        <v>398</v>
      </c>
      <c r="D21" t="s">
        <v>399</v>
      </c>
    </row>
    <row r="22" spans="2:4">
      <c r="B22" t="s">
        <v>400</v>
      </c>
      <c r="C22" t="s">
        <v>401</v>
      </c>
      <c r="D22" t="s">
        <v>402</v>
      </c>
    </row>
    <row r="23" spans="2:4">
      <c r="B23" t="s">
        <v>403</v>
      </c>
      <c r="C23" t="s">
        <v>404</v>
      </c>
      <c r="D23" t="s">
        <v>405</v>
      </c>
    </row>
    <row r="24" spans="2:4">
      <c r="B24" s="57"/>
    </row>
  </sheetData>
  <mergeCells count="1">
    <mergeCell ref="B3:K6"/>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BD8D5-CD4F-D44B-8DDB-AA53C4225B46}">
  <sheetPr>
    <tabColor rgb="FFFFFF00"/>
  </sheetPr>
  <dimension ref="A2:D28"/>
  <sheetViews>
    <sheetView tabSelected="1" zoomScale="70" zoomScaleNormal="70" workbookViewId="0">
      <selection activeCell="E28" sqref="E28"/>
    </sheetView>
  </sheetViews>
  <sheetFormatPr defaultColWidth="10.83203125" defaultRowHeight="20"/>
  <cols>
    <col min="1" max="1" width="4.08203125" style="54" customWidth="1"/>
    <col min="2" max="2" width="200.83203125" style="10" customWidth="1"/>
    <col min="3" max="3" width="67.5" style="13" customWidth="1"/>
    <col min="4" max="16384" width="10.83203125" style="48"/>
  </cols>
  <sheetData>
    <row r="2" spans="2:4">
      <c r="B2" s="8" t="s">
        <v>406</v>
      </c>
      <c r="C2" s="11"/>
    </row>
    <row r="3" spans="2:4">
      <c r="B3" s="41" t="s">
        <v>407</v>
      </c>
      <c r="C3" s="56"/>
    </row>
    <row r="4" spans="2:4">
      <c r="B4" s="55" t="s">
        <v>408</v>
      </c>
      <c r="C4" s="56"/>
    </row>
    <row r="5" spans="2:4" ht="60">
      <c r="B5" s="53" t="s">
        <v>409</v>
      </c>
      <c r="C5" s="47" t="s">
        <v>45</v>
      </c>
      <c r="D5" s="49" t="s">
        <v>410</v>
      </c>
    </row>
    <row r="6" spans="2:4">
      <c r="B6" s="55" t="s">
        <v>411</v>
      </c>
      <c r="C6" s="56"/>
      <c r="D6" s="49"/>
    </row>
    <row r="7" spans="2:4" ht="60">
      <c r="B7" s="53" t="s">
        <v>412</v>
      </c>
      <c r="C7" s="47" t="s">
        <v>45</v>
      </c>
      <c r="D7" s="49" t="s">
        <v>413</v>
      </c>
    </row>
    <row r="8" spans="2:4">
      <c r="B8" s="55" t="s">
        <v>414</v>
      </c>
      <c r="C8" s="56"/>
    </row>
    <row r="9" spans="2:4" ht="60">
      <c r="B9" s="53" t="s">
        <v>415</v>
      </c>
      <c r="C9" s="47" t="s">
        <v>45</v>
      </c>
    </row>
    <row r="10" spans="2:4">
      <c r="B10" s="55" t="s">
        <v>416</v>
      </c>
      <c r="C10" s="56"/>
    </row>
    <row r="11" spans="2:4" ht="60">
      <c r="B11" s="53" t="s">
        <v>417</v>
      </c>
      <c r="C11" s="47" t="s">
        <v>45</v>
      </c>
    </row>
    <row r="12" spans="2:4">
      <c r="B12" s="41" t="s">
        <v>418</v>
      </c>
      <c r="C12" s="56"/>
    </row>
    <row r="13" spans="2:4">
      <c r="B13" s="55" t="s">
        <v>419</v>
      </c>
      <c r="C13" s="56"/>
    </row>
    <row r="14" spans="2:4" ht="60">
      <c r="B14" s="53" t="s">
        <v>420</v>
      </c>
      <c r="C14" s="47" t="s">
        <v>146</v>
      </c>
    </row>
    <row r="15" spans="2:4">
      <c r="B15" s="55" t="s">
        <v>421</v>
      </c>
      <c r="C15" s="56"/>
    </row>
    <row r="16" spans="2:4" ht="60">
      <c r="B16" s="53" t="s">
        <v>422</v>
      </c>
      <c r="C16" s="47" t="s">
        <v>146</v>
      </c>
    </row>
    <row r="17" spans="2:3">
      <c r="B17" s="55" t="s">
        <v>423</v>
      </c>
      <c r="C17" s="56"/>
    </row>
    <row r="18" spans="2:3" ht="40">
      <c r="B18" s="53" t="s">
        <v>424</v>
      </c>
      <c r="C18" s="47" t="s">
        <v>146</v>
      </c>
    </row>
    <row r="19" spans="2:3">
      <c r="B19" s="55" t="s">
        <v>425</v>
      </c>
      <c r="C19" s="56"/>
    </row>
    <row r="20" spans="2:3" ht="60">
      <c r="B20" s="53" t="s">
        <v>426</v>
      </c>
      <c r="C20" s="47" t="s">
        <v>45</v>
      </c>
    </row>
    <row r="21" spans="2:3">
      <c r="B21" s="55" t="s">
        <v>427</v>
      </c>
      <c r="C21" s="56"/>
    </row>
    <row r="22" spans="2:3" ht="80">
      <c r="B22" s="53" t="s">
        <v>428</v>
      </c>
      <c r="C22" s="47" t="s">
        <v>146</v>
      </c>
    </row>
    <row r="23" spans="2:3">
      <c r="B23" s="55" t="s">
        <v>429</v>
      </c>
      <c r="C23" s="56"/>
    </row>
    <row r="24" spans="2:3" ht="80">
      <c r="B24" s="53" t="s">
        <v>430</v>
      </c>
      <c r="C24" s="47" t="s">
        <v>45</v>
      </c>
    </row>
    <row r="25" spans="2:3">
      <c r="B25" s="55" t="s">
        <v>431</v>
      </c>
      <c r="C25" s="56"/>
    </row>
    <row r="26" spans="2:3" ht="80">
      <c r="B26" s="53" t="s">
        <v>432</v>
      </c>
      <c r="C26" s="47" t="s">
        <v>45</v>
      </c>
    </row>
    <row r="27" spans="2:3">
      <c r="B27" s="55" t="s">
        <v>433</v>
      </c>
      <c r="C27" s="56"/>
    </row>
    <row r="28" spans="2:3" ht="80">
      <c r="B28" s="53" t="s">
        <v>434</v>
      </c>
      <c r="C28" s="47" t="s">
        <v>45</v>
      </c>
    </row>
  </sheetData>
  <sheetProtection algorithmName="SHA-512" hashValue="XeW6bUAKnm43j4meWYPApqpxgIUvkc+kiljCp7h71QUV2ZgishBBRb5NF7kP+72LnQELXBDhMs+rLegAjSnArA==" saltValue="2/ZNlC/KVpLBc1AR6Z48Dw==" spinCount="100000" sheet="1" objects="1" scenarios="1"/>
  <conditionalFormatting sqref="C5">
    <cfRule type="notContainsBlanks" dxfId="53" priority="72" stopIfTrue="1">
      <formula>LEN(TRIM(C5))&gt;0</formula>
    </cfRule>
    <cfRule type="containsText" dxfId="52" priority="70" operator="containsText" text="Yes">
      <formula>NOT(ISERROR(SEARCH("Yes",C5)))</formula>
    </cfRule>
    <cfRule type="containsText" dxfId="51" priority="71" operator="containsText" text="No">
      <formula>NOT(ISERROR(SEARCH("No",C5)))</formula>
    </cfRule>
  </conditionalFormatting>
  <conditionalFormatting sqref="C7">
    <cfRule type="notContainsBlanks" dxfId="50" priority="60" stopIfTrue="1">
      <formula>LEN(TRIM(C7))&gt;0</formula>
    </cfRule>
    <cfRule type="containsText" dxfId="49" priority="59" operator="containsText" text="No">
      <formula>NOT(ISERROR(SEARCH("No",C7)))</formula>
    </cfRule>
    <cfRule type="containsText" dxfId="48" priority="58" operator="containsText" text="Yes">
      <formula>NOT(ISERROR(SEARCH("Yes",C7)))</formula>
    </cfRule>
  </conditionalFormatting>
  <conditionalFormatting sqref="C9:C12">
    <cfRule type="containsText" dxfId="47" priority="25" operator="containsText" text="Yes">
      <formula>NOT(ISERROR(SEARCH("Yes",C9)))</formula>
    </cfRule>
    <cfRule type="containsText" dxfId="46" priority="26" operator="containsText" text="No">
      <formula>NOT(ISERROR(SEARCH("No",C9)))</formula>
    </cfRule>
    <cfRule type="notContainsBlanks" dxfId="45" priority="27" stopIfTrue="1">
      <formula>LEN(TRIM(C9))&gt;0</formula>
    </cfRule>
  </conditionalFormatting>
  <conditionalFormatting sqref="C12">
    <cfRule type="containsText" dxfId="44" priority="53" operator="containsText" text="No">
      <formula>NOT(ISERROR(SEARCH("No",C12)))</formula>
    </cfRule>
    <cfRule type="containsText" dxfId="43" priority="52" operator="containsText" text="Yes">
      <formula>NOT(ISERROR(SEARCH("Yes",C12)))</formula>
    </cfRule>
    <cfRule type="notContainsBlanks" dxfId="42" priority="45" stopIfTrue="1">
      <formula>LEN(TRIM(C12))&gt;0</formula>
    </cfRule>
    <cfRule type="containsText" dxfId="41" priority="44" operator="containsText" text="No">
      <formula>NOT(ISERROR(SEARCH("No",C12)))</formula>
    </cfRule>
    <cfRule type="containsText" dxfId="40" priority="43" operator="containsText" text="Yes">
      <formula>NOT(ISERROR(SEARCH("Yes",C12)))</formula>
    </cfRule>
    <cfRule type="notContainsBlanks" dxfId="39" priority="54" stopIfTrue="1">
      <formula>LEN(TRIM(C12))&gt;0</formula>
    </cfRule>
  </conditionalFormatting>
  <conditionalFormatting sqref="C14">
    <cfRule type="notContainsBlanks" dxfId="38" priority="51" stopIfTrue="1">
      <formula>LEN(TRIM(C14))&gt;0</formula>
    </cfRule>
    <cfRule type="containsText" dxfId="37" priority="50" operator="containsText" text="No">
      <formula>NOT(ISERROR(SEARCH("No",C14)))</formula>
    </cfRule>
    <cfRule type="containsText" dxfId="36" priority="49" operator="containsText" text="Yes">
      <formula>NOT(ISERROR(SEARCH("Yes",C14)))</formula>
    </cfRule>
    <cfRule type="notContainsBlanks" dxfId="35" priority="42" stopIfTrue="1">
      <formula>LEN(TRIM(C14))&gt;0</formula>
    </cfRule>
    <cfRule type="containsText" dxfId="34" priority="41" operator="containsText" text="No">
      <formula>NOT(ISERROR(SEARCH("No",C14)))</formula>
    </cfRule>
    <cfRule type="containsText" dxfId="33" priority="40" operator="containsText" text="Yes">
      <formula>NOT(ISERROR(SEARCH("Yes",C14)))</formula>
    </cfRule>
    <cfRule type="notContainsBlanks" dxfId="32" priority="33" stopIfTrue="1">
      <formula>LEN(TRIM(C14))&gt;0</formula>
    </cfRule>
    <cfRule type="containsText" dxfId="31" priority="32" operator="containsText" text="No">
      <formula>NOT(ISERROR(SEARCH("No",C14)))</formula>
    </cfRule>
    <cfRule type="containsText" dxfId="30" priority="31" operator="containsText" text="Yes">
      <formula>NOT(ISERROR(SEARCH("Yes",C14)))</formula>
    </cfRule>
    <cfRule type="containsText" dxfId="29" priority="22" operator="containsText" text="Yes">
      <formula>NOT(ISERROR(SEARCH("Yes",C14)))</formula>
    </cfRule>
    <cfRule type="containsText" dxfId="28" priority="23" operator="containsText" text="No">
      <formula>NOT(ISERROR(SEARCH("No",C14)))</formula>
    </cfRule>
    <cfRule type="notContainsBlanks" dxfId="27" priority="24" stopIfTrue="1">
      <formula>LEN(TRIM(C14))&gt;0</formula>
    </cfRule>
  </conditionalFormatting>
  <conditionalFormatting sqref="C16">
    <cfRule type="containsText" dxfId="26" priority="28" operator="containsText" text="Yes">
      <formula>NOT(ISERROR(SEARCH("Yes",C16)))</formula>
    </cfRule>
    <cfRule type="containsText" dxfId="25" priority="29" operator="containsText" text="No">
      <formula>NOT(ISERROR(SEARCH("No",C16)))</formula>
    </cfRule>
    <cfRule type="notContainsBlanks" dxfId="24" priority="30" stopIfTrue="1">
      <formula>LEN(TRIM(C16))&gt;0</formula>
    </cfRule>
    <cfRule type="containsText" dxfId="23" priority="37" operator="containsText" text="Yes">
      <formula>NOT(ISERROR(SEARCH("Yes",C16)))</formula>
    </cfRule>
    <cfRule type="containsText" dxfId="22" priority="38" operator="containsText" text="No">
      <formula>NOT(ISERROR(SEARCH("No",C16)))</formula>
    </cfRule>
    <cfRule type="notContainsBlanks" dxfId="21" priority="39" stopIfTrue="1">
      <formula>LEN(TRIM(C16))&gt;0</formula>
    </cfRule>
    <cfRule type="containsText" dxfId="20" priority="19" operator="containsText" text="Yes">
      <formula>NOT(ISERROR(SEARCH("Yes",C16)))</formula>
    </cfRule>
    <cfRule type="containsText" dxfId="19" priority="20" operator="containsText" text="No">
      <formula>NOT(ISERROR(SEARCH("No",C16)))</formula>
    </cfRule>
    <cfRule type="notContainsBlanks" dxfId="18" priority="21" stopIfTrue="1">
      <formula>LEN(TRIM(C16))&gt;0</formula>
    </cfRule>
  </conditionalFormatting>
  <conditionalFormatting sqref="C18">
    <cfRule type="notContainsBlanks" dxfId="17" priority="18" stopIfTrue="1">
      <formula>LEN(TRIM(C18))&gt;0</formula>
    </cfRule>
    <cfRule type="containsText" dxfId="16" priority="17" operator="containsText" text="No">
      <formula>NOT(ISERROR(SEARCH("No",C18)))</formula>
    </cfRule>
    <cfRule type="containsText" dxfId="15" priority="16" operator="containsText" text="Yes">
      <formula>NOT(ISERROR(SEARCH("Yes",C18)))</formula>
    </cfRule>
  </conditionalFormatting>
  <conditionalFormatting sqref="C20">
    <cfRule type="notContainsBlanks" dxfId="14" priority="15" stopIfTrue="1">
      <formula>LEN(TRIM(C20))&gt;0</formula>
    </cfRule>
    <cfRule type="containsText" dxfId="13" priority="14" operator="containsText" text="No">
      <formula>NOT(ISERROR(SEARCH("No",C20)))</formula>
    </cfRule>
    <cfRule type="containsText" dxfId="12" priority="13" operator="containsText" text="Yes">
      <formula>NOT(ISERROR(SEARCH("Yes",C20)))</formula>
    </cfRule>
  </conditionalFormatting>
  <conditionalFormatting sqref="C22">
    <cfRule type="notContainsBlanks" dxfId="11" priority="12" stopIfTrue="1">
      <formula>LEN(TRIM(C22))&gt;0</formula>
    </cfRule>
    <cfRule type="containsText" dxfId="10" priority="11" operator="containsText" text="No">
      <formula>NOT(ISERROR(SEARCH("No",C22)))</formula>
    </cfRule>
    <cfRule type="containsText" dxfId="9" priority="10" operator="containsText" text="Yes">
      <formula>NOT(ISERROR(SEARCH("Yes",C22)))</formula>
    </cfRule>
  </conditionalFormatting>
  <conditionalFormatting sqref="C24">
    <cfRule type="notContainsBlanks" dxfId="8" priority="9" stopIfTrue="1">
      <formula>LEN(TRIM(C24))&gt;0</formula>
    </cfRule>
    <cfRule type="containsText" dxfId="7" priority="8" operator="containsText" text="No">
      <formula>NOT(ISERROR(SEARCH("No",C24)))</formula>
    </cfRule>
    <cfRule type="containsText" dxfId="6" priority="7" operator="containsText" text="Yes">
      <formula>NOT(ISERROR(SEARCH("Yes",C24)))</formula>
    </cfRule>
  </conditionalFormatting>
  <conditionalFormatting sqref="C26">
    <cfRule type="notContainsBlanks" dxfId="5" priority="6" stopIfTrue="1">
      <formula>LEN(TRIM(C26))&gt;0</formula>
    </cfRule>
    <cfRule type="containsText" dxfId="4" priority="5" operator="containsText" text="No">
      <formula>NOT(ISERROR(SEARCH("No",C26)))</formula>
    </cfRule>
    <cfRule type="containsText" dxfId="3" priority="4" operator="containsText" text="Yes">
      <formula>NOT(ISERROR(SEARCH("Yes",C26)))</formula>
    </cfRule>
  </conditionalFormatting>
  <conditionalFormatting sqref="C28">
    <cfRule type="containsText" dxfId="2" priority="1" operator="containsText" text="Yes">
      <formula>NOT(ISERROR(SEARCH("Yes",C28)))</formula>
    </cfRule>
    <cfRule type="notContainsBlanks" dxfId="1" priority="3" stopIfTrue="1">
      <formula>LEN(TRIM(C28))&gt;0</formula>
    </cfRule>
    <cfRule type="containsText" dxfId="0" priority="2" operator="containsText" text="No">
      <formula>NOT(ISERROR(SEARCH("No",C28)))</formula>
    </cfRule>
  </conditionalFormatting>
  <dataValidations count="1">
    <dataValidation type="list" allowBlank="1" showInputMessage="1" showErrorMessage="1" sqref="C5 C7 C9 C11 C14 C16 C18 C20 C22 C24 C26 C28" xr:uid="{5E0D2A51-2942-1841-888F-D0D48AAF8241}">
      <formula1>"Yes, No"</formula1>
    </dataValidation>
  </dataValidations>
  <pageMargins left="0.7" right="0.7" top="0.75" bottom="0.75" header="0.3" footer="0.3"/>
  <pageSetup orientation="portrait" horizontalDpi="0" verticalDpi="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E6ECF-F3C0-424C-AD4C-E4E952C6C45C}">
  <dimension ref="A1:G57"/>
  <sheetViews>
    <sheetView workbookViewId="0"/>
  </sheetViews>
  <sheetFormatPr defaultColWidth="10.83203125" defaultRowHeight="15.5"/>
  <cols>
    <col min="1" max="1" width="14.58203125" style="1" bestFit="1" customWidth="1"/>
    <col min="2" max="2" width="10.83203125" style="1"/>
    <col min="3" max="3" width="60" style="1" bestFit="1" customWidth="1"/>
    <col min="4" max="4" width="10.83203125" style="1"/>
    <col min="5" max="5" width="7.08203125" style="1" bestFit="1" customWidth="1"/>
    <col min="6" max="6" width="10.83203125" style="1"/>
    <col min="7" max="7" width="17" style="1" bestFit="1" customWidth="1"/>
    <col min="8" max="8" width="21" style="1" customWidth="1"/>
    <col min="9" max="10" width="10.83203125" style="1"/>
    <col min="11" max="11" width="12" style="1" customWidth="1"/>
    <col min="12" max="16384" width="10.83203125" style="1"/>
  </cols>
  <sheetData>
    <row r="1" spans="1:7">
      <c r="A1" s="1" t="s">
        <v>435</v>
      </c>
      <c r="C1" s="7" t="s">
        <v>436</v>
      </c>
      <c r="E1" s="5" t="s">
        <v>437</v>
      </c>
      <c r="G1" s="5" t="s">
        <v>438</v>
      </c>
    </row>
    <row r="2" spans="1:7">
      <c r="A2" s="1" t="s">
        <v>439</v>
      </c>
      <c r="C2" s="1" t="s">
        <v>440</v>
      </c>
      <c r="E2" s="1" t="s">
        <v>45</v>
      </c>
      <c r="G2" s="1" t="s">
        <v>441</v>
      </c>
    </row>
    <row r="3" spans="1:7">
      <c r="A3" s="1" t="s">
        <v>56</v>
      </c>
      <c r="C3" s="1" t="s">
        <v>315</v>
      </c>
      <c r="E3" s="1" t="s">
        <v>146</v>
      </c>
      <c r="G3" s="1" t="s">
        <v>442</v>
      </c>
    </row>
    <row r="4" spans="1:7">
      <c r="C4" s="1" t="s">
        <v>443</v>
      </c>
      <c r="G4" s="1" t="s">
        <v>444</v>
      </c>
    </row>
    <row r="5" spans="1:7">
      <c r="C5" s="1" t="s">
        <v>445</v>
      </c>
      <c r="G5" s="1" t="s">
        <v>446</v>
      </c>
    </row>
    <row r="6" spans="1:7">
      <c r="C6" s="1" t="s">
        <v>447</v>
      </c>
      <c r="G6" s="1" t="s">
        <v>448</v>
      </c>
    </row>
    <row r="7" spans="1:7">
      <c r="C7" s="1" t="s">
        <v>449</v>
      </c>
      <c r="G7" s="1" t="s">
        <v>450</v>
      </c>
    </row>
    <row r="8" spans="1:7">
      <c r="C8" s="1" t="s">
        <v>451</v>
      </c>
      <c r="G8" s="1" t="s">
        <v>452</v>
      </c>
    </row>
    <row r="9" spans="1:7">
      <c r="C9" s="1" t="s">
        <v>453</v>
      </c>
      <c r="G9" s="1" t="s">
        <v>454</v>
      </c>
    </row>
    <row r="10" spans="1:7">
      <c r="C10" s="1" t="s">
        <v>455</v>
      </c>
      <c r="G10" s="1" t="s">
        <v>456</v>
      </c>
    </row>
    <row r="11" spans="1:7">
      <c r="C11" s="1" t="s">
        <v>457</v>
      </c>
      <c r="G11" s="1" t="s">
        <v>458</v>
      </c>
    </row>
    <row r="12" spans="1:7">
      <c r="C12" s="1" t="s">
        <v>459</v>
      </c>
      <c r="G12" s="1" t="s">
        <v>460</v>
      </c>
    </row>
    <row r="13" spans="1:7">
      <c r="C13" s="1" t="s">
        <v>303</v>
      </c>
      <c r="G13" s="1" t="s">
        <v>461</v>
      </c>
    </row>
    <row r="14" spans="1:7">
      <c r="C14" s="1" t="s">
        <v>462</v>
      </c>
      <c r="G14" s="1" t="s">
        <v>463</v>
      </c>
    </row>
    <row r="15" spans="1:7">
      <c r="C15" s="1" t="s">
        <v>464</v>
      </c>
      <c r="G15" s="1" t="s">
        <v>465</v>
      </c>
    </row>
    <row r="16" spans="1:7">
      <c r="C16" s="1" t="s">
        <v>466</v>
      </c>
      <c r="G16" s="1" t="s">
        <v>467</v>
      </c>
    </row>
    <row r="17" spans="3:7">
      <c r="C17" s="1" t="s">
        <v>468</v>
      </c>
      <c r="G17" s="1" t="s">
        <v>469</v>
      </c>
    </row>
    <row r="18" spans="3:7">
      <c r="C18" s="1" t="s">
        <v>470</v>
      </c>
      <c r="G18" s="1" t="s">
        <v>471</v>
      </c>
    </row>
    <row r="19" spans="3:7">
      <c r="C19" s="1" t="s">
        <v>472</v>
      </c>
      <c r="G19" s="1" t="s">
        <v>473</v>
      </c>
    </row>
    <row r="20" spans="3:7">
      <c r="C20" s="1" t="s">
        <v>474</v>
      </c>
      <c r="G20" s="1" t="s">
        <v>475</v>
      </c>
    </row>
    <row r="21" spans="3:7">
      <c r="C21" s="1" t="s">
        <v>476</v>
      </c>
      <c r="G21" s="1" t="s">
        <v>477</v>
      </c>
    </row>
    <row r="22" spans="3:7">
      <c r="G22" s="1" t="s">
        <v>478</v>
      </c>
    </row>
    <row r="23" spans="3:7">
      <c r="G23" s="1" t="s">
        <v>479</v>
      </c>
    </row>
    <row r="24" spans="3:7">
      <c r="G24" s="1" t="s">
        <v>480</v>
      </c>
    </row>
    <row r="25" spans="3:7">
      <c r="G25" s="1" t="s">
        <v>481</v>
      </c>
    </row>
    <row r="26" spans="3:7">
      <c r="G26" s="1" t="s">
        <v>482</v>
      </c>
    </row>
    <row r="27" spans="3:7">
      <c r="G27" s="1" t="s">
        <v>483</v>
      </c>
    </row>
    <row r="28" spans="3:7">
      <c r="G28" s="1" t="s">
        <v>484</v>
      </c>
    </row>
    <row r="29" spans="3:7">
      <c r="G29" s="1" t="s">
        <v>485</v>
      </c>
    </row>
    <row r="30" spans="3:7">
      <c r="G30" s="1" t="s">
        <v>486</v>
      </c>
    </row>
    <row r="31" spans="3:7">
      <c r="G31" s="1" t="s">
        <v>487</v>
      </c>
    </row>
    <row r="32" spans="3:7">
      <c r="G32" s="1" t="s">
        <v>488</v>
      </c>
    </row>
    <row r="33" spans="7:7">
      <c r="G33" s="1" t="s">
        <v>489</v>
      </c>
    </row>
    <row r="34" spans="7:7">
      <c r="G34" s="1" t="s">
        <v>490</v>
      </c>
    </row>
    <row r="35" spans="7:7">
      <c r="G35" s="1" t="s">
        <v>491</v>
      </c>
    </row>
    <row r="36" spans="7:7">
      <c r="G36" s="1" t="s">
        <v>492</v>
      </c>
    </row>
    <row r="37" spans="7:7">
      <c r="G37" s="1" t="s">
        <v>493</v>
      </c>
    </row>
    <row r="38" spans="7:7">
      <c r="G38" s="1" t="s">
        <v>494</v>
      </c>
    </row>
    <row r="39" spans="7:7">
      <c r="G39" s="1" t="s">
        <v>495</v>
      </c>
    </row>
    <row r="40" spans="7:7">
      <c r="G40" s="1" t="s">
        <v>496</v>
      </c>
    </row>
    <row r="41" spans="7:7">
      <c r="G41" s="1" t="s">
        <v>497</v>
      </c>
    </row>
    <row r="42" spans="7:7">
      <c r="G42" s="1" t="s">
        <v>498</v>
      </c>
    </row>
    <row r="43" spans="7:7">
      <c r="G43" s="1" t="s">
        <v>499</v>
      </c>
    </row>
    <row r="44" spans="7:7">
      <c r="G44" s="1" t="s">
        <v>500</v>
      </c>
    </row>
    <row r="45" spans="7:7">
      <c r="G45" s="1" t="s">
        <v>501</v>
      </c>
    </row>
    <row r="46" spans="7:7">
      <c r="G46" s="1" t="s">
        <v>502</v>
      </c>
    </row>
    <row r="47" spans="7:7">
      <c r="G47" s="1" t="s">
        <v>503</v>
      </c>
    </row>
    <row r="48" spans="7:7">
      <c r="G48" s="1" t="s">
        <v>504</v>
      </c>
    </row>
    <row r="49" spans="7:7">
      <c r="G49" s="1" t="s">
        <v>505</v>
      </c>
    </row>
    <row r="50" spans="7:7">
      <c r="G50" s="1" t="s">
        <v>506</v>
      </c>
    </row>
    <row r="51" spans="7:7">
      <c r="G51" s="1" t="s">
        <v>507</v>
      </c>
    </row>
    <row r="52" spans="7:7">
      <c r="G52" s="1" t="s">
        <v>508</v>
      </c>
    </row>
    <row r="53" spans="7:7">
      <c r="G53" s="1" t="s">
        <v>509</v>
      </c>
    </row>
    <row r="54" spans="7:7">
      <c r="G54" s="1" t="s">
        <v>510</v>
      </c>
    </row>
    <row r="55" spans="7:7">
      <c r="G55" s="1" t="s">
        <v>511</v>
      </c>
    </row>
    <row r="56" spans="7:7">
      <c r="G56" s="1" t="s">
        <v>71</v>
      </c>
    </row>
    <row r="57" spans="7:7">
      <c r="G57" s="1" t="s">
        <v>512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1. Introduction</vt:lpstr>
      <vt:lpstr>2. RFI Rules of Engagement</vt:lpstr>
      <vt:lpstr>3. RFI Terms &amp; Conditions</vt:lpstr>
      <vt:lpstr>4. General Company Information</vt:lpstr>
      <vt:lpstr>5. Financial Info</vt:lpstr>
      <vt:lpstr>6. Assembly &amp; Supply Chain</vt:lpstr>
      <vt:lpstr>7. OSS-Onsite Service &amp; Support</vt:lpstr>
      <vt:lpstr>8a. Headcount Summary</vt:lpstr>
      <vt:lpstr>8b. Project Management Process</vt:lpstr>
      <vt:lpstr>9a. Technical Capabilties</vt:lpstr>
      <vt:lpstr>9b. Technical Roadmap</vt:lpstr>
      <vt:lpstr>10. Commercial Expectations</vt:lpstr>
      <vt:lpstr>Formatting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Rod Kasperson</cp:lastModifiedBy>
  <cp:revision/>
  <dcterms:created xsi:type="dcterms:W3CDTF">2018-09-10T17:18:27Z</dcterms:created>
  <dcterms:modified xsi:type="dcterms:W3CDTF">2025-12-01T15:58:18Z</dcterms:modified>
  <cp:category/>
  <cp:contentStatus/>
</cp:coreProperties>
</file>