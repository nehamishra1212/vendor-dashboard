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lukas-buske/Desktop/"/>
    </mc:Choice>
  </mc:AlternateContent>
  <xr:revisionPtr revIDLastSave="0" documentId="8_{E4EB7C24-9C95-5745-AEE6-975686338AEE}" xr6:coauthVersionLast="47" xr6:coauthVersionMax="47" xr10:uidLastSave="{00000000-0000-0000-0000-000000000000}"/>
  <workbookProtection workbookAlgorithmName="SHA-512" workbookHashValue="RQH5Kx2dOBjDEqYj2TXipBbmUcoYWMLAdWE7C3q/46dzCrNjksss7Gqr5dWEtvMaqzG16old4r+CaVxzifhVUg==" workbookSaltValue="pZPxhzHsW4NsocMKqExkEg==" workbookSpinCount="100000" lockStructure="1"/>
  <bookViews>
    <workbookView xWindow="-40960" yWindow="500" windowWidth="35400" windowHeight="28300" activeTab="1"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<sst xmlns="http://schemas.openxmlformats.org/spreadsheetml/2006/main" count="778" uniqueCount="636">
  <si>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</si>
  <si>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</si>
  <si>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</si>
  <si>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</si>
  <si>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</si>
  <si>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</si>
  <si>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</si>
  <si>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</si>
  <si>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</si>
  <si>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</si>
  <si>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</si>
  <si>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</si>
  <si>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</si>
  <si>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</si>
  <si>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</si>
  <si>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</si>
  <si>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</si>
  <si>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</si>
  <si>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</si>
  <si>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</si>
  <si>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</si>
  <si>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</si>
  <si>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</si>
  <si>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</si>
  <si>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</si>
  <si>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</si>
  <si>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</si>
  <si>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</si>
  <si>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</si>
  <si>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</si>
  <si>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</si>
  <si>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</si>
  <si>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</si>
  <si>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</si>
  <si>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</si>
  <si>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</si>
  <si>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</si>
  <si>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</si>
  <si>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</si>
  <si>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</si>
  <si>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</si>
  <si>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</si>
  <si>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</si>
  <si>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</si>
  <si>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</si>
  <si>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</si>
  <si>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</si>
  <si>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</si>
  <si>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</si>
  <si>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</si>
  <si>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</si>
  <si>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</si>
  <si>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</si>
  <si>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</si>
  <si>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</si>
  <si>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</si>
  <si>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</si>
  <si>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</si>
  <si>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</si>
  <si>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</si>
  <si>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</si>
  <si>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</si>
  <si>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</si>
  <si>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</si>
  <si>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</si>
  <si>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</si>
  <si>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</si>
  <si>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</si>
  <si>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</si>
  <si>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</si>
  <si>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</si>
  <si>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</si>
  <si>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</si>
  <si>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</si>
  <si>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</si>
  <si>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</si>
  <si>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</si>
  <si>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</si>
  <si>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</si>
  <si>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</si>
  <si>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</si>
  <si>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</si>
  <si>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</si>
  <si>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</si>
  <si>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</si>
  <si>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</si>
  <si>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</si>
  <si>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</si>
  <si>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</si>
  <si>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</si>
  <si>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</si>
  <si>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</si>
  <si>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</si>
  <si>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</si>
  <si>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</si>
  <si>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</si>
  <si>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</si>
  <si>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</si>
  <si>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</si>
  <si>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</si>
  <si>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</si>
  <si>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</si>
  <si>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</si>
  <si>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</si>
  <si>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</si>
  <si>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</si>
  <si>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</si>
  <si>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</si>
  <si>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</si>
  <si>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</si>
  <si>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</si>
  <si>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</si>
  <si>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</si>
  <si>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</si>
  <si>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</si>
  <si>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</si>
  <si>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</si>
  <si>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</si>
  <si>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</si>
  <si>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</si>
  <si>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</si>
  <si>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</si>
  <si>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</si>
  <si>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</si>
  <si>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</si>
  <si>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</si>
  <si>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</si>
  <si>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</si>
  <si>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</si>
  <si>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</si>
  <si>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</si>
  <si>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</si>
  <si>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</si>
  <si>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</si>
  <si>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</si>
  <si>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</si>
  <si>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</si>
  <si>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</si>
  <si>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</si>
  <si>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</si>
  <si>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</si>
  <si>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</si>
  <si>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</si>
  <si>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</si>
  <si>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</si>
  <si>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</si>
  <si>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</si>
  <si>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</si>
  <si>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</si>
  <si>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</si>
  <si>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</si>
  <si>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</si>
  <si>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</si>
  <si>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</si>
  <si>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</si>
  <si>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</si>
  <si>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</si>
  <si>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</si>
  <si>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</si>
  <si>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</si>
  <si>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</si>
  <si>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</si>
  <si>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</si>
  <si>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</si>
  <si>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</si>
  <si>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</si>
  <si>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</si>
  <si>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</si>
  <si>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</si>
  <si>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</si>
  <si>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</si>
  <si>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</si>
  <si>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</si>
  <si>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</si>
  <si>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</si>
  <si>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</si>
  <si>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</si>
  <si>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</si>
  <si>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</si>
  <si>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</si>
  <si>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</si>
  <si>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</si>
  <si>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</si>
  <si>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</si>
  <si>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</si>
  <si>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</si>
  <si>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</si>
  <si>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</si>
  <si>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</si>
  <si>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</si>
  <si>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</si>
  <si>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</si>
  <si>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</si>
  <si>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</si>
  <si>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</si>
  <si>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</si>
  <si>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</si>
  <si>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</si>
  <si>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</si>
  <si>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</si>
  <si>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</si>
  <si>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</si>
  <si>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</si>
  <si>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</si>
  <si>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</si>
  <si>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</si>
  <si>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</si>
  <si>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</si>
  <si>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</si>
  <si>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</si>
  <si>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</si>
  <si>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</si>
  <si>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</si>
  <si>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</si>
  <si>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</si>
  <si>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</si>
  <si>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</si>
  <si>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</si>
  <si>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</si>
  <si>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</si>
  <si>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</si>
  <si>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</si>
  <si>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</si>
  <si>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</si>
  <si>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</si>
  <si>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</si>
  <si>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</si>
  <si>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</si>
  <si>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</si>
  <si>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</si>
  <si>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</si>
  <si>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</si>
  <si>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</si>
  <si>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</si>
  <si>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</si>
  <si>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</si>
  <si>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</si>
  <si>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</si>
  <si>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</si>
  <si>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</si>
  <si>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</si>
  <si>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</si>
  <si>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</si>
  <si>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</si>
  <si>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</si>
  <si>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</si>
  <si>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</si>
  <si>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</si>
  <si>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</si>
  <si>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</si>
  <si>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</si>
  <si>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</si>
  <si>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</si>
  <si>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</si>
  <si>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</si>
  <si>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</si>
  <si>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</si>
  <si>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</si>
  <si>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</si>
  <si>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</si>
  <si>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</si>
  <si>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</si>
  <si>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</si>
  <si>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</si>
  <si>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</si>
  <si>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</si>
  <si>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</si>
  <si>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</si>
  <si>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</si>
  <si>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</si>
  <si>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</si>
  <si>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</si>
  <si>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</si>
  <si>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</si>
  <si>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</si>
  <si>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</si>
  <si>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</si>
  <si>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</si>
  <si>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</si>
  <si>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</si>
  <si>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</si>
  <si>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</si>
  <si>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</si>
  <si>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</si>
  <si>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</si>
  <si>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</si>
  <si>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</si>
  <si>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</si>
  <si>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</si>
  <si>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</si>
  <si>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</si>
  <si>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</si>
  <si>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</si>
  <si>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</si>
  <si>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</si>
  <si>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</si>
  <si>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</si>
  <si>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</si>
  <si>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</si>
  <si>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</si>
  <si>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</si>
  <si>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</si>
  <si>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</si>
  <si>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</si>
  <si>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</si>
  <si>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</si>
  <si>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</si>
  <si>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</si>
  <si>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</si>
  <si>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</si>
  <si>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</si>
  <si>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</si>
  <si>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</si>
  <si>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</si>
  <si>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</si>
  <si>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</si>
  <si>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 xml:space="preserve">Kyle Boutin
Global Sourcing &amp; Supply Management
+1-415-352-9000
kboutin@apple.com   </t>
  </si>
  <si>
    <t>Participant acknowledges and agrees to an on-site Facility Readiness Assessment (FRA) of workshop and facilities by Apple Environment &amp;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</si>
  <si>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Please add geographic breakdown of 2024/2025 Engineering resources by geography in the comments section
Suggested geogrpahies already incldued, feel free to edit/add/subtract geogrpahies as necessary</t>
  </si>
  <si>
    <r>
      <t xml:space="preserve">Participant's Proposal to this Request for Information (“RFI”) shall be sent via email by no later than </t>
    </r>
    <r>
      <rPr>
        <b/>
        <sz val="16"/>
        <color rgb="FFFF0000"/>
        <rFont val="SF Hello Regular"/>
      </rPr>
      <t>Monday, December 1, 2025 by 11:00PM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</si>
  <si>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December 1,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</si>
  <si>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Plasmatreat GmbH</t>
  </si>
  <si>
    <t>Plasmatreat IP GmbH &amp;Co.KG</t>
  </si>
  <si>
    <t xml:space="preserve">Steinhagen, Germany </t>
  </si>
  <si>
    <t>www.plasmatreat.com</t>
  </si>
  <si>
    <t>Buske, Lukas</t>
  </si>
  <si>
    <t xml:space="preserve">Germany </t>
  </si>
  <si>
    <t>lukas.buske@plasmatreat.de</t>
  </si>
  <si>
    <t>Franzmann, Dirk</t>
  </si>
  <si>
    <t>dirk.franzmann@plasmatreat.de</t>
  </si>
  <si>
    <t>Meereis, Manfred</t>
  </si>
  <si>
    <t>manfred.meereis@plasmatreat.de</t>
  </si>
  <si>
    <t>Sundermann, Felix</t>
  </si>
  <si>
    <t>felix.sundermann@plasmatreat.de</t>
  </si>
  <si>
    <t>Medium</t>
  </si>
  <si>
    <t xml:space="preserve">Mata, Manuel </t>
  </si>
  <si>
    <t>manuel.mata@plasmatreat.de</t>
  </si>
  <si>
    <t>EUROPE</t>
  </si>
  <si>
    <t>MIDDLE EAST
Turkey</t>
  </si>
  <si>
    <t>ASIA
China, Japan</t>
  </si>
  <si>
    <t>Asia Pacific
Singapore, India, Vietnam, 
Thailand, Malaysia, Korea, Phiippines</t>
  </si>
  <si>
    <t>America North &amp; South</t>
  </si>
  <si>
    <t>High</t>
  </si>
  <si>
    <t>Low</t>
  </si>
  <si>
    <t>N/A</t>
  </si>
  <si>
    <t xml:space="preserve">Manufacturing and integrate plasma systems </t>
  </si>
  <si>
    <t xml:space="preserve">Manufacturing standardized and custom software 
</t>
  </si>
  <si>
    <t>Integration of plasma systems into a customized automation system</t>
  </si>
  <si>
    <t xml:space="preserve">Packaging and Importing </t>
  </si>
  <si>
    <t>Assembling Custom Systems</t>
  </si>
  <si>
    <t>Programming camera systems in automation systems</t>
  </si>
  <si>
    <t>Visual inspection of the manufactured systems</t>
  </si>
  <si>
    <t>Decibel measurement</t>
  </si>
  <si>
    <t>Test benches for standard plasma systems</t>
  </si>
  <si>
    <t>Special measuring devices for plasma devices</t>
  </si>
  <si>
    <t>Self-developed plasma components</t>
  </si>
  <si>
    <t>Beckhoffautomation</t>
  </si>
  <si>
    <t>Handling-Systems, Robots, and PLCs</t>
  </si>
  <si>
    <t>Packaging equipment</t>
  </si>
  <si>
    <t>Machines, tools, and measuring instruments</t>
  </si>
  <si>
    <t>Decibel Meter</t>
  </si>
  <si>
    <t xml:space="preserve">4 Weeks </t>
  </si>
  <si>
    <t>2 Weeks</t>
  </si>
  <si>
    <t xml:space="preserve">4 Weeks-3 Month </t>
  </si>
  <si>
    <t xml:space="preserve">2 Weeks </t>
  </si>
  <si>
    <t xml:space="preserve">1 Day- 2 Weeks </t>
  </si>
  <si>
    <t>3 Weeks</t>
  </si>
  <si>
    <t>1 Day</t>
  </si>
  <si>
    <t>1-2Hours</t>
  </si>
  <si>
    <t>individually</t>
  </si>
  <si>
    <t>5 Minutes</t>
  </si>
  <si>
    <t>2 Hours-1 Week</t>
  </si>
  <si>
    <t>Plasmatreat — Project Management Process Overview</t>
  </si>
  <si>
    <t>1. Governance &amp; Operating Model</t>
  </si>
  <si>
    <r>
      <t>Single Project Manager (PM)</t>
    </r>
    <r>
      <rPr>
        <sz val="11"/>
        <color theme="1"/>
        <rFont val="Calibri"/>
        <family val="2"/>
        <scheme val="minor"/>
      </rPr>
      <t xml:space="preserve"> assigned to every S2 project.</t>
    </r>
  </si>
  <si>
    <r>
      <t xml:space="preserve">PM has </t>
    </r>
    <r>
      <rPr>
        <b/>
        <sz val="11"/>
        <color theme="1"/>
        <rFont val="Calibri"/>
        <family val="2"/>
        <scheme val="minor"/>
      </rPr>
      <t>full ownership</t>
    </r>
    <r>
      <rPr>
        <sz val="11"/>
        <color theme="1"/>
        <rFont val="Calibri"/>
        <family val="2"/>
        <scheme val="minor"/>
      </rPr>
      <t xml:space="preserve"> for scope, schedule, cost, risk, communication, and stakeholder alignment.</t>
    </r>
  </si>
  <si>
    <r>
      <t>Weekly Steering Team Meeting</t>
    </r>
    <r>
      <rPr>
        <sz val="11"/>
        <color theme="1"/>
        <rFont val="Calibri"/>
        <family val="2"/>
        <scheme val="minor"/>
      </rPr>
      <t xml:space="preserve"> (STM):</t>
    </r>
  </si>
  <si>
    <t>Cross-functional: Engineering, Operations, Procurement, Quality, Finance, PMO.</t>
  </si>
  <si>
    <t>Purpose: Review status, remove roadblocks, approve changes, escalate risks, and confirm key decisions.</t>
  </si>
  <si>
    <r>
      <t>Methodology Basis</t>
    </r>
    <r>
      <rPr>
        <sz val="11"/>
        <color theme="1"/>
        <rFont val="Calibri"/>
        <family val="2"/>
        <scheme val="minor"/>
      </rPr>
      <t>:</t>
    </r>
  </si>
  <si>
    <t>PMI-aligned stage-gate approach.</t>
  </si>
  <si>
    <t>Documentation control via PLM and ERP systems.</t>
  </si>
  <si>
    <t>Risk management aligned with FMEA principles and internal Risk Board reviews.</t>
  </si>
  <si>
    <t>Change management via formal Engineering Change Process (ECP).</t>
  </si>
  <si>
    <t>2. Project Lifecycle Overview</t>
  </si>
  <si>
    <t>Phase 1 — Concept</t>
  </si>
  <si>
    <r>
      <t>Objective:</t>
    </r>
    <r>
      <rPr>
        <sz val="11"/>
        <color theme="1"/>
        <rFont val="Calibri"/>
        <family val="2"/>
        <scheme val="minor"/>
      </rPr>
      <t xml:space="preserve"> Define business need, establish high-level solution concept, and secure preliminary approval.</t>
    </r>
  </si>
  <si>
    <t>Key Internal Processes</t>
  </si>
  <si>
    <t>1. Customer Requirement Intake</t>
  </si>
  <si>
    <t>Capture Voice of Customer (VoC).</t>
  </si>
  <si>
    <t>Initial technical and commercial clarification.</t>
  </si>
  <si>
    <t>Creation of Customer Requirements Specification (CRS).</t>
  </si>
  <si>
    <t>2. Internal Opportunity Assessment</t>
  </si>
  <si>
    <t>Feasibility of plasma technology for application.</t>
  </si>
  <si>
    <t>High-level manufacturability/operations assessment.</t>
  </si>
  <si>
    <t>3. Initial Risk &amp; Opportunity Analysis</t>
  </si>
  <si>
    <r>
      <t xml:space="preserve">Use of a </t>
    </r>
    <r>
      <rPr>
        <b/>
        <sz val="11"/>
        <color theme="1"/>
        <rFont val="Calibri"/>
        <family val="2"/>
        <scheme val="minor"/>
      </rPr>
      <t>Concept-Level Risk Register</t>
    </r>
    <r>
      <rPr>
        <sz val="11"/>
        <color theme="1"/>
        <rFont val="Calibri"/>
        <family val="2"/>
        <scheme val="minor"/>
      </rPr>
      <t xml:space="preserve"> (technical, supply chain, schedule).</t>
    </r>
  </si>
  <si>
    <t>4. Rough Order of Magnitude (ROM) Costing</t>
  </si>
  <si>
    <t>High-level BOM costing.</t>
  </si>
  <si>
    <t>Initial effort estimate (engineering hours, test lab usage).</t>
  </si>
  <si>
    <t>5. Concept Review (Gate 1)</t>
  </si>
  <si>
    <t>Go/No-Go decision.</t>
  </si>
  <si>
    <t>Approval from PMO + Steering Team.</t>
  </si>
  <si>
    <t>PM Methods Used in This Phase</t>
  </si>
  <si>
    <t>Stakeholder identification &amp; mapping</t>
  </si>
  <si>
    <t>High-level project charter</t>
  </si>
  <si>
    <t>Initial risk register</t>
  </si>
  <si>
    <t>Gate-1 approval documentation</t>
  </si>
  <si>
    <t>Phase 2 — Feasibility &amp; Engineering</t>
  </si>
  <si>
    <r>
      <t>Objective:</t>
    </r>
    <r>
      <rPr>
        <sz val="11"/>
        <color theme="1"/>
        <rFont val="Calibri"/>
        <family val="2"/>
        <scheme val="minor"/>
      </rPr>
      <t xml:space="preserve"> Validate technical solution, develop initial engineering designs, and confirm project viability.</t>
    </r>
  </si>
  <si>
    <t>1. Detailed Requirements Engineering</t>
  </si>
  <si>
    <t>Translate CRS into Engineering Requirements Specification (ERS).</t>
  </si>
  <si>
    <t>Cross-functional review: R&amp;D, Electrical, Mechanical, Software, Safety &amp; Compliance.</t>
  </si>
  <si>
    <t>2. Feasibility Testing / Proof of Concept</t>
  </si>
  <si>
    <t>Lab trials with plasma equipment.</t>
  </si>
  <si>
    <t>Material compatibility tests.</t>
  </si>
  <si>
    <t>Lifetime, process window, and stability validation.</t>
  </si>
  <si>
    <t>3. System Architecture Definition</t>
  </si>
  <si>
    <t>Preliminary 3D models and layouts.</t>
  </si>
  <si>
    <t>Selection of key components (HV cables, plasma generators, plasma nozzels, safety devices).</t>
  </si>
  <si>
    <t>Control architecture (PLC, HMI, connectivity).</t>
  </si>
  <si>
    <t>4. Preliminary BOM + Cost Optimization</t>
  </si>
  <si>
    <t>Supplier engagement and long-lead item identification.</t>
  </si>
  <si>
    <t>5. Technical Risk Assessment</t>
  </si>
  <si>
    <t>Safety and compliance gap assessment (UL/CE/ISO).</t>
  </si>
  <si>
    <t>6. Feasibility Review (Gate 2)</t>
  </si>
  <si>
    <t>Validate technical solution.</t>
  </si>
  <si>
    <t>Confirm costs, schedule, and resource needs.</t>
  </si>
  <si>
    <t>Work Breakdown Structure (WBS)</t>
  </si>
  <si>
    <t xml:space="preserve">Risk analysis </t>
  </si>
  <si>
    <t>Schedule baseline creation (Gantt)</t>
  </si>
  <si>
    <t>Stakeholder communication plan</t>
  </si>
  <si>
    <t>Procurement alignment / long-lead strategy</t>
  </si>
  <si>
    <t>Gate-2 feasibility review package</t>
  </si>
  <si>
    <t>Phase 3 — Execution</t>
  </si>
  <si>
    <r>
      <t>Objective:</t>
    </r>
    <r>
      <rPr>
        <sz val="11"/>
        <color theme="1"/>
        <rFont val="Calibri"/>
        <family val="2"/>
        <scheme val="minor"/>
      </rPr>
      <t xml:space="preserve"> Complete engineering, procure components, assemble systems, test, and prepare for customer integration.</t>
    </r>
  </si>
  <si>
    <t>1. Detailed Engineering</t>
  </si>
  <si>
    <t>Full 3D CAD, electrical schematics (EPLAN), pneumatic diagrams.</t>
  </si>
  <si>
    <t>Software development (PLC, HMI, safety logic).</t>
  </si>
  <si>
    <t>Design reviews and internal verification.</t>
  </si>
  <si>
    <t>2. Procurement &amp; Supplier Management</t>
  </si>
  <si>
    <t>Order placement for standard and custom parts.</t>
  </si>
  <si>
    <t>Supplier quality review.</t>
  </si>
  <si>
    <t>Long-lead tracking.</t>
  </si>
  <si>
    <t>3. Build &amp; Assembly</t>
  </si>
  <si>
    <t>Mechanical build of PlasmaTreat equipment.</t>
  </si>
  <si>
    <t>Electrical cabinet assembly.</t>
  </si>
  <si>
    <t>Cable harness fabrication.</t>
  </si>
  <si>
    <t>Compliance and safety validation.</t>
  </si>
  <si>
    <t>4. Factory Acceptance Testing (FAT)</t>
  </si>
  <si>
    <t>Functional &amp; performance validation.</t>
  </si>
  <si>
    <t>Process capability tests.</t>
  </si>
  <si>
    <t>Full documentation pack generated:</t>
  </si>
  <si>
    <t>FAT protocol</t>
  </si>
  <si>
    <t>Operating manual</t>
  </si>
  <si>
    <t>Maintenance guidelines</t>
  </si>
  <si>
    <t>CE declaration / UL documentation (where applicable)</t>
  </si>
  <si>
    <t>5. Project Controls</t>
  </si>
  <si>
    <t>Weekly Steering Team Meeting status updates.</t>
  </si>
  <si>
    <t>Cost tracking / EVM.</t>
  </si>
  <si>
    <t>Risk log updates and mitigation execution.</t>
  </si>
  <si>
    <t>6. Execution Review (Gate 3)</t>
  </si>
  <si>
    <t>System ready for delivery.</t>
  </si>
  <si>
    <t>Customer FAT acceptance.</t>
  </si>
  <si>
    <t>Schedule management (baseline + weekly updates)</t>
  </si>
  <si>
    <t>Risk &amp; mitigation tracking</t>
  </si>
  <si>
    <t>Issue &amp; change control (ECP workflow)</t>
  </si>
  <si>
    <t>Cross-functional alignment through weekly Steering Team Meetings</t>
  </si>
  <si>
    <t>Gate-3 execution approval</t>
  </si>
  <si>
    <t>Phase 4 — Ramp / Bring-Up</t>
  </si>
  <si>
    <r>
      <t>Objective:</t>
    </r>
    <r>
      <rPr>
        <sz val="11"/>
        <color theme="1"/>
        <rFont val="Calibri"/>
        <family val="2"/>
        <scheme val="minor"/>
      </rPr>
      <t xml:space="preserve"> Install, commission, stabilize, and hand over the system to the customer.</t>
    </r>
  </si>
  <si>
    <t>1. Installation &amp; Commissioning</t>
  </si>
  <si>
    <t>On-site plasma system installation via service organization</t>
  </si>
  <si>
    <t>Integration with customer automation.</t>
  </si>
  <si>
    <t>Safety validation.</t>
  </si>
  <si>
    <t>2. Site Acceptance Testing (SAT)</t>
  </si>
  <si>
    <t>Process window validation.</t>
  </si>
  <si>
    <t>Cycle-time confirmation.</t>
  </si>
  <si>
    <t>Operator training.</t>
  </si>
  <si>
    <t>3. Ramp-Up Support</t>
  </si>
  <si>
    <t>Monitoring plasma process stability.</t>
  </si>
  <si>
    <t>On-site or remote troubleshooting.</t>
  </si>
  <si>
    <t>Optimization for throughput and quality.</t>
  </si>
  <si>
    <t>4. Final Acceptance &amp; Handover</t>
  </si>
  <si>
    <t>Customer acceptance documentation.</t>
  </si>
  <si>
    <t>Warranty activation.</t>
  </si>
  <si>
    <t>Transfer to Service organization.</t>
  </si>
  <si>
    <t>5. Project Closeout</t>
  </si>
  <si>
    <t>Lessons learned session.</t>
  </si>
  <si>
    <t>Documentation archiving.</t>
  </si>
  <si>
    <t>Internal performance evaluation (schedule, cost, quality).</t>
  </si>
  <si>
    <t>Ramp-up performance tracking</t>
  </si>
  <si>
    <t>Stakeholder communication &amp; handover planning</t>
  </si>
  <si>
    <t>Lessons-learned workshop</t>
  </si>
  <si>
    <t>Gate-4 closure approval</t>
  </si>
  <si>
    <t>3. Summary Table: Phases vs. Major PM Responsibilities</t>
  </si>
  <si>
    <t>Phase</t>
  </si>
  <si>
    <t>PM Responsibilities (High-Level)</t>
  </si>
  <si>
    <t>Concept</t>
  </si>
  <si>
    <t>Charter, VoC intake, ROM estimate, initial risk register, Gate 1</t>
  </si>
  <si>
    <t>Feasibility &amp; Engineering</t>
  </si>
  <si>
    <t>WBS, schedule baseline, requirement management, Gate 2</t>
  </si>
  <si>
    <t>Execution</t>
  </si>
  <si>
    <t>Weekly STM reporting, EVM tracking, change control, supplier alignment, Gate 3</t>
  </si>
  <si>
    <t>Ramp/Bring-Up</t>
  </si>
  <si>
    <t>Installation coordination, SAT alignment, handover package, lessons learned, Gate 4</t>
  </si>
  <si>
    <t>4. Steering Team Meeting (STM) — Purpose &amp; Deliverables</t>
  </si>
  <si>
    <t>Purpose</t>
  </si>
  <si>
    <t>Govern all active projects.</t>
  </si>
  <si>
    <t>Provide rapid cross-functional decision-making.</t>
  </si>
  <si>
    <t>Reduce project delays via executive escalation path.</t>
  </si>
  <si>
    <t>Outputs</t>
  </si>
  <si>
    <t>Status reports (traffic light).</t>
  </si>
  <si>
    <t>Approved changes and escalations.</t>
  </si>
  <si>
    <t>Updated risk/issue dashboard.</t>
  </si>
  <si>
    <t>Confirmed cross-functional actions.</t>
  </si>
  <si>
    <t>Plasmatreat — Technical Roadmap Overview</t>
  </si>
  <si>
    <t>1. Strategic Vision &amp; R&amp;D Focus</t>
  </si>
  <si>
    <t>Mission &amp; Innovation Philosophy</t>
  </si>
  <si>
    <t xml:space="preserve">Plasmatreat sees itself as a pioneer in plasma-based surface technology — bridging fundamental physics, chemistry, and biology with industrial applications. </t>
  </si>
  <si>
    <t>Sustainability-Driven Innovation</t>
  </si>
  <si>
    <t>The company emphasizes environmentally friendly processes: using only air and electricity, avoiding harmful chemicals, and reducing emissions</t>
  </si>
  <si>
    <t>Research Network &amp; Collaboration</t>
  </si>
  <si>
    <t>It maintains a global R&amp;D presence (technology centers, academic partnerships) to accelerate innovation.</t>
  </si>
  <si>
    <t>Technology Center</t>
  </si>
  <si>
    <t xml:space="preserve">Plasmatreat facilitatesa 1,400 m² technology &amp; research center in Steinhagen to concentrate its application technology, R&amp;D, and pilot production. </t>
  </si>
  <si>
    <t>2. Key Technology Pillars (“Roadmap Themes”)</t>
  </si>
  <si>
    <t>Based on current strategic initiatives and public announcements, Plasmatreat’s technical roadmap can be grouped into several major pillars:</t>
  </si>
  <si>
    <t>Pillar</t>
  </si>
  <si>
    <t>Current / Near-Term Focus</t>
  </si>
  <si>
    <t>Mid- to Long-Term Vision</t>
  </si>
  <si>
    <t>Openair-Plasma® Activation &amp; Cleaning</t>
  </si>
  <si>
    <t xml:space="preserve">Continued development of atmospheric-pressure plasma for ultra-fine, chemical-free cleaning and surface activation. </t>
  </si>
  <si>
    <t>Broader adoption in highly automated production lines; deeper integration with inline quality control.</t>
  </si>
  <si>
    <t>REDOX® Plasma Reduction</t>
  </si>
  <si>
    <t xml:space="preserve">Scaling and industrial roll-out of the REDOX-Tool — for inline, flux-free oxide reduction on metals in electronics manufacturing. </t>
  </si>
  <si>
    <t>Expansion to more sensitive electronics, packaging, and high-yield semiconductor processes.</t>
  </si>
  <si>
    <t>HydroPlasma® Processes</t>
  </si>
  <si>
    <t xml:space="preserve">Continuing work on HydroPlasma® for removing inorganic residues (e.g., fingerprints) which are difficult to remove by traditional methods. </t>
  </si>
  <si>
    <t>Increasing process robustness, reducing cycle times, and extending applicability into new materials and substrates.</t>
  </si>
  <si>
    <t>PlasmaPlus® Nanocoatings</t>
  </si>
  <si>
    <t xml:space="preserve">Development of functional, ultra-thin precursor-based coatings (corrosion protection, adhesion, functionality) using plasma deposition. </t>
  </si>
  <si>
    <t>Broader functional coatings (e.g., barrier, antimicrobial, tailored chemical functionalities), digital printing integration, and scale-up for industrial volumes.</t>
  </si>
  <si>
    <t>Direct-Bonding &amp; High-Performance Adhesive Bonding</t>
  </si>
  <si>
    <t xml:space="preserve">At the new technology center, Plasmatreat is working on plasma-based processes for direct-bonding composites and structural adhesive bonding. </t>
  </si>
  <si>
    <t>Fully integrated plasma-activated bonding lines for advanced composites (e.g., in aerospace, EV, or high-performance manufacturing).</t>
  </si>
  <si>
    <t>Disinfection &amp; Sterilization</t>
  </si>
  <si>
    <t xml:space="preserve">Research in microbiological laboratory → using Openair-Plasma® to disinfect surfaces, packaging, or even sterile environments. </t>
  </si>
  <si>
    <t>Commercial disinfection modules, possibly for medical, packaging, or food industries; validated plasma sterilization cycles.</t>
  </si>
  <si>
    <t>Electronics &amp; Semiconductor Manufacturing</t>
  </si>
  <si>
    <t xml:space="preserve">Focus on inline plasma for electronics: cleaning, activation, reduction, surface prep for soldering &amp; coating. </t>
  </si>
  <si>
    <t>Advanced plasma treatments in front-end/back-end semiconductor, packaging, leadframe, and next-gen device assembly.</t>
  </si>
  <si>
    <t>EV / Battery Technologies</t>
  </si>
  <si>
    <t xml:space="preserve">Plasma processes to improve adhesion in adhesive bonding of battery components (metals, composites, plastics) by increasing surface energy. </t>
  </si>
  <si>
    <t>Full integration into EV battery production lines; plasma-based pre-treatment for adhesives, current collectors, housings, and packaging.</t>
  </si>
  <si>
    <t>3. Enablers &amp; Capabilities Supporting the Roadmap</t>
  </si>
  <si>
    <t>1. State-of-the-Art R&amp;D Infrastructure</t>
  </si>
  <si>
    <t xml:space="preserve">The new 1,400 m² technology center is equipped to run pilot series, test new coating processes, and host customer trials. </t>
  </si>
  <si>
    <t>2. Academia &amp; Partner Ecosystem</t>
  </si>
  <si>
    <t xml:space="preserve">Partnerships with universities and institutes to explore plasma functionalization, new materials, and process integration. </t>
  </si>
  <si>
    <t>3. Scalable Product Platform</t>
  </si>
  <si>
    <t xml:space="preserve">Modular Openair-Plasma® systems, generators, and tools allow flexible scaling and process adaptation. </t>
  </si>
  <si>
    <t xml:space="preserve">Process control: inline process monitoring (“inline process control” is a capability mentioned in company overview). </t>
  </si>
  <si>
    <t>4. Commercialization Track Record</t>
  </si>
  <si>
    <t xml:space="preserve">REDOX-Tool has already been announced and demonstrated (IPC APEX 2024). </t>
  </si>
  <si>
    <t xml:space="preserve">Strong global presence via service &amp; application centers – enabling rapid feedback and co-development with customers. </t>
  </si>
  <si>
    <t>5. Sustainability Focus</t>
  </si>
  <si>
    <t>R&amp;D is deeply aligned with environmental goals: plasma processes that avoid harmful chemistries, reduce VOCs, and conserve resources.</t>
  </si>
  <si>
    <t xml:space="preserve">Innovation awards (e.g., TOP 100 Innovator) reflect consistent investment in R&amp;D. </t>
  </si>
  <si>
    <t>4. Risk Mitigation &amp; Roadmap Execution Strategy</t>
  </si>
  <si>
    <r>
      <t>Governance:</t>
    </r>
    <r>
      <rPr>
        <sz val="11"/>
        <color theme="1"/>
        <rFont val="Calibri"/>
        <family val="2"/>
        <scheme val="minor"/>
      </rPr>
      <t xml:space="preserve"> New tech development is centrally managed through the Steinhagen technology center, ensuring alignment between R&amp;D, product management, and sales.</t>
    </r>
  </si>
  <si>
    <r>
      <t>Pilot-to-Production Path:</t>
    </r>
    <r>
      <rPr>
        <sz val="11"/>
        <color theme="1"/>
        <rFont val="Calibri"/>
        <family val="2"/>
        <scheme val="minor"/>
      </rPr>
      <t xml:space="preserve"> Early prototyping and pilot series in the technology center enable scaling to full industrial deployment.</t>
    </r>
  </si>
  <si>
    <r>
      <t>Customer Co-Development:</t>
    </r>
    <r>
      <rPr>
        <sz val="11"/>
        <color theme="1"/>
        <rFont val="Calibri"/>
        <family val="2"/>
        <scheme val="minor"/>
      </rPr>
      <t xml:space="preserve"> Plasmatreat integrates customer feedback early (e.g., in electronics, EV) via pilot installations to de-risk technology adoption.</t>
    </r>
  </si>
  <si>
    <r>
      <t>Sustainability Validation:</t>
    </r>
    <r>
      <rPr>
        <sz val="11"/>
        <color theme="1"/>
        <rFont val="Calibri"/>
        <family val="2"/>
        <scheme val="minor"/>
      </rPr>
      <t xml:space="preserve"> Ongoing R&amp;D ensures resource-efficient plasma processes while minimizing chemical waste and reducing environmental impact.</t>
    </r>
  </si>
  <si>
    <t>5. Near-Term (12–24 months) Milestones &amp; Deliverables</t>
  </si>
  <si>
    <r>
      <t xml:space="preserve">1. Scale-up and commercialization of the </t>
    </r>
    <r>
      <rPr>
        <b/>
        <sz val="11"/>
        <color theme="1"/>
        <rFont val="Calibri"/>
        <family val="2"/>
        <scheme val="minor"/>
      </rPr>
      <t>REDOX-Tool</t>
    </r>
    <r>
      <rPr>
        <sz val="11"/>
        <color theme="1"/>
        <rFont val="Calibri"/>
        <family val="2"/>
        <scheme val="minor"/>
      </rPr>
      <t xml:space="preserve"> for inline oxide reduction in electronics lines.</t>
    </r>
  </si>
  <si>
    <t>2. Broaden global application of  plasma-coating systems (PlasmaPlus®) for functional nanocoatings in customer sites.</t>
  </si>
  <si>
    <t>3. Installation and commissioning of pilot lines for direct-bonding composites at the new technology center.</t>
  </si>
  <si>
    <t>4. Continuation of excellent projects executions on EV battery component bonding using Openair-Plasma® to improve adhesive performance.</t>
  </si>
  <si>
    <t>5. Continued development of new state of the art generators and plasma jets to meet current and future customer expectations</t>
  </si>
  <si>
    <t>6. Widen use of application of proven Plamatreat’s technology for new industries branches and new niches</t>
  </si>
  <si>
    <t>6. Long-Term (3–5 years) Vision</t>
  </si>
  <si>
    <t>1.Mature plasma-activated production platforms in high-volume industries such as EV, electronics, aerospace, and medical.</t>
  </si>
  <si>
    <t>2.Widespread use of PlasmaPlus® functional coatings in industrial lines (e.g., anti-corrosion, antimicrobial, barrier, Printiing, Bonding).</t>
  </si>
  <si>
    <t>3.Fully integrated plasma systems in automated, digital manufacturing lines with enhanced process monitoring and adaptive control.</t>
  </si>
  <si>
    <t>4.Continued R&amp;D to develop new plasma chemistries, precursor materials, and process modules to address future material- and sustainability-driven challenges.</t>
  </si>
  <si>
    <t>James Harvey, Amy Berg, Tom Mullan, Gary Chan, Andrew Cho, Anil Nair, Kaustubh Zinjarde, Creighton Burrows…...</t>
  </si>
  <si>
    <t>Dunbar, Terry</t>
  </si>
  <si>
    <t xml:space="preserve">Key Account Manager </t>
  </si>
  <si>
    <t>Grewal, Hardev</t>
  </si>
  <si>
    <t>CEO Plasmatreat North America</t>
  </si>
  <si>
    <t>Sahagian, Khoren</t>
  </si>
  <si>
    <t>khoren.sahagian@plasmatreat.com</t>
  </si>
  <si>
    <t>hardev.grewal@plasmatreat.com</t>
  </si>
  <si>
    <t>Global service, Hotline 24/7, Process monitoring, largest global footprint Openair Plasma producer</t>
  </si>
  <si>
    <t xml:space="preserve">   7.  Establishing new low-pressure plasma Aurora platform</t>
  </si>
  <si>
    <t>Karl-Wilhelm Hartge</t>
  </si>
  <si>
    <t>CFO</t>
  </si>
  <si>
    <t>hartge@plasmatreat.de</t>
  </si>
  <si>
    <t>0049(0) 520499601070</t>
  </si>
  <si>
    <t>0049(0) 520499601075</t>
  </si>
  <si>
    <t>0049(0) 520499601071</t>
  </si>
  <si>
    <t>0049(0) 520499601030</t>
  </si>
  <si>
    <t>0049(0) 520499601210</t>
  </si>
  <si>
    <t>0049(0) 520499601156</t>
  </si>
  <si>
    <t>0049(0) 520499601224</t>
  </si>
  <si>
    <t>001 4086214820</t>
  </si>
  <si>
    <t>001 3312101558</t>
  </si>
  <si>
    <t xml:space="preserve">Plasmatreat GmbH. </t>
  </si>
  <si>
    <t>Steinhagen, Germany</t>
  </si>
  <si>
    <t>Quellerstrasse 76-80.                                        D-33803 Steinhagen</t>
  </si>
  <si>
    <t>Open Air Plasma Equipment</t>
  </si>
  <si>
    <t>Expansion plan for Plasmatreat USA Inc. (Elgin) for Assembly and Final Inspection</t>
  </si>
  <si>
    <t>90% of the important Electronic and Mechanical Vendors are located in Germany.</t>
  </si>
  <si>
    <t>No Business with Belarus and Russia.</t>
  </si>
  <si>
    <t>Local Sourcing, Short reaction times, high quality standards</t>
  </si>
  <si>
    <t>CNC, Mill and Lathe onsite</t>
  </si>
  <si>
    <t xml:space="preserve">IQC - selected articles are checed at receiving inspection; IPQC - operator self inspection together with control plan; OQC - final inspection an function test according to written procedure.  </t>
  </si>
  <si>
    <t>Full size ERP-System including Design, Production, Purchasing and Quality Documentation</t>
  </si>
  <si>
    <t>a) local sourcing in Germany; b) central storage with defined quantities</t>
  </si>
  <si>
    <t>Field Service Engineers</t>
  </si>
  <si>
    <t>terry.dunbar@plasmatreat.com</t>
  </si>
  <si>
    <t>CEO</t>
  </si>
  <si>
    <t>Head o. Engineering&amp;Project</t>
  </si>
  <si>
    <t>Head o. Production&amp;Supply</t>
  </si>
  <si>
    <t>Project manager</t>
  </si>
  <si>
    <t>Group leader purchasing</t>
  </si>
  <si>
    <t xml:space="preserve">Global Account Manager </t>
  </si>
  <si>
    <t>November, 28, 2025</t>
  </si>
  <si>
    <t>US: 7
China: 5
India: 2
Vietnam: 2
Thailand: 2
Brazil: 3
ETC:</t>
  </si>
  <si>
    <t xml:space="preserve"> Development and manufacture of plasma systems and low pressure Plasma Equipment</t>
  </si>
  <si>
    <t>e.g. Infineon and a lot other semicon costumers</t>
  </si>
  <si>
    <t xml:space="preserve">currently approx. 30-50 Equipmens per year </t>
  </si>
  <si>
    <t>thomas.spoettl@infineon.com &lt;thomas.spoettl@infineon.com&gt;</t>
  </si>
  <si>
    <t>Openair-Plasma, PlasmaPlus Coating, Hydro-Plasma, Redox (Oxide reduction), Low pressure Plasma</t>
  </si>
  <si>
    <t>Plasmajet, PCU (Plasmacontrol Unit), Generator, Automation cell, low pressure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</si>
</sst>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_-[$$-409]* #,##0_ ;_-[$$-409]* \-#,##0\ ;_-[$$-409]* &quot;-&quot;??_ ;_-@_ "/>
    <numFmt numFmtId="165" formatCode="_-[$$-409]* #,##0.00_ ;_-[$$-409]* \-#,##0.00\ ;_-[$$-409]* &quot;-&quot;_ ;_-@_ "/>
  </numFmts>
  <fonts count="37">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b/>
      <sz val="11"/>
      <color theme="1"/>
      <name val="Calibri"/>
      <family val="2"/>
      <scheme val="minor"/>
    </font>
    <font>
      <u/>
      <sz val="11"/>
      <color rgb="FF254767"/>
      <name val="Segoe UI"/>
      <family val="2"/>
    </font>
    <font>
      <sz val="10"/>
      <color rgb="FF181818"/>
      <name val="Segoe UI"/>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FF"/>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rgb="FFC9C9C9"/>
      </bottom>
      <diagonal/>
    </border>
  </borders>
  <cellStyleXfs count="5">
    <xf numFmtId="0" fontId="0" fillId="0" borderId="0"/>
    <xf numFmtId="9" fontId="5" fillId="0" borderId="0" applyFont="0" applyFill="0" applyBorder="0" applyAlignment="0" applyProtection="0"/>
    <xf numFmtId="0" fontId="5" fillId="0" borderId="0"/>
    <xf numFmtId="0" fontId="12" fillId="0" borderId="0" applyNumberFormat="0" applyFill="0" applyBorder="0" applyAlignment="0" applyProtection="0"/>
    <xf numFmtId="41" fontId="5" fillId="0" borderId="0" applyFont="0" applyFill="0" applyBorder="0" applyAlignment="0" applyProtection="0">
      <alignment vertical="center"/>
    </xf>
  </cellStyleXfs>
  <cellXfs count="104">
    <xf numFmtId="0" fontId="0" fillId="0" borderId="0" xfId="0"/>
    <xf numFmtId="0" fontId="6" fillId="0" borderId="0" xfId="0" applyFont="1"/>
    <xf numFmtId="0" fontId="6" fillId="0" borderId="0" xfId="0" applyFont="1" applyAlignment="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7" fillId="0" borderId="0" xfId="0" applyFont="1"/>
    <xf numFmtId="0" fontId="6" fillId="0" borderId="0" xfId="0" applyFont="1" applyAlignment="1">
      <alignment horizontal="center" vertical="center" wrapText="1"/>
    </xf>
    <xf numFmtId="0" fontId="8" fillId="0" borderId="0" xfId="0" applyFont="1"/>
    <xf numFmtId="0" fontId="9" fillId="3" borderId="1" xfId="2" applyFont="1" applyFill="1" applyBorder="1" applyAlignment="1">
      <alignment horizontal="left" vertical="top" wrapText="1"/>
    </xf>
    <xf numFmtId="0" fontId="10" fillId="0" borderId="1" xfId="0" applyFont="1" applyBorder="1" applyAlignment="1">
      <alignment horizontal="left" vertical="top" wrapText="1"/>
    </xf>
    <xf numFmtId="0" fontId="10" fillId="0" borderId="0" xfId="0" applyFont="1" applyAlignment="1">
      <alignment horizontal="left" wrapText="1"/>
    </xf>
    <xf numFmtId="0" fontId="9" fillId="3" borderId="1" xfId="2" applyFont="1" applyFill="1" applyBorder="1" applyAlignment="1">
      <alignment horizontal="left" vertical="center" wrapText="1"/>
    </xf>
    <xf numFmtId="0" fontId="10" fillId="0" borderId="1" xfId="0" applyFont="1" applyBorder="1" applyAlignment="1">
      <alignment horizontal="left" wrapText="1"/>
    </xf>
    <xf numFmtId="0" fontId="10" fillId="0" borderId="0" xfId="0" applyFont="1" applyAlignment="1">
      <alignment horizontal="left" vertical="center"/>
    </xf>
    <xf numFmtId="0" fontId="13" fillId="2" borderId="0" xfId="0" applyFont="1" applyFill="1" applyAlignment="1">
      <alignment horizontal="left" vertical="center"/>
    </xf>
    <xf numFmtId="0" fontId="14" fillId="0" borderId="0" xfId="0" applyFont="1" applyAlignment="1">
      <alignment horizontal="center" vertical="center"/>
    </xf>
    <xf numFmtId="0" fontId="15" fillId="4" borderId="1" xfId="0" applyFont="1" applyFill="1" applyBorder="1" applyAlignment="1">
      <alignment horizontal="center" vertical="center"/>
    </xf>
    <xf numFmtId="14" fontId="16" fillId="5" borderId="1" xfId="0" applyNumberFormat="1" applyFont="1" applyFill="1" applyBorder="1" applyAlignment="1" applyProtection="1">
      <alignment horizontal="center" vertical="center" wrapText="1"/>
      <protection locked="0"/>
    </xf>
    <xf numFmtId="0" fontId="16" fillId="5" borderId="1" xfId="0" applyFont="1" applyFill="1" applyBorder="1" applyAlignment="1" applyProtection="1">
      <alignment horizontal="center" vertical="center" wrapText="1"/>
      <protection locked="0"/>
    </xf>
    <xf numFmtId="164" fontId="14" fillId="0" borderId="0" xfId="0" applyNumberFormat="1" applyFont="1" applyAlignment="1">
      <alignment horizontal="center" vertical="center"/>
    </xf>
    <xf numFmtId="0" fontId="12" fillId="5" borderId="1" xfId="3" applyFill="1" applyBorder="1" applyAlignment="1" applyProtection="1">
      <alignment horizontal="center" vertical="center" wrapText="1"/>
      <protection locked="0"/>
    </xf>
    <xf numFmtId="0" fontId="14" fillId="0" borderId="0" xfId="0" applyFont="1" applyAlignment="1">
      <alignment horizontal="left" vertical="center"/>
    </xf>
    <xf numFmtId="0" fontId="16" fillId="5" borderId="2" xfId="0" applyFont="1" applyFill="1" applyBorder="1" applyAlignment="1" applyProtection="1">
      <alignment horizontal="center" vertical="center" wrapText="1"/>
      <protection locked="0"/>
    </xf>
    <xf numFmtId="0" fontId="12" fillId="5" borderId="2" xfId="3" applyFill="1" applyBorder="1" applyAlignment="1" applyProtection="1">
      <alignment horizontal="center" vertical="center" wrapText="1"/>
      <protection locked="0"/>
    </xf>
    <xf numFmtId="0" fontId="15" fillId="4" borderId="5" xfId="0" applyFont="1" applyFill="1" applyBorder="1" applyAlignment="1">
      <alignment horizontal="center" vertical="center"/>
    </xf>
    <xf numFmtId="0" fontId="15" fillId="4" borderId="6" xfId="0" applyFont="1" applyFill="1" applyBorder="1" applyAlignment="1">
      <alignment horizontal="center" vertical="center"/>
    </xf>
    <xf numFmtId="0" fontId="15" fillId="4" borderId="7" xfId="0" applyFont="1" applyFill="1" applyBorder="1" applyAlignment="1">
      <alignment horizontal="center" vertical="center" wrapText="1"/>
    </xf>
    <xf numFmtId="0" fontId="17" fillId="4" borderId="8" xfId="0" applyFont="1" applyFill="1" applyBorder="1" applyAlignment="1">
      <alignment horizontal="center" vertical="center"/>
    </xf>
    <xf numFmtId="0" fontId="16" fillId="5" borderId="9" xfId="0" quotePrefix="1" applyFont="1" applyFill="1" applyBorder="1" applyAlignment="1" applyProtection="1">
      <alignment horizontal="center" vertical="center" wrapText="1"/>
      <protection locked="0"/>
    </xf>
    <xf numFmtId="0" fontId="17" fillId="4" borderId="10" xfId="0" applyFont="1" applyFill="1" applyBorder="1" applyAlignment="1">
      <alignment horizontal="center" vertical="center"/>
    </xf>
    <xf numFmtId="0" fontId="16" fillId="5" borderId="11" xfId="0" applyFont="1" applyFill="1" applyBorder="1" applyAlignment="1" applyProtection="1">
      <alignment horizontal="center" vertical="center" wrapText="1"/>
      <protection locked="0"/>
    </xf>
    <xf numFmtId="0" fontId="12" fillId="5" borderId="11" xfId="3" applyFill="1" applyBorder="1" applyAlignment="1" applyProtection="1">
      <alignment horizontal="center" vertical="center" wrapText="1"/>
      <protection locked="0"/>
    </xf>
    <xf numFmtId="0" fontId="16" fillId="5" borderId="12" xfId="0" quotePrefix="1" applyFont="1" applyFill="1" applyBorder="1" applyAlignment="1" applyProtection="1">
      <alignment horizontal="center" vertical="center" wrapText="1"/>
      <protection locked="0"/>
    </xf>
    <xf numFmtId="0" fontId="18" fillId="4" borderId="1" xfId="0" applyFont="1" applyFill="1" applyBorder="1" applyAlignment="1">
      <alignment horizontal="center" vertical="center"/>
    </xf>
    <xf numFmtId="0" fontId="21" fillId="2" borderId="0" xfId="0" applyFont="1" applyFill="1" applyAlignment="1">
      <alignment horizontal="left" vertical="center"/>
    </xf>
    <xf numFmtId="0" fontId="22" fillId="0" borderId="0" xfId="0" applyFont="1" applyAlignment="1">
      <alignment horizontal="center" vertical="center"/>
    </xf>
    <xf numFmtId="0" fontId="15" fillId="4" borderId="1" xfId="0" applyFont="1" applyFill="1" applyBorder="1" applyAlignment="1">
      <alignment horizontal="center" vertical="center" wrapText="1"/>
    </xf>
    <xf numFmtId="0" fontId="23" fillId="5" borderId="1" xfId="0" applyFont="1" applyFill="1" applyBorder="1" applyAlignment="1" applyProtection="1">
      <alignment horizontal="center" vertical="center" wrapText="1"/>
      <protection locked="0"/>
    </xf>
    <xf numFmtId="1" fontId="23" fillId="5" borderId="1" xfId="0" applyNumberFormat="1" applyFont="1" applyFill="1" applyBorder="1" applyAlignment="1" applyProtection="1">
      <alignment horizontal="center" vertical="center" wrapText="1"/>
      <protection locked="0"/>
    </xf>
    <xf numFmtId="1" fontId="16" fillId="5" borderId="1" xfId="0" applyNumberFormat="1" applyFont="1" applyFill="1" applyBorder="1" applyAlignment="1" applyProtection="1">
      <alignment horizontal="center" vertical="center" wrapText="1"/>
      <protection locked="0"/>
    </xf>
    <xf numFmtId="0" fontId="19" fillId="4" borderId="1" xfId="2" applyFont="1" applyFill="1" applyBorder="1" applyAlignment="1">
      <alignment horizontal="left" vertical="top" wrapText="1" indent="1"/>
    </xf>
    <xf numFmtId="0" fontId="19" fillId="4" borderId="1" xfId="2" applyFont="1" applyFill="1" applyBorder="1" applyAlignment="1">
      <alignment horizontal="left" vertical="top" wrapText="1"/>
    </xf>
    <xf numFmtId="0" fontId="21" fillId="0" borderId="0" xfId="0" applyFont="1" applyAlignment="1">
      <alignment horizontal="left" vertical="center"/>
    </xf>
    <xf numFmtId="0" fontId="24" fillId="6" borderId="1" xfId="0" applyFont="1" applyFill="1" applyBorder="1" applyAlignment="1">
      <alignment horizontal="center" vertical="center"/>
    </xf>
    <xf numFmtId="0" fontId="25" fillId="6" borderId="1" xfId="0" applyFont="1" applyFill="1" applyBorder="1" applyAlignment="1">
      <alignment horizontal="center" vertical="center" wrapText="1"/>
    </xf>
    <xf numFmtId="0" fontId="25" fillId="6" borderId="1" xfId="0" applyFont="1" applyFill="1" applyBorder="1" applyAlignment="1">
      <alignment horizontal="center" vertical="center"/>
    </xf>
    <xf numFmtId="0" fontId="14" fillId="7" borderId="1" xfId="0" applyFont="1" applyFill="1" applyBorder="1" applyAlignment="1">
      <alignment horizontal="center" vertical="center" wrapText="1"/>
    </xf>
    <xf numFmtId="14" fontId="28" fillId="5" borderId="1" xfId="0" applyNumberFormat="1" applyFont="1" applyFill="1" applyBorder="1" applyAlignment="1" applyProtection="1">
      <alignment horizontal="center" vertical="center" wrapText="1"/>
      <protection locked="0"/>
    </xf>
    <xf numFmtId="0" fontId="10" fillId="0" borderId="0" xfId="0" applyFont="1"/>
    <xf numFmtId="0" fontId="27" fillId="0" borderId="0" xfId="0" applyFont="1" applyAlignment="1">
      <alignment vertical="center"/>
    </xf>
    <xf numFmtId="0" fontId="25" fillId="5" borderId="1" xfId="0" applyFont="1" applyFill="1" applyBorder="1" applyAlignment="1" applyProtection="1">
      <alignment horizontal="center" vertical="center" wrapText="1"/>
      <protection locked="0"/>
    </xf>
    <xf numFmtId="0" fontId="29" fillId="0" borderId="0" xfId="0" applyFont="1" applyAlignment="1">
      <alignment horizontal="right"/>
    </xf>
    <xf numFmtId="1" fontId="29" fillId="0" borderId="0" xfId="0" applyNumberFormat="1" applyFont="1"/>
    <xf numFmtId="0" fontId="10" fillId="0" borderId="1" xfId="2" applyFont="1" applyBorder="1" applyAlignment="1">
      <alignment horizontal="left" vertical="top" wrapText="1" indent="6"/>
    </xf>
    <xf numFmtId="0" fontId="10" fillId="0" borderId="0" xfId="0" applyFont="1" applyAlignment="1">
      <alignment horizontal="left"/>
    </xf>
    <xf numFmtId="0" fontId="19" fillId="4" borderId="1" xfId="2" applyFont="1" applyFill="1" applyBorder="1" applyAlignment="1">
      <alignment horizontal="left" vertical="top" wrapText="1" indent="4"/>
    </xf>
    <xf numFmtId="0" fontId="10" fillId="4" borderId="1" xfId="0" applyFont="1" applyFill="1" applyBorder="1" applyAlignment="1">
      <alignment horizontal="left" vertical="center"/>
    </xf>
    <xf numFmtId="0" fontId="30" fillId="0" borderId="0" xfId="0" applyFont="1"/>
    <xf numFmtId="165" fontId="16" fillId="5" borderId="1" xfId="0" applyNumberFormat="1" applyFont="1" applyFill="1" applyBorder="1" applyAlignment="1" applyProtection="1">
      <alignment horizontal="center" vertical="center" wrapText="1"/>
      <protection locked="0"/>
    </xf>
    <xf numFmtId="165" fontId="16" fillId="5" borderId="1" xfId="4" applyNumberFormat="1" applyFont="1" applyFill="1" applyBorder="1" applyAlignment="1" applyProtection="1">
      <alignment horizontal="center" vertical="center" wrapText="1"/>
      <protection locked="0"/>
    </xf>
    <xf numFmtId="1" fontId="16" fillId="5" borderId="1" xfId="0" applyNumberFormat="1" applyFont="1" applyFill="1" applyBorder="1" applyAlignment="1" applyProtection="1">
      <alignment vertical="center" wrapText="1"/>
      <protection locked="0"/>
    </xf>
    <xf numFmtId="0" fontId="16" fillId="0" borderId="0" xfId="0" applyFont="1" applyAlignment="1">
      <alignment horizontal="center" vertical="center"/>
    </xf>
    <xf numFmtId="0" fontId="31" fillId="0" borderId="0" xfId="0" applyFont="1" applyAlignment="1">
      <alignment horizontal="center" vertical="center"/>
    </xf>
    <xf numFmtId="0" fontId="32" fillId="0" borderId="0" xfId="0" applyFont="1" applyAlignment="1">
      <alignment horizontal="center" vertical="center"/>
    </xf>
    <xf numFmtId="0" fontId="25" fillId="4" borderId="1" xfId="0" applyFont="1" applyFill="1" applyBorder="1" applyAlignment="1">
      <alignment horizontal="center" vertical="center"/>
    </xf>
    <xf numFmtId="0" fontId="15" fillId="4" borderId="3" xfId="0" applyFont="1" applyFill="1" applyBorder="1" applyAlignment="1">
      <alignment horizontal="center" vertical="center"/>
    </xf>
    <xf numFmtId="0" fontId="15" fillId="4" borderId="15" xfId="0" applyFont="1" applyFill="1" applyBorder="1" applyAlignment="1">
      <alignment horizontal="center" vertical="center"/>
    </xf>
    <xf numFmtId="0" fontId="15" fillId="4" borderId="15" xfId="0" applyFont="1" applyFill="1" applyBorder="1" applyAlignment="1">
      <alignment horizontal="center" vertical="center" wrapText="1"/>
    </xf>
    <xf numFmtId="1" fontId="16" fillId="5" borderId="1" xfId="0" quotePrefix="1" applyNumberFormat="1" applyFont="1" applyFill="1" applyBorder="1" applyAlignment="1" applyProtection="1">
      <alignment horizontal="center" vertical="center" wrapText="1"/>
      <protection locked="0"/>
    </xf>
    <xf numFmtId="0" fontId="28" fillId="0" borderId="1" xfId="0" applyFont="1" applyBorder="1" applyAlignment="1">
      <alignment horizontal="left" vertical="top" wrapText="1"/>
    </xf>
    <xf numFmtId="0" fontId="6" fillId="0" borderId="1" xfId="0" applyFont="1" applyBorder="1" applyAlignment="1" applyProtection="1">
      <alignment horizontal="center" vertical="center"/>
      <protection locked="0"/>
    </xf>
    <xf numFmtId="0" fontId="6" fillId="0" borderId="1" xfId="0" applyFont="1" applyBorder="1" applyAlignment="1" applyProtection="1">
      <alignment horizontal="center" vertical="center" wrapText="1"/>
      <protection locked="0"/>
    </xf>
    <xf numFmtId="9" fontId="6" fillId="0" borderId="1" xfId="1" applyFont="1" applyBorder="1" applyAlignment="1" applyProtection="1">
      <alignment horizontal="center" vertical="center" wrapText="1"/>
      <protection locked="0"/>
    </xf>
    <xf numFmtId="9" fontId="6" fillId="0" borderId="1" xfId="1" applyFont="1" applyBorder="1" applyAlignment="1" applyProtection="1">
      <alignment horizontal="center" vertical="center"/>
      <protection locked="0"/>
    </xf>
    <xf numFmtId="0" fontId="6" fillId="0" borderId="0" xfId="0" applyFont="1" applyAlignment="1">
      <alignment vertical="center" wrapText="1"/>
    </xf>
    <xf numFmtId="0" fontId="34" fillId="0" borderId="0" xfId="0" applyFont="1" applyAlignment="1">
      <alignment vertical="center"/>
    </xf>
    <xf numFmtId="0" fontId="34" fillId="0" borderId="0" xfId="0" applyFont="1" applyAlignment="1">
      <alignment horizontal="left" vertical="center" indent="1"/>
    </xf>
    <xf numFmtId="0" fontId="4" fillId="0" borderId="0" xfId="0" applyFont="1" applyAlignment="1">
      <alignment horizontal="left" vertical="center" indent="2"/>
    </xf>
    <xf numFmtId="0" fontId="4" fillId="0" borderId="0" xfId="0" applyFont="1" applyAlignment="1">
      <alignment vertical="center"/>
    </xf>
    <xf numFmtId="0" fontId="4" fillId="0" borderId="0" xfId="0" applyFont="1" applyAlignment="1">
      <alignment horizontal="left" vertical="center" indent="1"/>
    </xf>
    <xf numFmtId="0" fontId="4" fillId="0" borderId="0" xfId="0" applyFont="1" applyAlignment="1">
      <alignment horizontal="left" vertical="center" indent="3"/>
    </xf>
    <xf numFmtId="0" fontId="34" fillId="0" borderId="0" xfId="0" applyFont="1" applyAlignment="1">
      <alignment vertical="center" wrapText="1"/>
    </xf>
    <xf numFmtId="0" fontId="0" fillId="0" borderId="0" xfId="0" applyAlignment="1">
      <alignment wrapText="1"/>
    </xf>
    <xf numFmtId="0" fontId="29" fillId="0" borderId="0" xfId="0" applyFont="1" applyAlignment="1">
      <alignment vertical="center"/>
    </xf>
    <xf numFmtId="0" fontId="4" fillId="0" borderId="0" xfId="0" applyFont="1" applyAlignment="1">
      <alignment horizontal="left" vertical="center" indent="4"/>
    </xf>
    <xf numFmtId="0" fontId="3" fillId="0" borderId="0" xfId="0" applyFont="1" applyAlignment="1">
      <alignment horizontal="left" vertical="center" indent="1"/>
    </xf>
    <xf numFmtId="0" fontId="35" fillId="5" borderId="1" xfId="3" applyFont="1" applyFill="1" applyBorder="1" applyAlignment="1" applyProtection="1">
      <alignment horizontal="center" vertical="center" wrapText="1"/>
      <protection locked="0"/>
    </xf>
    <xf numFmtId="0" fontId="2" fillId="0" borderId="0" xfId="0" applyFont="1" applyAlignment="1">
      <alignment vertical="center"/>
    </xf>
    <xf numFmtId="0" fontId="36" fillId="9" borderId="16" xfId="0" applyFont="1" applyFill="1" applyBorder="1" applyAlignment="1" applyProtection="1">
      <alignment horizontal="left" vertical="center"/>
      <protection locked="0"/>
    </xf>
    <xf numFmtId="0" fontId="15" fillId="4" borderId="1" xfId="0" applyFont="1" applyFill="1" applyBorder="1" applyAlignment="1">
      <alignment horizontal="left" vertical="center" wrapText="1"/>
    </xf>
    <xf numFmtId="0" fontId="16" fillId="5" borderId="3" xfId="0" applyFont="1" applyFill="1" applyBorder="1" applyAlignment="1" applyProtection="1">
      <alignment horizontal="left" vertical="center" wrapText="1"/>
      <protection locked="0"/>
    </xf>
    <xf numFmtId="0" fontId="16" fillId="5" borderId="13" xfId="0" applyFont="1" applyFill="1" applyBorder="1" applyAlignment="1" applyProtection="1">
      <alignment horizontal="left" vertical="center" wrapText="1"/>
      <protection locked="0"/>
    </xf>
    <xf numFmtId="0" fontId="16" fillId="5" borderId="4" xfId="0" applyFont="1" applyFill="1" applyBorder="1" applyAlignment="1" applyProtection="1">
      <alignment horizontal="left" vertical="center" wrapText="1"/>
      <protection locked="0"/>
    </xf>
    <xf numFmtId="0" fontId="15" fillId="4" borderId="3" xfId="0" applyFont="1" applyFill="1" applyBorder="1" applyAlignment="1">
      <alignment vertical="center" wrapText="1"/>
    </xf>
    <xf numFmtId="0" fontId="15" fillId="4" borderId="4" xfId="0" applyFont="1" applyFill="1" applyBorder="1" applyAlignment="1">
      <alignment vertical="center" wrapText="1"/>
    </xf>
    <xf numFmtId="0" fontId="15" fillId="4" borderId="1" xfId="0" applyFont="1" applyFill="1" applyBorder="1" applyAlignment="1">
      <alignment horizontal="center" vertical="center"/>
    </xf>
    <xf numFmtId="0" fontId="14" fillId="7"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4" fillId="0" borderId="0" xfId="0" applyFont="1" applyAlignment="1">
      <alignment vertical="center" wrapText="1"/>
    </xf>
    <xf numFmtId="0" fontId="0" fillId="0" borderId="0" xfId="0" applyAlignment="1">
      <alignment wrapText="1"/>
    </xf>
    <xf numFmtId="0" fontId="34" fillId="0" borderId="0" xfId="0" applyFont="1" applyAlignment="1">
      <alignment vertical="center" wrapText="1"/>
    </xf>
    <xf numFmtId="0" fontId="0" fillId="0" borderId="0" xfId="0"/>
    <xf numFmtId="0" fontId="18" fillId="4" borderId="1" xfId="0" applyFont="1" applyFill="1" applyBorder="1" applyAlignment="1">
      <alignment horizontal="center" vertical="center" wrapText="1"/>
    </xf>
    <xf numFmtId="0" fontId="15" fillId="4" borderId="14" xfId="0" applyFont="1" applyFill="1" applyBorder="1" applyAlignment="1">
      <alignment horizontal="center" vertical="center"/>
    </xf>
  </cellXfs>
  <cellStyles count="5">
    <cellStyle name="Comma [0] 2" xfId="4" xr:uid="{286E3D10-827B-F54C-817D-B29004B17F97}"/>
    <cellStyle name="Link" xfId="3" builtinId="8"/>
    <cellStyle name="Normal 2" xfId="2" xr:uid="{C3243E13-6EF8-E042-BC12-751DCDBFECFE}"/>
    <cellStyle name="Prozent" xfId="1" builtinId="5"/>
    <cellStyle name="Standard" xfId="0" builtinId="0"/>
  </cellStyles>
  <dxfs count="66">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hyperlink" Target="https://www.plasmatreat.com/en/company/about-plasmatreat?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workbookViewId="0">
      <selection activeCell="B10" sqref="B10"/>
    </sheetView>
  </sheetViews>
  <sheetFormatPr baseColWidth="10" defaultColWidth="10.83203125" defaultRowHeight="20"/>
  <cols>
    <col min="1" max="1" width="10.83203125" style="48"/>
    <col min="2" max="2" width="200.83203125" style="10" customWidth="1"/>
    <col min="3" max="16384" width="10.83203125" style="48"/>
  </cols>
  <sheetData>
    <row r="2" spans="2:2" ht="22">
      <c r="B2" s="8" t="s">
        <v>212</v>
      </c>
    </row>
    <row r="3" spans="2:2" ht="22">
      <c r="B3" s="41" t="s">
        <v>174</v>
      </c>
    </row>
    <row r="4" spans="2:2" ht="84">
      <c r="B4" s="9" t="s">
        <v>113</v>
      </c>
    </row>
    <row r="5" spans="2:2" ht="22">
      <c r="B5" s="41" t="s">
        <v>175</v>
      </c>
    </row>
    <row r="6" spans="2:2" ht="42">
      <c r="B6" s="9" t="s">
        <v>114</v>
      </c>
    </row>
    <row r="7" spans="2:2" ht="22">
      <c r="B7" s="41" t="s">
        <v>176</v>
      </c>
    </row>
    <row r="8" spans="2:2" ht="294">
      <c r="B8" s="9" t="s">
        <v>291</v>
      </c>
    </row>
    <row r="9" spans="2:2" ht="22">
      <c r="B9" s="41" t="s">
        <v>177</v>
      </c>
    </row>
    <row r="10" spans="2:2" ht="22">
      <c r="B10" s="9" t="s">
        <v>319</v>
      </c>
    </row>
    <row r="11" spans="2:2" ht="22">
      <c r="B11" s="41" t="s">
        <v>178</v>
      </c>
    </row>
    <row r="12" spans="2:2" ht="42">
      <c r="B12" s="9" t="s">
        <v>115</v>
      </c>
    </row>
    <row r="13" spans="2:2" ht="22">
      <c r="B13" s="41" t="s">
        <v>179</v>
      </c>
    </row>
    <row r="14" spans="2:2" ht="84">
      <c r="B14" s="69" t="s">
        <v>316</v>
      </c>
    </row>
  </sheetData>
  <sheetProtection algorithmName="SHA-512" hashValue="gNEeoSaHz0Uu18VdOcEyK/p84qeJJF8CIF0tFHmc4GF7IrTX01qVcEa1Hedm4DXyFCdELvLMAzKP0cDidCfi9w==" saltValue="a4PtLAARMg3VQpgqL3E1CA=="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abSelected="1" zoomScale="118" workbookViewId="0">
      <selection activeCell="B8" sqref="B8"/>
    </sheetView>
  </sheetViews>
  <sheetFormatPr baseColWidth="10" defaultColWidth="10.83203125" defaultRowHeight="20"/>
  <cols>
    <col min="1" max="1" width="10.83203125" style="48"/>
    <col min="2" max="2" width="200.83203125" style="10" customWidth="1"/>
    <col min="3" max="16384" width="10.83203125" style="48"/>
  </cols>
  <sheetData>
    <row r="2" spans="2:2" ht="22">
      <c r="B2" s="8" t="s">
        <v>116</v>
      </c>
    </row>
    <row r="3" spans="2:2" ht="22">
      <c r="B3" s="40" t="s">
        <v>160</v>
      </c>
    </row>
    <row r="4" spans="2:2" ht="42">
      <c r="B4" s="9" t="s">
        <v>117</v>
      </c>
    </row>
    <row r="5" spans="2:2" ht="22">
      <c r="B5" s="41" t="s">
        <v>161</v>
      </c>
    </row>
    <row r="6" spans="2:2" ht="42">
      <c r="B6" s="9" t="s">
        <v>118</v>
      </c>
    </row>
    <row r="7" spans="2:2" ht="22">
      <c r="B7" s="41" t="s">
        <v>162</v>
      </c>
    </row>
    <row r="8" spans="2:2" ht="64">
      <c r="B8" s="9" t="s">
        <v>320</v>
      </c>
    </row>
    <row r="9" spans="2:2" ht="22">
      <c r="B9" s="41" t="s">
        <v>163</v>
      </c>
    </row>
    <row r="10" spans="2:2" ht="42">
      <c r="B10" s="9" t="s">
        <v>119</v>
      </c>
    </row>
    <row r="11" spans="2:2" ht="22">
      <c r="B11" s="41" t="s">
        <v>164</v>
      </c>
    </row>
    <row r="12" spans="2:2" ht="105">
      <c r="B12" s="9" t="s">
        <v>120</v>
      </c>
    </row>
    <row r="13" spans="2:2" ht="22">
      <c r="B13" s="41" t="s">
        <v>165</v>
      </c>
    </row>
    <row r="14" spans="2:2" ht="84">
      <c r="B14" s="9" t="s">
        <v>121</v>
      </c>
    </row>
    <row r="15" spans="2:2" ht="22">
      <c r="B15" s="41" t="s">
        <v>166</v>
      </c>
    </row>
    <row r="16" spans="2:2" ht="168">
      <c r="B16" s="9" t="s">
        <v>122</v>
      </c>
    </row>
    <row r="17" spans="2:2" ht="22">
      <c r="B17" s="41" t="s">
        <v>167</v>
      </c>
    </row>
    <row r="18" spans="2:2" ht="42">
      <c r="B18" s="9" t="s">
        <v>123</v>
      </c>
    </row>
    <row r="19" spans="2:2" ht="22">
      <c r="B19" s="41" t="s">
        <v>168</v>
      </c>
    </row>
    <row r="20" spans="2:2" ht="105">
      <c r="B20" s="9" t="s">
        <v>124</v>
      </c>
    </row>
    <row r="21" spans="2:2" ht="22">
      <c r="B21" s="41" t="s">
        <v>169</v>
      </c>
    </row>
    <row r="22" spans="2:2" ht="63">
      <c r="B22" s="9" t="s">
        <v>125</v>
      </c>
    </row>
    <row r="23" spans="2:2" ht="22">
      <c r="B23" s="41" t="s">
        <v>170</v>
      </c>
    </row>
    <row r="24" spans="2:2" ht="210">
      <c r="B24" s="9" t="s">
        <v>126</v>
      </c>
    </row>
    <row r="25" spans="2:2" ht="22">
      <c r="B25" s="41" t="s">
        <v>171</v>
      </c>
    </row>
    <row r="26" spans="2:2" ht="147">
      <c r="B26" s="9" t="s">
        <v>127</v>
      </c>
    </row>
    <row r="27" spans="2:2" ht="22">
      <c r="B27" s="41" t="s">
        <v>172</v>
      </c>
    </row>
    <row r="28" spans="2:2" ht="42">
      <c r="B28" s="9" t="s">
        <v>128</v>
      </c>
    </row>
    <row r="29" spans="2:2" ht="22">
      <c r="B29" s="41" t="s">
        <v>173</v>
      </c>
    </row>
    <row r="30" spans="2:2" ht="42">
      <c r="B30" s="9" t="s">
        <v>129</v>
      </c>
    </row>
  </sheetData>
  <sheetProtection algorithmName="SHA-512" hashValue="oPI9W8iskSgpld/0BkjZBsYnh5Hq6dyz0CDPgqA1ni8GlsxmWoGR94CoqCdWi3PzbXEQ5SdtT3TX+p47CBhapQ==" saltValue="5jF/pdWWHs7i04RBnxdMfw=="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C4" sqref="C4"/>
    </sheetView>
  </sheetViews>
  <sheetFormatPr baseColWidth="10" defaultColWidth="10.83203125" defaultRowHeight="20"/>
  <cols>
    <col min="1" max="1" width="10.83203125" style="48"/>
    <col min="2" max="2" width="141.5" style="10" customWidth="1"/>
    <col min="3" max="3" width="40.83203125" style="13" customWidth="1"/>
    <col min="4" max="16384" width="10.83203125" style="48"/>
  </cols>
  <sheetData>
    <row r="2" spans="2:3" ht="22">
      <c r="B2" s="8" t="s">
        <v>130</v>
      </c>
      <c r="C2" s="11"/>
    </row>
    <row r="3" spans="2:3" ht="22">
      <c r="B3" s="40" t="s">
        <v>151</v>
      </c>
      <c r="C3" s="11"/>
    </row>
    <row r="4" spans="2:3" ht="210">
      <c r="B4" s="12" t="s">
        <v>131</v>
      </c>
      <c r="C4" s="47" t="s">
        <v>36</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zoomScaleNormal="100" workbookViewId="0">
      <selection activeCell="C2" sqref="C2"/>
    </sheetView>
  </sheetViews>
  <sheetFormatPr baseColWidth="10" defaultColWidth="10.83203125" defaultRowHeight="19"/>
  <cols>
    <col min="1" max="1" width="3.5" style="15" customWidth="1"/>
    <col min="2" max="2" width="74.6640625" style="15" customWidth="1"/>
    <col min="3" max="4" width="29.1640625" style="15" customWidth="1"/>
    <col min="5" max="5" width="30.33203125" style="15" bestFit="1" customWidth="1"/>
    <col min="6" max="6" width="29.1640625" style="15" customWidth="1"/>
    <col min="7" max="7" width="38.33203125" style="15" customWidth="1"/>
    <col min="8" max="8" width="10.83203125" style="3" customWidth="1"/>
    <col min="9" max="16384" width="10.83203125" style="3"/>
  </cols>
  <sheetData>
    <row r="1" spans="1:7" ht="26" customHeight="1">
      <c r="B1" s="14" t="s">
        <v>234</v>
      </c>
    </row>
    <row r="2" spans="1:7" ht="26" customHeight="1">
      <c r="A2" s="15">
        <v>1</v>
      </c>
      <c r="B2" s="16" t="s">
        <v>132</v>
      </c>
      <c r="C2" s="17" t="s">
        <v>628</v>
      </c>
    </row>
    <row r="3" spans="1:7" ht="26" customHeight="1">
      <c r="A3" s="15">
        <v>2</v>
      </c>
      <c r="B3" s="16" t="s">
        <v>14</v>
      </c>
      <c r="C3" s="18" t="s">
        <v>321</v>
      </c>
    </row>
    <row r="4" spans="1:7" ht="26" customHeight="1">
      <c r="A4" s="15">
        <v>3</v>
      </c>
      <c r="B4" s="16" t="s">
        <v>13</v>
      </c>
      <c r="C4" s="18" t="s">
        <v>322</v>
      </c>
      <c r="E4" s="19"/>
    </row>
    <row r="5" spans="1:7" ht="26" customHeight="1">
      <c r="A5" s="15">
        <v>4</v>
      </c>
      <c r="B5" s="16" t="s">
        <v>133</v>
      </c>
      <c r="C5" s="18" t="s">
        <v>323</v>
      </c>
      <c r="E5" s="19"/>
    </row>
    <row r="6" spans="1:7" ht="26" customHeight="1">
      <c r="A6" s="15">
        <v>5</v>
      </c>
      <c r="B6" s="16" t="s">
        <v>0</v>
      </c>
      <c r="C6" s="20" t="s">
        <v>324</v>
      </c>
      <c r="E6" s="19"/>
    </row>
    <row r="7" spans="1:7" ht="26" customHeight="1">
      <c r="A7" s="15">
        <v>6</v>
      </c>
      <c r="B7" s="16" t="s">
        <v>1</v>
      </c>
      <c r="C7" s="18" t="s">
        <v>105</v>
      </c>
      <c r="E7" s="19"/>
    </row>
    <row r="8" spans="1:7" ht="26" customHeight="1">
      <c r="A8" s="15">
        <v>7</v>
      </c>
      <c r="B8" s="16" t="s">
        <v>2</v>
      </c>
      <c r="C8" s="18"/>
    </row>
    <row r="9" spans="1:7" ht="26" customHeight="1">
      <c r="A9" s="15">
        <v>8</v>
      </c>
      <c r="B9" s="16" t="s">
        <v>134</v>
      </c>
      <c r="C9" s="18"/>
    </row>
    <row r="10" spans="1:7" ht="26" customHeight="1">
      <c r="A10" s="15">
        <v>9</v>
      </c>
      <c r="B10" s="16" t="s">
        <v>5</v>
      </c>
      <c r="C10" s="18">
        <v>300</v>
      </c>
    </row>
    <row r="11" spans="1:7">
      <c r="A11" s="15">
        <v>10</v>
      </c>
      <c r="B11" s="16" t="s">
        <v>3</v>
      </c>
      <c r="C11" s="18">
        <v>1992</v>
      </c>
    </row>
    <row r="12" spans="1:7">
      <c r="A12" s="15">
        <v>11</v>
      </c>
      <c r="B12" s="16" t="s">
        <v>4</v>
      </c>
      <c r="C12" s="18">
        <v>2010</v>
      </c>
      <c r="F12" s="21"/>
    </row>
    <row r="15" spans="1:7" ht="40">
      <c r="B15" s="24" t="s">
        <v>135</v>
      </c>
      <c r="C15" s="25" t="s">
        <v>136</v>
      </c>
      <c r="D15" s="25" t="s">
        <v>19</v>
      </c>
      <c r="E15" s="25" t="s">
        <v>112</v>
      </c>
      <c r="F15" s="25" t="s">
        <v>20</v>
      </c>
      <c r="G15" s="26" t="s">
        <v>137</v>
      </c>
    </row>
    <row r="16" spans="1:7" ht="20">
      <c r="B16" s="27" t="s">
        <v>21</v>
      </c>
      <c r="C16" s="18" t="s">
        <v>325</v>
      </c>
      <c r="D16" s="18" t="s">
        <v>622</v>
      </c>
      <c r="E16" s="18" t="s">
        <v>326</v>
      </c>
      <c r="F16" s="20" t="s">
        <v>327</v>
      </c>
      <c r="G16" s="28" t="s">
        <v>599</v>
      </c>
    </row>
    <row r="17" spans="2:7" ht="20">
      <c r="B17" s="27" t="s">
        <v>138</v>
      </c>
      <c r="C17" s="18" t="s">
        <v>587</v>
      </c>
      <c r="D17" s="18" t="s">
        <v>627</v>
      </c>
      <c r="E17" s="18" t="s">
        <v>326</v>
      </c>
      <c r="F17" s="20" t="s">
        <v>621</v>
      </c>
      <c r="G17" s="28" t="s">
        <v>600</v>
      </c>
    </row>
    <row r="18" spans="2:7" ht="34">
      <c r="B18" s="27" t="s">
        <v>139</v>
      </c>
      <c r="C18" s="18" t="s">
        <v>332</v>
      </c>
      <c r="D18" s="18" t="s">
        <v>624</v>
      </c>
      <c r="E18" s="18" t="s">
        <v>326</v>
      </c>
      <c r="F18" s="20" t="s">
        <v>333</v>
      </c>
      <c r="G18" s="28" t="s">
        <v>601</v>
      </c>
    </row>
    <row r="19" spans="2:7" ht="20">
      <c r="B19" s="27" t="s">
        <v>140</v>
      </c>
      <c r="C19" s="18" t="s">
        <v>596</v>
      </c>
      <c r="D19" s="18" t="s">
        <v>597</v>
      </c>
      <c r="E19" s="18" t="s">
        <v>65</v>
      </c>
      <c r="F19" s="20" t="s">
        <v>598</v>
      </c>
      <c r="G19" s="28" t="s">
        <v>602</v>
      </c>
    </row>
    <row r="20" spans="2:7" ht="20">
      <c r="B20" s="29" t="s">
        <v>141</v>
      </c>
      <c r="C20" s="22" t="s">
        <v>328</v>
      </c>
      <c r="D20" s="22" t="s">
        <v>623</v>
      </c>
      <c r="E20" s="18" t="s">
        <v>326</v>
      </c>
      <c r="F20" s="23" t="s">
        <v>329</v>
      </c>
      <c r="G20" s="28" t="s">
        <v>603</v>
      </c>
    </row>
    <row r="21" spans="2:7" ht="35" thickBot="1">
      <c r="B21" s="27" t="s">
        <v>142</v>
      </c>
      <c r="C21" s="18" t="s">
        <v>330</v>
      </c>
      <c r="D21" s="88" t="s">
        <v>626</v>
      </c>
      <c r="E21" s="18" t="s">
        <v>326</v>
      </c>
      <c r="F21" s="20" t="s">
        <v>331</v>
      </c>
      <c r="G21" s="28" t="s">
        <v>604</v>
      </c>
    </row>
    <row r="22" spans="2:7" ht="20">
      <c r="B22" s="27" t="s">
        <v>143</v>
      </c>
      <c r="C22" s="18" t="s">
        <v>335</v>
      </c>
      <c r="D22" s="22" t="s">
        <v>625</v>
      </c>
      <c r="E22" s="18" t="s">
        <v>326</v>
      </c>
      <c r="F22" s="20" t="s">
        <v>336</v>
      </c>
      <c r="G22" s="28" t="s">
        <v>605</v>
      </c>
    </row>
    <row r="23" spans="2:7" ht="34">
      <c r="B23" s="27" t="s">
        <v>144</v>
      </c>
      <c r="C23" s="18" t="s">
        <v>332</v>
      </c>
      <c r="D23" s="22" t="s">
        <v>624</v>
      </c>
      <c r="E23" s="18" t="s">
        <v>326</v>
      </c>
      <c r="F23" s="20" t="s">
        <v>333</v>
      </c>
      <c r="G23" s="28" t="s">
        <v>601</v>
      </c>
    </row>
    <row r="24" spans="2:7" ht="34">
      <c r="B24" s="27" t="s">
        <v>210</v>
      </c>
      <c r="C24" s="18" t="s">
        <v>591</v>
      </c>
      <c r="D24" s="18" t="s">
        <v>588</v>
      </c>
      <c r="E24" s="18" t="s">
        <v>102</v>
      </c>
      <c r="F24" s="86" t="s">
        <v>592</v>
      </c>
      <c r="G24" s="28" t="s">
        <v>607</v>
      </c>
    </row>
    <row r="25" spans="2:7" ht="40">
      <c r="B25" s="27" t="s">
        <v>210</v>
      </c>
      <c r="C25" s="30" t="s">
        <v>589</v>
      </c>
      <c r="D25" s="30" t="s">
        <v>590</v>
      </c>
      <c r="E25" s="30" t="s">
        <v>102</v>
      </c>
      <c r="F25" s="31" t="s">
        <v>593</v>
      </c>
      <c r="G25" s="32" t="s">
        <v>606</v>
      </c>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Normal="100" workbookViewId="0">
      <selection activeCell="C3" sqref="C3"/>
    </sheetView>
  </sheetViews>
  <sheetFormatPr baseColWidth="10" defaultColWidth="10.83203125" defaultRowHeight="16"/>
  <cols>
    <col min="1" max="1" width="4.83203125" customWidth="1"/>
    <col min="2" max="2" width="53.83203125" customWidth="1"/>
    <col min="3" max="8" width="28.1640625" customWidth="1"/>
    <col min="9" max="16384" width="10.83203125" style="1"/>
  </cols>
  <sheetData>
    <row r="1" spans="2:9" ht="51" customHeight="1">
      <c r="B1" s="14" t="s">
        <v>211</v>
      </c>
    </row>
    <row r="2" spans="2:9" ht="51" customHeight="1">
      <c r="B2" s="16" t="s">
        <v>145</v>
      </c>
      <c r="C2" s="16">
        <v>2022</v>
      </c>
      <c r="D2" s="16">
        <v>2023</v>
      </c>
      <c r="E2" s="16">
        <v>2024</v>
      </c>
      <c r="F2" s="16" t="s">
        <v>208</v>
      </c>
      <c r="G2" s="16" t="s">
        <v>146</v>
      </c>
      <c r="H2" s="16" t="s">
        <v>147</v>
      </c>
    </row>
    <row r="3" spans="2:9" ht="51" customHeight="1">
      <c r="B3" s="33" t="s">
        <v>9</v>
      </c>
      <c r="C3" s="58"/>
      <c r="D3" s="58"/>
      <c r="E3" s="58"/>
      <c r="F3" s="58"/>
      <c r="G3" s="58"/>
      <c r="H3" s="58"/>
    </row>
    <row r="4" spans="2:9" ht="51" customHeight="1">
      <c r="B4" s="33" t="s">
        <v>10</v>
      </c>
      <c r="C4" s="58">
        <v>70500000</v>
      </c>
      <c r="D4" s="58">
        <v>79000000</v>
      </c>
      <c r="E4" s="58">
        <v>71500000</v>
      </c>
      <c r="F4" s="58">
        <v>63000000</v>
      </c>
      <c r="G4" s="58">
        <v>66000000</v>
      </c>
      <c r="H4" s="58">
        <v>70000000</v>
      </c>
      <c r="I4" s="4"/>
    </row>
    <row r="5" spans="2:9" ht="51" customHeight="1">
      <c r="B5" s="33" t="s">
        <v>11</v>
      </c>
      <c r="C5" s="58"/>
      <c r="D5" s="58"/>
      <c r="E5" s="58"/>
      <c r="F5" s="58"/>
      <c r="G5" s="58"/>
      <c r="H5" s="58"/>
      <c r="I5" s="4" t="s">
        <v>18</v>
      </c>
    </row>
    <row r="6" spans="2:9" ht="51" customHeight="1">
      <c r="B6" s="33" t="s">
        <v>284</v>
      </c>
      <c r="C6" s="58"/>
      <c r="D6" s="58"/>
      <c r="E6" s="58"/>
      <c r="F6" s="58"/>
      <c r="G6" s="58"/>
      <c r="H6" s="58"/>
      <c r="I6" s="2" t="s">
        <v>150</v>
      </c>
    </row>
    <row r="8" spans="2:9" ht="19">
      <c r="B8" s="16" t="s">
        <v>145</v>
      </c>
      <c r="C8" s="16">
        <v>2023</v>
      </c>
      <c r="D8" s="16">
        <v>2023</v>
      </c>
      <c r="E8" s="16">
        <v>2024</v>
      </c>
      <c r="F8" s="16" t="s">
        <v>208</v>
      </c>
      <c r="G8" s="16" t="s">
        <v>146</v>
      </c>
      <c r="H8" s="16" t="s">
        <v>147</v>
      </c>
    </row>
    <row r="9" spans="2:9" ht="19">
      <c r="B9" s="33" t="s">
        <v>148</v>
      </c>
      <c r="C9" s="59">
        <v>54500000</v>
      </c>
      <c r="D9" s="59">
        <v>54900000</v>
      </c>
      <c r="E9" s="59">
        <v>56400000</v>
      </c>
      <c r="F9" s="59">
        <v>47200000</v>
      </c>
      <c r="G9" s="59">
        <v>50000000</v>
      </c>
      <c r="H9" s="59">
        <v>54000000</v>
      </c>
    </row>
    <row r="10" spans="2:9" ht="19">
      <c r="B10" s="33" t="s">
        <v>149</v>
      </c>
      <c r="C10" s="59">
        <v>17200000</v>
      </c>
      <c r="D10" s="59">
        <v>13900000</v>
      </c>
      <c r="E10" s="59">
        <v>10500000</v>
      </c>
      <c r="F10" s="59">
        <v>6000000</v>
      </c>
      <c r="G10" s="59">
        <v>7000000</v>
      </c>
      <c r="H10" s="59">
        <v>8500000</v>
      </c>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opLeftCell="A9" zoomScaleNormal="100" workbookViewId="0">
      <selection activeCell="C11" sqref="C11"/>
    </sheetView>
  </sheetViews>
  <sheetFormatPr baseColWidth="10" defaultColWidth="10.83203125" defaultRowHeight="26" customHeight="1"/>
  <cols>
    <col min="1" max="1" width="6.1640625" style="63" customWidth="1"/>
    <col min="2" max="2" width="59" style="35" customWidth="1"/>
    <col min="3" max="3" width="38.5" style="3" customWidth="1"/>
    <col min="4" max="8" width="38.5" style="6" customWidth="1"/>
    <col min="9" max="11" width="29.1640625" style="3" customWidth="1"/>
    <col min="12" max="16384" width="10.83203125" style="3"/>
  </cols>
  <sheetData>
    <row r="1" spans="1:8" s="15" customFormat="1" ht="51" customHeight="1">
      <c r="A1" s="61"/>
      <c r="B1" s="34" t="s">
        <v>293</v>
      </c>
    </row>
    <row r="2" spans="1:8" s="35" customFormat="1" ht="56" customHeight="1">
      <c r="A2" s="62"/>
      <c r="B2" s="16"/>
      <c r="C2" s="16" t="s">
        <v>15</v>
      </c>
      <c r="D2" s="36" t="s">
        <v>107</v>
      </c>
      <c r="E2" s="36" t="s">
        <v>108</v>
      </c>
      <c r="F2" s="36" t="s">
        <v>109</v>
      </c>
      <c r="G2" s="36" t="s">
        <v>110</v>
      </c>
      <c r="H2" s="36" t="s">
        <v>111</v>
      </c>
    </row>
    <row r="3" spans="1:8" ht="60" customHeight="1">
      <c r="A3" s="63">
        <v>1</v>
      </c>
      <c r="B3" s="16" t="s">
        <v>152</v>
      </c>
      <c r="C3" s="37" t="s">
        <v>608</v>
      </c>
      <c r="D3" s="37"/>
      <c r="E3" s="37"/>
      <c r="F3" s="18"/>
      <c r="G3" s="18"/>
      <c r="H3" s="18"/>
    </row>
    <row r="4" spans="1:8" ht="60" customHeight="1">
      <c r="A4" s="63">
        <v>2</v>
      </c>
      <c r="B4" s="16" t="s">
        <v>153</v>
      </c>
      <c r="C4" s="18" t="s">
        <v>609</v>
      </c>
      <c r="D4" s="18"/>
      <c r="E4" s="18"/>
      <c r="F4" s="18"/>
      <c r="G4" s="50"/>
      <c r="H4" s="18"/>
    </row>
    <row r="5" spans="1:8" ht="60" customHeight="1">
      <c r="A5" s="63">
        <v>3</v>
      </c>
      <c r="B5" s="16" t="s">
        <v>154</v>
      </c>
      <c r="C5" s="18" t="s">
        <v>610</v>
      </c>
      <c r="D5" s="18"/>
      <c r="E5" s="18"/>
      <c r="F5" s="18"/>
      <c r="G5" s="18"/>
      <c r="H5" s="18"/>
    </row>
    <row r="6" spans="1:8" ht="60" customHeight="1">
      <c r="A6" s="63">
        <v>4</v>
      </c>
      <c r="B6" s="36" t="s">
        <v>155</v>
      </c>
      <c r="C6" s="18" t="s">
        <v>344</v>
      </c>
      <c r="D6" s="18"/>
      <c r="E6" s="18"/>
      <c r="F6" s="18"/>
      <c r="G6" s="18"/>
      <c r="H6" s="18"/>
    </row>
    <row r="7" spans="1:8" ht="86" customHeight="1">
      <c r="A7" s="63">
        <v>5</v>
      </c>
      <c r="B7" s="36" t="s">
        <v>156</v>
      </c>
      <c r="C7" s="18" t="s">
        <v>611</v>
      </c>
      <c r="D7" s="18"/>
      <c r="E7" s="18"/>
      <c r="F7" s="18"/>
      <c r="G7" s="18"/>
      <c r="H7" s="18"/>
    </row>
    <row r="8" spans="1:8" ht="86" customHeight="1">
      <c r="A8" s="63">
        <v>6</v>
      </c>
      <c r="B8" s="36" t="s">
        <v>157</v>
      </c>
      <c r="C8" s="18" t="s">
        <v>611</v>
      </c>
      <c r="D8" s="18"/>
      <c r="E8" s="18"/>
      <c r="F8" s="18"/>
      <c r="G8" s="18"/>
      <c r="H8" s="18"/>
    </row>
    <row r="9" spans="1:8" ht="60" customHeight="1">
      <c r="A9" s="63">
        <v>7</v>
      </c>
      <c r="B9" s="16" t="s">
        <v>158</v>
      </c>
      <c r="C9" s="38">
        <v>7400</v>
      </c>
      <c r="D9" s="38"/>
      <c r="E9" s="39"/>
      <c r="F9" s="39"/>
      <c r="G9" s="39"/>
      <c r="H9" s="39"/>
    </row>
    <row r="10" spans="1:8" ht="60" customHeight="1">
      <c r="A10" s="63">
        <v>8</v>
      </c>
      <c r="B10" s="36" t="s">
        <v>277</v>
      </c>
      <c r="C10" s="38">
        <v>178</v>
      </c>
      <c r="D10" s="38"/>
      <c r="E10" s="39"/>
      <c r="F10" s="39"/>
      <c r="G10" s="39"/>
      <c r="H10" s="39"/>
    </row>
    <row r="11" spans="1:8" ht="60" customHeight="1">
      <c r="A11" s="63">
        <v>9</v>
      </c>
      <c r="B11" s="36" t="s">
        <v>206</v>
      </c>
      <c r="C11" s="18">
        <v>20</v>
      </c>
      <c r="D11" s="18"/>
      <c r="E11" s="18"/>
      <c r="F11" s="18"/>
      <c r="G11" s="18"/>
      <c r="H11" s="18"/>
    </row>
    <row r="12" spans="1:8" ht="60" customHeight="1">
      <c r="A12" s="63">
        <v>10</v>
      </c>
      <c r="B12" s="36" t="s">
        <v>205</v>
      </c>
      <c r="C12" s="18">
        <v>30</v>
      </c>
      <c r="D12" s="18"/>
      <c r="E12" s="18"/>
      <c r="F12" s="18"/>
      <c r="G12" s="18"/>
      <c r="H12" s="18"/>
    </row>
    <row r="13" spans="1:8" ht="60" customHeight="1">
      <c r="A13" s="63">
        <v>11</v>
      </c>
      <c r="B13" s="36" t="s">
        <v>278</v>
      </c>
      <c r="C13" s="18">
        <v>60000000</v>
      </c>
      <c r="D13" s="18"/>
      <c r="E13" s="18"/>
      <c r="F13" s="18"/>
      <c r="G13" s="18"/>
      <c r="H13" s="18"/>
    </row>
    <row r="14" spans="1:8" ht="60" customHeight="1">
      <c r="A14" s="63">
        <v>12</v>
      </c>
      <c r="B14" s="36" t="s">
        <v>203</v>
      </c>
      <c r="C14" s="18" t="s">
        <v>36</v>
      </c>
      <c r="D14" s="18"/>
      <c r="E14" s="18"/>
      <c r="F14" s="18"/>
      <c r="G14" s="18"/>
      <c r="H14" s="18"/>
    </row>
    <row r="15" spans="1:8" ht="60" customHeight="1">
      <c r="A15" s="63">
        <v>13</v>
      </c>
      <c r="B15" s="36" t="s">
        <v>280</v>
      </c>
      <c r="C15" s="18" t="s">
        <v>36</v>
      </c>
      <c r="D15" s="18"/>
      <c r="E15" s="18"/>
      <c r="F15" s="18"/>
      <c r="G15" s="18"/>
      <c r="H15" s="18"/>
    </row>
    <row r="16" spans="1:8" ht="60" customHeight="1">
      <c r="A16" s="63">
        <v>14</v>
      </c>
      <c r="B16" s="36" t="s">
        <v>204</v>
      </c>
      <c r="C16" s="18"/>
      <c r="D16" s="18"/>
      <c r="E16" s="18"/>
      <c r="F16" s="18"/>
      <c r="G16" s="18"/>
      <c r="H16" s="18"/>
    </row>
    <row r="18" spans="1:8" ht="61" customHeight="1">
      <c r="A18" s="63">
        <v>15</v>
      </c>
      <c r="B18" s="89" t="s">
        <v>227</v>
      </c>
      <c r="C18" s="89"/>
      <c r="D18" s="90" t="s">
        <v>612</v>
      </c>
      <c r="E18" s="91"/>
      <c r="F18" s="91"/>
      <c r="G18" s="91"/>
      <c r="H18" s="92"/>
    </row>
    <row r="19" spans="1:8" ht="61" customHeight="1">
      <c r="A19" s="63">
        <v>16</v>
      </c>
      <c r="B19" s="89" t="s">
        <v>213</v>
      </c>
      <c r="C19" s="89"/>
      <c r="D19" s="90" t="s">
        <v>613</v>
      </c>
      <c r="E19" s="91"/>
      <c r="F19" s="91"/>
      <c r="G19" s="91"/>
      <c r="H19" s="92"/>
    </row>
    <row r="20" spans="1:8" ht="61" customHeight="1">
      <c r="A20" s="63">
        <v>17</v>
      </c>
      <c r="B20" s="89" t="s">
        <v>200</v>
      </c>
      <c r="C20" s="89"/>
      <c r="D20" s="90" t="s">
        <v>614</v>
      </c>
      <c r="E20" s="91"/>
      <c r="F20" s="91"/>
      <c r="G20" s="91"/>
      <c r="H20" s="92"/>
    </row>
    <row r="21" spans="1:8" ht="61" customHeight="1">
      <c r="A21" s="63">
        <v>18</v>
      </c>
      <c r="B21" s="89" t="s">
        <v>159</v>
      </c>
      <c r="C21" s="89"/>
      <c r="D21" s="90" t="s">
        <v>615</v>
      </c>
      <c r="E21" s="91"/>
      <c r="F21" s="91"/>
      <c r="G21" s="91"/>
      <c r="H21" s="92"/>
    </row>
    <row r="22" spans="1:8" ht="61" customHeight="1">
      <c r="A22" s="63">
        <v>19</v>
      </c>
      <c r="B22" s="89" t="s">
        <v>201</v>
      </c>
      <c r="C22" s="89"/>
      <c r="D22" s="90" t="s">
        <v>616</v>
      </c>
      <c r="E22" s="91"/>
      <c r="F22" s="91"/>
      <c r="G22" s="91"/>
      <c r="H22" s="92"/>
    </row>
    <row r="23" spans="1:8" ht="61" customHeight="1">
      <c r="A23" s="63">
        <v>20</v>
      </c>
      <c r="B23" s="93" t="s">
        <v>225</v>
      </c>
      <c r="C23" s="94"/>
      <c r="D23" s="90" t="s">
        <v>617</v>
      </c>
      <c r="E23" s="91"/>
      <c r="F23" s="91"/>
      <c r="G23" s="91"/>
      <c r="H23" s="92"/>
    </row>
    <row r="24" spans="1:8" ht="61" customHeight="1">
      <c r="A24" s="63">
        <v>21</v>
      </c>
      <c r="B24" s="93" t="s">
        <v>226</v>
      </c>
      <c r="C24" s="94"/>
      <c r="D24" s="90" t="s">
        <v>618</v>
      </c>
      <c r="E24" s="91"/>
      <c r="F24" s="91"/>
      <c r="G24" s="91"/>
      <c r="H24" s="92"/>
    </row>
    <row r="25" spans="1:8" ht="187.75" customHeight="1">
      <c r="A25" s="63">
        <v>22</v>
      </c>
      <c r="B25" s="89" t="s">
        <v>202</v>
      </c>
      <c r="C25" s="89"/>
      <c r="D25" s="90" t="s">
        <v>619</v>
      </c>
      <c r="E25" s="91"/>
      <c r="F25" s="91"/>
      <c r="G25" s="91"/>
      <c r="H25" s="92"/>
    </row>
    <row r="26" spans="1:8" ht="61" customHeight="1"/>
    <row r="27" spans="1:8" ht="61" customHeight="1"/>
    <row r="28" spans="1:8" ht="61" customHeight="1"/>
    <row r="29" spans="1:8" ht="61" customHeight="1"/>
  </sheetData>
  <sheetProtection algorithmName="SHA-512" hashValue="zQUmRTblo7NwmNDoVbXM0yjst7rVPj5/m4axI2ivAgmUPwHZYj2vbWzF/lmehodxi4GZXwtagu0UzxPO76uzxg==" saltValue="p9e4rdm25WVOlVQ/gvBS1w==" spinCount="100000" sheet="1" selectLockedCells="1"/>
  <mergeCells count="16">
    <mergeCell ref="B21:C21"/>
    <mergeCell ref="D21:H21"/>
    <mergeCell ref="B22:C22"/>
    <mergeCell ref="D22:H22"/>
    <mergeCell ref="B25:C25"/>
    <mergeCell ref="D25:H25"/>
    <mergeCell ref="B24:C24"/>
    <mergeCell ref="B23:C23"/>
    <mergeCell ref="D23:H23"/>
    <mergeCell ref="D24:H24"/>
    <mergeCell ref="B18:C18"/>
    <mergeCell ref="D18:H18"/>
    <mergeCell ref="B19:C19"/>
    <mergeCell ref="D19:H19"/>
    <mergeCell ref="B20:C20"/>
    <mergeCell ref="D20:H20"/>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topLeftCell="A2" zoomScale="80" zoomScaleNormal="80" workbookViewId="0">
      <selection activeCell="B12" sqref="B12"/>
    </sheetView>
  </sheetViews>
  <sheetFormatPr baseColWidth="10" defaultColWidth="10.83203125" defaultRowHeight="50" customHeight="1"/>
  <cols>
    <col min="1" max="1" width="5.1640625" style="3" customWidth="1"/>
    <col min="2" max="2" width="53.1640625" style="3" customWidth="1"/>
    <col min="3" max="10" width="32.6640625" style="3" customWidth="1"/>
    <col min="11" max="16384" width="10.83203125" style="3"/>
  </cols>
  <sheetData>
    <row r="1" spans="2:10" ht="50" customHeight="1">
      <c r="B1" s="42" t="s">
        <v>294</v>
      </c>
    </row>
    <row r="2" spans="2:10" ht="50" customHeight="1">
      <c r="B2" s="43"/>
      <c r="C2" s="44" t="s">
        <v>6</v>
      </c>
      <c r="D2" s="44" t="s">
        <v>7</v>
      </c>
      <c r="E2" s="44" t="s">
        <v>8</v>
      </c>
      <c r="F2" s="44" t="s">
        <v>16</v>
      </c>
      <c r="G2" s="44" t="s">
        <v>17</v>
      </c>
      <c r="H2" s="44" t="s">
        <v>180</v>
      </c>
      <c r="I2" s="44" t="s">
        <v>215</v>
      </c>
      <c r="J2" s="44" t="s">
        <v>216</v>
      </c>
    </row>
    <row r="3" spans="2:10" ht="50" customHeight="1">
      <c r="B3" s="44" t="s">
        <v>181</v>
      </c>
      <c r="C3" s="70" t="s">
        <v>337</v>
      </c>
      <c r="D3" s="70" t="s">
        <v>338</v>
      </c>
      <c r="E3" s="70" t="s">
        <v>339</v>
      </c>
      <c r="F3" s="70" t="s">
        <v>340</v>
      </c>
      <c r="G3" s="70" t="s">
        <v>341</v>
      </c>
      <c r="H3" s="70"/>
      <c r="I3" s="70"/>
      <c r="J3" s="70"/>
    </row>
    <row r="4" spans="2:10" ht="50" customHeight="1">
      <c r="B4" s="45" t="s">
        <v>263</v>
      </c>
      <c r="C4" s="70">
        <v>6</v>
      </c>
      <c r="D4" s="70"/>
      <c r="E4" s="70">
        <v>2</v>
      </c>
      <c r="F4" s="70">
        <v>5</v>
      </c>
      <c r="G4" s="70">
        <v>4</v>
      </c>
      <c r="H4" s="70"/>
      <c r="I4" s="70"/>
      <c r="J4" s="70"/>
    </row>
    <row r="5" spans="2:10" ht="50" customHeight="1">
      <c r="B5" s="45" t="s">
        <v>262</v>
      </c>
      <c r="C5" s="70">
        <v>7</v>
      </c>
      <c r="D5" s="70">
        <v>1</v>
      </c>
      <c r="E5" s="70">
        <v>5</v>
      </c>
      <c r="F5" s="70">
        <v>2</v>
      </c>
      <c r="G5" s="70">
        <v>4</v>
      </c>
      <c r="H5" s="70"/>
      <c r="I5" s="70"/>
      <c r="J5" s="70"/>
    </row>
    <row r="6" spans="2:10" ht="50" customHeight="1">
      <c r="B6" s="45" t="s">
        <v>264</v>
      </c>
      <c r="C6" s="70">
        <v>5</v>
      </c>
      <c r="D6" s="70"/>
      <c r="E6" s="70">
        <v>4</v>
      </c>
      <c r="F6" s="70">
        <v>2</v>
      </c>
      <c r="G6" s="70">
        <v>2</v>
      </c>
      <c r="H6" s="70"/>
      <c r="I6" s="70"/>
      <c r="J6" s="70"/>
    </row>
    <row r="7" spans="2:10" ht="50" customHeight="1">
      <c r="B7" s="45" t="s">
        <v>265</v>
      </c>
      <c r="C7" s="70">
        <v>18</v>
      </c>
      <c r="D7" s="70">
        <v>1</v>
      </c>
      <c r="E7" s="70">
        <v>11</v>
      </c>
      <c r="F7" s="70">
        <v>9</v>
      </c>
      <c r="G7" s="70">
        <v>10</v>
      </c>
      <c r="H7" s="70"/>
      <c r="I7" s="70"/>
      <c r="J7" s="70"/>
    </row>
    <row r="8" spans="2:10" ht="50" customHeight="1">
      <c r="B8" s="45" t="s">
        <v>214</v>
      </c>
      <c r="C8" s="70" t="s">
        <v>334</v>
      </c>
      <c r="D8" s="70" t="s">
        <v>342</v>
      </c>
      <c r="E8" s="70" t="s">
        <v>343</v>
      </c>
      <c r="F8" s="70" t="s">
        <v>342</v>
      </c>
      <c r="G8" s="70" t="s">
        <v>334</v>
      </c>
      <c r="H8" s="70"/>
      <c r="I8" s="70"/>
      <c r="J8" s="70"/>
    </row>
    <row r="9" spans="2:10" ht="50" customHeight="1">
      <c r="B9" s="45" t="s">
        <v>296</v>
      </c>
      <c r="C9" s="70" t="s">
        <v>343</v>
      </c>
      <c r="D9" s="70" t="s">
        <v>334</v>
      </c>
      <c r="E9" s="70" t="s">
        <v>334</v>
      </c>
      <c r="F9" s="70" t="s">
        <v>334</v>
      </c>
      <c r="G9" s="70" t="s">
        <v>343</v>
      </c>
      <c r="H9" s="70"/>
      <c r="I9" s="70"/>
      <c r="J9" s="70"/>
    </row>
    <row r="10" spans="2:10" ht="50" customHeight="1">
      <c r="B10" s="64" t="s">
        <v>290</v>
      </c>
      <c r="C10" s="70">
        <v>8</v>
      </c>
      <c r="D10" s="70">
        <v>1</v>
      </c>
      <c r="E10" s="70">
        <v>2</v>
      </c>
      <c r="F10" s="70">
        <v>7</v>
      </c>
      <c r="G10" s="70">
        <v>4</v>
      </c>
      <c r="H10" s="70"/>
      <c r="I10" s="70"/>
      <c r="J10" s="70"/>
    </row>
    <row r="11" spans="2:10" ht="50" customHeight="1">
      <c r="B11" s="45" t="s">
        <v>106</v>
      </c>
      <c r="C11" s="71"/>
      <c r="D11" s="71"/>
      <c r="E11" s="71"/>
      <c r="F11" s="70"/>
      <c r="G11" s="70"/>
      <c r="H11" s="70"/>
      <c r="I11" s="70"/>
      <c r="J11" s="70"/>
    </row>
    <row r="12" spans="2:10" ht="50" customHeight="1">
      <c r="B12" s="45" t="s">
        <v>199</v>
      </c>
      <c r="C12" s="72">
        <v>0.1</v>
      </c>
      <c r="D12" s="73">
        <v>0.05</v>
      </c>
      <c r="E12" s="73">
        <v>0.05</v>
      </c>
      <c r="F12" s="73">
        <v>0.1</v>
      </c>
      <c r="G12" s="73">
        <v>0.1</v>
      </c>
      <c r="H12" s="73"/>
      <c r="I12" s="73"/>
      <c r="J12" s="73"/>
    </row>
    <row r="14" spans="2:10" ht="50" customHeight="1">
      <c r="B14" s="95" t="s">
        <v>182</v>
      </c>
      <c r="C14" s="95"/>
      <c r="D14" s="95"/>
    </row>
    <row r="15" spans="2:10" ht="50" customHeight="1">
      <c r="B15" s="16" t="s">
        <v>183</v>
      </c>
      <c r="C15" s="95" t="s">
        <v>184</v>
      </c>
      <c r="D15" s="95"/>
    </row>
    <row r="16" spans="2:10" ht="50" customHeight="1">
      <c r="B16" s="46" t="s">
        <v>185</v>
      </c>
      <c r="C16" s="96" t="s">
        <v>186</v>
      </c>
      <c r="D16" s="96"/>
    </row>
    <row r="17" spans="2:4" ht="50" customHeight="1">
      <c r="B17" s="97" t="s">
        <v>187</v>
      </c>
      <c r="C17" s="97" t="s">
        <v>188</v>
      </c>
      <c r="D17" s="97"/>
    </row>
    <row r="18" spans="2:4" ht="50" customHeight="1">
      <c r="B18" s="97"/>
      <c r="C18" s="97" t="s">
        <v>189</v>
      </c>
      <c r="D18" s="97"/>
    </row>
    <row r="19" spans="2:4" ht="50" customHeight="1">
      <c r="B19" s="97"/>
      <c r="C19" s="97" t="s">
        <v>190</v>
      </c>
      <c r="D19" s="97"/>
    </row>
    <row r="20" spans="2:4" ht="50" customHeight="1">
      <c r="B20" s="97"/>
      <c r="C20" s="97" t="s">
        <v>191</v>
      </c>
      <c r="D20" s="97"/>
    </row>
    <row r="21" spans="2:4" ht="50" customHeight="1">
      <c r="B21" s="97" t="s">
        <v>192</v>
      </c>
      <c r="C21" s="97" t="s">
        <v>193</v>
      </c>
      <c r="D21" s="97"/>
    </row>
    <row r="22" spans="2:4" ht="50" customHeight="1">
      <c r="B22" s="97"/>
      <c r="C22" s="97" t="s">
        <v>194</v>
      </c>
      <c r="D22" s="97"/>
    </row>
    <row r="23" spans="2:4" ht="50" customHeight="1">
      <c r="B23" s="97"/>
      <c r="C23" s="97" t="s">
        <v>195</v>
      </c>
      <c r="D23" s="97"/>
    </row>
    <row r="24" spans="2:4" ht="50" customHeight="1">
      <c r="B24" s="97" t="s">
        <v>196</v>
      </c>
      <c r="C24" s="97" t="s">
        <v>197</v>
      </c>
      <c r="D24" s="97"/>
    </row>
    <row r="25" spans="2:4" ht="50" customHeight="1">
      <c r="B25" s="97"/>
      <c r="C25" s="97" t="s">
        <v>198</v>
      </c>
      <c r="D25" s="97"/>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A5" zoomScale="81" zoomScaleNormal="100" workbookViewId="0">
      <selection activeCell="D22" sqref="D22"/>
    </sheetView>
  </sheetViews>
  <sheetFormatPr baseColWidth="10" defaultColWidth="10.83203125" defaultRowHeight="16"/>
  <cols>
    <col min="1" max="1" width="4.1640625" style="1" customWidth="1"/>
    <col min="2" max="2" width="51.5" style="1" customWidth="1"/>
    <col min="3" max="9" width="29.1640625" style="1" customWidth="1"/>
    <col min="10" max="10" width="57.83203125" style="1" customWidth="1"/>
    <col min="11" max="11" width="102.6640625" style="1" bestFit="1" customWidth="1"/>
    <col min="12" max="15" width="29.1640625" style="1" customWidth="1"/>
    <col min="16" max="16384" width="10.83203125" style="1"/>
  </cols>
  <sheetData>
    <row r="1" spans="2:11" ht="67" customHeight="1">
      <c r="B1" s="34" t="s">
        <v>288</v>
      </c>
    </row>
    <row r="2" spans="2:11" ht="67" customHeight="1">
      <c r="B2" s="33"/>
      <c r="C2" s="16">
        <v>2022</v>
      </c>
      <c r="D2" s="16">
        <v>2023</v>
      </c>
      <c r="E2" s="16">
        <v>2024</v>
      </c>
      <c r="F2" s="16" t="s">
        <v>208</v>
      </c>
      <c r="G2" s="16" t="s">
        <v>146</v>
      </c>
      <c r="H2" s="16" t="s">
        <v>147</v>
      </c>
      <c r="I2" s="16" t="s">
        <v>209</v>
      </c>
      <c r="J2" s="16" t="s">
        <v>207</v>
      </c>
    </row>
    <row r="3" spans="2:11" ht="67" customHeight="1">
      <c r="B3" s="16" t="s">
        <v>266</v>
      </c>
      <c r="C3" s="39">
        <v>7</v>
      </c>
      <c r="D3" s="39">
        <v>8</v>
      </c>
      <c r="E3" s="39">
        <v>8</v>
      </c>
      <c r="F3" s="39">
        <v>8</v>
      </c>
      <c r="G3" s="39">
        <v>8</v>
      </c>
      <c r="H3" s="39">
        <v>8</v>
      </c>
      <c r="I3" s="39">
        <v>8</v>
      </c>
      <c r="J3" s="60"/>
    </row>
    <row r="4" spans="2:11" ht="140">
      <c r="B4" s="36" t="s">
        <v>267</v>
      </c>
      <c r="C4" s="39">
        <v>20</v>
      </c>
      <c r="D4" s="39">
        <v>22</v>
      </c>
      <c r="E4" s="39">
        <v>28</v>
      </c>
      <c r="F4" s="39">
        <v>27</v>
      </c>
      <c r="G4" s="39">
        <v>30</v>
      </c>
      <c r="H4" s="39">
        <v>30</v>
      </c>
      <c r="I4" s="39">
        <v>30</v>
      </c>
      <c r="J4" s="60" t="s">
        <v>629</v>
      </c>
      <c r="K4" s="74" t="s">
        <v>318</v>
      </c>
    </row>
    <row r="5" spans="2:11" ht="67" customHeight="1">
      <c r="B5" s="16" t="s">
        <v>268</v>
      </c>
      <c r="C5" s="39">
        <v>90</v>
      </c>
      <c r="D5" s="39">
        <v>110</v>
      </c>
      <c r="E5" s="39">
        <v>114</v>
      </c>
      <c r="F5" s="39">
        <v>100</v>
      </c>
      <c r="G5" s="39">
        <v>105</v>
      </c>
      <c r="H5" s="39">
        <v>105</v>
      </c>
      <c r="I5" s="39">
        <v>105</v>
      </c>
      <c r="J5" s="60"/>
    </row>
    <row r="6" spans="2:11" ht="67" customHeight="1">
      <c r="B6" s="16" t="s">
        <v>269</v>
      </c>
      <c r="C6" s="39">
        <v>4</v>
      </c>
      <c r="D6" s="39">
        <v>4</v>
      </c>
      <c r="E6" s="39">
        <v>4</v>
      </c>
      <c r="F6" s="39">
        <v>4</v>
      </c>
      <c r="G6" s="39">
        <v>4</v>
      </c>
      <c r="H6" s="39">
        <v>4</v>
      </c>
      <c r="I6" s="39">
        <v>4</v>
      </c>
      <c r="J6" s="60"/>
      <c r="K6" s="4" t="s">
        <v>217</v>
      </c>
    </row>
    <row r="7" spans="2:11" ht="67" customHeight="1">
      <c r="B7" s="16" t="s">
        <v>270</v>
      </c>
      <c r="C7" s="39">
        <v>5</v>
      </c>
      <c r="D7" s="39">
        <v>6</v>
      </c>
      <c r="E7" s="39">
        <v>7</v>
      </c>
      <c r="F7" s="39">
        <v>6</v>
      </c>
      <c r="G7" s="39">
        <v>7</v>
      </c>
      <c r="H7" s="39">
        <v>7</v>
      </c>
      <c r="I7" s="39">
        <v>7</v>
      </c>
      <c r="J7" s="60"/>
    </row>
    <row r="8" spans="2:11" ht="67" customHeight="1">
      <c r="B8" s="16" t="s">
        <v>271</v>
      </c>
      <c r="C8" s="39">
        <v>3</v>
      </c>
      <c r="D8" s="39">
        <v>4</v>
      </c>
      <c r="E8" s="39">
        <v>5</v>
      </c>
      <c r="F8" s="39">
        <v>5</v>
      </c>
      <c r="G8" s="39">
        <v>5</v>
      </c>
      <c r="H8" s="39">
        <v>5</v>
      </c>
      <c r="I8" s="39">
        <v>5</v>
      </c>
      <c r="J8" s="60"/>
    </row>
    <row r="9" spans="2:11" ht="67" customHeight="1">
      <c r="B9" s="16" t="s">
        <v>272</v>
      </c>
      <c r="C9" s="39">
        <v>7</v>
      </c>
      <c r="D9" s="39">
        <v>7</v>
      </c>
      <c r="E9" s="39">
        <v>8</v>
      </c>
      <c r="F9" s="39">
        <v>7</v>
      </c>
      <c r="G9" s="39">
        <v>8</v>
      </c>
      <c r="H9" s="39">
        <v>8</v>
      </c>
      <c r="I9" s="39">
        <v>8</v>
      </c>
      <c r="J9" s="60"/>
    </row>
    <row r="10" spans="2:11" ht="67" customHeight="1">
      <c r="B10" s="36" t="s">
        <v>285</v>
      </c>
      <c r="C10" s="39">
        <v>52</v>
      </c>
      <c r="D10" s="39">
        <v>51</v>
      </c>
      <c r="E10" s="39">
        <v>49</v>
      </c>
      <c r="F10" s="39">
        <v>49</v>
      </c>
      <c r="G10" s="39">
        <v>50</v>
      </c>
      <c r="H10" s="39">
        <v>50</v>
      </c>
      <c r="I10" s="39">
        <v>50</v>
      </c>
      <c r="J10" s="60"/>
    </row>
    <row r="11" spans="2:11" ht="67" customHeight="1">
      <c r="B11" s="16" t="s">
        <v>286</v>
      </c>
      <c r="C11" s="39">
        <v>60</v>
      </c>
      <c r="D11" s="39">
        <v>74</v>
      </c>
      <c r="E11" s="39">
        <v>75</v>
      </c>
      <c r="F11" s="39">
        <v>72</v>
      </c>
      <c r="G11" s="39">
        <v>75</v>
      </c>
      <c r="H11" s="39">
        <v>75</v>
      </c>
      <c r="I11" s="39">
        <v>75</v>
      </c>
      <c r="J11" s="60"/>
    </row>
    <row r="12" spans="2:11" ht="67" customHeight="1">
      <c r="B12" s="16" t="s">
        <v>287</v>
      </c>
      <c r="C12" s="39">
        <v>3</v>
      </c>
      <c r="D12" s="39">
        <v>3</v>
      </c>
      <c r="E12" s="39">
        <v>5</v>
      </c>
      <c r="F12" s="39">
        <v>5</v>
      </c>
      <c r="G12" s="39">
        <v>5</v>
      </c>
      <c r="H12" s="39">
        <v>5</v>
      </c>
      <c r="I12" s="39">
        <v>5</v>
      </c>
      <c r="J12" s="60"/>
    </row>
    <row r="13" spans="2:11" ht="67" customHeight="1">
      <c r="B13" s="16" t="s">
        <v>210</v>
      </c>
      <c r="C13" s="39">
        <v>17</v>
      </c>
      <c r="D13" s="39">
        <v>19</v>
      </c>
      <c r="E13" s="39">
        <v>20</v>
      </c>
      <c r="F13" s="39">
        <v>18</v>
      </c>
      <c r="G13" s="39">
        <v>20</v>
      </c>
      <c r="H13" s="39">
        <v>21</v>
      </c>
      <c r="I13" s="39">
        <v>21</v>
      </c>
      <c r="J13" s="60" t="s">
        <v>620</v>
      </c>
    </row>
    <row r="14" spans="2:11" ht="67" customHeight="1">
      <c r="B14" s="16" t="s">
        <v>210</v>
      </c>
      <c r="C14" s="39"/>
      <c r="D14" s="39"/>
      <c r="E14" s="39"/>
      <c r="F14" s="39"/>
      <c r="G14" s="39"/>
      <c r="H14" s="39"/>
      <c r="I14" s="39"/>
      <c r="J14" s="60"/>
    </row>
    <row r="15" spans="2:11" ht="67" customHeight="1">
      <c r="B15" s="16" t="s">
        <v>210</v>
      </c>
      <c r="C15" s="39"/>
      <c r="D15" s="39"/>
      <c r="E15" s="39"/>
      <c r="F15" s="39"/>
      <c r="G15" s="39"/>
      <c r="H15" s="39"/>
      <c r="I15" s="39"/>
      <c r="J15" s="60"/>
    </row>
    <row r="16" spans="2:11" ht="19">
      <c r="B16" s="51" t="s">
        <v>218</v>
      </c>
      <c r="C16" s="52">
        <f t="shared" ref="C16:I16" si="0">SUM(C3:C15)</f>
        <v>268</v>
      </c>
      <c r="D16" s="52">
        <f t="shared" si="0"/>
        <v>308</v>
      </c>
      <c r="E16" s="52">
        <f t="shared" si="0"/>
        <v>323</v>
      </c>
      <c r="F16" s="52">
        <f t="shared" si="0"/>
        <v>301</v>
      </c>
      <c r="G16" s="52">
        <f t="shared" si="0"/>
        <v>317</v>
      </c>
      <c r="H16" s="52">
        <f t="shared" si="0"/>
        <v>318</v>
      </c>
      <c r="I16" s="52">
        <f t="shared" si="0"/>
        <v>318</v>
      </c>
    </row>
  </sheetData>
  <sheetProtection algorithmName="SHA-512" hashValue="PhkzxIhRU/NEqiY5KBZ8osucQOINuCuNxmLGQ4G6ElnHL0RVLYel/mPUcfz2JPa3W0fO6h3g2OZ30cklvyYhDA==" saltValue="Iw59MJ83Pv69NpgKR5baOg==" spinCount="100000"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159"/>
  <sheetViews>
    <sheetView showGridLines="0" topLeftCell="A175" workbookViewId="0">
      <selection activeCell="M7" sqref="M7"/>
    </sheetView>
  </sheetViews>
  <sheetFormatPr baseColWidth="10" defaultColWidth="10.83203125" defaultRowHeight="16"/>
  <cols>
    <col min="1" max="1" width="5.33203125" customWidth="1"/>
    <col min="2" max="2" width="34.5" customWidth="1"/>
  </cols>
  <sheetData>
    <row r="2" spans="2:11" ht="47" customHeight="1">
      <c r="B2" s="102" t="s">
        <v>314</v>
      </c>
      <c r="C2" s="102"/>
      <c r="D2" s="102"/>
      <c r="E2" s="102"/>
      <c r="F2" s="102"/>
      <c r="G2" s="102"/>
      <c r="H2" s="102"/>
      <c r="I2" s="102"/>
      <c r="J2" s="102"/>
      <c r="K2" s="102"/>
    </row>
    <row r="3" spans="2:11" ht="47" customHeight="1">
      <c r="B3" s="102"/>
      <c r="C3" s="102"/>
      <c r="D3" s="102"/>
      <c r="E3" s="102"/>
      <c r="F3" s="102"/>
      <c r="G3" s="102"/>
      <c r="H3" s="102"/>
      <c r="I3" s="102"/>
      <c r="J3" s="102"/>
      <c r="K3" s="102"/>
    </row>
    <row r="4" spans="2:11" ht="47" customHeight="1">
      <c r="B4" s="102"/>
      <c r="C4" s="102"/>
      <c r="D4" s="102"/>
      <c r="E4" s="102"/>
      <c r="F4" s="102"/>
      <c r="G4" s="102"/>
      <c r="H4" s="102"/>
      <c r="I4" s="102"/>
      <c r="J4" s="102"/>
      <c r="K4" s="102"/>
    </row>
    <row r="5" spans="2:11" ht="47" customHeight="1">
      <c r="B5" s="102"/>
      <c r="C5" s="102"/>
      <c r="D5" s="102"/>
      <c r="E5" s="102"/>
      <c r="F5" s="102"/>
      <c r="G5" s="102"/>
      <c r="H5" s="102"/>
      <c r="I5" s="102"/>
      <c r="J5" s="102"/>
      <c r="K5" s="102"/>
    </row>
    <row r="8" spans="2:11">
      <c r="B8" s="75" t="s">
        <v>372</v>
      </c>
    </row>
    <row r="9" spans="2:11">
      <c r="B9" s="75" t="s">
        <v>373</v>
      </c>
    </row>
    <row r="10" spans="2:11">
      <c r="B10" s="76" t="s">
        <v>374</v>
      </c>
    </row>
    <row r="11" spans="2:11">
      <c r="B11" s="77" t="s">
        <v>375</v>
      </c>
    </row>
    <row r="12" spans="2:11">
      <c r="B12" s="76" t="s">
        <v>376</v>
      </c>
    </row>
    <row r="13" spans="2:11">
      <c r="B13" s="77" t="s">
        <v>377</v>
      </c>
    </row>
    <row r="14" spans="2:11">
      <c r="B14" s="77" t="s">
        <v>378</v>
      </c>
    </row>
    <row r="15" spans="2:11">
      <c r="B15" s="76" t="s">
        <v>379</v>
      </c>
    </row>
    <row r="16" spans="2:11">
      <c r="B16" s="77" t="s">
        <v>380</v>
      </c>
    </row>
    <row r="17" spans="2:2">
      <c r="B17" s="77" t="s">
        <v>381</v>
      </c>
    </row>
    <row r="18" spans="2:2">
      <c r="B18" s="77" t="s">
        <v>382</v>
      </c>
    </row>
    <row r="19" spans="2:2">
      <c r="B19" s="77" t="s">
        <v>383</v>
      </c>
    </row>
    <row r="20" spans="2:2">
      <c r="B20" s="78"/>
    </row>
    <row r="21" spans="2:2">
      <c r="B21" s="75" t="s">
        <v>384</v>
      </c>
    </row>
    <row r="22" spans="2:2">
      <c r="B22" s="75" t="s">
        <v>385</v>
      </c>
    </row>
    <row r="23" spans="2:2">
      <c r="B23" s="75" t="s">
        <v>386</v>
      </c>
    </row>
    <row r="24" spans="2:2">
      <c r="B24" s="75" t="s">
        <v>387</v>
      </c>
    </row>
    <row r="25" spans="2:2">
      <c r="B25" s="76" t="s">
        <v>388</v>
      </c>
    </row>
    <row r="26" spans="2:2">
      <c r="B26" s="77" t="s">
        <v>389</v>
      </c>
    </row>
    <row r="27" spans="2:2">
      <c r="B27" s="77" t="s">
        <v>390</v>
      </c>
    </row>
    <row r="28" spans="2:2">
      <c r="B28" s="77" t="s">
        <v>391</v>
      </c>
    </row>
    <row r="29" spans="2:2">
      <c r="B29" s="76" t="s">
        <v>392</v>
      </c>
    </row>
    <row r="30" spans="2:2">
      <c r="B30" s="77" t="s">
        <v>393</v>
      </c>
    </row>
    <row r="31" spans="2:2">
      <c r="B31" s="77" t="s">
        <v>394</v>
      </c>
    </row>
    <row r="32" spans="2:2">
      <c r="B32" s="76" t="s">
        <v>395</v>
      </c>
    </row>
    <row r="33" spans="2:2">
      <c r="B33" s="77" t="s">
        <v>396</v>
      </c>
    </row>
    <row r="34" spans="2:2">
      <c r="B34" s="76" t="s">
        <v>397</v>
      </c>
    </row>
    <row r="35" spans="2:2">
      <c r="B35" s="77" t="s">
        <v>398</v>
      </c>
    </row>
    <row r="36" spans="2:2">
      <c r="B36" s="77" t="s">
        <v>399</v>
      </c>
    </row>
    <row r="37" spans="2:2">
      <c r="B37" s="76" t="s">
        <v>400</v>
      </c>
    </row>
    <row r="38" spans="2:2">
      <c r="B38" s="77" t="s">
        <v>401</v>
      </c>
    </row>
    <row r="39" spans="2:2">
      <c r="B39" s="77" t="s">
        <v>402</v>
      </c>
    </row>
    <row r="40" spans="2:2">
      <c r="B40" s="75" t="s">
        <v>403</v>
      </c>
    </row>
    <row r="41" spans="2:2">
      <c r="B41" s="79" t="s">
        <v>404</v>
      </c>
    </row>
    <row r="42" spans="2:2">
      <c r="B42" s="79" t="s">
        <v>405</v>
      </c>
    </row>
    <row r="43" spans="2:2">
      <c r="B43" s="79" t="s">
        <v>406</v>
      </c>
    </row>
    <row r="44" spans="2:2">
      <c r="B44" s="79" t="s">
        <v>407</v>
      </c>
    </row>
    <row r="45" spans="2:2">
      <c r="B45" s="78"/>
    </row>
    <row r="46" spans="2:2">
      <c r="B46" s="75" t="s">
        <v>408</v>
      </c>
    </row>
    <row r="47" spans="2:2">
      <c r="B47" s="75" t="s">
        <v>409</v>
      </c>
    </row>
    <row r="48" spans="2:2">
      <c r="B48" s="75" t="s">
        <v>387</v>
      </c>
    </row>
    <row r="49" spans="2:2">
      <c r="B49" s="76" t="s">
        <v>410</v>
      </c>
    </row>
    <row r="50" spans="2:2">
      <c r="B50" s="77" t="s">
        <v>411</v>
      </c>
    </row>
    <row r="51" spans="2:2">
      <c r="B51" s="77" t="s">
        <v>412</v>
      </c>
    </row>
    <row r="52" spans="2:2">
      <c r="B52" s="76" t="s">
        <v>413</v>
      </c>
    </row>
    <row r="53" spans="2:2">
      <c r="B53" s="77" t="s">
        <v>414</v>
      </c>
    </row>
    <row r="54" spans="2:2">
      <c r="B54" s="77" t="s">
        <v>415</v>
      </c>
    </row>
    <row r="55" spans="2:2">
      <c r="B55" s="77" t="s">
        <v>416</v>
      </c>
    </row>
    <row r="56" spans="2:2">
      <c r="B56" s="76" t="s">
        <v>417</v>
      </c>
    </row>
    <row r="57" spans="2:2">
      <c r="B57" s="77" t="s">
        <v>418</v>
      </c>
    </row>
    <row r="58" spans="2:2">
      <c r="B58" s="77" t="s">
        <v>419</v>
      </c>
    </row>
    <row r="59" spans="2:2">
      <c r="B59" s="77" t="s">
        <v>420</v>
      </c>
    </row>
    <row r="60" spans="2:2">
      <c r="B60" s="76" t="s">
        <v>421</v>
      </c>
    </row>
    <row r="61" spans="2:2">
      <c r="B61" s="77" t="s">
        <v>422</v>
      </c>
    </row>
    <row r="62" spans="2:2">
      <c r="B62" s="76" t="s">
        <v>423</v>
      </c>
    </row>
    <row r="63" spans="2:2">
      <c r="B63" s="77" t="s">
        <v>424</v>
      </c>
    </row>
    <row r="64" spans="2:2">
      <c r="B64" s="76" t="s">
        <v>425</v>
      </c>
    </row>
    <row r="65" spans="2:2">
      <c r="B65" s="77" t="s">
        <v>426</v>
      </c>
    </row>
    <row r="66" spans="2:2">
      <c r="B66" s="77" t="s">
        <v>427</v>
      </c>
    </row>
    <row r="67" spans="2:2">
      <c r="B67" s="75" t="s">
        <v>403</v>
      </c>
    </row>
    <row r="68" spans="2:2">
      <c r="B68" s="79" t="s">
        <v>428</v>
      </c>
    </row>
    <row r="69" spans="2:2">
      <c r="B69" s="79" t="s">
        <v>429</v>
      </c>
    </row>
    <row r="70" spans="2:2">
      <c r="B70" s="79" t="s">
        <v>430</v>
      </c>
    </row>
    <row r="71" spans="2:2">
      <c r="B71" s="79" t="s">
        <v>431</v>
      </c>
    </row>
    <row r="72" spans="2:2">
      <c r="B72" s="79" t="s">
        <v>432</v>
      </c>
    </row>
    <row r="73" spans="2:2">
      <c r="B73" s="79" t="s">
        <v>433</v>
      </c>
    </row>
    <row r="74" spans="2:2">
      <c r="B74" s="78"/>
    </row>
    <row r="75" spans="2:2">
      <c r="B75" s="75" t="s">
        <v>434</v>
      </c>
    </row>
    <row r="76" spans="2:2">
      <c r="B76" s="75" t="s">
        <v>435</v>
      </c>
    </row>
    <row r="77" spans="2:2">
      <c r="B77" s="75" t="s">
        <v>387</v>
      </c>
    </row>
    <row r="78" spans="2:2">
      <c r="B78" s="76" t="s">
        <v>436</v>
      </c>
    </row>
    <row r="79" spans="2:2">
      <c r="B79" s="77" t="s">
        <v>437</v>
      </c>
    </row>
    <row r="80" spans="2:2">
      <c r="B80" s="77" t="s">
        <v>438</v>
      </c>
    </row>
    <row r="81" spans="2:2">
      <c r="B81" s="77" t="s">
        <v>439</v>
      </c>
    </row>
    <row r="82" spans="2:2">
      <c r="B82" s="76" t="s">
        <v>440</v>
      </c>
    </row>
    <row r="83" spans="2:2">
      <c r="B83" s="77" t="s">
        <v>441</v>
      </c>
    </row>
    <row r="84" spans="2:2">
      <c r="B84" s="77" t="s">
        <v>442</v>
      </c>
    </row>
    <row r="85" spans="2:2">
      <c r="B85" s="77" t="s">
        <v>443</v>
      </c>
    </row>
    <row r="86" spans="2:2">
      <c r="B86" s="76" t="s">
        <v>444</v>
      </c>
    </row>
    <row r="87" spans="2:2">
      <c r="B87" s="77" t="s">
        <v>445</v>
      </c>
    </row>
    <row r="88" spans="2:2">
      <c r="B88" s="77" t="s">
        <v>446</v>
      </c>
    </row>
    <row r="89" spans="2:2">
      <c r="B89" s="77" t="s">
        <v>447</v>
      </c>
    </row>
    <row r="90" spans="2:2">
      <c r="B90" s="77" t="s">
        <v>448</v>
      </c>
    </row>
    <row r="91" spans="2:2">
      <c r="B91" s="76" t="s">
        <v>449</v>
      </c>
    </row>
    <row r="92" spans="2:2">
      <c r="B92" s="77" t="s">
        <v>450</v>
      </c>
    </row>
    <row r="93" spans="2:2">
      <c r="B93" s="77" t="s">
        <v>451</v>
      </c>
    </row>
    <row r="94" spans="2:2">
      <c r="B94" s="77" t="s">
        <v>452</v>
      </c>
    </row>
    <row r="95" spans="2:2">
      <c r="B95" s="80" t="s">
        <v>453</v>
      </c>
    </row>
    <row r="96" spans="2:2">
      <c r="B96" s="80" t="s">
        <v>454</v>
      </c>
    </row>
    <row r="97" spans="2:2">
      <c r="B97" s="80" t="s">
        <v>455</v>
      </c>
    </row>
    <row r="98" spans="2:2">
      <c r="B98" s="80" t="s">
        <v>456</v>
      </c>
    </row>
    <row r="99" spans="2:2">
      <c r="B99" s="76" t="s">
        <v>457</v>
      </c>
    </row>
    <row r="100" spans="2:2">
      <c r="B100" s="77" t="s">
        <v>458</v>
      </c>
    </row>
    <row r="101" spans="2:2">
      <c r="B101" s="77" t="s">
        <v>459</v>
      </c>
    </row>
    <row r="102" spans="2:2">
      <c r="B102" s="77" t="s">
        <v>460</v>
      </c>
    </row>
    <row r="103" spans="2:2">
      <c r="B103" s="76" t="s">
        <v>461</v>
      </c>
    </row>
    <row r="104" spans="2:2">
      <c r="B104" s="77" t="s">
        <v>462</v>
      </c>
    </row>
    <row r="105" spans="2:2">
      <c r="B105" s="77" t="s">
        <v>463</v>
      </c>
    </row>
    <row r="106" spans="2:2">
      <c r="B106" s="75" t="s">
        <v>403</v>
      </c>
    </row>
    <row r="107" spans="2:2">
      <c r="B107" s="79" t="s">
        <v>464</v>
      </c>
    </row>
    <row r="108" spans="2:2">
      <c r="B108" s="79" t="s">
        <v>465</v>
      </c>
    </row>
    <row r="109" spans="2:2">
      <c r="B109" s="79" t="s">
        <v>466</v>
      </c>
    </row>
    <row r="110" spans="2:2">
      <c r="B110" s="79" t="s">
        <v>467</v>
      </c>
    </row>
    <row r="111" spans="2:2">
      <c r="B111" s="79" t="s">
        <v>468</v>
      </c>
    </row>
    <row r="112" spans="2:2">
      <c r="B112" s="78"/>
    </row>
    <row r="113" spans="2:2">
      <c r="B113" s="75" t="s">
        <v>469</v>
      </c>
    </row>
    <row r="114" spans="2:2">
      <c r="B114" s="75" t="s">
        <v>470</v>
      </c>
    </row>
    <row r="115" spans="2:2">
      <c r="B115" s="75" t="s">
        <v>387</v>
      </c>
    </row>
    <row r="116" spans="2:2">
      <c r="B116" s="76" t="s">
        <v>471</v>
      </c>
    </row>
    <row r="117" spans="2:2">
      <c r="B117" s="77" t="s">
        <v>472</v>
      </c>
    </row>
    <row r="118" spans="2:2">
      <c r="B118" s="77" t="s">
        <v>473</v>
      </c>
    </row>
    <row r="119" spans="2:2">
      <c r="B119" s="77" t="s">
        <v>474</v>
      </c>
    </row>
    <row r="120" spans="2:2">
      <c r="B120" s="76" t="s">
        <v>475</v>
      </c>
    </row>
    <row r="121" spans="2:2">
      <c r="B121" s="77" t="s">
        <v>476</v>
      </c>
    </row>
    <row r="122" spans="2:2">
      <c r="B122" s="77" t="s">
        <v>477</v>
      </c>
    </row>
    <row r="123" spans="2:2">
      <c r="B123" s="77" t="s">
        <v>478</v>
      </c>
    </row>
    <row r="124" spans="2:2">
      <c r="B124" s="76" t="s">
        <v>479</v>
      </c>
    </row>
    <row r="125" spans="2:2">
      <c r="B125" s="77" t="s">
        <v>480</v>
      </c>
    </row>
    <row r="126" spans="2:2">
      <c r="B126" s="77" t="s">
        <v>481</v>
      </c>
    </row>
    <row r="127" spans="2:2">
      <c r="B127" s="77" t="s">
        <v>482</v>
      </c>
    </row>
    <row r="128" spans="2:2">
      <c r="B128" s="76" t="s">
        <v>483</v>
      </c>
    </row>
    <row r="129" spans="2:7">
      <c r="B129" s="77" t="s">
        <v>484</v>
      </c>
    </row>
    <row r="130" spans="2:7">
      <c r="B130" s="77" t="s">
        <v>485</v>
      </c>
    </row>
    <row r="131" spans="2:7">
      <c r="B131" s="77" t="s">
        <v>486</v>
      </c>
    </row>
    <row r="132" spans="2:7">
      <c r="B132" s="76" t="s">
        <v>487</v>
      </c>
    </row>
    <row r="133" spans="2:7">
      <c r="B133" s="77" t="s">
        <v>488</v>
      </c>
    </row>
    <row r="134" spans="2:7">
      <c r="B134" s="77" t="s">
        <v>489</v>
      </c>
    </row>
    <row r="135" spans="2:7">
      <c r="B135" s="77" t="s">
        <v>490</v>
      </c>
    </row>
    <row r="136" spans="2:7">
      <c r="B136" s="75" t="s">
        <v>403</v>
      </c>
    </row>
    <row r="137" spans="2:7">
      <c r="B137" s="79" t="s">
        <v>491</v>
      </c>
    </row>
    <row r="138" spans="2:7">
      <c r="B138" s="79" t="s">
        <v>492</v>
      </c>
    </row>
    <row r="139" spans="2:7">
      <c r="B139" s="79" t="s">
        <v>493</v>
      </c>
    </row>
    <row r="140" spans="2:7">
      <c r="B140" s="79" t="s">
        <v>494</v>
      </c>
    </row>
    <row r="141" spans="2:7">
      <c r="B141" s="78"/>
    </row>
    <row r="142" spans="2:7">
      <c r="B142" s="75" t="s">
        <v>495</v>
      </c>
    </row>
    <row r="143" spans="2:7">
      <c r="B143" s="81" t="s">
        <v>496</v>
      </c>
      <c r="C143" s="100" t="s">
        <v>497</v>
      </c>
      <c r="D143" s="99"/>
      <c r="E143" s="99"/>
      <c r="F143" s="99"/>
      <c r="G143" s="99"/>
    </row>
    <row r="144" spans="2:7">
      <c r="B144" s="81"/>
      <c r="C144" s="81"/>
      <c r="D144" s="82"/>
      <c r="E144" s="82"/>
      <c r="F144" s="82"/>
      <c r="G144" s="82"/>
    </row>
    <row r="145" spans="2:10">
      <c r="B145" s="81" t="s">
        <v>498</v>
      </c>
      <c r="C145" s="98" t="s">
        <v>499</v>
      </c>
      <c r="D145" s="99"/>
      <c r="E145" s="99"/>
      <c r="F145" s="99"/>
      <c r="G145" s="99"/>
    </row>
    <row r="146" spans="2:10">
      <c r="B146" s="81" t="s">
        <v>500</v>
      </c>
      <c r="C146" s="98" t="s">
        <v>501</v>
      </c>
      <c r="D146" s="99"/>
      <c r="E146" s="99"/>
      <c r="F146" s="99"/>
      <c r="G146" s="99"/>
    </row>
    <row r="147" spans="2:10">
      <c r="B147" s="81" t="s">
        <v>502</v>
      </c>
      <c r="C147" s="98" t="s">
        <v>503</v>
      </c>
      <c r="D147" s="99"/>
      <c r="E147" s="99"/>
      <c r="F147" s="99"/>
      <c r="G147" s="99"/>
    </row>
    <row r="148" spans="2:10">
      <c r="B148" s="81" t="s">
        <v>504</v>
      </c>
      <c r="C148" s="98" t="s">
        <v>505</v>
      </c>
      <c r="D148" s="99"/>
      <c r="E148" s="99"/>
      <c r="F148" s="99"/>
      <c r="G148" s="99"/>
    </row>
    <row r="149" spans="2:10">
      <c r="B149" s="78"/>
    </row>
    <row r="150" spans="2:10">
      <c r="B150" s="75" t="s">
        <v>506</v>
      </c>
    </row>
    <row r="151" spans="2:10">
      <c r="B151" s="75" t="s">
        <v>507</v>
      </c>
    </row>
    <row r="152" spans="2:10">
      <c r="B152" s="79" t="s">
        <v>508</v>
      </c>
    </row>
    <row r="153" spans="2:10">
      <c r="B153" s="79" t="s">
        <v>509</v>
      </c>
      <c r="F153" s="100"/>
      <c r="G153" s="101"/>
      <c r="H153" s="101"/>
      <c r="I153" s="101"/>
      <c r="J153" s="101"/>
    </row>
    <row r="154" spans="2:10">
      <c r="B154" s="79" t="s">
        <v>510</v>
      </c>
    </row>
    <row r="155" spans="2:10">
      <c r="B155" s="75" t="s">
        <v>511</v>
      </c>
    </row>
    <row r="156" spans="2:10">
      <c r="B156" s="79" t="s">
        <v>512</v>
      </c>
    </row>
    <row r="157" spans="2:10">
      <c r="B157" s="79" t="s">
        <v>513</v>
      </c>
    </row>
    <row r="158" spans="2:10">
      <c r="B158" s="79" t="s">
        <v>514</v>
      </c>
    </row>
    <row r="159" spans="2:10">
      <c r="B159" s="79" t="s">
        <v>515</v>
      </c>
    </row>
  </sheetData>
  <mergeCells count="7">
    <mergeCell ref="C148:G148"/>
    <mergeCell ref="F153:J153"/>
    <mergeCell ref="B2:K5"/>
    <mergeCell ref="C143:G143"/>
    <mergeCell ref="C145:G145"/>
    <mergeCell ref="C146:G146"/>
    <mergeCell ref="C147:G14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E1" zoomScaleNormal="70" workbookViewId="0">
      <selection activeCell="I13" sqref="I13"/>
    </sheetView>
  </sheetViews>
  <sheetFormatPr baseColWidth="10" defaultRowHeight="16"/>
  <cols>
    <col min="1" max="1" width="4.1640625" style="1" customWidth="1"/>
    <col min="2" max="2" width="51.5" style="1" customWidth="1"/>
    <col min="3" max="22" width="29.1640625" style="1" customWidth="1"/>
    <col min="23" max="23" width="57.83203125" style="1" customWidth="1"/>
  </cols>
  <sheetData>
    <row r="1" spans="2:23" ht="60" customHeight="1">
      <c r="B1" s="34" t="s">
        <v>247</v>
      </c>
    </row>
    <row r="2" spans="2:23" ht="60" customHeight="1">
      <c r="B2" s="65" t="s">
        <v>240</v>
      </c>
      <c r="C2" s="103" t="s">
        <v>242</v>
      </c>
      <c r="D2" s="103"/>
      <c r="E2" s="103"/>
      <c r="F2" s="103"/>
      <c r="G2" s="103" t="s">
        <v>243</v>
      </c>
      <c r="H2" s="103"/>
      <c r="I2" s="103"/>
      <c r="J2" s="103"/>
      <c r="K2" s="103"/>
      <c r="L2" s="103" t="s">
        <v>305</v>
      </c>
      <c r="M2" s="103"/>
      <c r="N2" s="103"/>
      <c r="O2" s="103"/>
      <c r="P2" s="103"/>
      <c r="Q2" s="103"/>
      <c r="R2" s="103"/>
      <c r="S2" s="103" t="s">
        <v>244</v>
      </c>
      <c r="T2" s="103"/>
      <c r="U2" s="103"/>
      <c r="V2" s="103"/>
    </row>
    <row r="3" spans="2:23" ht="60" customHeight="1">
      <c r="B3" s="16" t="s">
        <v>241</v>
      </c>
      <c r="C3" s="66" t="s">
        <v>245</v>
      </c>
      <c r="D3" s="66" t="s">
        <v>297</v>
      </c>
      <c r="E3" s="66" t="s">
        <v>235</v>
      </c>
      <c r="F3" s="66" t="s">
        <v>292</v>
      </c>
      <c r="G3" s="66" t="s">
        <v>41</v>
      </c>
      <c r="H3" s="66" t="s">
        <v>246</v>
      </c>
      <c r="I3" s="66" t="s">
        <v>236</v>
      </c>
      <c r="J3" s="66" t="s">
        <v>237</v>
      </c>
      <c r="K3" s="66" t="s">
        <v>289</v>
      </c>
      <c r="L3" s="66" t="s">
        <v>306</v>
      </c>
      <c r="M3" s="67" t="s">
        <v>312</v>
      </c>
      <c r="N3" s="66" t="s">
        <v>307</v>
      </c>
      <c r="O3" s="66" t="s">
        <v>311</v>
      </c>
      <c r="P3" s="66" t="s">
        <v>308</v>
      </c>
      <c r="Q3" s="66" t="s">
        <v>309</v>
      </c>
      <c r="R3" s="66" t="s">
        <v>310</v>
      </c>
      <c r="S3" s="66" t="s">
        <v>24</v>
      </c>
      <c r="T3" s="66" t="s">
        <v>238</v>
      </c>
      <c r="U3" s="66" t="s">
        <v>295</v>
      </c>
      <c r="V3" s="66" t="s">
        <v>239</v>
      </c>
      <c r="W3" s="16" t="s">
        <v>207</v>
      </c>
    </row>
    <row r="4" spans="2:23" ht="60" customHeight="1">
      <c r="B4" s="16" t="s">
        <v>254</v>
      </c>
      <c r="C4" s="39" t="s">
        <v>36</v>
      </c>
      <c r="D4" s="39" t="s">
        <v>36</v>
      </c>
      <c r="E4" s="39" t="s">
        <v>36</v>
      </c>
      <c r="F4" s="39" t="s">
        <v>37</v>
      </c>
      <c r="G4" s="39" t="s">
        <v>37</v>
      </c>
      <c r="H4" s="39" t="s">
        <v>37</v>
      </c>
      <c r="I4" s="39" t="s">
        <v>36</v>
      </c>
      <c r="J4" s="39" t="s">
        <v>36</v>
      </c>
      <c r="K4" s="39" t="s">
        <v>36</v>
      </c>
      <c r="L4" s="39" t="s">
        <v>37</v>
      </c>
      <c r="M4" s="39" t="s">
        <v>37</v>
      </c>
      <c r="N4" s="39" t="s">
        <v>37</v>
      </c>
      <c r="O4" s="39" t="s">
        <v>37</v>
      </c>
      <c r="P4" s="39" t="s">
        <v>36</v>
      </c>
      <c r="Q4" s="39" t="s">
        <v>36</v>
      </c>
      <c r="R4" s="39" t="s">
        <v>36</v>
      </c>
      <c r="S4" s="39" t="s">
        <v>36</v>
      </c>
      <c r="T4" s="39" t="s">
        <v>37</v>
      </c>
      <c r="U4" s="39" t="s">
        <v>36</v>
      </c>
      <c r="V4" s="39" t="s">
        <v>37</v>
      </c>
      <c r="W4" s="60"/>
    </row>
    <row r="5" spans="2:23" ht="60" customHeight="1">
      <c r="B5" s="36" t="s">
        <v>274</v>
      </c>
      <c r="C5" s="39" t="s">
        <v>334</v>
      </c>
      <c r="D5" s="39" t="s">
        <v>342</v>
      </c>
      <c r="E5" s="39" t="s">
        <v>342</v>
      </c>
      <c r="F5" s="39" t="s">
        <v>344</v>
      </c>
      <c r="G5" s="39" t="s">
        <v>344</v>
      </c>
      <c r="H5" s="39" t="s">
        <v>344</v>
      </c>
      <c r="I5" s="39" t="s">
        <v>342</v>
      </c>
      <c r="J5" s="39" t="s">
        <v>334</v>
      </c>
      <c r="K5" s="39" t="s">
        <v>342</v>
      </c>
      <c r="L5" s="39" t="s">
        <v>344</v>
      </c>
      <c r="M5" s="39" t="s">
        <v>344</v>
      </c>
      <c r="N5" s="39" t="s">
        <v>344</v>
      </c>
      <c r="O5" s="39" t="s">
        <v>344</v>
      </c>
      <c r="P5" s="39" t="s">
        <v>334</v>
      </c>
      <c r="Q5" s="39" t="s">
        <v>334</v>
      </c>
      <c r="R5" s="39" t="s">
        <v>334</v>
      </c>
      <c r="S5" s="39" t="s">
        <v>334</v>
      </c>
      <c r="T5" s="39" t="s">
        <v>344</v>
      </c>
      <c r="U5" s="39" t="s">
        <v>342</v>
      </c>
      <c r="V5" s="39" t="s">
        <v>344</v>
      </c>
      <c r="W5" s="60"/>
    </row>
    <row r="6" spans="2:23" ht="60" customHeight="1">
      <c r="B6" s="36" t="s">
        <v>255</v>
      </c>
      <c r="C6" s="39" t="s">
        <v>37</v>
      </c>
      <c r="D6" s="39" t="s">
        <v>37</v>
      </c>
      <c r="E6" s="39" t="s">
        <v>37</v>
      </c>
      <c r="F6" s="39" t="s">
        <v>37</v>
      </c>
      <c r="G6" s="39" t="s">
        <v>37</v>
      </c>
      <c r="H6" s="39" t="s">
        <v>37</v>
      </c>
      <c r="I6" s="39" t="s">
        <v>37</v>
      </c>
      <c r="J6" s="39" t="s">
        <v>36</v>
      </c>
      <c r="K6" s="39" t="s">
        <v>37</v>
      </c>
      <c r="L6" s="39" t="s">
        <v>37</v>
      </c>
      <c r="M6" s="39" t="s">
        <v>37</v>
      </c>
      <c r="N6" s="39" t="s">
        <v>37</v>
      </c>
      <c r="O6" s="39" t="s">
        <v>37</v>
      </c>
      <c r="P6" s="39" t="s">
        <v>37</v>
      </c>
      <c r="Q6" s="39" t="s">
        <v>37</v>
      </c>
      <c r="R6" s="39" t="s">
        <v>37</v>
      </c>
      <c r="S6" s="39" t="s">
        <v>37</v>
      </c>
      <c r="T6" s="39" t="s">
        <v>37</v>
      </c>
      <c r="U6" s="39" t="s">
        <v>37</v>
      </c>
      <c r="V6" s="39" t="s">
        <v>37</v>
      </c>
      <c r="W6" s="60"/>
    </row>
    <row r="7" spans="2:23" ht="60" customHeight="1">
      <c r="B7" s="36" t="s">
        <v>22</v>
      </c>
      <c r="C7" s="39" t="s">
        <v>345</v>
      </c>
      <c r="D7" s="39" t="s">
        <v>346</v>
      </c>
      <c r="E7" s="39" t="s">
        <v>347</v>
      </c>
      <c r="F7" s="39" t="s">
        <v>344</v>
      </c>
      <c r="G7" s="39" t="s">
        <v>344</v>
      </c>
      <c r="H7" s="39" t="s">
        <v>344</v>
      </c>
      <c r="I7" s="39" t="s">
        <v>630</v>
      </c>
      <c r="J7" s="39" t="s">
        <v>348</v>
      </c>
      <c r="K7" s="39" t="s">
        <v>349</v>
      </c>
      <c r="L7" s="39" t="s">
        <v>344</v>
      </c>
      <c r="M7" s="39" t="s">
        <v>344</v>
      </c>
      <c r="N7" s="39" t="s">
        <v>344</v>
      </c>
      <c r="O7" s="39" t="s">
        <v>344</v>
      </c>
      <c r="P7" s="39" t="s">
        <v>350</v>
      </c>
      <c r="Q7" s="39" t="s">
        <v>351</v>
      </c>
      <c r="R7" s="39" t="s">
        <v>352</v>
      </c>
      <c r="S7" s="39" t="s">
        <v>353</v>
      </c>
      <c r="T7" s="39" t="s">
        <v>344</v>
      </c>
      <c r="U7" s="39" t="s">
        <v>354</v>
      </c>
      <c r="V7" s="39" t="s">
        <v>344</v>
      </c>
      <c r="W7" s="60"/>
    </row>
    <row r="8" spans="2:23" ht="60" customHeight="1">
      <c r="B8" s="36" t="s">
        <v>273</v>
      </c>
      <c r="C8" s="39">
        <v>50</v>
      </c>
      <c r="D8" s="39">
        <v>8</v>
      </c>
      <c r="E8" s="39">
        <v>10</v>
      </c>
      <c r="F8" s="39"/>
      <c r="G8" s="39"/>
      <c r="H8" s="39"/>
      <c r="I8" s="39">
        <v>120</v>
      </c>
      <c r="J8" s="39">
        <v>12</v>
      </c>
      <c r="K8" s="39">
        <v>30</v>
      </c>
      <c r="L8" s="39"/>
      <c r="M8" s="39"/>
      <c r="N8" s="39"/>
      <c r="O8" s="39"/>
      <c r="P8" s="39">
        <v>8</v>
      </c>
      <c r="Q8" s="39">
        <v>10</v>
      </c>
      <c r="R8" s="39">
        <v>4</v>
      </c>
      <c r="S8" s="39">
        <v>4</v>
      </c>
      <c r="T8" s="39"/>
      <c r="U8" s="39">
        <v>10</v>
      </c>
      <c r="V8" s="39"/>
      <c r="W8" s="60"/>
    </row>
    <row r="9" spans="2:23" ht="60" customHeight="1">
      <c r="B9" s="36" t="s">
        <v>256</v>
      </c>
      <c r="C9" s="39" t="s">
        <v>355</v>
      </c>
      <c r="D9" s="39" t="s">
        <v>356</v>
      </c>
      <c r="E9" s="39" t="s">
        <v>357</v>
      </c>
      <c r="F9" s="39" t="s">
        <v>344</v>
      </c>
      <c r="G9" s="39" t="s">
        <v>344</v>
      </c>
      <c r="H9" s="39" t="s">
        <v>344</v>
      </c>
      <c r="I9" s="39" t="s">
        <v>634</v>
      </c>
      <c r="J9" s="39" t="s">
        <v>358</v>
      </c>
      <c r="K9" s="39" t="s">
        <v>359</v>
      </c>
      <c r="L9" s="39" t="s">
        <v>344</v>
      </c>
      <c r="M9" s="39" t="s">
        <v>344</v>
      </c>
      <c r="N9" s="39" t="s">
        <v>344</v>
      </c>
      <c r="O9" s="39" t="s">
        <v>344</v>
      </c>
      <c r="P9" s="39"/>
      <c r="Q9" s="39"/>
      <c r="R9" s="39" t="s">
        <v>360</v>
      </c>
      <c r="S9" s="39"/>
      <c r="T9" s="39"/>
      <c r="U9" s="39"/>
      <c r="V9" s="39"/>
      <c r="W9" s="60"/>
    </row>
    <row r="10" spans="2:23" ht="60" customHeight="1">
      <c r="B10" s="36" t="s">
        <v>304</v>
      </c>
      <c r="C10" s="39"/>
      <c r="D10" s="39"/>
      <c r="E10" s="39"/>
      <c r="F10" s="39"/>
      <c r="G10" s="39"/>
      <c r="H10" s="39"/>
      <c r="I10" s="39" t="s">
        <v>635</v>
      </c>
      <c r="J10" s="39"/>
      <c r="K10" s="39"/>
      <c r="L10" s="39"/>
      <c r="M10" s="39"/>
      <c r="N10" s="39"/>
      <c r="O10" s="39"/>
      <c r="P10" s="39"/>
      <c r="Q10" s="39"/>
      <c r="R10" s="39"/>
      <c r="S10" s="39"/>
      <c r="T10" s="39"/>
      <c r="U10" s="39"/>
      <c r="V10" s="39"/>
      <c r="W10" s="60"/>
    </row>
    <row r="11" spans="2:23" ht="60" customHeight="1">
      <c r="B11" s="36" t="s">
        <v>275</v>
      </c>
      <c r="C11" s="39" t="s">
        <v>361</v>
      </c>
      <c r="D11" s="39" t="s">
        <v>362</v>
      </c>
      <c r="E11" s="39" t="s">
        <v>363</v>
      </c>
      <c r="F11" s="39" t="s">
        <v>344</v>
      </c>
      <c r="G11" s="68" t="s">
        <v>344</v>
      </c>
      <c r="H11" s="39" t="s">
        <v>344</v>
      </c>
      <c r="I11" s="39" t="s">
        <v>364</v>
      </c>
      <c r="J11" s="39" t="s">
        <v>365</v>
      </c>
      <c r="K11" s="39" t="s">
        <v>366</v>
      </c>
      <c r="L11" s="39" t="s">
        <v>344</v>
      </c>
      <c r="M11" s="39" t="s">
        <v>344</v>
      </c>
      <c r="N11" s="39" t="s">
        <v>344</v>
      </c>
      <c r="O11" s="39" t="s">
        <v>344</v>
      </c>
      <c r="P11" s="39" t="s">
        <v>367</v>
      </c>
      <c r="Q11" s="39" t="s">
        <v>368</v>
      </c>
      <c r="R11" s="39" t="s">
        <v>369</v>
      </c>
      <c r="S11" s="39" t="s">
        <v>370</v>
      </c>
      <c r="T11" s="39" t="s">
        <v>344</v>
      </c>
      <c r="U11" s="39" t="s">
        <v>371</v>
      </c>
      <c r="V11" s="39" t="s">
        <v>344</v>
      </c>
      <c r="W11" s="60"/>
    </row>
    <row r="12" spans="2:23" ht="60" customHeight="1">
      <c r="B12" s="16" t="s">
        <v>257</v>
      </c>
      <c r="C12" s="39"/>
      <c r="D12" s="39"/>
      <c r="E12" s="39"/>
      <c r="F12" s="39"/>
      <c r="G12" s="39"/>
      <c r="H12" s="39"/>
      <c r="I12" s="39" t="s">
        <v>594</v>
      </c>
      <c r="J12" s="39"/>
      <c r="K12" s="39"/>
      <c r="L12" s="39"/>
      <c r="M12" s="39"/>
      <c r="N12" s="39"/>
      <c r="O12" s="39"/>
      <c r="P12" s="39"/>
      <c r="Q12" s="39"/>
      <c r="R12" s="39"/>
      <c r="S12" s="39"/>
      <c r="T12" s="39"/>
      <c r="U12" s="39"/>
      <c r="V12" s="39"/>
      <c r="W12" s="60"/>
    </row>
    <row r="13" spans="2:23" ht="60" customHeight="1">
      <c r="B13" s="36" t="s">
        <v>252</v>
      </c>
      <c r="C13" s="39"/>
      <c r="D13" s="39"/>
      <c r="E13" s="39"/>
      <c r="F13" s="39"/>
      <c r="G13" s="39"/>
      <c r="H13" s="39"/>
      <c r="I13" s="39"/>
      <c r="J13" s="39"/>
      <c r="K13" s="39"/>
      <c r="L13" s="39"/>
      <c r="M13" s="39"/>
      <c r="N13" s="39"/>
      <c r="O13" s="39"/>
      <c r="P13" s="39"/>
      <c r="Q13" s="39"/>
      <c r="R13" s="39"/>
      <c r="S13" s="39"/>
      <c r="T13" s="39"/>
      <c r="U13" s="39"/>
      <c r="V13" s="39"/>
      <c r="W13" s="60"/>
    </row>
    <row r="14" spans="2:23" ht="60" customHeight="1">
      <c r="B14" s="16" t="s">
        <v>248</v>
      </c>
      <c r="C14" s="39"/>
      <c r="D14" s="39"/>
      <c r="E14" s="39"/>
      <c r="F14" s="39"/>
      <c r="G14" s="39"/>
      <c r="H14" s="39"/>
      <c r="I14" s="39" t="s">
        <v>631</v>
      </c>
      <c r="J14" s="39"/>
      <c r="K14" s="39"/>
      <c r="L14" s="39"/>
      <c r="M14" s="39"/>
      <c r="N14" s="39"/>
      <c r="O14" s="39"/>
      <c r="P14" s="39"/>
      <c r="Q14" s="39"/>
      <c r="R14" s="39"/>
      <c r="S14" s="39"/>
      <c r="T14" s="39"/>
      <c r="U14" s="39"/>
      <c r="V14" s="39"/>
      <c r="W14" s="60"/>
    </row>
    <row r="15" spans="2:23" ht="60" customHeight="1">
      <c r="B15" s="16" t="s">
        <v>251</v>
      </c>
      <c r="C15" s="39"/>
      <c r="D15" s="39"/>
      <c r="E15" s="39"/>
      <c r="F15" s="39"/>
      <c r="G15" s="39"/>
      <c r="H15" s="39"/>
      <c r="I15" s="39" t="s">
        <v>633</v>
      </c>
      <c r="J15" s="39"/>
      <c r="K15" s="39"/>
      <c r="L15" s="39"/>
      <c r="M15" s="39"/>
      <c r="N15" s="39"/>
      <c r="O15" s="39"/>
      <c r="P15" s="39"/>
      <c r="Q15" s="39"/>
      <c r="R15" s="39"/>
      <c r="S15" s="39"/>
      <c r="T15" s="39"/>
      <c r="U15" s="39"/>
      <c r="V15" s="39"/>
      <c r="W15" s="60"/>
    </row>
    <row r="16" spans="2:23" ht="60" customHeight="1">
      <c r="B16" s="36" t="s">
        <v>253</v>
      </c>
      <c r="C16" s="39"/>
      <c r="D16" s="39"/>
      <c r="E16" s="39"/>
      <c r="F16" s="39"/>
      <c r="G16" s="39"/>
      <c r="H16" s="39"/>
      <c r="I16" s="39" t="s">
        <v>632</v>
      </c>
      <c r="J16" s="39"/>
      <c r="K16" s="39"/>
      <c r="L16" s="39"/>
      <c r="M16" s="39"/>
      <c r="N16" s="39"/>
      <c r="O16" s="39"/>
      <c r="P16" s="39"/>
      <c r="Q16" s="39"/>
      <c r="R16" s="39"/>
      <c r="S16" s="39"/>
      <c r="T16" s="39"/>
      <c r="U16" s="39"/>
      <c r="V16" s="39"/>
      <c r="W16" s="60"/>
    </row>
    <row r="17" spans="2:23" ht="60" customHeight="1">
      <c r="B17" s="16" t="s">
        <v>249</v>
      </c>
      <c r="C17" s="39"/>
      <c r="D17" s="39"/>
      <c r="E17" s="39"/>
      <c r="F17" s="39"/>
      <c r="G17" s="39"/>
      <c r="H17" s="39"/>
      <c r="I17" s="39" t="s">
        <v>586</v>
      </c>
      <c r="J17" s="39"/>
      <c r="K17" s="39"/>
      <c r="L17" s="39"/>
      <c r="M17" s="39"/>
      <c r="N17" s="39"/>
      <c r="O17" s="39"/>
      <c r="P17" s="39"/>
      <c r="Q17" s="39"/>
      <c r="R17" s="39"/>
      <c r="S17" s="39"/>
      <c r="T17" s="39"/>
      <c r="U17" s="39"/>
      <c r="V17" s="39"/>
      <c r="W17" s="60"/>
    </row>
    <row r="18" spans="2:23" ht="60" customHeight="1">
      <c r="B18" s="16" t="s">
        <v>250</v>
      </c>
      <c r="C18" s="39"/>
      <c r="D18" s="39"/>
      <c r="E18" s="39"/>
      <c r="F18" s="39"/>
      <c r="G18" s="39"/>
      <c r="H18" s="39"/>
      <c r="I18" s="39"/>
      <c r="J18" s="39"/>
      <c r="K18" s="39"/>
      <c r="L18" s="39"/>
      <c r="M18" s="39"/>
      <c r="N18" s="39"/>
      <c r="O18" s="39"/>
      <c r="P18" s="39"/>
      <c r="Q18" s="39"/>
      <c r="R18" s="39"/>
      <c r="S18" s="39"/>
      <c r="T18" s="39"/>
      <c r="U18" s="39"/>
      <c r="V18" s="39"/>
      <c r="W18" s="60"/>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M67"/>
  <sheetViews>
    <sheetView showGridLines="0" workbookViewId="0">
      <selection activeCell="H70" sqref="H70"/>
    </sheetView>
  </sheetViews>
  <sheetFormatPr baseColWidth="10" defaultColWidth="10.83203125" defaultRowHeight="16"/>
  <cols>
    <col min="1" max="1" width="5.5" customWidth="1"/>
  </cols>
  <sheetData>
    <row r="3" spans="2:11" ht="34" customHeight="1">
      <c r="B3" s="102" t="s">
        <v>224</v>
      </c>
      <c r="C3" s="102"/>
      <c r="D3" s="102"/>
      <c r="E3" s="102"/>
      <c r="F3" s="102"/>
      <c r="G3" s="102"/>
      <c r="H3" s="102"/>
      <c r="I3" s="102"/>
      <c r="J3" s="102"/>
      <c r="K3" s="102"/>
    </row>
    <row r="4" spans="2:11" ht="34" customHeight="1">
      <c r="B4" s="102"/>
      <c r="C4" s="102"/>
      <c r="D4" s="102"/>
      <c r="E4" s="102"/>
      <c r="F4" s="102"/>
      <c r="G4" s="102"/>
      <c r="H4" s="102"/>
      <c r="I4" s="102"/>
      <c r="J4" s="102"/>
      <c r="K4" s="102"/>
    </row>
    <row r="5" spans="2:11" ht="34" customHeight="1">
      <c r="B5" s="102"/>
      <c r="C5" s="102"/>
      <c r="D5" s="102"/>
      <c r="E5" s="102"/>
      <c r="F5" s="102"/>
      <c r="G5" s="102"/>
      <c r="H5" s="102"/>
      <c r="I5" s="102"/>
      <c r="J5" s="102"/>
      <c r="K5" s="102"/>
    </row>
    <row r="6" spans="2:11" ht="34" customHeight="1">
      <c r="B6" s="102"/>
      <c r="C6" s="102"/>
      <c r="D6" s="102"/>
      <c r="E6" s="102"/>
      <c r="F6" s="102"/>
      <c r="G6" s="102"/>
      <c r="H6" s="102"/>
      <c r="I6" s="102"/>
      <c r="J6" s="102"/>
      <c r="K6" s="102"/>
    </row>
    <row r="9" spans="2:11" ht="19">
      <c r="C9" s="83" t="s">
        <v>516</v>
      </c>
    </row>
    <row r="11" spans="2:11">
      <c r="C11" s="75" t="s">
        <v>517</v>
      </c>
    </row>
    <row r="12" spans="2:11">
      <c r="B12" s="57"/>
      <c r="C12" s="76" t="s">
        <v>518</v>
      </c>
    </row>
    <row r="13" spans="2:11">
      <c r="C13" s="79" t="s">
        <v>519</v>
      </c>
    </row>
    <row r="14" spans="2:11">
      <c r="C14" s="76" t="s">
        <v>520</v>
      </c>
    </row>
    <row r="15" spans="2:11">
      <c r="B15" s="57"/>
      <c r="C15" s="79" t="s">
        <v>521</v>
      </c>
    </row>
    <row r="16" spans="2:11">
      <c r="C16" s="76" t="s">
        <v>522</v>
      </c>
    </row>
    <row r="17" spans="2:13">
      <c r="C17" s="79" t="s">
        <v>523</v>
      </c>
    </row>
    <row r="18" spans="2:13">
      <c r="B18" s="57"/>
      <c r="C18" s="76" t="s">
        <v>524</v>
      </c>
    </row>
    <row r="19" spans="2:13">
      <c r="C19" s="79" t="s">
        <v>525</v>
      </c>
    </row>
    <row r="20" spans="2:13">
      <c r="C20" s="84"/>
    </row>
    <row r="21" spans="2:13">
      <c r="B21" s="57"/>
      <c r="C21" s="75" t="s">
        <v>526</v>
      </c>
    </row>
    <row r="22" spans="2:13">
      <c r="C22" s="78" t="s">
        <v>527</v>
      </c>
    </row>
    <row r="23" spans="2:13">
      <c r="C23" s="78"/>
    </row>
    <row r="24" spans="2:13">
      <c r="C24" s="81" t="s">
        <v>528</v>
      </c>
      <c r="D24" s="100" t="s">
        <v>529</v>
      </c>
      <c r="E24" s="99"/>
      <c r="F24" s="99"/>
      <c r="G24" s="99"/>
      <c r="H24" s="99"/>
      <c r="I24" s="100" t="s">
        <v>530</v>
      </c>
      <c r="J24" s="99"/>
      <c r="K24" s="99"/>
      <c r="L24" s="99"/>
      <c r="M24" s="99"/>
    </row>
    <row r="25" spans="2:13" ht="64">
      <c r="B25" s="57"/>
      <c r="C25" s="81" t="s">
        <v>531</v>
      </c>
      <c r="D25" s="98" t="s">
        <v>532</v>
      </c>
      <c r="E25" s="99"/>
      <c r="F25" s="99"/>
      <c r="G25" s="99"/>
      <c r="H25" s="99"/>
      <c r="I25" s="98" t="s">
        <v>533</v>
      </c>
      <c r="J25" s="99"/>
      <c r="K25" s="99"/>
      <c r="L25" s="99"/>
      <c r="M25" s="99"/>
    </row>
    <row r="26" spans="2:13" ht="48">
      <c r="C26" s="81" t="s">
        <v>534</v>
      </c>
      <c r="D26" s="98" t="s">
        <v>535</v>
      </c>
      <c r="E26" s="99"/>
      <c r="F26" s="99"/>
      <c r="G26" s="99"/>
      <c r="H26" s="99"/>
      <c r="I26" s="98" t="s">
        <v>536</v>
      </c>
      <c r="J26" s="99"/>
      <c r="K26" s="99"/>
      <c r="L26" s="99"/>
      <c r="M26" s="99"/>
    </row>
    <row r="27" spans="2:13" ht="32">
      <c r="C27" s="81" t="s">
        <v>537</v>
      </c>
      <c r="D27" s="98" t="s">
        <v>538</v>
      </c>
      <c r="E27" s="99"/>
      <c r="F27" s="99"/>
      <c r="G27" s="99"/>
      <c r="H27" s="99"/>
      <c r="I27" s="98" t="s">
        <v>539</v>
      </c>
      <c r="J27" s="99"/>
      <c r="K27" s="99"/>
      <c r="L27" s="99"/>
      <c r="M27" s="99"/>
    </row>
    <row r="28" spans="2:13" ht="48">
      <c r="C28" s="81" t="s">
        <v>540</v>
      </c>
      <c r="D28" s="98" t="s">
        <v>541</v>
      </c>
      <c r="E28" s="99"/>
      <c r="F28" s="99"/>
      <c r="G28" s="99"/>
      <c r="H28" s="99"/>
      <c r="I28" s="98" t="s">
        <v>542</v>
      </c>
      <c r="J28" s="99"/>
      <c r="K28" s="99"/>
      <c r="L28" s="99"/>
      <c r="M28" s="99"/>
    </row>
    <row r="29" spans="2:13" ht="96">
      <c r="C29" s="81" t="s">
        <v>543</v>
      </c>
      <c r="D29" s="98" t="s">
        <v>544</v>
      </c>
      <c r="E29" s="99"/>
      <c r="F29" s="99"/>
      <c r="G29" s="99"/>
      <c r="H29" s="99"/>
      <c r="I29" s="98" t="s">
        <v>545</v>
      </c>
      <c r="J29" s="99"/>
      <c r="K29" s="99"/>
      <c r="L29" s="99"/>
      <c r="M29" s="99"/>
    </row>
    <row r="30" spans="2:13" ht="48">
      <c r="C30" s="81" t="s">
        <v>546</v>
      </c>
      <c r="D30" s="98" t="s">
        <v>547</v>
      </c>
      <c r="E30" s="99"/>
      <c r="F30" s="99"/>
      <c r="G30" s="99"/>
      <c r="H30" s="99"/>
      <c r="I30" s="98" t="s">
        <v>548</v>
      </c>
      <c r="J30" s="99"/>
      <c r="K30" s="99"/>
      <c r="L30" s="99"/>
      <c r="M30" s="99"/>
    </row>
    <row r="31" spans="2:13" ht="96">
      <c r="C31" s="81" t="s">
        <v>549</v>
      </c>
      <c r="D31" s="98" t="s">
        <v>550</v>
      </c>
      <c r="E31" s="99"/>
      <c r="F31" s="99"/>
      <c r="G31" s="99"/>
      <c r="H31" s="99"/>
      <c r="I31" s="98" t="s">
        <v>551</v>
      </c>
      <c r="J31" s="99"/>
      <c r="K31" s="99"/>
      <c r="L31" s="99"/>
      <c r="M31" s="99"/>
    </row>
    <row r="32" spans="2:13" ht="48">
      <c r="C32" s="81" t="s">
        <v>552</v>
      </c>
      <c r="D32" s="98" t="s">
        <v>553</v>
      </c>
      <c r="E32" s="99"/>
      <c r="F32" s="99"/>
      <c r="G32" s="99"/>
      <c r="H32" s="99"/>
      <c r="I32" s="98" t="s">
        <v>554</v>
      </c>
      <c r="J32" s="99"/>
      <c r="K32" s="99"/>
      <c r="L32" s="99"/>
      <c r="M32" s="99"/>
    </row>
    <row r="33" spans="3:13">
      <c r="C33" s="81"/>
      <c r="D33" s="81"/>
      <c r="E33" s="82"/>
      <c r="F33" s="82"/>
      <c r="G33" s="82"/>
      <c r="H33" s="82"/>
      <c r="I33" s="81"/>
      <c r="J33" s="82"/>
      <c r="K33" s="82"/>
      <c r="L33" s="82"/>
      <c r="M33" s="82"/>
    </row>
    <row r="34" spans="3:13">
      <c r="C34" s="78"/>
    </row>
    <row r="35" spans="3:13">
      <c r="C35" s="75" t="s">
        <v>555</v>
      </c>
    </row>
    <row r="36" spans="3:13">
      <c r="C36" s="76" t="s">
        <v>556</v>
      </c>
    </row>
    <row r="37" spans="3:13">
      <c r="C37" s="77" t="s">
        <v>557</v>
      </c>
    </row>
    <row r="38" spans="3:13">
      <c r="C38" s="76" t="s">
        <v>558</v>
      </c>
    </row>
    <row r="39" spans="3:13">
      <c r="C39" s="77" t="s">
        <v>559</v>
      </c>
    </row>
    <row r="40" spans="3:13">
      <c r="C40" s="76" t="s">
        <v>560</v>
      </c>
    </row>
    <row r="41" spans="3:13">
      <c r="C41" s="77" t="s">
        <v>561</v>
      </c>
    </row>
    <row r="42" spans="3:13">
      <c r="C42" s="77" t="s">
        <v>562</v>
      </c>
    </row>
    <row r="43" spans="3:13">
      <c r="C43" s="76" t="s">
        <v>563</v>
      </c>
    </row>
    <row r="44" spans="3:13">
      <c r="C44" s="77" t="s">
        <v>564</v>
      </c>
    </row>
    <row r="45" spans="3:13">
      <c r="C45" s="77" t="s">
        <v>565</v>
      </c>
    </row>
    <row r="46" spans="3:13">
      <c r="C46" s="76" t="s">
        <v>566</v>
      </c>
    </row>
    <row r="47" spans="3:13">
      <c r="C47" s="77" t="s">
        <v>567</v>
      </c>
    </row>
    <row r="48" spans="3:13">
      <c r="C48" s="77" t="s">
        <v>568</v>
      </c>
    </row>
    <row r="49" spans="3:3">
      <c r="C49" s="75" t="s">
        <v>569</v>
      </c>
    </row>
    <row r="50" spans="3:3">
      <c r="C50" s="76" t="s">
        <v>570</v>
      </c>
    </row>
    <row r="51" spans="3:3">
      <c r="C51" s="76" t="s">
        <v>571</v>
      </c>
    </row>
    <row r="52" spans="3:3">
      <c r="C52" s="76" t="s">
        <v>572</v>
      </c>
    </row>
    <row r="53" spans="3:3">
      <c r="C53" s="76" t="s">
        <v>573</v>
      </c>
    </row>
    <row r="54" spans="3:3">
      <c r="C54" s="78"/>
    </row>
    <row r="55" spans="3:3">
      <c r="C55" s="75" t="s">
        <v>574</v>
      </c>
    </row>
    <row r="56" spans="3:3">
      <c r="C56" s="79" t="s">
        <v>575</v>
      </c>
    </row>
    <row r="57" spans="3:3">
      <c r="C57" s="79" t="s">
        <v>576</v>
      </c>
    </row>
    <row r="58" spans="3:3">
      <c r="C58" s="79" t="s">
        <v>577</v>
      </c>
    </row>
    <row r="59" spans="3:3">
      <c r="C59" s="79" t="s">
        <v>578</v>
      </c>
    </row>
    <row r="60" spans="3:3">
      <c r="C60" s="79" t="s">
        <v>579</v>
      </c>
    </row>
    <row r="61" spans="3:3">
      <c r="C61" s="85" t="s">
        <v>580</v>
      </c>
    </row>
    <row r="62" spans="3:3">
      <c r="C62" s="87" t="s">
        <v>595</v>
      </c>
    </row>
    <row r="63" spans="3:3">
      <c r="C63" s="75" t="s">
        <v>581</v>
      </c>
    </row>
    <row r="64" spans="3:3">
      <c r="C64" s="79" t="s">
        <v>582</v>
      </c>
    </row>
    <row r="65" spans="3:3">
      <c r="C65" s="79" t="s">
        <v>583</v>
      </c>
    </row>
    <row r="66" spans="3:3">
      <c r="C66" s="79" t="s">
        <v>584</v>
      </c>
    </row>
    <row r="67" spans="3:3">
      <c r="C67" s="79" t="s">
        <v>585</v>
      </c>
    </row>
  </sheetData>
  <mergeCells count="19">
    <mergeCell ref="B3:K6"/>
    <mergeCell ref="D24:H24"/>
    <mergeCell ref="I24:M24"/>
    <mergeCell ref="D25:H25"/>
    <mergeCell ref="I25:M25"/>
    <mergeCell ref="D26:H26"/>
    <mergeCell ref="I26:M26"/>
    <mergeCell ref="D27:H27"/>
    <mergeCell ref="I27:M27"/>
    <mergeCell ref="D28:H28"/>
    <mergeCell ref="I28:M28"/>
    <mergeCell ref="D32:H32"/>
    <mergeCell ref="I32:M32"/>
    <mergeCell ref="D29:H29"/>
    <mergeCell ref="I29:M29"/>
    <mergeCell ref="D30:H30"/>
    <mergeCell ref="I30:M30"/>
    <mergeCell ref="D31:H31"/>
    <mergeCell ref="I31:M31"/>
  </mergeCells>
  <hyperlinks>
    <hyperlink ref="C17" r:id="rId1" display="https://www.plasmatreat.com/en/company/about-plasmatreat?utm_source=chatgpt.com" xr:uid="{7E2E651C-BC6B-4015-85A8-28A258C97138}"/>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Normal="100" workbookViewId="0">
      <selection activeCell="C18" sqref="C18"/>
    </sheetView>
  </sheetViews>
  <sheetFormatPr baseColWidth="10" defaultColWidth="10.83203125" defaultRowHeight="20"/>
  <cols>
    <col min="1" max="1" width="4.1640625" style="54" customWidth="1"/>
    <col min="2" max="2" width="200.83203125" style="10" customWidth="1"/>
    <col min="3" max="3" width="67.5" style="13" customWidth="1"/>
    <col min="4" max="16384" width="10.83203125" style="48"/>
  </cols>
  <sheetData>
    <row r="2" spans="2:4" ht="22">
      <c r="B2" s="8" t="s">
        <v>233</v>
      </c>
      <c r="C2" s="11"/>
    </row>
    <row r="3" spans="2:4" ht="22">
      <c r="B3" s="41" t="s">
        <v>231</v>
      </c>
      <c r="C3" s="56"/>
    </row>
    <row r="4" spans="2:4" ht="22">
      <c r="B4" s="55" t="s">
        <v>260</v>
      </c>
      <c r="C4" s="56"/>
    </row>
    <row r="5" spans="2:4" ht="63">
      <c r="B5" s="53" t="s">
        <v>282</v>
      </c>
      <c r="C5" s="47" t="s">
        <v>36</v>
      </c>
      <c r="D5" s="49" t="s">
        <v>283</v>
      </c>
    </row>
    <row r="6" spans="2:4" ht="22">
      <c r="B6" s="55" t="s">
        <v>259</v>
      </c>
      <c r="C6" s="56"/>
      <c r="D6" s="49"/>
    </row>
    <row r="7" spans="2:4" ht="63">
      <c r="B7" s="53" t="s">
        <v>221</v>
      </c>
      <c r="C7" s="47" t="s">
        <v>36</v>
      </c>
      <c r="D7" s="49" t="s">
        <v>276</v>
      </c>
    </row>
    <row r="8" spans="2:4" ht="22">
      <c r="B8" s="55" t="s">
        <v>258</v>
      </c>
      <c r="C8" s="56"/>
    </row>
    <row r="9" spans="2:4" ht="63">
      <c r="B9" s="53" t="s">
        <v>222</v>
      </c>
      <c r="C9" s="47" t="s">
        <v>36</v>
      </c>
    </row>
    <row r="10" spans="2:4" ht="22">
      <c r="B10" s="55" t="s">
        <v>279</v>
      </c>
      <c r="C10" s="56"/>
    </row>
    <row r="11" spans="2:4" ht="63">
      <c r="B11" s="53" t="s">
        <v>317</v>
      </c>
      <c r="C11" s="47" t="s">
        <v>36</v>
      </c>
    </row>
    <row r="12" spans="2:4" ht="22">
      <c r="B12" s="41" t="s">
        <v>230</v>
      </c>
      <c r="C12" s="56"/>
    </row>
    <row r="13" spans="2:4" ht="22">
      <c r="B13" s="55" t="s">
        <v>232</v>
      </c>
      <c r="C13" s="56"/>
    </row>
    <row r="14" spans="2:4" ht="42">
      <c r="B14" s="53" t="s">
        <v>219</v>
      </c>
      <c r="C14" s="47" t="s">
        <v>36</v>
      </c>
    </row>
    <row r="15" spans="2:4" ht="22">
      <c r="B15" s="55" t="s">
        <v>228</v>
      </c>
      <c r="C15" s="56"/>
    </row>
    <row r="16" spans="2:4" ht="42">
      <c r="B16" s="53" t="s">
        <v>220</v>
      </c>
      <c r="C16" s="47" t="s">
        <v>36</v>
      </c>
    </row>
    <row r="17" spans="2:3" ht="22">
      <c r="B17" s="55" t="s">
        <v>229</v>
      </c>
      <c r="C17" s="56"/>
    </row>
    <row r="18" spans="2:3" ht="42">
      <c r="B18" s="53" t="s">
        <v>223</v>
      </c>
      <c r="C18" s="47" t="s">
        <v>36</v>
      </c>
    </row>
    <row r="19" spans="2:3" ht="22">
      <c r="B19" s="55" t="s">
        <v>261</v>
      </c>
      <c r="C19" s="56"/>
    </row>
    <row r="20" spans="2:3" ht="63">
      <c r="B20" s="53" t="s">
        <v>281</v>
      </c>
      <c r="C20" s="47" t="s">
        <v>36</v>
      </c>
    </row>
    <row r="21" spans="2:3" ht="22">
      <c r="B21" s="55" t="s">
        <v>298</v>
      </c>
      <c r="C21" s="56"/>
    </row>
    <row r="22" spans="2:3" ht="63">
      <c r="B22" s="53" t="s">
        <v>300</v>
      </c>
      <c r="C22" s="47" t="s">
        <v>36</v>
      </c>
    </row>
    <row r="23" spans="2:3" ht="22">
      <c r="B23" s="55" t="s">
        <v>303</v>
      </c>
      <c r="C23" s="56"/>
    </row>
    <row r="24" spans="2:3" ht="84">
      <c r="B24" s="53" t="s">
        <v>301</v>
      </c>
      <c r="C24" s="47" t="s">
        <v>36</v>
      </c>
    </row>
    <row r="25" spans="2:3" ht="22">
      <c r="B25" s="55" t="s">
        <v>299</v>
      </c>
      <c r="C25" s="56"/>
    </row>
    <row r="26" spans="2:3" ht="84">
      <c r="B26" s="53" t="s">
        <v>302</v>
      </c>
      <c r="C26" s="47" t="s">
        <v>36</v>
      </c>
    </row>
    <row r="27" spans="2:3" ht="22">
      <c r="B27" s="55" t="s">
        <v>313</v>
      </c>
      <c r="C27" s="56"/>
    </row>
    <row r="28" spans="2:3" ht="84">
      <c r="B28" s="53" t="s">
        <v>315</v>
      </c>
      <c r="C28" s="47" t="s">
        <v>36</v>
      </c>
    </row>
  </sheetData>
  <sheetProtection algorithmName="SHA-512" hashValue="XeW6bUAKnm43j4meWYPApqpxgIUvkc+kiljCp7h71QUV2ZgishBBRb5NF7kP+72LnQELXBDhMs+rLegAjSnArA==" saltValue="2/ZNlC/KVpLBc1AR6Z48Dw==" spinCount="100000" sheet="1" objects="1" scenarios="1"/>
  <conditionalFormatting sqref="C5">
    <cfRule type="notContainsBlanks" dxfId="53" priority="72" stopIfTrue="1">
      <formula>LEN(TRIM(C5))&gt;0</formula>
    </cfRule>
    <cfRule type="containsText" dxfId="52" priority="71" operator="containsText" text="No">
      <formula>NOT(ISERROR(SEARCH("No",C5)))</formula>
    </cfRule>
    <cfRule type="containsText" dxfId="51" priority="70" operator="containsText" text="Yes">
      <formula>NOT(ISERROR(SEARCH("Yes",C5)))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notContainsBlanks" dxfId="47" priority="27" stopIfTrue="1">
      <formula>LEN(TRIM(C9))&gt;0</formula>
    </cfRule>
    <cfRule type="containsText" dxfId="46" priority="25" operator="containsText" text="Yes">
      <formula>NOT(ISERROR(SEARCH("Yes",C9)))</formula>
    </cfRule>
    <cfRule type="containsText" dxfId="45" priority="26" operator="containsText" text="No">
      <formula>NOT(ISERROR(SEARCH("No",C9)))</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notContainsBlanks" dxfId="41" priority="54" stopIfTrue="1">
      <formula>LEN(TRIM(C12))&gt;0</formula>
    </cfRule>
    <cfRule type="containsText" dxfId="40" priority="43" operator="containsText" text="Yes">
      <formula>NOT(ISERROR(SEARCH("Yes",C12)))</formula>
    </cfRule>
    <cfRule type="containsText" dxfId="39" priority="44" operator="containsText" text="No">
      <formula>NOT(ISERROR(SEARCH("No",C12)))</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notContainsBlanks" dxfId="23" priority="21" stopIfTrue="1">
      <formula>LEN(TRIM(C16))&gt;0</formula>
    </cfRule>
    <cfRule type="containsText" dxfId="22" priority="20" operator="containsText" text="No">
      <formula>NOT(ISERROR(SEARCH("No",C16)))</formula>
    </cfRule>
    <cfRule type="containsText" dxfId="21" priority="19" operator="containsText" text="Yes">
      <formula>NOT(ISERROR(SEARCH("Yes",C16)))</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notContainsBlanks" dxfId="2" priority="3" stopIfTrue="1">
      <formula>LEN(TRIM(C28))&gt;0</formula>
    </cfRule>
    <cfRule type="containsText" dxfId="1" priority="2" operator="containsText" text="No">
      <formula>NOT(ISERROR(SEARCH("No",C28)))</formula>
    </cfRule>
    <cfRule type="containsText" dxfId="0" priority="1" operator="containsText" text="Yes">
      <formula>NOT(ISERROR(SEARCH("Yes",C28)))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baseColWidth="10" defaultColWidth="10.83203125" defaultRowHeight="16"/>
  <cols>
    <col min="1" max="1" width="14.6640625" style="1" bestFit="1" customWidth="1"/>
    <col min="2" max="2" width="10.83203125" style="1"/>
    <col min="3" max="3" width="60" style="1" bestFit="1" customWidth="1"/>
    <col min="4" max="4" width="10.83203125" style="1"/>
    <col min="5" max="5" width="7.1640625" style="1" bestFit="1" customWidth="1"/>
    <col min="6" max="6" width="10.83203125" style="1"/>
    <col min="7" max="7" width="17" style="1" bestFit="1" customWidth="1"/>
    <col min="8" max="8" width="21" style="1" customWidth="1"/>
    <col min="9" max="10" width="10.83203125" style="1"/>
    <col min="11" max="11" width="12" style="1" customWidth="1"/>
    <col min="12" max="16384" width="10.83203125" style="1"/>
  </cols>
  <sheetData>
    <row r="1" spans="1:7">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Lukas Buske</cp:lastModifiedBy>
  <cp:lastPrinted>2018-09-13T16:04:18Z</cp:lastPrinted>
  <dcterms:created xsi:type="dcterms:W3CDTF">2018-09-10T17:18:27Z</dcterms:created>
  <dcterms:modified xsi:type="dcterms:W3CDTF">2025-11-28T15:05:17Z</dcterms:modified>
</cp:coreProperties>
</file>