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cong\OneDrive - Owens Design\Documents\Companies\Titan Company A\"/>
    </mc:Choice>
  </mc:AlternateContent>
  <xr:revisionPtr revIDLastSave="0" documentId="13_ncr:1_{79F6C791-E1B8-4809-8B5A-CAC4755B7270}"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57480" yWindow="-120" windowWidth="29040" windowHeight="15840" firstSheet="4" activeTab="5"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20" l="1"/>
  <c r="F16" i="20"/>
  <c r="I16" i="20"/>
  <c r="G16" i="20"/>
  <c r="E16" i="20"/>
  <c r="D16" i="20"/>
  <c r="C16" i="20"/>
</calcChain>
</file>

<file path=xl/sharedStrings.xml><?xml version="1.0" encoding="utf-8"?>
<sst xmlns="http://schemas.openxmlformats.org/spreadsheetml/2006/main" count="718" uniqueCount="530">
  <si>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</si>
  <si>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</si>
  <si>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</si>
  <si>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</si>
  <si>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</si>
  <si>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</si>
  <si>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</si>
  <si>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</si>
  <si>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</si>
  <si>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</si>
  <si>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</si>
  <si>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</si>
  <si>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</si>
  <si>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</si>
  <si>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</si>
  <si>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</si>
  <si>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</si>
  <si>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</si>
  <si>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</si>
  <si>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</si>
  <si>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</si>
  <si>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</si>
  <si>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</si>
  <si>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</si>
  <si>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</si>
  <si>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</si>
  <si>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</si>
  <si>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</si>
  <si>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</si>
  <si>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</si>
  <si>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</si>
  <si>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</si>
  <si>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</si>
  <si>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</si>
  <si>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</si>
  <si>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</si>
  <si>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</si>
  <si>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</si>
  <si>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</si>
  <si>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</si>
  <si>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</si>
  <si>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</si>
  <si>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</si>
  <si>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</si>
  <si>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</si>
  <si>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</si>
  <si>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</si>
  <si>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</si>
  <si>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</si>
  <si>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Parent Company Official Name</t>
  </si>
  <si>
    <t>HQ Location</t>
  </si>
  <si>
    <t>Website</t>
  </si>
  <si>
    <t>Public/Private</t>
  </si>
  <si>
    <t>Private</t>
  </si>
  <si>
    <t>Ticker Symbol (if Public)</t>
  </si>
  <si>
    <t>Type</t>
  </si>
  <si>
    <t>Incorporation</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</si>
  <si>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</si>
  <si>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</si>
  <si>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</si>
  <si>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</si>
  <si>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</si>
  <si>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</si>
  <si>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</si>
  <si>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</si>
  <si>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</si>
  <si>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</si>
  <si>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Robert Fung</t>
  </si>
  <si>
    <t>CEO</t>
  </si>
  <si>
    <t>USA</t>
  </si>
  <si>
    <t>1 (510) 770-3442</t>
  </si>
  <si>
    <t>Commercial DRI / Apple Executive Contact</t>
  </si>
  <si>
    <t>Daniel Cong</t>
  </si>
  <si>
    <t>Director Of Business Development</t>
  </si>
  <si>
    <t>1 (408) 610-0772</t>
  </si>
  <si>
    <t>Operations Leader</t>
  </si>
  <si>
    <t>Tajul Majumder</t>
  </si>
  <si>
    <t>Director of Operations</t>
  </si>
  <si>
    <t>1 (510) 703-5259</t>
  </si>
  <si>
    <t xml:space="preserve">Finance </t>
  </si>
  <si>
    <t>Kamran Ahmed</t>
  </si>
  <si>
    <t>1 (510) 661-2870</t>
  </si>
  <si>
    <t>Engineering</t>
  </si>
  <si>
    <t>Tony Smith</t>
  </si>
  <si>
    <t>1 (510) 403-7186</t>
  </si>
  <si>
    <t>Supply chain</t>
  </si>
  <si>
    <t xml:space="preserve"> (510) 703-5259</t>
  </si>
  <si>
    <t>Project Management</t>
  </si>
  <si>
    <t>Lori Runyan</t>
  </si>
  <si>
    <t xml:space="preserve">VP of Program Management </t>
  </si>
  <si>
    <t>1 (510) 770-8319</t>
  </si>
  <si>
    <t>Production</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</si>
  <si>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</si>
  <si>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</si>
  <si>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</si>
  <si>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</si>
  <si>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</si>
  <si>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</si>
  <si>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</si>
  <si>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</si>
  <si>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</si>
  <si>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</si>
  <si>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</si>
  <si>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</si>
  <si>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</si>
  <si>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</si>
  <si>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</si>
  <si>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</si>
  <si>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</si>
  <si>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</si>
  <si>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</si>
  <si>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</si>
  <si>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</si>
  <si>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</si>
  <si>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 xml:space="preserve">City and Country </t>
  </si>
  <si>
    <t>Fremont, CA</t>
  </si>
  <si>
    <t>Full Address</t>
  </si>
  <si>
    <t>47427 Fremont Blvd, Fremont, CA 94538</t>
  </si>
  <si>
    <t>47451 Fremont Blvd, Fremont, CA 94538</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</si>
  <si>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</si>
  <si>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</si>
  <si>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</si>
  <si>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</si>
  <si>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</si>
  <si>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</si>
  <si>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</si>
  <si>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</si>
  <si>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</si>
  <si>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Enviroment &amp; Supply Supply Chain Innovation (ESCI) Facility Readiness Assessment (FRA) Approved?</t>
  </si>
  <si>
    <t>Customer Base served from this location
(City and Country of the customer)</t>
  </si>
  <si>
    <t>Global</t>
  </si>
  <si>
    <t>Are there any Global expansion plans in the future for Manufacturing? Please desrcibe in detail.</t>
  </si>
  <si>
    <t>What are all the key subcomponent vendors used and where are they located (city, country)? Please provide rough volume &amp; spend with key subcomponent vendors as well.</t>
  </si>
  <si>
    <t>Any previous issues faced in shipping to certain countries?</t>
  </si>
  <si>
    <t>What are the key supply chain tactics being followed?</t>
  </si>
  <si>
    <t>Are there any inhouse machining / job shop capabilities? If so, please explain in detail in terms of machine qty available (CNC, Mill, Lathe, EDM Weld, etc.), volume produced, &amp; available capacity.</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</si>
  <si>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</si>
  <si>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</si>
  <si>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What are the supply chain resiliency plans to ensure no distruption in supply?</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</si>
  <si>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</si>
  <si>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</si>
  <si>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</si>
  <si>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</si>
  <si>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</si>
  <si>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</si>
  <si>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</si>
  <si>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</si>
  <si>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</si>
  <si>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</si>
  <si>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Total Field Service Engineers - L1 (HC)</t>
  </si>
  <si>
    <t>Total Field Service Engineers - L2 (HC)</t>
  </si>
  <si>
    <t>Total Field Service Engineers - L3 (HC)</t>
  </si>
  <si>
    <t>Support Capabilities in Region - Total # of Units (QTY)</t>
  </si>
  <si>
    <t>Hiring Difficulty in Region (High/Medium/Low)</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</si>
  <si>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</si>
  <si>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</si>
  <si>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</si>
  <si>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</si>
  <si>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</si>
  <si>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</si>
  <si>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</si>
  <si>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</si>
  <si>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</si>
  <si>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</si>
  <si>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</si>
  <si>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</si>
  <si>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</si>
  <si>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</si>
  <si>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</si>
  <si>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</si>
  <si>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</si>
  <si>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</si>
  <si>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</si>
  <si>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</si>
  <si>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</si>
  <si>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</si>
  <si>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</si>
  <si>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</si>
  <si>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</si>
  <si>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</si>
  <si>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</si>
  <si>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</si>
  <si>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</si>
  <si>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</si>
  <si>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</si>
  <si>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</si>
  <si>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</si>
  <si>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</si>
  <si>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</si>
  <si>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</si>
  <si>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</si>
  <si>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</si>
  <si>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</si>
  <si>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</si>
  <si>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</si>
  <si>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</si>
  <si>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</si>
  <si>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</si>
  <si>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</si>
  <si>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</si>
  <si>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</si>
  <si>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</si>
  <si>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</si>
  <si>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</si>
  <si>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</si>
  <si>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</si>
  <si>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</si>
  <si>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</si>
  <si>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</si>
  <si>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</si>
  <si>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</si>
  <si>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</si>
  <si>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</si>
  <si>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</si>
  <si>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</si>
  <si>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</si>
  <si>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</si>
  <si>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</si>
  <si>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</si>
  <si>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</si>
  <si>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</si>
  <si>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Medium</t>
  </si>
  <si>
    <t>Outsourced?</t>
  </si>
  <si>
    <t>No</t>
  </si>
  <si>
    <t>Core Competencies</t>
  </si>
  <si>
    <t>Full System Integration Capabilities</t>
  </si>
  <si>
    <t>PLC, PC, Vision, MES</t>
  </si>
  <si>
    <t>Full Design and Build Capability</t>
  </si>
  <si>
    <t>Design and Build Inhouse</t>
  </si>
  <si>
    <t>Design and Build inhouse</t>
  </si>
  <si>
    <t>High precsion P&amp;P</t>
  </si>
  <si>
    <t>Inhouse Assembly Techs</t>
  </si>
  <si>
    <t>Inhouse Laser Expertise</t>
  </si>
  <si>
    <t>Inhouse experience</t>
  </si>
  <si>
    <t>Haptic testing experience</t>
  </si>
  <si>
    <t>Force Sensing Experience</t>
  </si>
  <si>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</si>
  <si>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</si>
  <si>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</si>
  <si>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</si>
  <si>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Competitive Advantage(s)</t>
  </si>
  <si>
    <t>Applicable Project Experience
(Year, Machine Description &amp; QTY, Spend, Timeline)</t>
  </si>
  <si>
    <t>Client / Reference</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</si>
  <si>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</si>
  <si>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</si>
  <si>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</si>
  <si>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</si>
  <si>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</si>
  <si>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</si>
  <si>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</si>
  <si>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</si>
  <si>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</si>
  <si>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</si>
  <si>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</si>
  <si>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</si>
  <si>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</si>
  <si>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</si>
  <si>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</si>
  <si>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</si>
  <si>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</si>
  <si>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</si>
  <si>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</si>
  <si>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</si>
  <si>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</si>
  <si>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</si>
  <si>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</si>
  <si>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</si>
  <si>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</si>
  <si>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</si>
  <si>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</si>
  <si>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</si>
  <si>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</si>
  <si>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</si>
  <si>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</si>
  <si>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</si>
  <si>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</si>
  <si>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</si>
  <si>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</si>
  <si>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</si>
  <si>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</si>
  <si>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</si>
  <si>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</si>
  <si>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</si>
  <si>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</si>
  <si>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</si>
  <si>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</si>
  <si>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</si>
  <si>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</si>
  <si>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</si>
  <si>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</si>
  <si>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</si>
  <si>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</si>
  <si>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</si>
  <si>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</si>
  <si>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</si>
  <si>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</si>
  <si>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</si>
  <si>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</si>
  <si>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</si>
  <si>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</si>
  <si>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</si>
  <si>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</si>
  <si>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</si>
  <si>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</si>
  <si>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</si>
  <si>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</si>
  <si>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</si>
  <si>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</si>
  <si>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</si>
  <si>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</si>
  <si>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</si>
  <si>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</si>
  <si>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</si>
  <si>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</si>
  <si>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</si>
  <si>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</si>
  <si>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</si>
  <si>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</si>
  <si>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</si>
  <si>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</si>
  <si>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</si>
  <si>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</si>
  <si>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</si>
  <si>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</si>
  <si>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</si>
  <si>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</si>
  <si>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</si>
  <si>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</si>
  <si>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</si>
  <si>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</si>
  <si>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</si>
  <si>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</si>
  <si>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</si>
  <si>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</si>
  <si>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</si>
  <si>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</si>
  <si>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</si>
  <si>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</si>
  <si>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</si>
  <si>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</si>
  <si>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</si>
  <si>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</si>
  <si>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</si>
  <si>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</si>
  <si>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</si>
  <si>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</si>
  <si>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</si>
  <si>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</si>
  <si>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</si>
  <si>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</si>
  <si>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</si>
  <si>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</si>
  <si>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</si>
  <si>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</si>
  <si>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Vietnam</t>
  </si>
  <si>
    <t>Etoli Wolff</t>
  </si>
  <si>
    <t>VP of Sales</t>
  </si>
  <si>
    <t>1 (510) 403-7195</t>
  </si>
  <si>
    <t>Director of Finance &amp; Human Resources</t>
  </si>
  <si>
    <t xml:space="preserve">Early engagement </t>
  </si>
  <si>
    <t>2. Program manager is the  primary point of contact for customers, ensuring clear communication and deliverables.</t>
  </si>
  <si>
    <t>3. Works with the cross-functional team to develop the overall estimated technical, pricing and schedule before the program official start.</t>
  </si>
  <si>
    <t>4. Communicates to the customer the estimates, if those match expectations than moves to next phase.</t>
  </si>
  <si>
    <t>1. Works with customer on identifying key requirments aspects/spec review with customer and internal team via meetings/online and offline</t>
  </si>
  <si>
    <t>2. Looks at all aspects of the program from technical tradeoff analysis vs. schedule vs. price and communicates this to the customer.</t>
  </si>
  <si>
    <t>3. Manages the internal deliverables from the engineering and manufacturing team.</t>
  </si>
  <si>
    <t>4. At the output of this phase the PM delivers a concept agreed with the customer with its correct architecture and provides schedule and price to finsih designand build.</t>
  </si>
  <si>
    <t>First Phase 1 - High level concept development  -Program manager</t>
  </si>
  <si>
    <t>Second Phase 2 - Detail design, build and test</t>
  </si>
  <si>
    <t>1. PM works with cross funtional team and customer to finish the detail design, works with supply chain and manufacturing to slot the system build.</t>
  </si>
  <si>
    <t>2. PM leads multiple design reviews and final DR to ensure alignment with customer on deliverables.</t>
  </si>
  <si>
    <t>3. PM works with manufacturing to drive the material purchasing and system build.</t>
  </si>
  <si>
    <t>4. PM works with customer and engineering to test and execute design validation + dry run.</t>
  </si>
  <si>
    <t>5. PM to work with customer on acceptance - FAT at on our floor.</t>
  </si>
  <si>
    <t>6. PM coordinates with customer tool shipment , installation at customer site and re-test.</t>
  </si>
  <si>
    <t xml:space="preserve">2. PM works with manufacturing to drive system reorder. </t>
  </si>
  <si>
    <t>3. If changes requested by customer PM will work with engineering to support those and provide feedback to customer.</t>
  </si>
  <si>
    <t>Third Phase 3 - Reorder/Ramp</t>
  </si>
  <si>
    <t>1. PM works with customer on follow-up reorders which include schedule and pricing . Quantity and econnomy of scale pricing  optimization.</t>
  </si>
  <si>
    <t>1. Each new program has one program manager assigned</t>
  </si>
  <si>
    <t>High Accuracy Staging
Robotics
Metrology
Inspection
Precision Mechanisms
Assembly and Alignment
High Speed Handling
Process Integration
Vacuum Systems</t>
  </si>
  <si>
    <t>PLC, IPC, MES</t>
  </si>
  <si>
    <t>Product/Substrate Handling
Robotics; Precision Mechanisms
High Speed Handling; Web Handling
Process Module(s) Integration
Metrology &amp; Inspection; Test, Sort &amp; Bin
Precision Cleaning; Contamination Control
Thermal Systems;  Vacuum Systems
Thin Films;  Plasma ; Lasers
Sensors &amp; Controls
Sensors, Smart Cameras, Machine Vision
PLC/ PC Controls, HMI
Motion Control; Process Control
Precision Assembly; High Accuracy Staging</t>
  </si>
  <si>
    <t>Custom fixturing and Fabriaction</t>
  </si>
  <si>
    <t>Plasma Cleaning and Heating Chambers and Chucks</t>
  </si>
  <si>
    <t>High speed P&amp;P/Assy and submicron-level staging</t>
  </si>
  <si>
    <t>Haptic Testers</t>
  </si>
  <si>
    <t>Force Testers</t>
  </si>
  <si>
    <t>Acoustic Testers</t>
  </si>
  <si>
    <t>Machine inpections systems</t>
  </si>
  <si>
    <t>Image formation and acquisition</t>
  </si>
  <si>
    <t>Upon Request</t>
  </si>
  <si>
    <t>26 past opportunies and project since 2012</t>
  </si>
  <si>
    <t>Flex</t>
  </si>
  <si>
    <t>US</t>
  </si>
  <si>
    <t>Asia</t>
  </si>
  <si>
    <t>Europe</t>
  </si>
  <si>
    <t>Low</t>
  </si>
  <si>
    <t>None</t>
  </si>
  <si>
    <t>ISO 9001 Certified/ Strict quaility process are followed</t>
  </si>
  <si>
    <t>Vendor relationships, Multiple bidding process, Cost, Leadtime, Shipping, Contractual agreements established</t>
  </si>
  <si>
    <t>ERP, Agile, can use customer portal and ERP system if requested</t>
  </si>
  <si>
    <t>Increase USA footprint - Midwest loaction</t>
  </si>
  <si>
    <t>Increase OSS Local and Global</t>
  </si>
  <si>
    <t>4 Projects since 2012; ARPA # is available upon request</t>
  </si>
  <si>
    <t>Assigned PM and procurement specialist; Materials planning against long leads; risk buys to satisfy program schedule and leadtime issues, stocking plan, scheduled delivery for JIT and cash flow planning</t>
  </si>
  <si>
    <t xml:space="preserve">Automated Industrial Robotics </t>
  </si>
  <si>
    <t>stonndun@industrialrobotics.com</t>
  </si>
  <si>
    <t>President</t>
  </si>
  <si>
    <t>Darragh de Stonndún</t>
  </si>
  <si>
    <t>Fremont</t>
  </si>
  <si>
    <t>https://www.owensdesign.com</t>
  </si>
  <si>
    <t>1500 W Hamlin Road, Rochester Hills, MI, 48309, USA.</t>
  </si>
  <si>
    <t>Rochester Hills, MI</t>
  </si>
  <si>
    <t>AIR Shannon</t>
  </si>
  <si>
    <t>AIR Rochester</t>
  </si>
  <si>
    <t>Shannon, Ireland</t>
  </si>
  <si>
    <t>Smithstown Industrial Estate
Shannon, Co. Clare, Ireland
V14 V963</t>
  </si>
  <si>
    <t>AIR SV -1B - HVM Builds</t>
  </si>
  <si>
    <t>AIR SV- 1A - Eng and Proto, HVM Builds</t>
  </si>
  <si>
    <t>AIR Wakefield</t>
  </si>
  <si>
    <t>Wakefield, England</t>
  </si>
  <si>
    <t xml:space="preserve"> Jane’s Hill, Silkwood Business Park, Wakefield, UK</t>
  </si>
  <si>
    <t>Europe, North America, Asia</t>
  </si>
  <si>
    <t>North America</t>
  </si>
  <si>
    <t>Mullingar, Ireland</t>
  </si>
  <si>
    <t>AIR Mullingar</t>
  </si>
  <si>
    <t>Zone C
Mullingar Business Park,
Mullingar, Co. Westmeath,
Ireland
N91 H725</t>
  </si>
  <si>
    <t>Machining, Weildments, Sheetmetal and Subs, PLC, Robot Supplier- established key vendor agreements for direct purchasing and lowest pricing. $25 to $50M</t>
  </si>
  <si>
    <t>England, France, Spain, 
Germany, Netherlands</t>
  </si>
  <si>
    <t>Thailand, Malaysia, Vietnam
Singapore, China, Japan, India</t>
  </si>
  <si>
    <t>Industrial and semiconductor level Metrology Systems</t>
  </si>
  <si>
    <t>Inhouse Laser Process Development - 3 Million dollar inhouse lab</t>
  </si>
  <si>
    <t>Over 40 years experience in technology touching a vast number of applications and enabling technologies</t>
  </si>
  <si>
    <t>Automation assy, Waveguide optical assy, layering glass, optical films and PSA</t>
  </si>
  <si>
    <t>Dependent on Project Complexity
6-10 Weeks Design
4 to 8 Months Build</t>
  </si>
  <si>
    <t>Engineering HC: 10
Tool and Factory Automation
Robotics; Precision Mechanisms
Precise Assembly; High Accuracy
Metrology and Inspection
Cleaning and Contamination</t>
  </si>
  <si>
    <t>Engineering HC: 30
End of Arm Tool (EOAT)
Laser Cutting &amp; Trimming
Machine Vision
Robotic Welding
Track &amp; Trace
Machining and CNC
Automation Assembly Systems
Dispensing &amp; Bonding
Robotic Clipping
CMM Inspection
Lamination (Press &amp; Edge Wrap)
Integrated Material Handling</t>
  </si>
  <si>
    <t>Engineering HC: 32
Assembly Platform
Automated Production Lines
Product Handling
Support &amp; Spares
Product Test &amp; Inspection
Cutting Technologies
Robotics
Packaging Automation
Track &amp; Trace</t>
  </si>
  <si>
    <t>Engineering HC: 30
Assembly Platform
Automated Production Lines
Product Handling
Vision systems
Support &amp; Spares
Product Test &amp; Inspection
Cutting Technologies
Robotics
Packaging Automation
Product tracking</t>
  </si>
  <si>
    <t>Dispensing Systems - heads and controls - $2-3M</t>
  </si>
  <si>
    <t>SW development and deployment is dependent on complexity. Range 6 weeks to 52 weeks</t>
  </si>
  <si>
    <t>Confidential</t>
  </si>
  <si>
    <t>2024 - High precision,dispense,  edge seal and corking glass substrate, 6 prototype machines, $3M spend, 16 to 20 weeks from design to 1st build.</t>
  </si>
  <si>
    <t xml:space="preserve">Small parts assembly workcell $20M, 32-52 weeks </t>
  </si>
  <si>
    <t>Liquid, Glue Dispense and UV Cure</t>
  </si>
  <si>
    <t>Automated Liquid Handling; microfluidic dispense modular platform; micron level accuracy, $3M; 32 Weeks</t>
  </si>
  <si>
    <t>3 PHD Level Eng. on Staff
3 Million Dollar Inhouse Lab
Femto, Pico, Nano, Fiber CW,  CO2
Laser Patterning
Custom laser-integrated systems for machining of cardboard, paper, polymers/plastics &amp; metal foils
Priority access to variety of laser/scanner manufacturers, testing labs and technology experts for process optimization
Fixed-bed &amp; Mark-On-The-Fly processing, Wave Guide
Through &amp; kiss cuts, scoring, perforation
Ex. CW CO2 laser with 3-D (galvo) scanner
Cut speeds up to 10 m/sec over 1 m2 field
Spot size 170 – 500 µm
Ex. CW &amp; Pulsed Fiber lasers with 3-D (galvo) scanner
Cut speeds up to 12 m/sec over 1.2 m2 field
Spot size 20 – 75 µm
3-D scanners can accommodate non-planar geometries</t>
  </si>
  <si>
    <t>Inhouse multi-million dollar lab, 3 PHD level scientists (Laser Process Development)
Characterisation</t>
  </si>
  <si>
    <t xml:space="preserve">Trumpf, Lumentum, Keyence
$6M+
</t>
  </si>
  <si>
    <t xml:space="preserve">Requirements drive the Lead time
Laser Porcess Dev - 2 - 8 Weeks
12 - 32 weeks depending on prooject size and complexity
</t>
  </si>
  <si>
    <t>FATP AR/VR Line -  Fully Automated Production Line - 28 station Robotic Assembly and Test Line (Confidential)
https://www.owensdesign.com/custom-automation-design-engineering-manufacturing-case-studies/emerging-technology/mobile-device-assembly-line/</t>
  </si>
  <si>
    <t>2020 - Large Laser cutting, ablating, stacking and lamination Tool, $5M, 52- 72 Weeks
https://www.owensdesign.com/custom-automation-design-engineering-manufacturing-case-studies/?application%5B%5D=laser</t>
  </si>
  <si>
    <t>Plasmatreat, custom heaters $3-5M</t>
  </si>
  <si>
    <t>300mm Wafer Heating &amp; Cooling Stations; ODI product used to heat and cool wafers, 50,$ 4-5 M, 3-4 weeks to build
https://www.owensdesign.com/custom-automation-design-engineering-manufacturing-case-studies/semiconductor-equipment/wafer-heat-cool-station/</t>
  </si>
  <si>
    <t>Micro-Transfer Printing Tool Integration Brings Photonics Display - 2012 - Micro-Transfer Printing (µTP) technology - $3M, 42 weeks
https://www.owensdesign.com/custom-automation-design-engineering-manufacturing-case-studies/semiconductor-equipment/micro-transfer-printing-tool/</t>
  </si>
  <si>
    <t>Toyonano, Newport, Acribus, Alio, Heidenhaine - $10-15M</t>
  </si>
  <si>
    <t>X-Display</t>
  </si>
  <si>
    <t>Refernce to come</t>
  </si>
  <si>
    <t>Server Assembly Robotic Work Cell 2017, $2M, 24 - 32 Weeks
https://www.owensdesign.com/custom-automation-design-engineering-manufacturing-case-studies/emerging-technology/server-assembly-robotic-work-cell/</t>
  </si>
  <si>
    <t>Bosch, Festo, Tolomatic, Toyo, Mitsubishi, Yaskawa, Beckhoff
$10 - $15M+</t>
  </si>
  <si>
    <t>Omron, Keyence, Matrox, Omron
Inspection and Vision Guided Robotics
$2 - 4M</t>
  </si>
  <si>
    <t>Image acquisition and application formation plus programming
2 - 10 weeks depending on complexity and program size</t>
  </si>
  <si>
    <t>100's of past automation projects employ vision</t>
  </si>
  <si>
    <t>Extensive experience
5 global sites ; Centralized Engineering</t>
  </si>
  <si>
    <t>IP Protection
Highly Experienced PM Staff
Highly Experienced Engineering Capability
Global
100% success rate on projects
Global Centralized Engineering</t>
  </si>
  <si>
    <t>Global Centralized Engineering
SW team has a wide tool kit and years of experice.</t>
  </si>
  <si>
    <t>Global Centralized Engineering
Average engineer tenure - 15 years</t>
  </si>
  <si>
    <t>Global Centralized Engineering
Inhouse expertise, 40 years experience</t>
  </si>
  <si>
    <t>Global Centralized Engineering
Years experience in cleaning and heating/heating techinques</t>
  </si>
  <si>
    <t>Global Centralized Engineering
Precision mechanisms is a core capability. 
Years of experience in sub-micron positioning</t>
  </si>
  <si>
    <t>Global Centralized Engineering
All of our assembly machines have been successful with over 250 designs and builds</t>
  </si>
  <si>
    <t>Global Centralized Engineering
Inhouse multi-million dollar lab
3 PHD level scientists (Laser Process Development)
Characterisation</t>
  </si>
  <si>
    <t>Engineering HC: 50
Assembly Platform
Automated Production Lines
Product Handling
Support &amp; Spares
Product Test &amp; Inspection
Cutting Technologies
Robotics
Packaging Automation
Track &amp; Trace</t>
  </si>
  <si>
    <t>Global Software Team</t>
  </si>
  <si>
    <t>Congnex VisionPro and other vision software with built in AI, Beckhoff SW, $500k to 1M</t>
  </si>
  <si>
    <t>Centralized engineering over 5 sites</t>
  </si>
  <si>
    <t>Deployedand used in past and current machines</t>
  </si>
  <si>
    <t>Omron, Keyence, Matrox, Omron, Basler, LMI $2 - 4M</t>
  </si>
  <si>
    <t>Case Studies Here:
https://www.owensdesign.com/custom-automation-design-engineering-manufacturing-case-studies/?application%5B%5D=metrology_inspection</t>
  </si>
  <si>
    <t>Metrolgy dev. time depends on job compexity</t>
  </si>
  <si>
    <t>Sw dev. time depends on job compexity</t>
  </si>
  <si>
    <t>Metrology and Inspection is a core compentency for ODI</t>
  </si>
  <si>
    <t>Festo Actuator, Piezo and electric actuation</t>
  </si>
  <si>
    <t>N/A</t>
  </si>
  <si>
    <t>Baumer, Balluff, STRAIN GUAGE and other force sensor mfg's</t>
  </si>
  <si>
    <t>Electronics device tester</t>
  </si>
  <si>
    <t>Anechoic Testers</t>
  </si>
  <si>
    <t>AIR has 5 regions staffed with onsite engineering - our organization employs centralized engineering allowing us to chose expertise from over 150 engineers with various techical backgrounds</t>
  </si>
  <si>
    <t>Application cycle can be expedited</t>
  </si>
  <si>
    <t>Engineering, design, build and support globally</t>
  </si>
  <si>
    <t>Clients can be referenced upon approval from said company</t>
  </si>
  <si>
    <t>Full team is assigned to each project starting with TPM/EPM&gt;EE&gt;ME&gt;SW&gt;System Architect&gt;Sales</t>
  </si>
  <si>
    <t>Anechoic Chamber, NI, Labview</t>
  </si>
  <si>
    <t xml:space="preserve">Need better understanding of optical testing. </t>
  </si>
  <si>
    <t>Fixuring is straight forward and differentiation is nominal. Inhouse Experience</t>
  </si>
  <si>
    <t>We have a base of consultants that we pull from to offset our inhouse capability should we need to outsource</t>
  </si>
  <si>
    <t>Beckhoff, Omron, Mitsubishi, Allen Bradey, Banner, National Instruments, Raspberry - Aprox. $500K to $3.2M in Controls spend</t>
  </si>
  <si>
    <t>Multi-Robotic inline and offline, Customized Machinery and Subs, End Effectors, peripheral subs and electomechanical devices and testing fixtures - Approx. $32M</t>
  </si>
  <si>
    <t>Inline Multicell robot line fixtures, Inline testing and inspection, workholding pieces, and product Interfaces - S5 - 8M</t>
  </si>
  <si>
    <t>Industrial controls, Motors, PLCs, IPC's, Sensors, Vision Systems,Inspection systems, Vision Guidance, AI Vision Software, Lasers, Multi-Axis Robots, Precision Web, Conveyance, SW Platforms (Beckhoff, Mitsubishi, Staubli, Omron, Keyence, Cognex, Turck, Yaskawa, ABB, Denso, Epson) - 20 to 25% of Revenue</t>
  </si>
  <si>
    <t>150+ Engineers  experienced in over a wide range of disciplines: Full Line Automation and individual Tool Automation.</t>
  </si>
  <si>
    <t>Expand international footprint</t>
  </si>
  <si>
    <t>Accommodate customer build location to mitigate tax impact</t>
  </si>
  <si>
    <t>Expand technical offerring to cover simpler applications</t>
  </si>
  <si>
    <t>Commercial</t>
  </si>
  <si>
    <t>Technical</t>
  </si>
  <si>
    <t>We are now standardizing PLM and MES</t>
  </si>
  <si>
    <t>Increase engineering and PM headcount</t>
  </si>
  <si>
    <t>Strengthen Centralized Engineer through multi-site collaboration resulting in optimization, efficient exection and compress program timelines</t>
  </si>
  <si>
    <t>n/a</t>
  </si>
  <si>
    <t>Engineering HC: 25
Tool and Factory Automation
Robotics; Precision Mechanisms
Precise Assembly; High Accuracy
Metrology and Inspection
Cleaning and Contamination
Vacuum and Thermal Systems
Thin films and Plasma
Laser Process
Vision systems
Sensors and Controls</t>
  </si>
  <si>
    <t>Label Automation, Screw Driving, Laser, Metrology, Alignment and dispensing, Assembly, Inspection</t>
  </si>
  <si>
    <t>Apple Program - 2013, Probe Touch Tester, 10 DUT, $1.9M</t>
  </si>
  <si>
    <t>Apple Program - Micro-LED in-process test - 1st gen metrology tool</t>
  </si>
  <si>
    <t>Apple Program - 2014
X203/X255 Force Tester</t>
  </si>
  <si>
    <t>Automated dispense and micro dispense</t>
  </si>
  <si>
    <t>Machining - CNC, Welding, Ultrasonic Welding,  Laser Cutting, CMM and Paint in Michigan</t>
  </si>
  <si>
    <t>Engineering is centralized and all mfg sites have cooresponding engineering departments and expertise. 
Scaling  to Malaysia - (MAI  Automation) - Current project resource to low cost assys and machining. Same in Vietnam - Appilis Automation</t>
  </si>
  <si>
    <t>We  cover a wide range of technical capability.</t>
  </si>
  <si>
    <t>bob.fung@industrialrobotics.com</t>
  </si>
  <si>
    <t>daniel.cong@industrialrobotics.com</t>
  </si>
  <si>
    <t>tajul.majumder@industrialrobotics.com</t>
  </si>
  <si>
    <t>kamran.ahmed@industrialrobotics.com</t>
  </si>
  <si>
    <t>tony.smith@industrialrobotics.com</t>
  </si>
  <si>
    <t>lori.runyan@industrialrobotics.com</t>
  </si>
  <si>
    <t>etoli.wolff@industrialrobotics.com</t>
  </si>
  <si>
    <t xml:space="preserve">COO/VP of Engineering </t>
  </si>
  <si>
    <t>AIR Silicon Valley formely Owens Design</t>
  </si>
  <si>
    <t>Increase Global Footproint in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</si>
</sst>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1">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b/>
      <sz val="12"/>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1">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0" fillId="0" borderId="0" xfId="0" applyFont="1" applyAlignment="1">
      <alignment horizontal="center" vertical="center"/>
    </xf>
    <xf numFmtId="0" fontId="30" fillId="0" borderId="0" xfId="0" applyFont="1" applyAlignment="1">
      <alignment wrapText="1"/>
    </xf>
    <xf numFmtId="0" fontId="30" fillId="0" borderId="0" xfId="0" applyFont="1" applyAlignment="1">
      <alignment horizontal="center"/>
    </xf>
    <xf numFmtId="0" fontId="0" fillId="0" borderId="0" xfId="0" applyAlignment="1">
      <alignment vertical="top" wrapText="1"/>
    </xf>
    <xf numFmtId="0" fontId="2" fillId="0" borderId="0" xfId="0" applyFont="1" applyProtection="1">
      <protection locked="0"/>
    </xf>
    <xf numFmtId="0" fontId="30" fillId="0" borderId="0" xfId="0" applyFont="1"/>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B8" zoomScale="130" zoomScaleNormal="130" workbookViewId="0">
      <selection activeCell="B10" sqref="B10"/>
    </sheetView>
  </sheetViews>
  <sheetFormatPr defaultColWidth="10.69921875" defaultRowHeight="20.399999999999999"/>
  <cols>
    <col min="1" max="1" width="10.69921875" style="48"/>
    <col min="2" max="2" width="200.69921875" style="10" customWidth="1"/>
    <col min="3" max="16384" width="10.69921875" style="48"/>
  </cols>
  <sheetData>
    <row r="2" spans="2:2" ht="21">
      <c r="B2" s="8" t="s">
        <v>0</v>
      </c>
    </row>
    <row r="3" spans="2:2" ht="21">
      <c r="B3" s="41" t="s">
        <v>1</v>
      </c>
    </row>
    <row r="4" spans="2:2" ht="81.599999999999994">
      <c r="B4" s="9" t="s">
        <v>2</v>
      </c>
    </row>
    <row r="5" spans="2:2" ht="21">
      <c r="B5" s="41" t="s">
        <v>3</v>
      </c>
    </row>
    <row r="6" spans="2:2" ht="40.799999999999997">
      <c r="B6" s="9" t="s">
        <v>4</v>
      </c>
    </row>
    <row r="7" spans="2:2" ht="21">
      <c r="B7" s="41" t="s">
        <v>5</v>
      </c>
    </row>
    <row r="8" spans="2:2" ht="285.60000000000002">
      <c r="B8" s="9" t="s">
        <v>6</v>
      </c>
    </row>
    <row r="9" spans="2:2" ht="21">
      <c r="B9" s="41" t="s">
        <v>7</v>
      </c>
    </row>
    <row r="10" spans="2:2" ht="21">
      <c r="B10" s="9" t="s">
        <v>8</v>
      </c>
    </row>
    <row r="11" spans="2:2" ht="21">
      <c r="B11" s="41" t="s">
        <v>9</v>
      </c>
    </row>
    <row r="12" spans="2:2" ht="40.799999999999997">
      <c r="B12" s="9" t="s">
        <v>10</v>
      </c>
    </row>
    <row r="13" spans="2:2" ht="21">
      <c r="B13" s="41" t="s">
        <v>11</v>
      </c>
    </row>
    <row r="14" spans="2:2" ht="81.599999999999994">
      <c r="B14" s="69"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zoomScale="160" zoomScaleNormal="160" workbookViewId="0">
      <selection activeCell="B12" sqref="B12"/>
    </sheetView>
  </sheetViews>
  <sheetFormatPr defaultColWidth="10.69921875" defaultRowHeight="20.399999999999999"/>
  <cols>
    <col min="1" max="1" width="10.69921875" style="48"/>
    <col min="2" max="2" width="200.69921875" style="10" customWidth="1"/>
    <col min="3" max="16384" width="10.69921875" style="48"/>
  </cols>
  <sheetData>
    <row r="2" spans="2:2" ht="21">
      <c r="B2" s="8" t="s">
        <v>13</v>
      </c>
    </row>
    <row r="3" spans="2:2" ht="21">
      <c r="B3" s="40" t="s">
        <v>14</v>
      </c>
    </row>
    <row r="4" spans="2:2" ht="61.2">
      <c r="B4" s="9" t="s">
        <v>15</v>
      </c>
    </row>
    <row r="5" spans="2:2" ht="21">
      <c r="B5" s="41" t="s">
        <v>16</v>
      </c>
    </row>
    <row r="6" spans="2:2" ht="40.799999999999997">
      <c r="B6" s="9" t="s">
        <v>17</v>
      </c>
    </row>
    <row r="7" spans="2:2" ht="21">
      <c r="B7" s="41" t="s">
        <v>18</v>
      </c>
    </row>
    <row r="8" spans="2:2" ht="61.8">
      <c r="B8" s="9" t="s">
        <v>19</v>
      </c>
    </row>
    <row r="9" spans="2:2" ht="21">
      <c r="B9" s="41" t="s">
        <v>20</v>
      </c>
    </row>
    <row r="10" spans="2:2" ht="40.799999999999997">
      <c r="B10" s="9" t="s">
        <v>21</v>
      </c>
    </row>
    <row r="11" spans="2:2" ht="21">
      <c r="B11" s="41" t="s">
        <v>22</v>
      </c>
    </row>
    <row r="12" spans="2:2" ht="122.4">
      <c r="B12" s="9" t="s">
        <v>23</v>
      </c>
    </row>
    <row r="13" spans="2:2" ht="21">
      <c r="B13" s="41" t="s">
        <v>24</v>
      </c>
    </row>
    <row r="14" spans="2:2" ht="81.599999999999994">
      <c r="B14" s="9" t="s">
        <v>25</v>
      </c>
    </row>
    <row r="15" spans="2:2" ht="21">
      <c r="B15" s="41" t="s">
        <v>26</v>
      </c>
    </row>
    <row r="16" spans="2:2" ht="163.19999999999999">
      <c r="B16" s="9" t="s">
        <v>27</v>
      </c>
    </row>
    <row r="17" spans="2:2" ht="21">
      <c r="B17" s="41" t="s">
        <v>28</v>
      </c>
    </row>
    <row r="18" spans="2:2" ht="61.2">
      <c r="B18" s="9" t="s">
        <v>29</v>
      </c>
    </row>
    <row r="19" spans="2:2" ht="21">
      <c r="B19" s="41" t="s">
        <v>30</v>
      </c>
    </row>
    <row r="20" spans="2:2" ht="122.4">
      <c r="B20" s="9" t="s">
        <v>31</v>
      </c>
    </row>
    <row r="21" spans="2:2" ht="21">
      <c r="B21" s="41" t="s">
        <v>32</v>
      </c>
    </row>
    <row r="22" spans="2:2" ht="61.2">
      <c r="B22" s="9" t="s">
        <v>33</v>
      </c>
    </row>
    <row r="23" spans="2:2" ht="21">
      <c r="B23" s="41" t="s">
        <v>34</v>
      </c>
    </row>
    <row r="24" spans="2:2" ht="224.4">
      <c r="B24" s="9" t="s">
        <v>35</v>
      </c>
    </row>
    <row r="25" spans="2:2" ht="21">
      <c r="B25" s="41" t="s">
        <v>36</v>
      </c>
    </row>
    <row r="26" spans="2:2" ht="163.19999999999999">
      <c r="B26" s="9" t="s">
        <v>37</v>
      </c>
    </row>
    <row r="27" spans="2:2" ht="21">
      <c r="B27" s="41" t="s">
        <v>38</v>
      </c>
    </row>
    <row r="28" spans="2:2" ht="40.799999999999997">
      <c r="B28" s="9" t="s">
        <v>39</v>
      </c>
    </row>
    <row r="29" spans="2:2" ht="21">
      <c r="B29" s="41" t="s">
        <v>40</v>
      </c>
    </row>
    <row r="30" spans="2:2" ht="40.799999999999997">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8" sqref="C8"/>
    </sheetView>
  </sheetViews>
  <sheetFormatPr defaultColWidth="10.69921875" defaultRowHeight="20.399999999999999"/>
  <cols>
    <col min="1" max="1" width="10.69921875" style="48"/>
    <col min="2" max="2" width="141.5" style="10" customWidth="1"/>
    <col min="3" max="3" width="40.69921875" style="13" customWidth="1"/>
    <col min="4" max="16384" width="10.69921875" style="48"/>
  </cols>
  <sheetData>
    <row r="2" spans="2:3" ht="21">
      <c r="B2" s="8" t="s">
        <v>42</v>
      </c>
      <c r="C2" s="11"/>
    </row>
    <row r="3" spans="2:3" ht="21">
      <c r="B3" s="40" t="s">
        <v>43</v>
      </c>
      <c r="C3" s="11"/>
    </row>
    <row r="4" spans="2:3" ht="204">
      <c r="B4" s="12" t="s">
        <v>44</v>
      </c>
      <c r="C4" s="47"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B14" zoomScaleNormal="100" workbookViewId="0">
      <selection activeCell="C4" sqref="C4"/>
    </sheetView>
  </sheetViews>
  <sheetFormatPr defaultColWidth="10.69921875" defaultRowHeight="18"/>
  <cols>
    <col min="1" max="1" width="3.5" style="15" customWidth="1"/>
    <col min="2" max="2" width="74.69921875" style="15" customWidth="1"/>
    <col min="3" max="4" width="29.19921875" style="15" customWidth="1"/>
    <col min="5" max="5" width="30.19921875" style="15" bestFit="1" customWidth="1"/>
    <col min="6" max="6" width="29.19921875" style="15" customWidth="1"/>
    <col min="7" max="7" width="38.19921875" style="15" customWidth="1"/>
    <col min="8" max="8" width="10.69921875" style="3" customWidth="1"/>
    <col min="9" max="16384" width="10.69921875" style="3"/>
  </cols>
  <sheetData>
    <row r="1" spans="1:7" ht="25.95" customHeight="1">
      <c r="B1" s="14" t="s">
        <v>46</v>
      </c>
    </row>
    <row r="2" spans="1:7" ht="25.95" customHeight="1">
      <c r="A2" s="15">
        <v>1</v>
      </c>
      <c r="B2" s="16" t="s">
        <v>47</v>
      </c>
      <c r="C2" s="17"/>
    </row>
    <row r="3" spans="1:7" ht="25.95" customHeight="1">
      <c r="A3" s="15">
        <v>2</v>
      </c>
      <c r="B3" s="16" t="s">
        <v>48</v>
      </c>
      <c r="C3" s="18" t="s">
        <v>528</v>
      </c>
    </row>
    <row r="4" spans="1:7" ht="25.95" customHeight="1">
      <c r="A4" s="15">
        <v>3</v>
      </c>
      <c r="B4" s="16" t="s">
        <v>49</v>
      </c>
      <c r="C4" s="18" t="s">
        <v>406</v>
      </c>
      <c r="E4" s="19"/>
    </row>
    <row r="5" spans="1:7" ht="25.95" customHeight="1">
      <c r="A5" s="15">
        <v>4</v>
      </c>
      <c r="B5" s="16" t="s">
        <v>50</v>
      </c>
      <c r="C5" s="18" t="s">
        <v>410</v>
      </c>
      <c r="E5" s="19"/>
    </row>
    <row r="6" spans="1:7" ht="25.95" customHeight="1">
      <c r="A6" s="15">
        <v>5</v>
      </c>
      <c r="B6" s="16" t="s">
        <v>51</v>
      </c>
      <c r="C6" s="20" t="s">
        <v>411</v>
      </c>
      <c r="E6" s="19"/>
    </row>
    <row r="7" spans="1:7" ht="25.95" customHeight="1">
      <c r="A7" s="15">
        <v>6</v>
      </c>
      <c r="B7" s="16" t="s">
        <v>52</v>
      </c>
      <c r="C7" s="18" t="s">
        <v>53</v>
      </c>
      <c r="E7" s="19"/>
    </row>
    <row r="8" spans="1:7" ht="25.95" customHeight="1">
      <c r="A8" s="15">
        <v>7</v>
      </c>
      <c r="B8" s="16" t="s">
        <v>54</v>
      </c>
      <c r="C8" s="18"/>
    </row>
    <row r="9" spans="1:7" ht="25.95" customHeight="1">
      <c r="A9" s="15">
        <v>8</v>
      </c>
      <c r="B9" s="16" t="s">
        <v>55</v>
      </c>
      <c r="C9" s="18" t="s">
        <v>56</v>
      </c>
    </row>
    <row r="10" spans="1:7" ht="25.95" customHeight="1">
      <c r="A10" s="15">
        <v>9</v>
      </c>
      <c r="B10" s="16" t="s">
        <v>57</v>
      </c>
      <c r="C10" s="18">
        <v>530</v>
      </c>
    </row>
    <row r="11" spans="1:7">
      <c r="A11" s="15">
        <v>10</v>
      </c>
      <c r="B11" s="16" t="s">
        <v>58</v>
      </c>
      <c r="C11" s="18">
        <v>1983</v>
      </c>
    </row>
    <row r="12" spans="1:7">
      <c r="A12" s="15">
        <v>11</v>
      </c>
      <c r="B12" s="16" t="s">
        <v>59</v>
      </c>
      <c r="C12" s="18">
        <v>2012</v>
      </c>
      <c r="F12" s="21"/>
    </row>
    <row r="15" spans="1:7" ht="36">
      <c r="B15" s="24" t="s">
        <v>60</v>
      </c>
      <c r="C15" s="25" t="s">
        <v>61</v>
      </c>
      <c r="D15" s="25" t="s">
        <v>62</v>
      </c>
      <c r="E15" s="25" t="s">
        <v>63</v>
      </c>
      <c r="F15" s="25" t="s">
        <v>64</v>
      </c>
      <c r="G15" s="26" t="s">
        <v>65</v>
      </c>
    </row>
    <row r="16" spans="1:7" ht="31.2">
      <c r="B16" s="27" t="s">
        <v>66</v>
      </c>
      <c r="C16" s="18" t="s">
        <v>67</v>
      </c>
      <c r="D16" s="18" t="s">
        <v>408</v>
      </c>
      <c r="E16" s="18" t="s">
        <v>69</v>
      </c>
      <c r="F16" s="20" t="s">
        <v>520</v>
      </c>
      <c r="G16" s="28" t="s">
        <v>70</v>
      </c>
    </row>
    <row r="17" spans="2:7" ht="36">
      <c r="B17" s="27" t="s">
        <v>71</v>
      </c>
      <c r="C17" s="18" t="s">
        <v>72</v>
      </c>
      <c r="D17" s="18" t="s">
        <v>73</v>
      </c>
      <c r="E17" s="18" t="s">
        <v>69</v>
      </c>
      <c r="F17" s="20" t="s">
        <v>521</v>
      </c>
      <c r="G17" s="28" t="s">
        <v>74</v>
      </c>
    </row>
    <row r="18" spans="2:7" ht="31.2">
      <c r="B18" s="27" t="s">
        <v>75</v>
      </c>
      <c r="C18" s="18" t="s">
        <v>76</v>
      </c>
      <c r="D18" s="18" t="s">
        <v>77</v>
      </c>
      <c r="E18" s="18" t="s">
        <v>69</v>
      </c>
      <c r="F18" s="20" t="s">
        <v>522</v>
      </c>
      <c r="G18" s="28" t="s">
        <v>78</v>
      </c>
    </row>
    <row r="19" spans="2:7" ht="36">
      <c r="B19" s="27" t="s">
        <v>79</v>
      </c>
      <c r="C19" s="18" t="s">
        <v>80</v>
      </c>
      <c r="D19" s="18" t="s">
        <v>358</v>
      </c>
      <c r="E19" s="18" t="s">
        <v>69</v>
      </c>
      <c r="F19" s="20" t="s">
        <v>523</v>
      </c>
      <c r="G19" s="28" t="s">
        <v>81</v>
      </c>
    </row>
    <row r="20" spans="2:7" ht="31.2">
      <c r="B20" s="29" t="s">
        <v>82</v>
      </c>
      <c r="C20" s="22" t="s">
        <v>83</v>
      </c>
      <c r="D20" s="22" t="s">
        <v>527</v>
      </c>
      <c r="E20" s="18" t="s">
        <v>69</v>
      </c>
      <c r="F20" s="23" t="s">
        <v>524</v>
      </c>
      <c r="G20" s="28" t="s">
        <v>84</v>
      </c>
    </row>
    <row r="21" spans="2:7" ht="31.2">
      <c r="B21" s="27" t="s">
        <v>85</v>
      </c>
      <c r="C21" s="18" t="s">
        <v>76</v>
      </c>
      <c r="D21" s="18" t="s">
        <v>77</v>
      </c>
      <c r="E21" s="18" t="s">
        <v>69</v>
      </c>
      <c r="F21" s="20" t="s">
        <v>522</v>
      </c>
      <c r="G21" s="28" t="s">
        <v>86</v>
      </c>
    </row>
    <row r="22" spans="2:7" ht="31.2">
      <c r="B22" s="27" t="s">
        <v>87</v>
      </c>
      <c r="C22" s="18" t="s">
        <v>88</v>
      </c>
      <c r="D22" s="22" t="s">
        <v>89</v>
      </c>
      <c r="E22" s="18" t="s">
        <v>69</v>
      </c>
      <c r="F22" s="20" t="s">
        <v>525</v>
      </c>
      <c r="G22" s="28" t="s">
        <v>90</v>
      </c>
    </row>
    <row r="23" spans="2:7" ht="31.2">
      <c r="B23" s="27" t="s">
        <v>91</v>
      </c>
      <c r="C23" s="18" t="s">
        <v>76</v>
      </c>
      <c r="D23" s="22" t="s">
        <v>77</v>
      </c>
      <c r="E23" s="18" t="s">
        <v>69</v>
      </c>
      <c r="F23" s="20" t="s">
        <v>522</v>
      </c>
      <c r="G23" s="28" t="s">
        <v>78</v>
      </c>
    </row>
    <row r="24" spans="2:7" ht="31.2">
      <c r="B24" s="27" t="s">
        <v>92</v>
      </c>
      <c r="C24" s="18" t="s">
        <v>355</v>
      </c>
      <c r="D24" s="18" t="s">
        <v>356</v>
      </c>
      <c r="E24" s="18" t="s">
        <v>69</v>
      </c>
      <c r="F24" s="20" t="s">
        <v>526</v>
      </c>
      <c r="G24" s="28" t="s">
        <v>357</v>
      </c>
    </row>
    <row r="25" spans="2:7" ht="31.2">
      <c r="B25" s="27" t="s">
        <v>92</v>
      </c>
      <c r="C25" s="30" t="s">
        <v>409</v>
      </c>
      <c r="D25" s="30" t="s">
        <v>68</v>
      </c>
      <c r="E25" s="30" t="s">
        <v>69</v>
      </c>
      <c r="F25" s="31" t="s">
        <v>407</v>
      </c>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F9" sqref="F9"/>
    </sheetView>
  </sheetViews>
  <sheetFormatPr defaultColWidth="10.69921875" defaultRowHeight="15.6"/>
  <cols>
    <col min="1" max="1" width="4.69921875" customWidth="1"/>
    <col min="2" max="2" width="53.69921875" customWidth="1"/>
    <col min="3" max="8" width="28.19921875" customWidth="1"/>
    <col min="9" max="16384" width="10.69921875" style="1"/>
  </cols>
  <sheetData>
    <row r="1" spans="2:9" ht="51" customHeight="1">
      <c r="B1" s="14" t="s">
        <v>93</v>
      </c>
    </row>
    <row r="2" spans="2:9" ht="51" customHeight="1">
      <c r="B2" s="16" t="s">
        <v>94</v>
      </c>
      <c r="C2" s="16">
        <v>2022</v>
      </c>
      <c r="D2" s="16">
        <v>2023</v>
      </c>
      <c r="E2" s="16">
        <v>2024</v>
      </c>
      <c r="F2" s="16" t="s">
        <v>95</v>
      </c>
      <c r="G2" s="16" t="s">
        <v>96</v>
      </c>
      <c r="H2" s="16" t="s">
        <v>97</v>
      </c>
    </row>
    <row r="3" spans="2:9" ht="51" customHeight="1">
      <c r="B3" s="33" t="s">
        <v>98</v>
      </c>
      <c r="C3" s="58"/>
      <c r="D3" s="58"/>
      <c r="E3" s="58"/>
      <c r="F3" s="58"/>
      <c r="G3" s="58"/>
      <c r="H3" s="58"/>
    </row>
    <row r="4" spans="2:9" ht="51" customHeight="1">
      <c r="B4" s="33" t="s">
        <v>99</v>
      </c>
      <c r="C4" s="58">
        <v>49495526</v>
      </c>
      <c r="D4" s="58">
        <v>41991039</v>
      </c>
      <c r="E4" s="58">
        <v>160000000</v>
      </c>
      <c r="F4" s="58">
        <v>200000000</v>
      </c>
      <c r="G4" s="58">
        <v>230000000</v>
      </c>
      <c r="H4" s="58">
        <v>265000000</v>
      </c>
      <c r="I4" s="4"/>
    </row>
    <row r="5" spans="2:9" ht="51" customHeight="1">
      <c r="B5" s="33" t="s">
        <v>100</v>
      </c>
      <c r="C5" s="58">
        <v>1E-3</v>
      </c>
      <c r="D5" s="58">
        <v>1E-3</v>
      </c>
      <c r="E5" s="58">
        <v>1E-3</v>
      </c>
      <c r="F5" s="58">
        <v>1E-3</v>
      </c>
      <c r="G5" s="58">
        <v>1E-4</v>
      </c>
      <c r="H5" s="58">
        <v>1E-4</v>
      </c>
      <c r="I5" s="4" t="s">
        <v>101</v>
      </c>
    </row>
    <row r="6" spans="2:9" ht="51" customHeight="1">
      <c r="B6" s="33" t="s">
        <v>102</v>
      </c>
      <c r="C6" s="58">
        <v>1E-3</v>
      </c>
      <c r="D6" s="58">
        <v>1E-3</v>
      </c>
      <c r="E6" s="58">
        <v>1E-3</v>
      </c>
      <c r="F6" s="58">
        <v>1E-3</v>
      </c>
      <c r="G6" s="58">
        <v>1E-4</v>
      </c>
      <c r="H6" s="58">
        <v>1E-4</v>
      </c>
      <c r="I6" s="2" t="s">
        <v>103</v>
      </c>
    </row>
    <row r="8" spans="2:9" ht="18">
      <c r="B8" s="16" t="s">
        <v>94</v>
      </c>
      <c r="C8" s="16">
        <v>2023</v>
      </c>
      <c r="D8" s="16">
        <v>2023</v>
      </c>
      <c r="E8" s="16">
        <v>2024</v>
      </c>
      <c r="F8" s="16" t="s">
        <v>95</v>
      </c>
      <c r="G8" s="16" t="s">
        <v>96</v>
      </c>
      <c r="H8" s="16" t="s">
        <v>97</v>
      </c>
    </row>
    <row r="9" spans="2:9" ht="18">
      <c r="B9" s="33" t="s">
        <v>104</v>
      </c>
      <c r="C9" s="59">
        <v>15743760</v>
      </c>
      <c r="D9" s="59">
        <v>12464441</v>
      </c>
      <c r="E9" s="59">
        <v>48000000</v>
      </c>
      <c r="F9" s="59">
        <v>60000000</v>
      </c>
      <c r="G9" s="59">
        <v>69000000</v>
      </c>
      <c r="H9" s="59">
        <v>79500000</v>
      </c>
    </row>
    <row r="10" spans="2:9" ht="18">
      <c r="B10" s="33" t="s">
        <v>105</v>
      </c>
      <c r="C10" s="59">
        <v>5492858</v>
      </c>
      <c r="D10" s="59">
        <v>2706929</v>
      </c>
      <c r="E10" s="59">
        <v>14400000</v>
      </c>
      <c r="F10" s="59">
        <v>16000000</v>
      </c>
      <c r="G10" s="59">
        <v>20010000</v>
      </c>
      <c r="H10" s="59">
        <v>23055000</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abSelected="1" topLeftCell="A13" zoomScale="55" zoomScaleNormal="55" workbookViewId="0">
      <selection activeCell="D22" sqref="D22:H22"/>
    </sheetView>
  </sheetViews>
  <sheetFormatPr defaultColWidth="10.69921875" defaultRowHeight="25.95" customHeight="1"/>
  <cols>
    <col min="1" max="1" width="6.19921875" style="63" customWidth="1"/>
    <col min="2" max="2" width="59" style="35" customWidth="1"/>
    <col min="3" max="3" width="38.5" style="3" customWidth="1"/>
    <col min="4" max="8" width="38.5" style="6" customWidth="1"/>
    <col min="9" max="11" width="29.19921875" style="3" customWidth="1"/>
    <col min="12" max="16384" width="10.69921875" style="3"/>
  </cols>
  <sheetData>
    <row r="1" spans="1:8" s="15" customFormat="1" ht="51" customHeight="1">
      <c r="A1" s="61"/>
      <c r="B1" s="34" t="s">
        <v>106</v>
      </c>
    </row>
    <row r="2" spans="1:8" s="35" customFormat="1" ht="55.95" customHeight="1">
      <c r="A2" s="62"/>
      <c r="B2" s="16"/>
      <c r="C2" s="16" t="s">
        <v>107</v>
      </c>
      <c r="D2" s="36" t="s">
        <v>108</v>
      </c>
      <c r="E2" s="36" t="s">
        <v>109</v>
      </c>
      <c r="F2" s="36" t="s">
        <v>110</v>
      </c>
      <c r="G2" s="36" t="s">
        <v>111</v>
      </c>
      <c r="H2" s="36" t="s">
        <v>112</v>
      </c>
    </row>
    <row r="3" spans="1:8" ht="60" customHeight="1">
      <c r="A3" s="63">
        <v>1</v>
      </c>
      <c r="B3" s="16" t="s">
        <v>113</v>
      </c>
      <c r="C3" s="37" t="s">
        <v>419</v>
      </c>
      <c r="D3" s="37" t="s">
        <v>418</v>
      </c>
      <c r="E3" s="37" t="s">
        <v>415</v>
      </c>
      <c r="F3" s="18" t="s">
        <v>414</v>
      </c>
      <c r="G3" s="18" t="s">
        <v>420</v>
      </c>
      <c r="H3" s="18" t="s">
        <v>426</v>
      </c>
    </row>
    <row r="4" spans="1:8" ht="60" customHeight="1">
      <c r="A4" s="63">
        <v>2</v>
      </c>
      <c r="B4" s="16" t="s">
        <v>114</v>
      </c>
      <c r="C4" s="18" t="s">
        <v>115</v>
      </c>
      <c r="D4" s="18" t="s">
        <v>115</v>
      </c>
      <c r="E4" s="18" t="s">
        <v>413</v>
      </c>
      <c r="F4" s="18" t="s">
        <v>416</v>
      </c>
      <c r="G4" s="50" t="s">
        <v>421</v>
      </c>
      <c r="H4" s="18" t="s">
        <v>425</v>
      </c>
    </row>
    <row r="5" spans="1:8" ht="60" customHeight="1">
      <c r="A5" s="63">
        <v>3</v>
      </c>
      <c r="B5" s="16" t="s">
        <v>116</v>
      </c>
      <c r="C5" s="18" t="s">
        <v>117</v>
      </c>
      <c r="D5" s="18" t="s">
        <v>118</v>
      </c>
      <c r="E5" s="18" t="s">
        <v>412</v>
      </c>
      <c r="F5" s="18" t="s">
        <v>417</v>
      </c>
      <c r="G5" s="18" t="s">
        <v>422</v>
      </c>
      <c r="H5" s="18" t="s">
        <v>427</v>
      </c>
    </row>
    <row r="6" spans="1:8" ht="60" customHeight="1">
      <c r="A6" s="63">
        <v>4</v>
      </c>
      <c r="B6" s="36" t="s">
        <v>119</v>
      </c>
      <c r="C6" s="18" t="s">
        <v>404</v>
      </c>
      <c r="D6" s="18">
        <v>0</v>
      </c>
      <c r="E6" s="18">
        <v>0</v>
      </c>
      <c r="F6" s="18">
        <v>0</v>
      </c>
      <c r="G6" s="18">
        <v>0</v>
      </c>
      <c r="H6" s="18">
        <v>0</v>
      </c>
    </row>
    <row r="7" spans="1:8" ht="85.95" customHeight="1">
      <c r="A7" s="63">
        <v>5</v>
      </c>
      <c r="B7" s="36" t="s">
        <v>120</v>
      </c>
      <c r="C7" s="18" t="s">
        <v>512</v>
      </c>
      <c r="D7" s="18" t="s">
        <v>510</v>
      </c>
      <c r="E7" s="18" t="s">
        <v>510</v>
      </c>
      <c r="F7" s="18" t="s">
        <v>510</v>
      </c>
      <c r="G7" s="18" t="s">
        <v>510</v>
      </c>
      <c r="H7" s="18" t="s">
        <v>510</v>
      </c>
    </row>
    <row r="8" spans="1:8" ht="85.95" customHeight="1">
      <c r="A8" s="63">
        <v>6</v>
      </c>
      <c r="B8" s="36" t="s">
        <v>121</v>
      </c>
      <c r="C8" s="18" t="s">
        <v>511</v>
      </c>
      <c r="D8" s="18" t="s">
        <v>436</v>
      </c>
      <c r="E8" s="18" t="s">
        <v>437</v>
      </c>
      <c r="F8" s="18" t="s">
        <v>438</v>
      </c>
      <c r="G8" s="18" t="s">
        <v>473</v>
      </c>
      <c r="H8" s="18" t="s">
        <v>439</v>
      </c>
    </row>
    <row r="9" spans="1:8" ht="60" customHeight="1">
      <c r="A9" s="63">
        <v>7</v>
      </c>
      <c r="B9" s="16" t="s">
        <v>122</v>
      </c>
      <c r="C9" s="38">
        <v>3000</v>
      </c>
      <c r="D9" s="38">
        <v>3000</v>
      </c>
      <c r="E9" s="39">
        <v>33000</v>
      </c>
      <c r="F9" s="39">
        <v>33000</v>
      </c>
      <c r="G9" s="39">
        <v>33000</v>
      </c>
      <c r="H9" s="39">
        <v>4000</v>
      </c>
    </row>
    <row r="10" spans="1:8" ht="60" customHeight="1">
      <c r="A10" s="63">
        <v>8</v>
      </c>
      <c r="B10" s="36" t="s">
        <v>123</v>
      </c>
      <c r="C10" s="38">
        <v>100</v>
      </c>
      <c r="D10" s="38">
        <v>30</v>
      </c>
      <c r="E10" s="39">
        <v>125</v>
      </c>
      <c r="F10" s="39">
        <v>150</v>
      </c>
      <c r="G10" s="39">
        <v>170</v>
      </c>
      <c r="H10" s="39">
        <v>60</v>
      </c>
    </row>
    <row r="11" spans="1:8" ht="60" customHeight="1">
      <c r="A11" s="63">
        <v>9</v>
      </c>
      <c r="B11" s="36" t="s">
        <v>124</v>
      </c>
      <c r="C11" s="18">
        <v>20</v>
      </c>
      <c r="D11" s="18">
        <v>20</v>
      </c>
      <c r="E11" s="18">
        <v>50</v>
      </c>
      <c r="F11" s="18">
        <v>50</v>
      </c>
      <c r="G11" s="18">
        <v>50</v>
      </c>
      <c r="H11" s="18">
        <v>20</v>
      </c>
    </row>
    <row r="12" spans="1:8" ht="60" customHeight="1">
      <c r="A12" s="63">
        <v>10</v>
      </c>
      <c r="B12" s="36" t="s">
        <v>125</v>
      </c>
      <c r="C12" s="18">
        <v>100</v>
      </c>
      <c r="D12" s="18">
        <v>100</v>
      </c>
      <c r="E12" s="18">
        <v>100</v>
      </c>
      <c r="F12" s="18">
        <v>100</v>
      </c>
      <c r="G12" s="18">
        <v>100</v>
      </c>
      <c r="H12" s="18">
        <v>50</v>
      </c>
    </row>
    <row r="13" spans="1:8" ht="60" customHeight="1">
      <c r="A13" s="63">
        <v>11</v>
      </c>
      <c r="B13" s="36" t="s">
        <v>126</v>
      </c>
      <c r="C13" s="18">
        <v>25000000</v>
      </c>
      <c r="D13" s="18">
        <v>25000000</v>
      </c>
      <c r="E13" s="18">
        <v>50000000</v>
      </c>
      <c r="F13" s="18">
        <v>50000000</v>
      </c>
      <c r="G13" s="18">
        <v>50000000</v>
      </c>
      <c r="H13" s="18">
        <v>15000000</v>
      </c>
    </row>
    <row r="14" spans="1:8" ht="60" customHeight="1">
      <c r="A14" s="63">
        <v>12</v>
      </c>
      <c r="B14" s="36" t="s">
        <v>127</v>
      </c>
      <c r="C14" s="18" t="s">
        <v>45</v>
      </c>
      <c r="D14" s="18" t="s">
        <v>223</v>
      </c>
      <c r="E14" s="18" t="s">
        <v>223</v>
      </c>
      <c r="F14" s="18" t="s">
        <v>223</v>
      </c>
      <c r="G14" s="18" t="s">
        <v>223</v>
      </c>
      <c r="H14" s="18" t="s">
        <v>223</v>
      </c>
    </row>
    <row r="15" spans="1:8" ht="60" customHeight="1">
      <c r="A15" s="63">
        <v>13</v>
      </c>
      <c r="B15" s="36" t="s">
        <v>128</v>
      </c>
      <c r="C15" s="18" t="s">
        <v>223</v>
      </c>
      <c r="D15" s="18" t="s">
        <v>223</v>
      </c>
      <c r="E15" s="18" t="s">
        <v>223</v>
      </c>
      <c r="F15" s="18" t="s">
        <v>223</v>
      </c>
      <c r="G15" s="18" t="s">
        <v>223</v>
      </c>
      <c r="H15" s="18" t="s">
        <v>223</v>
      </c>
    </row>
    <row r="16" spans="1:8" ht="60" customHeight="1">
      <c r="A16" s="63">
        <v>14</v>
      </c>
      <c r="B16" s="36" t="s">
        <v>129</v>
      </c>
      <c r="C16" s="18" t="s">
        <v>130</v>
      </c>
      <c r="D16" s="18" t="s">
        <v>130</v>
      </c>
      <c r="E16" s="18" t="s">
        <v>424</v>
      </c>
      <c r="F16" s="18" t="s">
        <v>423</v>
      </c>
      <c r="G16" s="18" t="s">
        <v>423</v>
      </c>
      <c r="H16" s="18" t="s">
        <v>423</v>
      </c>
    </row>
    <row r="18" spans="1:8" ht="61.2" customHeight="1">
      <c r="A18" s="63">
        <v>15</v>
      </c>
      <c r="B18" s="80" t="s">
        <v>131</v>
      </c>
      <c r="C18" s="80"/>
      <c r="D18" s="81" t="s">
        <v>518</v>
      </c>
      <c r="E18" s="82"/>
      <c r="F18" s="82"/>
      <c r="G18" s="82"/>
      <c r="H18" s="83"/>
    </row>
    <row r="19" spans="1:8" ht="61.2" customHeight="1">
      <c r="A19" s="63">
        <v>16</v>
      </c>
      <c r="B19" s="80" t="s">
        <v>132</v>
      </c>
      <c r="C19" s="80"/>
      <c r="D19" s="81" t="s">
        <v>428</v>
      </c>
      <c r="E19" s="82"/>
      <c r="F19" s="82"/>
      <c r="G19" s="82"/>
      <c r="H19" s="83"/>
    </row>
    <row r="20" spans="1:8" ht="61.2" customHeight="1">
      <c r="A20" s="63">
        <v>17</v>
      </c>
      <c r="B20" s="80" t="s">
        <v>133</v>
      </c>
      <c r="C20" s="80"/>
      <c r="D20" s="81" t="s">
        <v>398</v>
      </c>
      <c r="E20" s="82"/>
      <c r="F20" s="82"/>
      <c r="G20" s="82"/>
      <c r="H20" s="83"/>
    </row>
    <row r="21" spans="1:8" ht="61.2" customHeight="1">
      <c r="A21" s="63">
        <v>18</v>
      </c>
      <c r="B21" s="80" t="s">
        <v>134</v>
      </c>
      <c r="C21" s="80"/>
      <c r="D21" s="81" t="s">
        <v>400</v>
      </c>
      <c r="E21" s="82"/>
      <c r="F21" s="82"/>
      <c r="G21" s="82"/>
      <c r="H21" s="83"/>
    </row>
    <row r="22" spans="1:8" ht="61.2" customHeight="1">
      <c r="A22" s="63">
        <v>19</v>
      </c>
      <c r="B22" s="80" t="s">
        <v>135</v>
      </c>
      <c r="C22" s="80"/>
      <c r="D22" s="81" t="s">
        <v>517</v>
      </c>
      <c r="E22" s="82"/>
      <c r="F22" s="82"/>
      <c r="G22" s="82"/>
      <c r="H22" s="83"/>
    </row>
    <row r="23" spans="1:8" ht="61.2" customHeight="1">
      <c r="A23" s="63">
        <v>20</v>
      </c>
      <c r="B23" s="84" t="s">
        <v>136</v>
      </c>
      <c r="C23" s="85"/>
      <c r="D23" s="81" t="s">
        <v>399</v>
      </c>
      <c r="E23" s="82"/>
      <c r="F23" s="82"/>
      <c r="G23" s="82"/>
      <c r="H23" s="83"/>
    </row>
    <row r="24" spans="1:8" ht="61.2" customHeight="1">
      <c r="A24" s="63">
        <v>21</v>
      </c>
      <c r="B24" s="84" t="s">
        <v>137</v>
      </c>
      <c r="C24" s="85"/>
      <c r="D24" s="81" t="s">
        <v>401</v>
      </c>
      <c r="E24" s="82"/>
      <c r="F24" s="82"/>
      <c r="G24" s="82"/>
      <c r="H24" s="83"/>
    </row>
    <row r="25" spans="1:8" ht="187.95" customHeight="1">
      <c r="A25" s="63">
        <v>22</v>
      </c>
      <c r="B25" s="80" t="s">
        <v>138</v>
      </c>
      <c r="C25" s="80"/>
      <c r="D25" s="81" t="s">
        <v>405</v>
      </c>
      <c r="E25" s="82"/>
      <c r="F25" s="82"/>
      <c r="G25" s="82"/>
      <c r="H25" s="83"/>
    </row>
    <row r="26" spans="1:8" ht="61.2" customHeight="1"/>
    <row r="27" spans="1:8" ht="61.2" customHeight="1"/>
    <row r="28" spans="1:8" ht="61.2" customHeight="1"/>
    <row r="29" spans="1:8" ht="61.2"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G6" sqref="G6"/>
    </sheetView>
  </sheetViews>
  <sheetFormatPr defaultColWidth="10.69921875" defaultRowHeight="49.95" customHeight="1"/>
  <cols>
    <col min="1" max="1" width="5.19921875" style="3" customWidth="1"/>
    <col min="2" max="2" width="53.19921875" style="3" customWidth="1"/>
    <col min="3" max="10" width="32.69921875" style="3" customWidth="1"/>
    <col min="11" max="16384" width="10.69921875" style="3"/>
  </cols>
  <sheetData>
    <row r="1" spans="2:10" ht="49.95" customHeight="1">
      <c r="B1" s="42" t="s">
        <v>139</v>
      </c>
    </row>
    <row r="2" spans="2:10" ht="49.95" customHeight="1">
      <c r="B2" s="43"/>
      <c r="C2" s="44" t="s">
        <v>140</v>
      </c>
      <c r="D2" s="44" t="s">
        <v>141</v>
      </c>
      <c r="E2" s="44" t="s">
        <v>142</v>
      </c>
      <c r="F2" s="44" t="s">
        <v>143</v>
      </c>
      <c r="G2" s="44" t="s">
        <v>144</v>
      </c>
      <c r="H2" s="44" t="s">
        <v>145</v>
      </c>
      <c r="I2" s="44" t="s">
        <v>146</v>
      </c>
      <c r="J2" s="44" t="s">
        <v>147</v>
      </c>
    </row>
    <row r="3" spans="2:10" ht="49.95" customHeight="1">
      <c r="B3" s="44" t="s">
        <v>148</v>
      </c>
      <c r="C3" s="70" t="s">
        <v>394</v>
      </c>
      <c r="D3" s="70" t="s">
        <v>395</v>
      </c>
      <c r="E3" s="70" t="s">
        <v>396</v>
      </c>
      <c r="F3" s="70"/>
      <c r="G3" s="70"/>
      <c r="H3" s="70"/>
      <c r="I3" s="70"/>
      <c r="J3" s="70"/>
    </row>
    <row r="4" spans="2:10" ht="49.95" customHeight="1">
      <c r="B4" s="45" t="s">
        <v>149</v>
      </c>
      <c r="C4" s="70">
        <v>7</v>
      </c>
      <c r="D4" s="70">
        <v>7</v>
      </c>
      <c r="E4" s="70">
        <v>7</v>
      </c>
      <c r="F4" s="70"/>
      <c r="G4" s="70"/>
      <c r="H4" s="70"/>
      <c r="I4" s="70"/>
      <c r="J4" s="70"/>
    </row>
    <row r="5" spans="2:10" ht="49.95" customHeight="1">
      <c r="B5" s="45" t="s">
        <v>150</v>
      </c>
      <c r="C5" s="70">
        <v>4</v>
      </c>
      <c r="D5" s="70">
        <v>4</v>
      </c>
      <c r="E5" s="70">
        <v>4</v>
      </c>
      <c r="F5" s="70"/>
      <c r="G5" s="70"/>
      <c r="H5" s="70"/>
      <c r="I5" s="70"/>
      <c r="J5" s="70"/>
    </row>
    <row r="6" spans="2:10" ht="49.95" customHeight="1">
      <c r="B6" s="45" t="s">
        <v>151</v>
      </c>
      <c r="C6" s="70">
        <v>4</v>
      </c>
      <c r="D6" s="70">
        <v>4</v>
      </c>
      <c r="E6" s="70">
        <v>4</v>
      </c>
      <c r="F6" s="70"/>
      <c r="G6" s="70"/>
      <c r="H6" s="70"/>
      <c r="I6" s="70"/>
      <c r="J6" s="70"/>
    </row>
    <row r="7" spans="2:10" ht="49.95" customHeight="1">
      <c r="B7" s="45" t="s">
        <v>152</v>
      </c>
      <c r="C7" s="70">
        <v>250</v>
      </c>
      <c r="D7" s="70">
        <v>774</v>
      </c>
      <c r="E7" s="70">
        <v>150</v>
      </c>
      <c r="F7" s="70"/>
      <c r="G7" s="70"/>
      <c r="H7" s="70"/>
      <c r="I7" s="70"/>
      <c r="J7" s="70"/>
    </row>
    <row r="8" spans="2:10" ht="49.95" customHeight="1">
      <c r="B8" s="45" t="s">
        <v>153</v>
      </c>
      <c r="C8" s="70" t="s">
        <v>397</v>
      </c>
      <c r="D8" s="70" t="s">
        <v>397</v>
      </c>
      <c r="E8" s="70" t="s">
        <v>397</v>
      </c>
      <c r="F8" s="70"/>
      <c r="G8" s="70"/>
      <c r="H8" s="70"/>
      <c r="I8" s="70"/>
      <c r="J8" s="70"/>
    </row>
    <row r="9" spans="2:10" ht="49.95" customHeight="1">
      <c r="B9" s="45" t="s">
        <v>154</v>
      </c>
      <c r="C9" s="70" t="s">
        <v>397</v>
      </c>
      <c r="D9" s="70" t="s">
        <v>397</v>
      </c>
      <c r="E9" s="70" t="s">
        <v>397</v>
      </c>
      <c r="F9" s="70"/>
      <c r="G9" s="70"/>
      <c r="H9" s="70"/>
      <c r="I9" s="70"/>
      <c r="J9" s="70"/>
    </row>
    <row r="10" spans="2:10" ht="49.95" customHeight="1">
      <c r="B10" s="64" t="s">
        <v>155</v>
      </c>
      <c r="C10" s="70" t="s">
        <v>394</v>
      </c>
      <c r="D10" s="71" t="s">
        <v>430</v>
      </c>
      <c r="E10" s="71" t="s">
        <v>429</v>
      </c>
      <c r="F10" s="70"/>
      <c r="G10" s="70"/>
      <c r="H10" s="70"/>
      <c r="I10" s="70"/>
      <c r="J10" s="70"/>
    </row>
    <row r="11" spans="2:10" ht="49.95" customHeight="1">
      <c r="B11" s="45" t="s">
        <v>156</v>
      </c>
      <c r="C11" s="71">
        <v>5</v>
      </c>
      <c r="D11" s="71">
        <v>5</v>
      </c>
      <c r="E11" s="71">
        <v>5</v>
      </c>
      <c r="F11" s="70"/>
      <c r="G11" s="70"/>
      <c r="H11" s="70"/>
      <c r="I11" s="70"/>
      <c r="J11" s="70"/>
    </row>
    <row r="12" spans="2:10" ht="49.95" customHeight="1">
      <c r="B12" s="45" t="s">
        <v>157</v>
      </c>
      <c r="C12" s="72">
        <v>0.03</v>
      </c>
      <c r="D12" s="73">
        <v>0.03</v>
      </c>
      <c r="E12" s="73">
        <v>0.03</v>
      </c>
      <c r="F12" s="73"/>
      <c r="G12" s="73"/>
      <c r="H12" s="73"/>
      <c r="I12" s="73"/>
      <c r="J12" s="73"/>
    </row>
    <row r="14" spans="2:10" ht="49.95" customHeight="1">
      <c r="B14" s="87" t="s">
        <v>158</v>
      </c>
      <c r="C14" s="87"/>
      <c r="D14" s="87"/>
    </row>
    <row r="15" spans="2:10" ht="49.95" customHeight="1">
      <c r="B15" s="16" t="s">
        <v>159</v>
      </c>
      <c r="C15" s="87" t="s">
        <v>160</v>
      </c>
      <c r="D15" s="87"/>
    </row>
    <row r="16" spans="2:10" ht="49.95" customHeight="1">
      <c r="B16" s="46" t="s">
        <v>161</v>
      </c>
      <c r="C16" s="88" t="s">
        <v>162</v>
      </c>
      <c r="D16" s="88"/>
    </row>
    <row r="17" spans="2:4" ht="49.95" customHeight="1">
      <c r="B17" s="86" t="s">
        <v>163</v>
      </c>
      <c r="C17" s="86" t="s">
        <v>164</v>
      </c>
      <c r="D17" s="86"/>
    </row>
    <row r="18" spans="2:4" ht="49.95" customHeight="1">
      <c r="B18" s="86"/>
      <c r="C18" s="86" t="s">
        <v>165</v>
      </c>
      <c r="D18" s="86"/>
    </row>
    <row r="19" spans="2:4" ht="49.95" customHeight="1">
      <c r="B19" s="86"/>
      <c r="C19" s="86" t="s">
        <v>166</v>
      </c>
      <c r="D19" s="86"/>
    </row>
    <row r="20" spans="2:4" ht="49.95" customHeight="1">
      <c r="B20" s="86"/>
      <c r="C20" s="86" t="s">
        <v>167</v>
      </c>
      <c r="D20" s="86"/>
    </row>
    <row r="21" spans="2:4" ht="49.95" customHeight="1">
      <c r="B21" s="86" t="s">
        <v>168</v>
      </c>
      <c r="C21" s="86" t="s">
        <v>169</v>
      </c>
      <c r="D21" s="86"/>
    </row>
    <row r="22" spans="2:4" ht="49.95" customHeight="1">
      <c r="B22" s="86"/>
      <c r="C22" s="86" t="s">
        <v>170</v>
      </c>
      <c r="D22" s="86"/>
    </row>
    <row r="23" spans="2:4" ht="49.95" customHeight="1">
      <c r="B23" s="86"/>
      <c r="C23" s="86" t="s">
        <v>171</v>
      </c>
      <c r="D23" s="86"/>
    </row>
    <row r="24" spans="2:4" ht="49.95" customHeight="1">
      <c r="B24" s="86" t="s">
        <v>172</v>
      </c>
      <c r="C24" s="86" t="s">
        <v>173</v>
      </c>
      <c r="D24" s="86"/>
    </row>
    <row r="25" spans="2:4" ht="49.95" customHeight="1">
      <c r="B25" s="86"/>
      <c r="C25" s="86" t="s">
        <v>174</v>
      </c>
      <c r="D25" s="86"/>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B3" zoomScaleNormal="100" workbookViewId="0">
      <selection activeCell="G11" sqref="G11"/>
    </sheetView>
  </sheetViews>
  <sheetFormatPr defaultColWidth="10.69921875" defaultRowHeight="15"/>
  <cols>
    <col min="1" max="1" width="4.19921875" style="1" customWidth="1"/>
    <col min="2" max="2" width="51.5" style="1" customWidth="1"/>
    <col min="3" max="9" width="29.19921875" style="1" customWidth="1"/>
    <col min="10" max="10" width="57.69921875" style="1" customWidth="1"/>
    <col min="11" max="11" width="31.19921875" style="1" bestFit="1" customWidth="1"/>
    <col min="12" max="15" width="29.19921875" style="1" customWidth="1"/>
    <col min="16" max="16384" width="10.69921875" style="1"/>
  </cols>
  <sheetData>
    <row r="1" spans="2:11" ht="67.2" customHeight="1">
      <c r="B1" s="34" t="s">
        <v>175</v>
      </c>
    </row>
    <row r="2" spans="2:11" ht="67.2" customHeight="1">
      <c r="B2" s="33"/>
      <c r="C2" s="16">
        <v>2022</v>
      </c>
      <c r="D2" s="16">
        <v>2023</v>
      </c>
      <c r="E2" s="16">
        <v>2024</v>
      </c>
      <c r="F2" s="16" t="s">
        <v>95</v>
      </c>
      <c r="G2" s="16" t="s">
        <v>96</v>
      </c>
      <c r="H2" s="16" t="s">
        <v>97</v>
      </c>
      <c r="I2" s="16" t="s">
        <v>176</v>
      </c>
      <c r="J2" s="16" t="s">
        <v>177</v>
      </c>
    </row>
    <row r="3" spans="2:11" ht="67.2" customHeight="1">
      <c r="B3" s="16" t="s">
        <v>178</v>
      </c>
      <c r="C3" s="39">
        <v>6</v>
      </c>
      <c r="D3" s="39">
        <v>5</v>
      </c>
      <c r="E3" s="39">
        <v>5</v>
      </c>
      <c r="F3" s="39">
        <v>25</v>
      </c>
      <c r="G3" s="39">
        <v>29</v>
      </c>
      <c r="H3" s="39">
        <v>33.349999999999994</v>
      </c>
      <c r="I3" s="39">
        <v>38.352499999999992</v>
      </c>
      <c r="J3" s="60"/>
    </row>
    <row r="4" spans="2:11" ht="67.2" customHeight="1">
      <c r="B4" s="36" t="s">
        <v>179</v>
      </c>
      <c r="C4" s="39">
        <v>25</v>
      </c>
      <c r="D4" s="39">
        <v>23</v>
      </c>
      <c r="E4" s="39">
        <v>25</v>
      </c>
      <c r="F4" s="39">
        <v>150</v>
      </c>
      <c r="G4" s="39">
        <v>180</v>
      </c>
      <c r="H4" s="39">
        <v>206.99999999999997</v>
      </c>
      <c r="I4" s="39">
        <v>238.04999999999995</v>
      </c>
      <c r="J4" s="60"/>
    </row>
    <row r="5" spans="2:11" ht="67.2" customHeight="1">
      <c r="B5" s="16" t="s">
        <v>180</v>
      </c>
      <c r="C5" s="39">
        <v>43</v>
      </c>
      <c r="D5" s="39">
        <v>30</v>
      </c>
      <c r="E5" s="39">
        <v>30</v>
      </c>
      <c r="F5" s="39">
        <v>240</v>
      </c>
      <c r="G5" s="39">
        <v>260</v>
      </c>
      <c r="H5" s="39">
        <v>276</v>
      </c>
      <c r="I5" s="39">
        <v>317.39999999999998</v>
      </c>
      <c r="J5" s="60"/>
    </row>
    <row r="6" spans="2:11" ht="67.2" customHeight="1">
      <c r="B6" s="16" t="s">
        <v>181</v>
      </c>
      <c r="C6" s="39">
        <v>5</v>
      </c>
      <c r="D6" s="39">
        <v>5</v>
      </c>
      <c r="E6" s="39">
        <v>5</v>
      </c>
      <c r="F6" s="39">
        <v>24</v>
      </c>
      <c r="G6" s="39">
        <v>50</v>
      </c>
      <c r="H6" s="39">
        <v>57.499999999999993</v>
      </c>
      <c r="I6" s="39">
        <v>66.124999999999986</v>
      </c>
      <c r="J6" s="60"/>
      <c r="K6" s="4" t="s">
        <v>182</v>
      </c>
    </row>
    <row r="7" spans="2:11" ht="67.2" customHeight="1">
      <c r="B7" s="16" t="s">
        <v>183</v>
      </c>
      <c r="C7" s="39">
        <v>14</v>
      </c>
      <c r="D7" s="39">
        <v>6</v>
      </c>
      <c r="E7" s="39">
        <v>7</v>
      </c>
      <c r="F7" s="39">
        <v>15</v>
      </c>
      <c r="G7" s="39">
        <v>18</v>
      </c>
      <c r="H7" s="39">
        <v>20.7</v>
      </c>
      <c r="I7" s="39">
        <v>23.804999999999996</v>
      </c>
      <c r="J7" s="60"/>
    </row>
    <row r="8" spans="2:11" ht="67.2" customHeight="1">
      <c r="B8" s="16" t="s">
        <v>184</v>
      </c>
      <c r="C8" s="39">
        <v>2</v>
      </c>
      <c r="D8" s="39">
        <v>2</v>
      </c>
      <c r="E8" s="39">
        <v>2</v>
      </c>
      <c r="F8" s="39">
        <v>14</v>
      </c>
      <c r="G8" s="39">
        <v>16</v>
      </c>
      <c r="H8" s="39">
        <v>18.399999999999999</v>
      </c>
      <c r="I8" s="39">
        <v>21.159999999999997</v>
      </c>
      <c r="J8" s="60"/>
    </row>
    <row r="9" spans="2:11" ht="67.2" customHeight="1">
      <c r="B9" s="16" t="s">
        <v>185</v>
      </c>
      <c r="C9" s="39">
        <v>5</v>
      </c>
      <c r="D9" s="39">
        <v>3</v>
      </c>
      <c r="E9" s="39">
        <v>3</v>
      </c>
      <c r="F9" s="39">
        <v>10</v>
      </c>
      <c r="G9" s="39">
        <v>12</v>
      </c>
      <c r="H9" s="39">
        <v>13.799999999999999</v>
      </c>
      <c r="I9" s="39">
        <v>15.869999999999997</v>
      </c>
      <c r="J9" s="60"/>
    </row>
    <row r="10" spans="2:11" ht="67.2" customHeight="1">
      <c r="B10" s="36" t="s">
        <v>186</v>
      </c>
      <c r="C10" s="39"/>
      <c r="D10" s="39"/>
      <c r="E10" s="39"/>
      <c r="F10" s="39">
        <v>5</v>
      </c>
      <c r="G10" s="39">
        <v>8</v>
      </c>
      <c r="H10" s="39">
        <v>12</v>
      </c>
      <c r="I10" s="39">
        <v>20</v>
      </c>
      <c r="J10" s="60"/>
    </row>
    <row r="11" spans="2:11" ht="67.2" customHeight="1">
      <c r="B11" s="16" t="s">
        <v>187</v>
      </c>
      <c r="C11" s="39">
        <v>5</v>
      </c>
      <c r="D11" s="39">
        <v>5</v>
      </c>
      <c r="E11" s="39">
        <v>4</v>
      </c>
      <c r="F11" s="39">
        <v>20</v>
      </c>
      <c r="G11" s="39">
        <v>23</v>
      </c>
      <c r="H11" s="39">
        <v>26.45</v>
      </c>
      <c r="I11" s="39">
        <v>30.417499999999997</v>
      </c>
      <c r="J11" s="60"/>
    </row>
    <row r="12" spans="2:11" ht="67.2" customHeight="1">
      <c r="B12" s="16" t="s">
        <v>188</v>
      </c>
      <c r="C12" s="39">
        <v>2</v>
      </c>
      <c r="D12" s="39">
        <v>2</v>
      </c>
      <c r="E12" s="39">
        <v>2</v>
      </c>
      <c r="F12" s="39">
        <v>6</v>
      </c>
      <c r="G12" s="39">
        <v>8</v>
      </c>
      <c r="H12" s="39">
        <v>9.1999999999999993</v>
      </c>
      <c r="I12" s="39">
        <v>10.579999999999998</v>
      </c>
      <c r="J12" s="60"/>
    </row>
    <row r="13" spans="2:11" ht="67.2" customHeight="1">
      <c r="B13" s="16" t="s">
        <v>92</v>
      </c>
      <c r="C13" s="39">
        <v>20</v>
      </c>
      <c r="D13" s="39">
        <v>20</v>
      </c>
      <c r="E13" s="39">
        <v>20</v>
      </c>
      <c r="F13" s="39">
        <v>20</v>
      </c>
      <c r="G13" s="39">
        <v>25</v>
      </c>
      <c r="H13" s="39">
        <v>28.749999999999996</v>
      </c>
      <c r="I13" s="39">
        <v>33.062499999999993</v>
      </c>
      <c r="J13" s="60" t="s">
        <v>393</v>
      </c>
    </row>
    <row r="14" spans="2:11" ht="67.2" customHeight="1">
      <c r="B14" s="16" t="s">
        <v>92</v>
      </c>
      <c r="C14" s="39"/>
      <c r="D14" s="39"/>
      <c r="E14" s="39"/>
      <c r="F14" s="39"/>
      <c r="G14" s="39"/>
      <c r="H14" s="39"/>
      <c r="I14" s="39"/>
      <c r="J14" s="60"/>
    </row>
    <row r="15" spans="2:11" ht="67.2" customHeight="1">
      <c r="B15" s="16" t="s">
        <v>92</v>
      </c>
      <c r="C15" s="39"/>
      <c r="D15" s="39"/>
      <c r="E15" s="39"/>
      <c r="F15" s="39"/>
      <c r="G15" s="39"/>
      <c r="H15" s="39"/>
      <c r="I15" s="39"/>
      <c r="J15" s="60"/>
    </row>
    <row r="16" spans="2:11" ht="18">
      <c r="B16" s="51" t="s">
        <v>189</v>
      </c>
      <c r="C16" s="52">
        <f t="shared" ref="C16:I16" si="0">SUM(C3:C15)</f>
        <v>127</v>
      </c>
      <c r="D16" s="52">
        <f t="shared" si="0"/>
        <v>101</v>
      </c>
      <c r="E16" s="52">
        <f t="shared" si="0"/>
        <v>103</v>
      </c>
      <c r="F16" s="52">
        <f t="shared" si="0"/>
        <v>529</v>
      </c>
      <c r="G16" s="52">
        <f t="shared" si="0"/>
        <v>629</v>
      </c>
      <c r="H16" s="52">
        <f t="shared" si="0"/>
        <v>703.15</v>
      </c>
      <c r="I16" s="52">
        <f t="shared" si="0"/>
        <v>814.82249999999988</v>
      </c>
    </row>
  </sheetData>
  <sheetProtection algorithmName="SHA-512" hashValue="pWayqKTpOx63s3zLc4m4aGPKKuSb8adOhevZ0wWthyhvYTVCTEnq7bLF8p8dczIv/WCghbt4WhCQ3pUquMCdFw==" saltValue="HjGdSZStmrB5yzaiPfgXtw=="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13"/>
  <sheetViews>
    <sheetView showGridLines="0" topLeftCell="A5" workbookViewId="0">
      <selection activeCell="E11" sqref="E11"/>
    </sheetView>
  </sheetViews>
  <sheetFormatPr defaultColWidth="10.69921875" defaultRowHeight="15.6"/>
  <cols>
    <col min="1" max="1" width="5.19921875" customWidth="1"/>
    <col min="2" max="2" width="34.5" customWidth="1"/>
    <col min="3" max="5" width="36" bestFit="1" customWidth="1"/>
  </cols>
  <sheetData>
    <row r="2" spans="2:11" ht="46.95" customHeight="1">
      <c r="B2" s="89" t="s">
        <v>190</v>
      </c>
      <c r="C2" s="89"/>
      <c r="D2" s="89"/>
      <c r="E2" s="89"/>
      <c r="F2" s="89"/>
      <c r="G2" s="89"/>
      <c r="H2" s="89"/>
      <c r="I2" s="89"/>
      <c r="J2" s="89"/>
      <c r="K2" s="89"/>
    </row>
    <row r="3" spans="2:11" ht="46.95" customHeight="1">
      <c r="B3" s="89"/>
      <c r="C3" s="89"/>
      <c r="D3" s="89"/>
      <c r="E3" s="89"/>
      <c r="F3" s="89"/>
      <c r="G3" s="89"/>
      <c r="H3" s="89"/>
      <c r="I3" s="89"/>
      <c r="J3" s="89"/>
      <c r="K3" s="89"/>
    </row>
    <row r="4" spans="2:11" ht="46.95" customHeight="1">
      <c r="B4" s="89"/>
      <c r="C4" s="89"/>
      <c r="D4" s="89"/>
      <c r="E4" s="89"/>
      <c r="F4" s="89"/>
      <c r="G4" s="89"/>
      <c r="H4" s="89"/>
      <c r="I4" s="89"/>
      <c r="J4" s="89"/>
      <c r="K4" s="89"/>
    </row>
    <row r="5" spans="2:11" ht="46.95" customHeight="1">
      <c r="B5" s="89"/>
      <c r="C5" s="89"/>
      <c r="D5" s="89"/>
      <c r="E5" s="89"/>
      <c r="F5" s="89"/>
      <c r="G5" s="89"/>
      <c r="H5" s="89"/>
      <c r="I5" s="89"/>
      <c r="J5" s="89"/>
      <c r="K5" s="89"/>
    </row>
    <row r="7" spans="2:11" ht="31.2">
      <c r="B7" s="74" t="s">
        <v>359</v>
      </c>
      <c r="C7" s="75" t="s">
        <v>367</v>
      </c>
      <c r="D7" s="75" t="s">
        <v>368</v>
      </c>
      <c r="E7" s="76" t="s">
        <v>377</v>
      </c>
    </row>
    <row r="8" spans="2:11" ht="62.4">
      <c r="B8" s="77" t="s">
        <v>379</v>
      </c>
      <c r="C8" s="77" t="s">
        <v>363</v>
      </c>
      <c r="D8" s="77" t="s">
        <v>369</v>
      </c>
      <c r="E8" s="77" t="s">
        <v>378</v>
      </c>
    </row>
    <row r="9" spans="2:11" ht="62.4">
      <c r="B9" s="77" t="s">
        <v>360</v>
      </c>
      <c r="C9" s="77" t="s">
        <v>364</v>
      </c>
      <c r="D9" s="77" t="s">
        <v>370</v>
      </c>
      <c r="E9" s="77" t="s">
        <v>375</v>
      </c>
    </row>
    <row r="10" spans="2:11" ht="62.4">
      <c r="B10" s="77" t="s">
        <v>361</v>
      </c>
      <c r="C10" s="77" t="s">
        <v>365</v>
      </c>
      <c r="D10" s="77" t="s">
        <v>371</v>
      </c>
      <c r="E10" s="77" t="s">
        <v>376</v>
      </c>
    </row>
    <row r="11" spans="2:11" ht="78">
      <c r="B11" s="77" t="s">
        <v>362</v>
      </c>
      <c r="C11" s="77" t="s">
        <v>366</v>
      </c>
      <c r="D11" s="77" t="s">
        <v>372</v>
      </c>
    </row>
    <row r="12" spans="2:11" ht="31.2">
      <c r="D12" s="77" t="s">
        <v>373</v>
      </c>
    </row>
    <row r="13" spans="2:11" ht="46.8">
      <c r="D13" s="77" t="s">
        <v>374</v>
      </c>
    </row>
  </sheetData>
  <mergeCells count="1">
    <mergeCell ref="B2: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10" zoomScale="70" zoomScaleNormal="70" workbookViewId="0">
      <selection activeCell="W4" sqref="W4"/>
    </sheetView>
  </sheetViews>
  <sheetFormatPr defaultColWidth="11.19921875" defaultRowHeight="15.6"/>
  <cols>
    <col min="1" max="1" width="4.19921875" style="1" customWidth="1"/>
    <col min="2" max="2" width="51.5" style="1" customWidth="1"/>
    <col min="3" max="22" width="29.19921875" style="1" customWidth="1"/>
    <col min="23" max="23" width="57.69921875" style="1" customWidth="1"/>
  </cols>
  <sheetData>
    <row r="1" spans="2:23" ht="60" customHeight="1">
      <c r="B1" s="34" t="s">
        <v>191</v>
      </c>
    </row>
    <row r="2" spans="2:23" ht="60" customHeight="1">
      <c r="B2" s="65" t="s">
        <v>192</v>
      </c>
      <c r="C2" s="90" t="s">
        <v>193</v>
      </c>
      <c r="D2" s="90"/>
      <c r="E2" s="90"/>
      <c r="F2" s="90"/>
      <c r="G2" s="90" t="s">
        <v>194</v>
      </c>
      <c r="H2" s="90"/>
      <c r="I2" s="90"/>
      <c r="J2" s="90"/>
      <c r="K2" s="90"/>
      <c r="L2" s="90" t="s">
        <v>195</v>
      </c>
      <c r="M2" s="90"/>
      <c r="N2" s="90"/>
      <c r="O2" s="90"/>
      <c r="P2" s="90"/>
      <c r="Q2" s="90"/>
      <c r="R2" s="90"/>
      <c r="S2" s="90" t="s">
        <v>196</v>
      </c>
      <c r="T2" s="90"/>
      <c r="U2" s="90"/>
      <c r="V2" s="90"/>
    </row>
    <row r="3" spans="2:23" ht="60" customHeight="1">
      <c r="B3" s="16" t="s">
        <v>197</v>
      </c>
      <c r="C3" s="66" t="s">
        <v>198</v>
      </c>
      <c r="D3" s="66" t="s">
        <v>199</v>
      </c>
      <c r="E3" s="66" t="s">
        <v>200</v>
      </c>
      <c r="F3" s="66" t="s">
        <v>201</v>
      </c>
      <c r="G3" s="66" t="s">
        <v>202</v>
      </c>
      <c r="H3" s="66" t="s">
        <v>203</v>
      </c>
      <c r="I3" s="66" t="s">
        <v>204</v>
      </c>
      <c r="J3" s="66" t="s">
        <v>205</v>
      </c>
      <c r="K3" s="66" t="s">
        <v>206</v>
      </c>
      <c r="L3" s="66" t="s">
        <v>207</v>
      </c>
      <c r="M3" s="67" t="s">
        <v>208</v>
      </c>
      <c r="N3" s="66" t="s">
        <v>209</v>
      </c>
      <c r="O3" s="66" t="s">
        <v>210</v>
      </c>
      <c r="P3" s="66" t="s">
        <v>211</v>
      </c>
      <c r="Q3" s="66" t="s">
        <v>212</v>
      </c>
      <c r="R3" s="66" t="s">
        <v>213</v>
      </c>
      <c r="S3" s="66" t="s">
        <v>214</v>
      </c>
      <c r="T3" s="66" t="s">
        <v>215</v>
      </c>
      <c r="U3" s="66" t="s">
        <v>216</v>
      </c>
      <c r="V3" s="66" t="s">
        <v>217</v>
      </c>
      <c r="W3" s="16" t="s">
        <v>177</v>
      </c>
    </row>
    <row r="4" spans="2:23" ht="60" customHeight="1">
      <c r="B4" s="16" t="s">
        <v>218</v>
      </c>
      <c r="C4" s="39" t="s">
        <v>45</v>
      </c>
      <c r="D4" s="39" t="s">
        <v>45</v>
      </c>
      <c r="E4" s="39" t="s">
        <v>45</v>
      </c>
      <c r="F4" s="39" t="s">
        <v>45</v>
      </c>
      <c r="G4" s="39" t="s">
        <v>45</v>
      </c>
      <c r="H4" s="39" t="s">
        <v>45</v>
      </c>
      <c r="I4" s="39" t="s">
        <v>45</v>
      </c>
      <c r="J4" s="39" t="s">
        <v>45</v>
      </c>
      <c r="K4" s="39" t="s">
        <v>45</v>
      </c>
      <c r="L4" s="39" t="s">
        <v>45</v>
      </c>
      <c r="M4" s="39" t="s">
        <v>223</v>
      </c>
      <c r="N4" s="39" t="s">
        <v>45</v>
      </c>
      <c r="O4" s="39" t="s">
        <v>45</v>
      </c>
      <c r="P4" s="39" t="s">
        <v>223</v>
      </c>
      <c r="Q4" s="39" t="s">
        <v>223</v>
      </c>
      <c r="R4" s="39" t="s">
        <v>45</v>
      </c>
      <c r="S4" s="39" t="s">
        <v>45</v>
      </c>
      <c r="T4" s="39" t="s">
        <v>45</v>
      </c>
      <c r="U4" s="39" t="s">
        <v>45</v>
      </c>
      <c r="V4" s="39" t="s">
        <v>45</v>
      </c>
      <c r="W4" s="60" t="s">
        <v>488</v>
      </c>
    </row>
    <row r="5" spans="2:23" ht="60" customHeight="1">
      <c r="B5" s="36" t="s">
        <v>219</v>
      </c>
      <c r="C5" s="39" t="s">
        <v>220</v>
      </c>
      <c r="D5" s="39" t="s">
        <v>220</v>
      </c>
      <c r="E5" s="39" t="s">
        <v>220</v>
      </c>
      <c r="F5" s="39" t="s">
        <v>220</v>
      </c>
      <c r="G5" s="39" t="s">
        <v>220</v>
      </c>
      <c r="H5" s="39" t="s">
        <v>220</v>
      </c>
      <c r="I5" s="39" t="s">
        <v>220</v>
      </c>
      <c r="J5" s="39" t="s">
        <v>220</v>
      </c>
      <c r="K5" s="39" t="s">
        <v>220</v>
      </c>
      <c r="L5" s="39" t="s">
        <v>220</v>
      </c>
      <c r="M5" s="39" t="s">
        <v>484</v>
      </c>
      <c r="N5" s="39" t="s">
        <v>220</v>
      </c>
      <c r="O5" s="39" t="s">
        <v>220</v>
      </c>
      <c r="P5" s="39" t="s">
        <v>484</v>
      </c>
      <c r="Q5" s="39" t="s">
        <v>220</v>
      </c>
      <c r="R5" s="39" t="s">
        <v>221</v>
      </c>
      <c r="S5" s="39" t="s">
        <v>220</v>
      </c>
      <c r="T5" s="39" t="s">
        <v>220</v>
      </c>
      <c r="U5" s="39" t="s">
        <v>220</v>
      </c>
      <c r="V5" s="39" t="s">
        <v>221</v>
      </c>
      <c r="W5" s="60"/>
    </row>
    <row r="6" spans="2:23" ht="60" customHeight="1">
      <c r="B6" s="36" t="s">
        <v>222</v>
      </c>
      <c r="C6" s="39" t="s">
        <v>223</v>
      </c>
      <c r="D6" s="39" t="s">
        <v>223</v>
      </c>
      <c r="E6" s="39" t="s">
        <v>223</v>
      </c>
      <c r="F6" s="39" t="s">
        <v>223</v>
      </c>
      <c r="G6" s="39" t="s">
        <v>223</v>
      </c>
      <c r="H6" s="39" t="s">
        <v>223</v>
      </c>
      <c r="I6" s="39" t="s">
        <v>223</v>
      </c>
      <c r="J6" s="39" t="s">
        <v>223</v>
      </c>
      <c r="K6" s="39" t="s">
        <v>223</v>
      </c>
      <c r="L6" s="39" t="s">
        <v>223</v>
      </c>
      <c r="M6" s="39" t="s">
        <v>45</v>
      </c>
      <c r="N6" s="39" t="s">
        <v>223</v>
      </c>
      <c r="O6" s="39" t="s">
        <v>223</v>
      </c>
      <c r="P6" s="39" t="s">
        <v>45</v>
      </c>
      <c r="Q6" s="39" t="s">
        <v>45</v>
      </c>
      <c r="R6" s="39" t="s">
        <v>223</v>
      </c>
      <c r="S6" s="39" t="s">
        <v>223</v>
      </c>
      <c r="T6" s="39" t="s">
        <v>223</v>
      </c>
      <c r="U6" s="39" t="s">
        <v>223</v>
      </c>
      <c r="V6" s="39" t="s">
        <v>223</v>
      </c>
      <c r="W6" s="60" t="s">
        <v>496</v>
      </c>
    </row>
    <row r="7" spans="2:23" ht="60" customHeight="1">
      <c r="B7" s="36" t="s">
        <v>224</v>
      </c>
      <c r="C7" s="39" t="s">
        <v>225</v>
      </c>
      <c r="D7" s="39" t="s">
        <v>226</v>
      </c>
      <c r="E7" s="39" t="s">
        <v>227</v>
      </c>
      <c r="F7" s="39" t="s">
        <v>228</v>
      </c>
      <c r="G7" s="39" t="s">
        <v>445</v>
      </c>
      <c r="H7" s="39" t="s">
        <v>432</v>
      </c>
      <c r="I7" s="39" t="s">
        <v>229</v>
      </c>
      <c r="J7" s="39" t="s">
        <v>230</v>
      </c>
      <c r="K7" s="39" t="s">
        <v>231</v>
      </c>
      <c r="L7" s="39" t="s">
        <v>232</v>
      </c>
      <c r="M7" s="39" t="s">
        <v>484</v>
      </c>
      <c r="N7" s="39" t="s">
        <v>234</v>
      </c>
      <c r="O7" s="39" t="s">
        <v>235</v>
      </c>
      <c r="P7" s="39" t="s">
        <v>484</v>
      </c>
      <c r="Q7" s="39" t="s">
        <v>233</v>
      </c>
      <c r="R7" s="39" t="s">
        <v>233</v>
      </c>
      <c r="S7" s="39" t="s">
        <v>233</v>
      </c>
      <c r="T7" s="39" t="s">
        <v>233</v>
      </c>
      <c r="U7" s="39" t="s">
        <v>233</v>
      </c>
      <c r="V7" s="39" t="s">
        <v>45</v>
      </c>
      <c r="W7" s="60" t="s">
        <v>501</v>
      </c>
    </row>
    <row r="8" spans="2:23" ht="60" customHeight="1">
      <c r="B8" s="36" t="s">
        <v>236</v>
      </c>
      <c r="C8" s="39">
        <v>80</v>
      </c>
      <c r="D8" s="39">
        <v>20</v>
      </c>
      <c r="E8" s="39">
        <v>30</v>
      </c>
      <c r="F8" s="39">
        <v>30</v>
      </c>
      <c r="G8" s="39">
        <v>30</v>
      </c>
      <c r="H8" s="39">
        <v>8</v>
      </c>
      <c r="I8" s="39">
        <v>30</v>
      </c>
      <c r="J8" s="39">
        <v>30</v>
      </c>
      <c r="K8" s="39">
        <v>212</v>
      </c>
      <c r="L8" s="39">
        <v>3</v>
      </c>
      <c r="M8" s="39">
        <v>1</v>
      </c>
      <c r="N8" s="39">
        <v>30</v>
      </c>
      <c r="O8" s="39">
        <v>30</v>
      </c>
      <c r="P8" s="39">
        <v>1</v>
      </c>
      <c r="Q8" s="39">
        <v>1</v>
      </c>
      <c r="R8" s="39">
        <v>2</v>
      </c>
      <c r="S8" s="39">
        <v>12</v>
      </c>
      <c r="T8" s="39">
        <v>12</v>
      </c>
      <c r="U8" s="39">
        <v>30</v>
      </c>
      <c r="V8" s="39">
        <v>15</v>
      </c>
      <c r="W8" s="60" t="s">
        <v>492</v>
      </c>
    </row>
    <row r="9" spans="2:23" ht="60" customHeight="1">
      <c r="B9" s="36" t="s">
        <v>237</v>
      </c>
      <c r="C9" s="39" t="s">
        <v>380</v>
      </c>
      <c r="D9" s="39" t="s">
        <v>381</v>
      </c>
      <c r="E9" s="39" t="s">
        <v>382</v>
      </c>
      <c r="F9" s="39" t="s">
        <v>383</v>
      </c>
      <c r="G9" s="39" t="s">
        <v>516</v>
      </c>
      <c r="H9" s="39" t="s">
        <v>447</v>
      </c>
      <c r="I9" s="39" t="s">
        <v>384</v>
      </c>
      <c r="J9" s="39" t="s">
        <v>385</v>
      </c>
      <c r="K9" s="39" t="s">
        <v>434</v>
      </c>
      <c r="L9" s="39" t="s">
        <v>447</v>
      </c>
      <c r="M9" s="39"/>
      <c r="N9" s="39" t="s">
        <v>386</v>
      </c>
      <c r="O9" s="39" t="s">
        <v>387</v>
      </c>
      <c r="P9" s="39"/>
      <c r="Q9" s="39" t="s">
        <v>494</v>
      </c>
      <c r="R9" s="39" t="s">
        <v>388</v>
      </c>
      <c r="S9" s="39" t="s">
        <v>389</v>
      </c>
      <c r="T9" s="39" t="s">
        <v>390</v>
      </c>
      <c r="U9" s="39" t="s">
        <v>431</v>
      </c>
      <c r="V9" s="39" t="s">
        <v>474</v>
      </c>
      <c r="W9" s="60" t="s">
        <v>433</v>
      </c>
    </row>
    <row r="10" spans="2:23" ht="60" customHeight="1">
      <c r="B10" s="36" t="s">
        <v>238</v>
      </c>
      <c r="C10" s="39" t="s">
        <v>500</v>
      </c>
      <c r="D10" s="39" t="s">
        <v>497</v>
      </c>
      <c r="E10" s="39" t="s">
        <v>498</v>
      </c>
      <c r="F10" s="39" t="s">
        <v>499</v>
      </c>
      <c r="G10" s="39" t="s">
        <v>440</v>
      </c>
      <c r="H10" s="39" t="s">
        <v>449</v>
      </c>
      <c r="I10" s="39" t="s">
        <v>453</v>
      </c>
      <c r="J10" s="39" t="s">
        <v>456</v>
      </c>
      <c r="K10" s="39" t="s">
        <v>460</v>
      </c>
      <c r="L10" s="39" t="s">
        <v>449</v>
      </c>
      <c r="M10" s="39"/>
      <c r="N10" s="39" t="s">
        <v>483</v>
      </c>
      <c r="O10" s="39" t="s">
        <v>485</v>
      </c>
      <c r="P10" s="39"/>
      <c r="Q10" s="78"/>
      <c r="R10" s="39" t="s">
        <v>493</v>
      </c>
      <c r="S10" s="39" t="s">
        <v>461</v>
      </c>
      <c r="T10" s="39" t="s">
        <v>461</v>
      </c>
      <c r="U10" s="39" t="s">
        <v>478</v>
      </c>
      <c r="V10" s="39" t="s">
        <v>475</v>
      </c>
      <c r="W10" s="60"/>
    </row>
    <row r="11" spans="2:23" ht="60" customHeight="1">
      <c r="B11" s="36" t="s">
        <v>239</v>
      </c>
      <c r="C11" s="39" t="s">
        <v>435</v>
      </c>
      <c r="D11" s="39" t="s">
        <v>441</v>
      </c>
      <c r="E11" s="39" t="s">
        <v>435</v>
      </c>
      <c r="F11" s="39" t="s">
        <v>435</v>
      </c>
      <c r="G11" s="68" t="s">
        <v>435</v>
      </c>
      <c r="H11" s="39" t="s">
        <v>450</v>
      </c>
      <c r="I11" s="39" t="s">
        <v>435</v>
      </c>
      <c r="J11" s="39" t="s">
        <v>435</v>
      </c>
      <c r="K11" s="39" t="s">
        <v>435</v>
      </c>
      <c r="L11" s="39" t="s">
        <v>450</v>
      </c>
      <c r="M11" s="39"/>
      <c r="N11" s="39" t="s">
        <v>435</v>
      </c>
      <c r="O11" s="39" t="s">
        <v>435</v>
      </c>
      <c r="P11" s="39"/>
      <c r="Q11" s="39"/>
      <c r="R11" s="39" t="s">
        <v>450</v>
      </c>
      <c r="S11" s="39" t="s">
        <v>462</v>
      </c>
      <c r="T11" s="39" t="s">
        <v>462</v>
      </c>
      <c r="U11" s="39" t="s">
        <v>480</v>
      </c>
      <c r="V11" s="39" t="s">
        <v>481</v>
      </c>
      <c r="W11" s="60" t="s">
        <v>489</v>
      </c>
    </row>
    <row r="12" spans="2:23" ht="60" customHeight="1">
      <c r="B12" s="16" t="s">
        <v>240</v>
      </c>
      <c r="C12" s="39" t="s">
        <v>465</v>
      </c>
      <c r="D12" s="39" t="s">
        <v>466</v>
      </c>
      <c r="E12" s="39" t="s">
        <v>467</v>
      </c>
      <c r="F12" s="39" t="s">
        <v>467</v>
      </c>
      <c r="G12" s="39" t="s">
        <v>468</v>
      </c>
      <c r="H12" s="39" t="s">
        <v>448</v>
      </c>
      <c r="I12" s="39" t="s">
        <v>469</v>
      </c>
      <c r="J12" s="39" t="s">
        <v>470</v>
      </c>
      <c r="K12" s="39" t="s">
        <v>471</v>
      </c>
      <c r="L12" s="39" t="s">
        <v>472</v>
      </c>
      <c r="M12" s="39"/>
      <c r="N12" s="39" t="s">
        <v>495</v>
      </c>
      <c r="O12" s="39" t="s">
        <v>495</v>
      </c>
      <c r="P12" s="39"/>
      <c r="Q12" s="39"/>
      <c r="R12" s="39" t="s">
        <v>233</v>
      </c>
      <c r="S12" s="39" t="s">
        <v>464</v>
      </c>
      <c r="T12" s="39" t="s">
        <v>464</v>
      </c>
      <c r="U12" s="39" t="s">
        <v>482</v>
      </c>
      <c r="V12" s="39" t="s">
        <v>476</v>
      </c>
      <c r="W12" s="60" t="s">
        <v>490</v>
      </c>
    </row>
    <row r="13" spans="2:23" ht="60" customHeight="1">
      <c r="B13" s="36" t="s">
        <v>241</v>
      </c>
      <c r="C13" s="39" t="s">
        <v>451</v>
      </c>
      <c r="D13" s="39" t="s">
        <v>443</v>
      </c>
      <c r="E13" s="39" t="s">
        <v>444</v>
      </c>
      <c r="F13" s="39" t="s">
        <v>451</v>
      </c>
      <c r="G13" s="39" t="s">
        <v>446</v>
      </c>
      <c r="H13" s="39" t="s">
        <v>452</v>
      </c>
      <c r="I13" s="39" t="s">
        <v>454</v>
      </c>
      <c r="J13" s="39" t="s">
        <v>455</v>
      </c>
      <c r="K13" s="39" t="s">
        <v>459</v>
      </c>
      <c r="L13" s="39" t="s">
        <v>452</v>
      </c>
      <c r="M13" s="39"/>
      <c r="N13" s="39" t="s">
        <v>486</v>
      </c>
      <c r="O13" s="39" t="s">
        <v>486</v>
      </c>
      <c r="P13" s="39"/>
      <c r="Q13" s="39"/>
      <c r="R13" s="39" t="s">
        <v>487</v>
      </c>
      <c r="S13" s="39" t="s">
        <v>463</v>
      </c>
      <c r="T13" s="39" t="s">
        <v>463</v>
      </c>
      <c r="U13" s="39" t="s">
        <v>479</v>
      </c>
      <c r="V13" s="39" t="s">
        <v>477</v>
      </c>
      <c r="W13" s="60"/>
    </row>
    <row r="14" spans="2:23" ht="60" customHeight="1">
      <c r="B14" s="16" t="s">
        <v>242</v>
      </c>
      <c r="C14" s="39" t="s">
        <v>391</v>
      </c>
      <c r="D14" s="39" t="s">
        <v>442</v>
      </c>
      <c r="E14" s="39" t="s">
        <v>442</v>
      </c>
      <c r="F14" s="39" t="s">
        <v>442</v>
      </c>
      <c r="G14" s="39" t="s">
        <v>442</v>
      </c>
      <c r="H14" s="39" t="s">
        <v>442</v>
      </c>
      <c r="I14" s="39" t="s">
        <v>442</v>
      </c>
      <c r="J14" s="39" t="s">
        <v>457</v>
      </c>
      <c r="K14" s="39" t="s">
        <v>393</v>
      </c>
      <c r="L14" s="39" t="s">
        <v>442</v>
      </c>
      <c r="M14" s="39"/>
      <c r="N14" s="39" t="s">
        <v>442</v>
      </c>
      <c r="O14" s="39" t="s">
        <v>442</v>
      </c>
      <c r="P14" s="39"/>
      <c r="Q14" s="39"/>
      <c r="R14" s="39" t="s">
        <v>442</v>
      </c>
      <c r="S14" s="39" t="s">
        <v>442</v>
      </c>
      <c r="T14" s="39" t="s">
        <v>442</v>
      </c>
      <c r="U14" s="39" t="s">
        <v>442</v>
      </c>
      <c r="V14" s="39" t="s">
        <v>442</v>
      </c>
      <c r="W14" s="60" t="s">
        <v>491</v>
      </c>
    </row>
    <row r="15" spans="2:23" ht="60" customHeight="1">
      <c r="B15" s="16" t="s">
        <v>243</v>
      </c>
      <c r="C15" s="39" t="s">
        <v>391</v>
      </c>
      <c r="D15" s="39" t="s">
        <v>442</v>
      </c>
      <c r="E15" s="39" t="s">
        <v>442</v>
      </c>
      <c r="F15" s="39" t="s">
        <v>442</v>
      </c>
      <c r="G15" s="39" t="s">
        <v>442</v>
      </c>
      <c r="H15" s="39" t="s">
        <v>442</v>
      </c>
      <c r="I15" s="39" t="s">
        <v>442</v>
      </c>
      <c r="J15" s="39" t="s">
        <v>458</v>
      </c>
      <c r="K15" s="39">
        <v>0</v>
      </c>
      <c r="L15" s="39" t="s">
        <v>442</v>
      </c>
      <c r="M15" s="39"/>
      <c r="N15" s="39" t="s">
        <v>442</v>
      </c>
      <c r="O15" s="39" t="s">
        <v>442</v>
      </c>
      <c r="P15" s="39"/>
      <c r="Q15" s="39"/>
      <c r="R15" s="39" t="s">
        <v>442</v>
      </c>
      <c r="S15" s="39" t="s">
        <v>442</v>
      </c>
      <c r="T15" s="39" t="s">
        <v>442</v>
      </c>
      <c r="U15" s="39" t="s">
        <v>442</v>
      </c>
      <c r="V15" s="39" t="s">
        <v>442</v>
      </c>
      <c r="W15" s="60"/>
    </row>
    <row r="16" spans="2:23" ht="60" customHeight="1">
      <c r="B16" s="36" t="s">
        <v>244</v>
      </c>
      <c r="C16" s="39" t="s">
        <v>392</v>
      </c>
      <c r="D16" s="39">
        <v>0</v>
      </c>
      <c r="E16" s="39">
        <v>0</v>
      </c>
      <c r="F16" s="39">
        <v>0</v>
      </c>
      <c r="G16" s="39">
        <v>0</v>
      </c>
      <c r="H16" s="39">
        <v>0</v>
      </c>
      <c r="I16" s="39">
        <v>0</v>
      </c>
      <c r="J16" s="39">
        <v>0</v>
      </c>
      <c r="K16" s="39">
        <v>0</v>
      </c>
      <c r="L16" s="39">
        <v>0</v>
      </c>
      <c r="M16" s="39"/>
      <c r="N16" s="39" t="s">
        <v>513</v>
      </c>
      <c r="O16" s="39" t="s">
        <v>515</v>
      </c>
      <c r="P16" s="39"/>
      <c r="Q16" s="39"/>
      <c r="R16" s="39">
        <v>0</v>
      </c>
      <c r="S16" s="39">
        <v>0</v>
      </c>
      <c r="T16" s="39">
        <v>0</v>
      </c>
      <c r="U16" s="39" t="s">
        <v>514</v>
      </c>
      <c r="V16" s="39">
        <v>0</v>
      </c>
      <c r="W16" s="60"/>
    </row>
    <row r="17" spans="2:23" ht="60" customHeight="1">
      <c r="B17" s="16" t="s">
        <v>245</v>
      </c>
      <c r="C17" s="39" t="s">
        <v>391</v>
      </c>
      <c r="D17" s="39">
        <v>0</v>
      </c>
      <c r="E17" s="39">
        <v>0</v>
      </c>
      <c r="F17" s="39">
        <v>0</v>
      </c>
      <c r="G17" s="39">
        <v>0</v>
      </c>
      <c r="H17" s="39">
        <v>0</v>
      </c>
      <c r="I17" s="39">
        <v>0</v>
      </c>
      <c r="J17" s="39">
        <v>0</v>
      </c>
      <c r="K17" s="39">
        <v>0</v>
      </c>
      <c r="L17" s="39">
        <v>0</v>
      </c>
      <c r="M17" s="39"/>
      <c r="N17" s="39">
        <v>0</v>
      </c>
      <c r="O17" s="39">
        <v>0</v>
      </c>
      <c r="P17" s="39"/>
      <c r="Q17" s="39"/>
      <c r="R17" s="39">
        <v>0</v>
      </c>
      <c r="S17" s="39">
        <v>0</v>
      </c>
      <c r="T17" s="39">
        <v>0</v>
      </c>
      <c r="U17" s="39">
        <v>0</v>
      </c>
      <c r="V17" s="39">
        <v>0</v>
      </c>
      <c r="W17" s="60"/>
    </row>
    <row r="18" spans="2:23" ht="60" customHeight="1">
      <c r="B18" s="16" t="s">
        <v>246</v>
      </c>
      <c r="C18" s="39" t="s">
        <v>391</v>
      </c>
      <c r="D18" s="39">
        <v>0</v>
      </c>
      <c r="E18" s="39">
        <v>0</v>
      </c>
      <c r="F18" s="39">
        <v>0</v>
      </c>
      <c r="G18" s="39">
        <v>0</v>
      </c>
      <c r="H18" s="39">
        <v>0</v>
      </c>
      <c r="I18" s="39">
        <v>0</v>
      </c>
      <c r="J18" s="39">
        <v>0</v>
      </c>
      <c r="K18" s="39">
        <v>0</v>
      </c>
      <c r="L18" s="39">
        <v>0</v>
      </c>
      <c r="M18" s="39"/>
      <c r="N18" s="39">
        <v>0</v>
      </c>
      <c r="O18" s="39">
        <v>0</v>
      </c>
      <c r="P18" s="39"/>
      <c r="Q18" s="39"/>
      <c r="R18" s="39">
        <v>0</v>
      </c>
      <c r="S18" s="39">
        <v>0</v>
      </c>
      <c r="T18" s="39">
        <v>0</v>
      </c>
      <c r="U18" s="39">
        <v>0</v>
      </c>
      <c r="V18" s="39">
        <v>0</v>
      </c>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9 C10:P10 R10:W10 C11: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4" workbookViewId="0">
      <selection activeCell="B14" sqref="B14"/>
    </sheetView>
  </sheetViews>
  <sheetFormatPr defaultColWidth="10.69921875" defaultRowHeight="15.6"/>
  <cols>
    <col min="1" max="1" width="5.5" customWidth="1"/>
  </cols>
  <sheetData>
    <row r="3" spans="2:11" ht="34.200000000000003" customHeight="1">
      <c r="B3" s="89" t="s">
        <v>247</v>
      </c>
      <c r="C3" s="89"/>
      <c r="D3" s="89"/>
      <c r="E3" s="89"/>
      <c r="F3" s="89"/>
      <c r="G3" s="89"/>
      <c r="H3" s="89"/>
      <c r="I3" s="89"/>
      <c r="J3" s="89"/>
      <c r="K3" s="89"/>
    </row>
    <row r="4" spans="2:11" ht="34.200000000000003" customHeight="1">
      <c r="B4" s="89"/>
      <c r="C4" s="89"/>
      <c r="D4" s="89"/>
      <c r="E4" s="89"/>
      <c r="F4" s="89"/>
      <c r="G4" s="89"/>
      <c r="H4" s="89"/>
      <c r="I4" s="89"/>
      <c r="J4" s="89"/>
      <c r="K4" s="89"/>
    </row>
    <row r="5" spans="2:11" ht="34.200000000000003" customHeight="1">
      <c r="B5" s="89"/>
      <c r="C5" s="89"/>
      <c r="D5" s="89"/>
      <c r="E5" s="89"/>
      <c r="F5" s="89"/>
      <c r="G5" s="89"/>
      <c r="H5" s="89"/>
      <c r="I5" s="89"/>
      <c r="J5" s="89"/>
      <c r="K5" s="89"/>
    </row>
    <row r="6" spans="2:11" ht="34.200000000000003" customHeight="1">
      <c r="B6" s="89"/>
      <c r="C6" s="89"/>
      <c r="D6" s="89"/>
      <c r="E6" s="89"/>
      <c r="F6" s="89"/>
      <c r="G6" s="89"/>
      <c r="H6" s="89"/>
      <c r="I6" s="89"/>
      <c r="J6" s="89"/>
      <c r="K6" s="89"/>
    </row>
    <row r="8" spans="2:11">
      <c r="B8" s="79" t="s">
        <v>505</v>
      </c>
    </row>
    <row r="9" spans="2:11">
      <c r="B9" t="s">
        <v>502</v>
      </c>
    </row>
    <row r="10" spans="2:11">
      <c r="B10" t="s">
        <v>402</v>
      </c>
    </row>
    <row r="11" spans="2:11">
      <c r="B11" t="s">
        <v>529</v>
      </c>
    </row>
    <row r="12" spans="2:11">
      <c r="B12" t="s">
        <v>403</v>
      </c>
    </row>
    <row r="13" spans="2:11">
      <c r="B13" t="s">
        <v>503</v>
      </c>
    </row>
    <row r="15" spans="2:11">
      <c r="B15" s="79" t="s">
        <v>506</v>
      </c>
    </row>
    <row r="16" spans="2:11">
      <c r="B16" t="s">
        <v>519</v>
      </c>
    </row>
    <row r="17" spans="2:2">
      <c r="B17" t="s">
        <v>504</v>
      </c>
    </row>
    <row r="18" spans="2:2">
      <c r="B18" t="s">
        <v>507</v>
      </c>
    </row>
    <row r="19" spans="2:2">
      <c r="B19" t="s">
        <v>509</v>
      </c>
    </row>
    <row r="20" spans="2:2">
      <c r="B20" t="s">
        <v>508</v>
      </c>
    </row>
    <row r="24" spans="2:2">
      <c r="B24" s="57"/>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B24" sqref="B24"/>
    </sheetView>
  </sheetViews>
  <sheetFormatPr defaultColWidth="10.69921875" defaultRowHeight="20.399999999999999"/>
  <cols>
    <col min="1" max="1" width="4.19921875" style="54" customWidth="1"/>
    <col min="2" max="2" width="200.69921875" style="10" customWidth="1"/>
    <col min="3" max="3" width="67.5" style="13" customWidth="1"/>
    <col min="4" max="16384" width="10.69921875" style="48"/>
  </cols>
  <sheetData>
    <row r="2" spans="2:4" ht="21">
      <c r="B2" s="8" t="s">
        <v>248</v>
      </c>
      <c r="C2" s="11"/>
    </row>
    <row r="3" spans="2:4" ht="21">
      <c r="B3" s="41" t="s">
        <v>249</v>
      </c>
      <c r="C3" s="56"/>
    </row>
    <row r="4" spans="2:4" ht="21">
      <c r="B4" s="55" t="s">
        <v>250</v>
      </c>
      <c r="C4" s="56"/>
    </row>
    <row r="5" spans="2:4" ht="81.599999999999994">
      <c r="B5" s="53" t="s">
        <v>251</v>
      </c>
      <c r="C5" s="47" t="s">
        <v>45</v>
      </c>
      <c r="D5" s="49" t="s">
        <v>252</v>
      </c>
    </row>
    <row r="6" spans="2:4" ht="21">
      <c r="B6" s="55" t="s">
        <v>253</v>
      </c>
      <c r="C6" s="56"/>
      <c r="D6" s="49"/>
    </row>
    <row r="7" spans="2:4" ht="61.2">
      <c r="B7" s="53" t="s">
        <v>254</v>
      </c>
      <c r="C7" s="47" t="s">
        <v>45</v>
      </c>
      <c r="D7" s="49" t="s">
        <v>255</v>
      </c>
    </row>
    <row r="8" spans="2:4" ht="21">
      <c r="B8" s="55" t="s">
        <v>256</v>
      </c>
      <c r="C8" s="56"/>
    </row>
    <row r="9" spans="2:4" ht="61.2">
      <c r="B9" s="53" t="s">
        <v>257</v>
      </c>
      <c r="C9" s="47" t="s">
        <v>45</v>
      </c>
    </row>
    <row r="10" spans="2:4" ht="21">
      <c r="B10" s="55" t="s">
        <v>258</v>
      </c>
      <c r="C10" s="56"/>
    </row>
    <row r="11" spans="2:4" ht="61.2">
      <c r="B11" s="53" t="s">
        <v>259</v>
      </c>
      <c r="C11" s="47" t="s">
        <v>45</v>
      </c>
    </row>
    <row r="12" spans="2:4" ht="21">
      <c r="B12" s="41" t="s">
        <v>260</v>
      </c>
      <c r="C12" s="56"/>
    </row>
    <row r="13" spans="2:4" ht="21">
      <c r="B13" s="55" t="s">
        <v>261</v>
      </c>
      <c r="C13" s="56"/>
    </row>
    <row r="14" spans="2:4" ht="61.2">
      <c r="B14" s="53" t="s">
        <v>262</v>
      </c>
      <c r="C14" s="47" t="s">
        <v>45</v>
      </c>
    </row>
    <row r="15" spans="2:4" ht="21">
      <c r="B15" s="55" t="s">
        <v>263</v>
      </c>
      <c r="C15" s="56"/>
    </row>
    <row r="16" spans="2:4" ht="61.2">
      <c r="B16" s="53" t="s">
        <v>264</v>
      </c>
      <c r="C16" s="47" t="s">
        <v>45</v>
      </c>
    </row>
    <row r="17" spans="2:3" ht="21">
      <c r="B17" s="55" t="s">
        <v>265</v>
      </c>
      <c r="C17" s="56"/>
    </row>
    <row r="18" spans="2:3" ht="61.2">
      <c r="B18" s="53" t="s">
        <v>266</v>
      </c>
      <c r="C18" s="47" t="s">
        <v>45</v>
      </c>
    </row>
    <row r="19" spans="2:3" ht="21">
      <c r="B19" s="55" t="s">
        <v>267</v>
      </c>
      <c r="C19" s="56"/>
    </row>
    <row r="20" spans="2:3" ht="61.2">
      <c r="B20" s="53" t="s">
        <v>268</v>
      </c>
      <c r="C20" s="47" t="s">
        <v>45</v>
      </c>
    </row>
    <row r="21" spans="2:3" ht="21">
      <c r="B21" s="55" t="s">
        <v>269</v>
      </c>
      <c r="C21" s="56"/>
    </row>
    <row r="22" spans="2:3" ht="81.599999999999994">
      <c r="B22" s="53" t="s">
        <v>270</v>
      </c>
      <c r="C22" s="47" t="s">
        <v>45</v>
      </c>
    </row>
    <row r="23" spans="2:3" ht="21">
      <c r="B23" s="55" t="s">
        <v>271</v>
      </c>
      <c r="C23" s="56"/>
    </row>
    <row r="24" spans="2:3" ht="81.599999999999994">
      <c r="B24" s="53" t="s">
        <v>272</v>
      </c>
      <c r="C24" s="47" t="s">
        <v>45</v>
      </c>
    </row>
    <row r="25" spans="2:3" ht="21">
      <c r="B25" s="55" t="s">
        <v>273</v>
      </c>
      <c r="C25" s="56"/>
    </row>
    <row r="26" spans="2:3" ht="81.599999999999994">
      <c r="B26" s="53" t="s">
        <v>274</v>
      </c>
      <c r="C26" s="47" t="s">
        <v>45</v>
      </c>
    </row>
    <row r="27" spans="2:3" ht="21">
      <c r="B27" s="55" t="s">
        <v>275</v>
      </c>
      <c r="C27" s="56"/>
    </row>
    <row r="28" spans="2:3" ht="81.599999999999994">
      <c r="B28" s="53" t="s">
        <v>276</v>
      </c>
      <c r="C28" s="47" t="s">
        <v>45</v>
      </c>
    </row>
  </sheetData>
  <sheetProtection algorithmName="SHA-512" hashValue="Q1tIzZW4q1svot2fTtUaZdE5Z769zrGxjL5mh+I++440Oe5SSDlQ+Yw1B8wb5grTlGVqFQYapO2TrAXiTNZB8Q==" saltValue="1MRRozV0QtnVfVJaMmG8Jg=="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69921875" defaultRowHeight="15"/>
  <cols>
    <col min="1" max="1" width="14.69921875" style="1" bestFit="1" customWidth="1"/>
    <col min="2" max="2" width="10.69921875" style="1"/>
    <col min="3" max="3" width="60" style="1" bestFit="1" customWidth="1"/>
    <col min="4" max="4" width="10.69921875" style="1"/>
    <col min="5" max="5" width="7.19921875" style="1" bestFit="1" customWidth="1"/>
    <col min="6" max="6" width="10.69921875" style="1"/>
    <col min="7" max="7" width="17" style="1" bestFit="1" customWidth="1"/>
    <col min="8" max="8" width="21" style="1" customWidth="1"/>
    <col min="9" max="10" width="10.69921875" style="1"/>
    <col min="11" max="11" width="12" style="1" customWidth="1"/>
    <col min="12" max="16384" width="10.69921875" style="1"/>
  </cols>
  <sheetData>
    <row r="1" spans="1:7" ht="15.6">
      <c r="A1" s="1" t="s">
        <v>277</v>
      </c>
      <c r="C1" s="7" t="s">
        <v>278</v>
      </c>
      <c r="E1" s="5" t="s">
        <v>279</v>
      </c>
      <c r="G1" s="5" t="s">
        <v>280</v>
      </c>
    </row>
    <row r="2" spans="1:7">
      <c r="A2" s="1" t="s">
        <v>281</v>
      </c>
      <c r="C2" s="1" t="s">
        <v>282</v>
      </c>
      <c r="E2" s="1" t="s">
        <v>45</v>
      </c>
      <c r="G2" s="1" t="s">
        <v>283</v>
      </c>
    </row>
    <row r="3" spans="1:7">
      <c r="A3" s="1" t="s">
        <v>53</v>
      </c>
      <c r="C3" s="1" t="s">
        <v>214</v>
      </c>
      <c r="E3" s="1" t="s">
        <v>223</v>
      </c>
      <c r="G3" s="1" t="s">
        <v>284</v>
      </c>
    </row>
    <row r="4" spans="1:7">
      <c r="C4" s="1" t="s">
        <v>285</v>
      </c>
      <c r="G4" s="1" t="s">
        <v>286</v>
      </c>
    </row>
    <row r="5" spans="1:7">
      <c r="C5" s="1" t="s">
        <v>287</v>
      </c>
      <c r="G5" s="1" t="s">
        <v>288</v>
      </c>
    </row>
    <row r="6" spans="1:7">
      <c r="C6" s="1" t="s">
        <v>289</v>
      </c>
      <c r="G6" s="1" t="s">
        <v>290</v>
      </c>
    </row>
    <row r="7" spans="1:7">
      <c r="C7" s="1" t="s">
        <v>291</v>
      </c>
      <c r="G7" s="1" t="s">
        <v>292</v>
      </c>
    </row>
    <row r="8" spans="1:7">
      <c r="C8" s="1" t="s">
        <v>293</v>
      </c>
      <c r="G8" s="1" t="s">
        <v>294</v>
      </c>
    </row>
    <row r="9" spans="1:7">
      <c r="C9" s="1" t="s">
        <v>295</v>
      </c>
      <c r="G9" s="1" t="s">
        <v>296</v>
      </c>
    </row>
    <row r="10" spans="1:7">
      <c r="C10" s="1" t="s">
        <v>297</v>
      </c>
      <c r="G10" s="1" t="s">
        <v>298</v>
      </c>
    </row>
    <row r="11" spans="1:7">
      <c r="C11" s="1" t="s">
        <v>299</v>
      </c>
      <c r="G11" s="1" t="s">
        <v>300</v>
      </c>
    </row>
    <row r="12" spans="1:7">
      <c r="C12" s="1" t="s">
        <v>301</v>
      </c>
      <c r="G12" s="1" t="s">
        <v>302</v>
      </c>
    </row>
    <row r="13" spans="1:7">
      <c r="C13" s="1" t="s">
        <v>202</v>
      </c>
      <c r="G13" s="1" t="s">
        <v>303</v>
      </c>
    </row>
    <row r="14" spans="1:7">
      <c r="C14" s="1" t="s">
        <v>304</v>
      </c>
      <c r="G14" s="1" t="s">
        <v>305</v>
      </c>
    </row>
    <row r="15" spans="1:7">
      <c r="C15" s="1" t="s">
        <v>306</v>
      </c>
      <c r="G15" s="1" t="s">
        <v>307</v>
      </c>
    </row>
    <row r="16" spans="1:7">
      <c r="C16" s="1" t="s">
        <v>308</v>
      </c>
      <c r="G16" s="1" t="s">
        <v>309</v>
      </c>
    </row>
    <row r="17" spans="3:7">
      <c r="C17" s="1" t="s">
        <v>310</v>
      </c>
      <c r="G17" s="1" t="s">
        <v>311</v>
      </c>
    </row>
    <row r="18" spans="3:7">
      <c r="C18" s="1" t="s">
        <v>312</v>
      </c>
      <c r="G18" s="1" t="s">
        <v>313</v>
      </c>
    </row>
    <row r="19" spans="3:7">
      <c r="C19" s="1" t="s">
        <v>314</v>
      </c>
      <c r="G19" s="1" t="s">
        <v>315</v>
      </c>
    </row>
    <row r="20" spans="3:7">
      <c r="C20" s="1" t="s">
        <v>316</v>
      </c>
      <c r="G20" s="1" t="s">
        <v>317</v>
      </c>
    </row>
    <row r="21" spans="3:7">
      <c r="C21" s="1" t="s">
        <v>318</v>
      </c>
      <c r="G21" s="1" t="s">
        <v>319</v>
      </c>
    </row>
    <row r="22" spans="3:7">
      <c r="G22" s="1" t="s">
        <v>320</v>
      </c>
    </row>
    <row r="23" spans="3:7">
      <c r="G23" s="1" t="s">
        <v>321</v>
      </c>
    </row>
    <row r="24" spans="3:7">
      <c r="G24" s="1" t="s">
        <v>322</v>
      </c>
    </row>
    <row r="25" spans="3:7">
      <c r="G25" s="1" t="s">
        <v>323</v>
      </c>
    </row>
    <row r="26" spans="3:7">
      <c r="G26" s="1" t="s">
        <v>324</v>
      </c>
    </row>
    <row r="27" spans="3:7">
      <c r="G27" s="1" t="s">
        <v>325</v>
      </c>
    </row>
    <row r="28" spans="3:7">
      <c r="G28" s="1" t="s">
        <v>326</v>
      </c>
    </row>
    <row r="29" spans="3:7">
      <c r="G29" s="1" t="s">
        <v>327</v>
      </c>
    </row>
    <row r="30" spans="3:7">
      <c r="G30" s="1" t="s">
        <v>328</v>
      </c>
    </row>
    <row r="31" spans="3:7">
      <c r="G31" s="1" t="s">
        <v>329</v>
      </c>
    </row>
    <row r="32" spans="3:7">
      <c r="G32" s="1" t="s">
        <v>330</v>
      </c>
    </row>
    <row r="33" spans="7:7">
      <c r="G33" s="1" t="s">
        <v>331</v>
      </c>
    </row>
    <row r="34" spans="7:7">
      <c r="G34" s="1" t="s">
        <v>332</v>
      </c>
    </row>
    <row r="35" spans="7:7">
      <c r="G35" s="1" t="s">
        <v>333</v>
      </c>
    </row>
    <row r="36" spans="7:7">
      <c r="G36" s="1" t="s">
        <v>334</v>
      </c>
    </row>
    <row r="37" spans="7:7">
      <c r="G37" s="1" t="s">
        <v>335</v>
      </c>
    </row>
    <row r="38" spans="7:7">
      <c r="G38" s="1" t="s">
        <v>336</v>
      </c>
    </row>
    <row r="39" spans="7:7">
      <c r="G39" s="1" t="s">
        <v>337</v>
      </c>
    </row>
    <row r="40" spans="7:7">
      <c r="G40" s="1" t="s">
        <v>338</v>
      </c>
    </row>
    <row r="41" spans="7:7">
      <c r="G41" s="1" t="s">
        <v>339</v>
      </c>
    </row>
    <row r="42" spans="7:7">
      <c r="G42" s="1" t="s">
        <v>340</v>
      </c>
    </row>
    <row r="43" spans="7:7">
      <c r="G43" s="1" t="s">
        <v>341</v>
      </c>
    </row>
    <row r="44" spans="7:7">
      <c r="G44" s="1" t="s">
        <v>342</v>
      </c>
    </row>
    <row r="45" spans="7:7">
      <c r="G45" s="1" t="s">
        <v>343</v>
      </c>
    </row>
    <row r="46" spans="7:7">
      <c r="G46" s="1" t="s">
        <v>344</v>
      </c>
    </row>
    <row r="47" spans="7:7">
      <c r="G47" s="1" t="s">
        <v>345</v>
      </c>
    </row>
    <row r="48" spans="7:7">
      <c r="G48" s="1" t="s">
        <v>346</v>
      </c>
    </row>
    <row r="49" spans="7:7">
      <c r="G49" s="1" t="s">
        <v>347</v>
      </c>
    </row>
    <row r="50" spans="7:7">
      <c r="G50" s="1" t="s">
        <v>348</v>
      </c>
    </row>
    <row r="51" spans="7:7">
      <c r="G51" s="1" t="s">
        <v>349</v>
      </c>
    </row>
    <row r="52" spans="7:7">
      <c r="G52" s="1" t="s">
        <v>350</v>
      </c>
    </row>
    <row r="53" spans="7:7">
      <c r="G53" s="1" t="s">
        <v>351</v>
      </c>
    </row>
    <row r="54" spans="7:7">
      <c r="G54" s="1" t="s">
        <v>352</v>
      </c>
    </row>
    <row r="55" spans="7:7">
      <c r="G55" s="1" t="s">
        <v>353</v>
      </c>
    </row>
    <row r="56" spans="7:7">
      <c r="G56" s="1" t="s">
        <v>69</v>
      </c>
    </row>
    <row r="57" spans="7:7">
      <c r="G57" s="1"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Daniel Cong</cp:lastModifiedBy>
  <cp:revision/>
  <dcterms:created xsi:type="dcterms:W3CDTF">2018-09-10T17:18:27Z</dcterms:created>
  <dcterms:modified xsi:type="dcterms:W3CDTF">2025-12-01T21:41:53Z</dcterms:modified>
  <cp:category/>
  <cp:contentStatus/>
</cp:coreProperties>
</file>