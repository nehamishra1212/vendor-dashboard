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00098\Downloads\"/>
    </mc:Choice>
  </mc:AlternateContent>
  <xr:revisionPtr revIDLastSave="0" documentId="13_ncr:1_{0B773EDB-4619-4B3C-86CD-84EF1A3C9BDC}"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108" yWindow="-108" windowWidth="23256" windowHeight="12456" firstSheet="8" activeTab="9"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0" l="1"/>
  <c r="G11" i="20"/>
  <c r="G5" i="20"/>
  <c r="H5" i="20"/>
  <c r="H16" i="20" s="1"/>
  <c r="F16" i="20"/>
  <c r="G15" i="20"/>
  <c r="G14" i="20"/>
  <c r="G9" i="20"/>
  <c r="G8" i="20"/>
  <c r="G6" i="20"/>
  <c r="G7" i="20"/>
  <c r="I16" i="20"/>
  <c r="E16" i="20"/>
  <c r="D16" i="20"/>
  <c r="C16" i="20"/>
  <c r="G16" i="20" l="1"/>
</calcChain>
</file>

<file path=xl/sharedStrings.xml><?xml version="1.0" encoding="utf-8"?>
<sst xmlns="http://schemas.openxmlformats.org/spreadsheetml/2006/main" count="738" uniqueCount="446">
  <si>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</si>
  <si>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</si>
  <si>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</si>
  <si>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</si>
  <si>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</si>
  <si>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</si>
  <si>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</si>
  <si>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</si>
  <si>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</si>
  <si>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</si>
  <si>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</si>
  <si>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</si>
  <si>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</si>
  <si>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</si>
  <si>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</si>
  <si>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</si>
  <si>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</si>
  <si>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</si>
  <si>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</si>
  <si>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</si>
  <si>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</si>
  <si>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</si>
  <si>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</si>
  <si>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</si>
  <si>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</si>
  <si>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</si>
  <si>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</si>
  <si>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</si>
  <si>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</si>
  <si>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</si>
  <si>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</si>
  <si>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</si>
  <si>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</si>
  <si>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</si>
  <si>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</si>
  <si>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</si>
  <si>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</si>
  <si>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</si>
  <si>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</si>
  <si>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</si>
  <si>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</si>
  <si>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</si>
  <si>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</si>
  <si>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</si>
  <si>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</si>
  <si>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</si>
  <si>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</si>
  <si>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</si>
  <si>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</si>
  <si>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</si>
  <si>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</si>
  <si>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</si>
  <si>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</si>
  <si>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</si>
  <si>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</si>
  <si>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</si>
  <si>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</si>
  <si>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</si>
  <si>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</si>
  <si>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</si>
  <si>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</si>
  <si>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</si>
  <si>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</si>
  <si>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</si>
  <si>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</si>
  <si>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</si>
  <si>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</si>
  <si>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</si>
  <si>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</si>
  <si>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</si>
  <si>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</si>
  <si>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</si>
  <si>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</si>
  <si>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</si>
  <si>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</si>
  <si>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</si>
  <si>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</si>
  <si>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</si>
  <si>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</si>
  <si>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</si>
  <si>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</si>
  <si>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</si>
  <si>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</si>
  <si>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</si>
  <si>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</si>
  <si>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</si>
  <si>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</si>
  <si>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</si>
  <si>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</si>
  <si>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</si>
  <si>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</si>
  <si>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</si>
  <si>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</si>
  <si>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</si>
  <si>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</si>
  <si>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</si>
  <si>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</si>
  <si>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</si>
  <si>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</si>
  <si>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</si>
  <si>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</si>
  <si>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</si>
  <si>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</si>
  <si>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</si>
  <si>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</si>
  <si>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</si>
  <si>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</si>
  <si>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</si>
  <si>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</si>
  <si>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</si>
  <si>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</si>
  <si>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</si>
  <si>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</si>
  <si>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</si>
  <si>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</si>
  <si>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</si>
  <si>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</si>
  <si>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</si>
  <si>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</si>
  <si>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</si>
  <si>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</si>
  <si>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</si>
  <si>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</si>
  <si>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</si>
  <si>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</si>
  <si>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</si>
  <si>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</si>
  <si>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</si>
  <si>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</si>
  <si>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</si>
  <si>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</si>
  <si>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</si>
  <si>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</si>
  <si>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</si>
  <si>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</si>
  <si>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</si>
  <si>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</si>
  <si>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</si>
  <si>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</si>
  <si>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</si>
  <si>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</si>
  <si>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</si>
  <si>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</si>
  <si>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</si>
  <si>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</si>
  <si>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</si>
  <si>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</si>
  <si>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</si>
  <si>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</si>
  <si>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</si>
  <si>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</si>
  <si>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</si>
  <si>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</si>
  <si>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</si>
  <si>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</si>
  <si>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</si>
  <si>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</si>
  <si>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</si>
  <si>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</si>
  <si>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</si>
  <si>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</si>
  <si>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</si>
  <si>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</si>
  <si>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</si>
  <si>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</si>
  <si>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</si>
  <si>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</si>
  <si>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</si>
  <si>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</si>
  <si>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</si>
  <si>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</si>
  <si>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</si>
  <si>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</si>
  <si>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</si>
  <si>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</si>
  <si>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</si>
  <si>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</si>
  <si>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</si>
  <si>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</si>
  <si>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</si>
  <si>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</si>
  <si>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</si>
  <si>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</si>
  <si>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</si>
  <si>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</si>
  <si>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</si>
  <si>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</si>
  <si>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</si>
  <si>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</si>
  <si>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</si>
  <si>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</si>
  <si>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</si>
  <si>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</si>
  <si>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</si>
  <si>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</si>
  <si>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</si>
  <si>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</si>
  <si>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</si>
  <si>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</si>
  <si>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</si>
  <si>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</si>
  <si>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</si>
  <si>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</si>
  <si>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</si>
  <si>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</si>
  <si>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</si>
  <si>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</si>
  <si>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</si>
  <si>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</si>
  <si>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</si>
  <si>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</si>
  <si>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</si>
  <si>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</si>
  <si>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</si>
  <si>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</si>
  <si>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</si>
  <si>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</si>
  <si>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</si>
  <si>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</si>
  <si>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</si>
  <si>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</si>
  <si>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</si>
  <si>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</si>
  <si>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</si>
  <si>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</si>
  <si>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</si>
  <si>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</si>
  <si>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</si>
  <si>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</si>
  <si>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</si>
  <si>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</si>
  <si>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</si>
  <si>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</si>
  <si>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</si>
  <si>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</si>
  <si>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</si>
  <si>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</si>
  <si>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</si>
  <si>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</si>
  <si>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</si>
  <si>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</si>
  <si>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</si>
  <si>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</si>
  <si>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</si>
  <si>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</si>
  <si>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</si>
  <si>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</si>
  <si>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</si>
  <si>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</si>
  <si>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</si>
  <si>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</si>
  <si>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</si>
  <si>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</si>
  <si>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</si>
  <si>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</si>
  <si>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</si>
  <si>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</si>
  <si>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</si>
  <si>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</si>
  <si>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</si>
  <si>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</si>
  <si>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</si>
  <si>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</si>
  <si>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</si>
  <si>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</si>
  <si>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</si>
  <si>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</si>
  <si>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</si>
  <si>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</si>
  <si>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</si>
  <si>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</si>
  <si>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</si>
  <si>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</si>
  <si>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</si>
  <si>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</si>
  <si>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</si>
  <si>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</si>
  <si>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</si>
  <si>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</si>
  <si>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</si>
  <si>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</si>
  <si>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</si>
  <si>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</si>
  <si>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</si>
  <si>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</si>
  <si>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</si>
  <si>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</si>
  <si>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</si>
  <si>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</si>
  <si>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</si>
  <si>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</si>
  <si>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</si>
  <si>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</si>
  <si>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</si>
  <si>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</si>
  <si>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</si>
  <si>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</si>
  <si>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</si>
  <si>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</si>
  <si>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</si>
  <si>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</si>
  <si>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</si>
  <si>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</si>
  <si>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</si>
  <si>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</si>
  <si>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</si>
  <si>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</si>
  <si>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</si>
  <si>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</si>
  <si>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</si>
  <si>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</si>
  <si>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</si>
  <si>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</si>
  <si>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</si>
  <si>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</si>
  <si>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</si>
  <si>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 xml:space="preserve">Kyle Boutin
Global Sourcing &amp; Supply Management
+1-415-352-9000
kboutin@apple.com   </t>
  </si>
  <si>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</si>
  <si>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Please add geographic breakdown of 2024/2025 Engineering resources by geography in the comments section
Suggested geogrpahies already incldued, feel free to edit/add/subtract geogrpahies as necessary</t>
  </si>
  <si>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</si>
  <si>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</si>
  <si>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ASM Technologies Limited</t>
  </si>
  <si>
    <t>RV Forms &amp; Gears LLP</t>
  </si>
  <si>
    <t>Bangalore , India</t>
  </si>
  <si>
    <t>Dabaspet 1 , Bangalore , India</t>
  </si>
  <si>
    <t>SPR , Chennai , India</t>
  </si>
  <si>
    <t>Chennai , India</t>
  </si>
  <si>
    <t>Dabaspet 2 , Bangalore , India</t>
  </si>
  <si>
    <t>80/2 Lusanne Court, Richmond road , Bangalore 560025 , India</t>
  </si>
  <si>
    <t>Plot no. Sompura Industrial area, 1 st stage , Dabaspet , Nelamangala taluk , bangalore rural district , 562132 ,India</t>
  </si>
  <si>
    <t>Door no.34 , Sandhavelur A villager,Survey no. 177/5 , Sriperumbudur taluk , Kanchipuram 602106, Tamilnadu , India</t>
  </si>
  <si>
    <t>door no. MF11 , Industrial estate , Guindy , Chennai , 600032,India</t>
  </si>
  <si>
    <t>Plot no. 100&amp;101, Sompura Industrial area , I st stage , Dabaspet , Nelamanagala Taluk ,Bangalore Rural district 562111 , India</t>
  </si>
  <si>
    <t>14/2, Wellington Street, Richmond Town Bangalore, KA 560 025, INDIA</t>
  </si>
  <si>
    <t>V54 , V57 , V64, V6y,V67,B868</t>
  </si>
  <si>
    <t xml:space="preserve">Head Office </t>
  </si>
  <si>
    <t>Dispense , Pick and place, Assembly, FAT</t>
  </si>
  <si>
    <t>ME Fixtures (FATP &amp; MLB)</t>
  </si>
  <si>
    <t>Design &amp; Engineering , R&amp;D</t>
  </si>
  <si>
    <t>N/A</t>
  </si>
  <si>
    <t>Yes . Bangalore , Chennai, Hyderabad-India</t>
  </si>
  <si>
    <t>Bangalore , Chennai</t>
  </si>
  <si>
    <t>Expansion planned at Vietnam.</t>
  </si>
  <si>
    <t>Machining , Metal forming , Sheet metal and Overmolding . They are located in Bangalore and Chennai.In the last three months we have produced components for some stations. Basically we are machining inside and as derisking we get very low % from vendors.</t>
  </si>
  <si>
    <t>Collaboration with logistics agencies and also with Customs for smoother and faster clearances were experienced.</t>
  </si>
  <si>
    <t>Totally in our four locations we have 100 VMC  machines , wire cut 5 and supporting CMM , VMM, conventioanl machining processes.</t>
  </si>
  <si>
    <t>We have SQC to do the part inspection at supplier works , then we carryout the IQC at location to ensure quality with 200% control.Apart from this we have in process for inhouse manufacturing to ensure process capabilities.</t>
  </si>
  <si>
    <t>ERP implementation is in progress. Implemented in Engineering and Purchasing . Manufacturing area is started and expected to be rolled out by Mar 2026.</t>
  </si>
  <si>
    <t>1. Business meet interaction with suppliers on continuity management .
 2. Focus on Quality , safety and BCM ( Business continuity management )
 3.Support to vendors on quality and processing support.
 4.Keeping backup of suppliers to the extent of 30-40%</t>
  </si>
  <si>
    <t>Medium</t>
  </si>
  <si>
    <t>IT/Admin</t>
  </si>
  <si>
    <t>HR</t>
  </si>
  <si>
    <t>Finance</t>
  </si>
  <si>
    <t>Concept &amp; Feasibility:</t>
  </si>
  <si>
    <t>Engineering &amp; Execution:</t>
  </si>
  <si>
    <t xml:space="preserve">Assembly: </t>
  </si>
  <si>
    <t>High</t>
  </si>
  <si>
    <t>Glue, Thermal, Primer,
Knowledge of adhesives, sealants, epoxies, and other dispensing materials
Ability to control shot size, bead width, and dispense volume
Expertise in dispensing valves, pumps, nozzles, and controllers
Skill in setting and optimizing dispensing parameters (pressure, temperature, speed)
Ability to select correct dispense tips/nozzles based on application
Experience integrating dispensing systems with automation/PLC/robots
Capability to perform calibration and preventive maintenance
Troubleshooting skills for flow issues, clogging, and inconsistency
Quality inspection of beads, dots, and patterns for accuracy
Understanding of safety procedures and chemical handling</t>
  </si>
  <si>
    <t>Welding, Marking, Cutting, Fiber, UV, Green,Spot, Engraving, Additive Manf,
Strong knowledge of laser principles and optics
Expertise in Fiber, CO₂, UV, IR, and Green laser technologies
Laser process development (cutting, welding, marking, drilling)
Setting and optimizing laser parameters (power, speed, frequency, pulse width)
Laser system integration with PLC, robot, motion controller, and vision system
Troubleshooting laser issues: beam alignment, power drop, focus deviation
Optics handling and alignment (lenses, mirrors, beam path tuning)
Laser safety knowledge (Class 3B/4, interlocks, ISO/IEC standards)
Preventive &amp; predictive maintenance of laser sources and optics
Quality inspection for laser marking, cutting, and welding
Experience with laser control software and parameter setup
Understanding of fixture and tooling design for laser application</t>
  </si>
  <si>
    <t>UV curing
Understanding of plasma cleaning, surface activation, and thermal curing
Ability to set and optimize plasma parameters and oven temperature profiles
Knowledge of process gases, heat transfer, and equipment selection
Skill in integrating plasma/oven systems with automation
Maintenance and troubleshooting of plasma units, heaters, and sensors</t>
  </si>
  <si>
    <t>3 to 6 Axis P&amp;P
Expertise in component handling, alignment, and placement accuracy
Ability to optimize pick-up force, nozzle selection, and placement speed
Knowledge of feeders, vision alignment, and tool calibration
Skill in adhesive/attach material handling and dispensing coordination
Integration of P&amp;P/attach processes with automation and inspection systems
Troubleshooting misalignment, pickup failures, and feeder issues</t>
  </si>
  <si>
    <t>SOP, DFM/DFA, Motion System, Debugging, Calibration, Validation
Understanding of assembly processes and sequencing
Skilled in hand/power tools, jigs, and fixtures
Expertise in automated assembly machines (robots, P&amp;P, screw driving)
Knowledge of adhesive/dispensing systems and material handling
Proficiency in inspection &amp; measurement tools
Troubleshooting and ensuring process quality and consistency</t>
  </si>
  <si>
    <t>Cross section test, colouring, Grade verifyer
Understanding of laser safety standards and regulations (IEC, FDA, EN, etc.)
Knowledge of laser types, wavelengths, and output characteristics
Ability to set up and operate laser measurement and test equipment
Skill in performing power, emission, and beam quality measurements
Competence in evaluating eye/skin safety limits and exposure calculations
Experience in documenting test results and preparing compliance reports
Troubleshooting laser systems for deviations from standards
Awareness of lab safety procedures and PPE requirements</t>
  </si>
  <si>
    <t>Luminance, Chromaticity, Pixle Defect, ALS Test, Spectrometer test, Polarizer &amp; backlight test
Knowledge of display technologies and luminance measurement principles
Skill in operating lux meters, colorimeters, and photometers
Ability to perform brightness, uniformity, and contrast testing
Expertise in sensor calibration and alignment for accurate readings
Competence in analyzing data and generating test reports
Awareness of safety and handling procedures for displays</t>
  </si>
  <si>
    <t>Force, Actuation,Durability, Click Response
Testing button functionality, response, and consistency
Measuring actuation force, travel, and tactile feedback
Using test jigs and measurement tools effectively
Recording results and identifying defects</t>
  </si>
  <si>
    <t>Actuation Force, Compression test, Durability &amp; cyclic fore life test
Measuring force, torque, and mechanical strength accurately
Using load cells, gauges, and force measurement tools
Evaluating consistency, limits, and performance of components
Recording data and analyzing results for compliance</t>
  </si>
  <si>
    <t>Optical Alignment, Distortion,Image Capture consistency, Module Electrical Functionality, Depth sensing
Testing camera functionality, image quality, and focus accuracy
Evaluating resolution, color, exposure, and low-light performance
Using test rigs, calibration charts, and software tools
Recording results and troubleshooting defect</t>
  </si>
  <si>
    <t>Spectrometer setup, Refracrive Index, Polarizer, Optical Path verification (Focus, clarity etc)
Testing optical components for clarity, alignment, and focus
Measuring light intensity, transmission, and reflection
Using spectrometers, optical benches, and calibration tools
Recording data and analyzing performance for compliance</t>
  </si>
  <si>
    <t>Frequency response, Sensitivity, Noise, echo &amp; distortion detection, Resonance Frequency Measurement
Measuring sound levels, frequency response, and noise performance
Using microphones, sound analyzers, and acoustic chambers
Evaluating speaker, microphone, and system audio quality
Recording results and analyzing for compliance with standards
Troubleshooting acoustic issues in components or assemblies</t>
  </si>
  <si>
    <t>Vision Selection, Vision Guided positioning, Tolerance verification, integraton
Designing and implementing vision inspection systems for quality checks
Knowledge of cameras, lenses, lighting, and image acquisition
Expertise in image processing, pattern recognition, and defect detection
Integration of vision systems with automation, robots, and PLCs
Calibration, troubleshooting, and performance optimization of vision systems
Data analysis and generating reports for quality assurance</t>
  </si>
  <si>
    <t>ECM / YES</t>
  </si>
  <si>
    <t>Laser, Pick and place, Dispense,SAE,ME</t>
  </si>
  <si>
    <t>AHDP, BHPD, TIM, TAM, DAM, MUSASHI, NORDSON</t>
  </si>
  <si>
    <t>HAL UV, HAL IR, 2D LASER, FBW, RFW, LFW, RBW, ELM,( Keyence, Triump, IPG)</t>
  </si>
  <si>
    <t>UV DAM Curing</t>
  </si>
  <si>
    <t>CFAU, CFP, TOP &amp; BOT GRT, UAT Bending, VMLP, VVMP, VMMP, VVLP</t>
  </si>
  <si>
    <t>NIL</t>
  </si>
  <si>
    <t>RFP to DFM -3wk, KO to ETA - 6wk, ETD to SAT- 2wk</t>
  </si>
  <si>
    <t>RFP to DFM -1wk, KO to ETA - 2wk</t>
  </si>
  <si>
    <t>90% Own OSS &amp; 100% AE Machines In-House, Multi-domain design ( Dispensing, Laser, P&amp;P, Plasma, Assembly, Test &amp; Inspection) , Process capabilities ( CVD, PVD, Bonding, Packaging, Wire &amp; Wedge Bonding), Automation &amp; Robotics integration, Advanced Machine Vision &amp; inspection systems, AI-enabled equipment with predictive maintenance, yield &amp; output optimization, Industrial AI for predictive maintenance, yield enhancement, output optimization, and seamless overseas support.</t>
  </si>
  <si>
    <t>2 Years</t>
  </si>
  <si>
    <t>6 Years</t>
  </si>
  <si>
    <t xml:space="preserve">Year - 2 years, Machines - Laser, Pick and place, Dispenser, SAE, ME , QTY - NB- 150x, RFT - 400x </t>
  </si>
  <si>
    <t>NB - 10000x</t>
  </si>
  <si>
    <t>Vikash</t>
  </si>
  <si>
    <t>Param</t>
  </si>
  <si>
    <t>Aishwarya</t>
  </si>
  <si>
    <t>Dharam/ Adithya /Heramb</t>
  </si>
  <si>
    <t>Joseph &amp; Dharam</t>
  </si>
  <si>
    <t>Dharam</t>
  </si>
  <si>
    <t>Rohan</t>
  </si>
  <si>
    <t>Shravan</t>
  </si>
  <si>
    <t>Jospeh/Arnold</t>
  </si>
  <si>
    <t>Arnold</t>
  </si>
  <si>
    <t>vikashk_22@apple.com</t>
  </si>
  <si>
    <t>param_kataria@apple.com</t>
  </si>
  <si>
    <t>dharam_prasad@apple.com</t>
  </si>
  <si>
    <t>1. Production - 250
2. Engineering - 150
3. OSS - 350
Design to Dispatch is cross function Activity</t>
  </si>
  <si>
    <t>Bangalore</t>
  </si>
  <si>
    <t>https://asmltd.com/</t>
  </si>
  <si>
    <t>526433 ASMTEC</t>
  </si>
  <si>
    <t>Equity</t>
  </si>
  <si>
    <t>Rabindra Srikantan</t>
  </si>
  <si>
    <t>Managing Director</t>
  </si>
  <si>
    <t>rabindra@asmltd.com</t>
  </si>
  <si>
    <t>91 9845005124</t>
  </si>
  <si>
    <t>Akhil Rabindra</t>
  </si>
  <si>
    <t>Executive Director</t>
  </si>
  <si>
    <t>akhil@asmltd.com</t>
  </si>
  <si>
    <t>91 9845186232</t>
  </si>
  <si>
    <t>Rajesh M S</t>
  </si>
  <si>
    <t>Finance Head</t>
  </si>
  <si>
    <t>Rajesh M S &lt;rajeshms@asmltd.com&gt;</t>
  </si>
  <si>
    <t>91 9845681266</t>
  </si>
  <si>
    <t>Seshadri Srinivasmurthy</t>
  </si>
  <si>
    <t>VP - Engineering</t>
  </si>
  <si>
    <t>Seshadri SrinivasMurthy &lt;seshadri.s@asmltd.com&gt;</t>
  </si>
  <si>
    <t>91 96868 95914</t>
  </si>
  <si>
    <t>Gnanasekaran R</t>
  </si>
  <si>
    <t>Senior Project Manager - Procurement</t>
  </si>
  <si>
    <t>Gnanasekar.r@asmltd.com</t>
  </si>
  <si>
    <t>91 8971500104</t>
  </si>
  <si>
    <t>Abubakkar Siddeqe</t>
  </si>
  <si>
    <t>Project Manager</t>
  </si>
  <si>
    <t>abubakkar.siddeqe@asmltd.com</t>
  </si>
  <si>
    <t>91 6366891419</t>
  </si>
  <si>
    <t>Rajendra Basavaraju</t>
  </si>
  <si>
    <t>Vice President - Head of manufacturing</t>
  </si>
  <si>
    <t>Rajendra Basavaraju &lt;rajendra@asmltd.com&gt;</t>
  </si>
  <si>
    <t>91 9636005577</t>
  </si>
  <si>
    <t>New Machine Build-up, Assembly,Laser, Pick and place, Dispense, Printing,Testing, Packing,SAE,ME
Integrating New Machine Build-up across mechanical, electrical, PLC, and software domains
Experience integrating Assembly, Laser, Pick &amp; Place, Dispense, Printing, Testing, and Packing equipment
Ability to connect and synchronize robots, vision, motion, sensors, and controllers
Strong understanding of industrial communication (Ethernet/IP, Modbus, OPC, TCP/IP)
Expertise in MES, SFCS, OEE, SAE, and ME system connectivity
Skill in creating and validating end-to-end automation workflows
Troubleshooting, debugging, and optimizing multi-machine integrated lines
Competence in safety systems, interlocks, and compliance standards
Experience in commissioning, FAT/SAT, documentation, and customer handover</t>
  </si>
  <si>
    <t>Visual Studio-C#,Labview, WPF, MVVM, PLC LadderLogic,MES,PDCA,SFCS,OEE,Hive,Vision,Robot,Motion
Expertise in PLC programming (Ladder Logic, Function Blocks, Tags, I/O mapping)
Strong skills in Visual Studio – C#, WPF, MVVM for automation UI &amp; application development
Hands-on experience with LabVIEW for test, measurement, and control systems
Ability to integrate Vision, Robot, and Motion systems with PLC/Software
Knowledge of MES, SFCS, OEE, PDCA, and production data workflows
Experience in industrial communication protocols (Ethernet/IP, Modbus, OPC, etc.)
Ability to interface with Hive / databases / servers for data logging and analytics
Skilled in developing and debugging automation workflows across software + PLC
Competence in HMI/SCADA development and system interoperability
Strong troubleshooting skills for software, hardware, and network-level integration</t>
  </si>
  <si>
    <t>New Machine Build-up, Assembly,Laser, Pick and place, Dispense, Printing,Testing, Packing,SAE,ME
Expertise in designing automated systems tailored to process needs
Strong knowledge of mechanical, electrical, and control integration
Skill in PLC programming, robotics, sensors, and motion systems
Ability to develop fixtures, tooling, and custom mechanisms
Experience in process optimization, cycle-time improvement, and reliability
Troubleshooting, commissioning, and maintaining automated equipment</t>
  </si>
  <si>
    <t>Wave length, Brightness &amp; color tem optimization, selection of light, shadow control, inegration with camera triggers &amp; automation system
Knowledge of lighting types, intensity, color temperature, and uniformity
Ability to design and set up proper illumination for inspection or assembly
Skill in selecting and positioning LEDs, diffusers, and optical elements
Understanding of lighting effects on machine vision and sensor accuracy
Troubleshooting lighting issues to ensure consistent performance</t>
  </si>
  <si>
    <t>CMM, VMM, Laser scanner, Precision Dimensional Measurement SPC
Strong understanding of measurement principles and accuracy
Skill in using gauges, calipers, micrometers, CMM, and optical measurement tools
Ability to interpret GD&amp;T, tolerances, and engineering drawings
Competence in calibration, verification, and traceability of measurements
Data recording, analysis, and reporting for quality assurance</t>
  </si>
  <si>
    <t>Dataset creation, Neural Network Training, real time inference integration with equipment, Version control
Understanding of machine learning algorithms and model development
Skill in data collection, cleaning, labeling, and feature engineering
Experience with training, validating, and optimizing AI/ML models
Knowledge of Python, TensorFlow/PyTorch, and data analytics tools
Ability to deploy, monitor, and improve models in production
Troubleshooting model performance and ensuring data quality</t>
  </si>
  <si>
    <t>Strong understanding of GD&amp;T, tolerances, and manufacturing standards
Ability to translate product requirements into functional fixture concepts
Expertise in 3D CAD modeling (SolidWorks, Creo, NX, etc.)
Knowledge of material selection (aluminum, steel, plastics, composites)
Skill in designing ergonomic, safe, and user-friendly fixtures
Ability to design for manufacturability (DFM) and cost optimization
Knowledge of machining, welding, sheet-metal, and fabrication processes
Understanding of assembly, alignment, clamping, and locating principles
Experience with jigs, inspection fixtures, assembly fixtures, and test fixtures
Ability to create detailed 2D drawings and BOMs for manufacturing
Troubleshooting and improving fixture performance in real applications
Capability to validate fixtures through trials, fits, and load testing
Quality control understanding (CMM, gauges, measurement tools)
Knowledge of maintenance, repair, and fixture lifecycle management</t>
  </si>
  <si>
    <t>Dedicated Manpower for Apex</t>
  </si>
  <si>
    <t>India :380
Vietnam: 50</t>
  </si>
  <si>
    <t>2025 : Second Factory Bangalore,
2026 : VN Expansion
India :384
Vietnam: 50</t>
  </si>
  <si>
    <t>India :27
Vietnam: 2</t>
  </si>
  <si>
    <t>India :26
Vietnam: 3</t>
  </si>
  <si>
    <t>India :5
Vietnam: 1</t>
  </si>
  <si>
    <t>US:0
China:0
India:325
Vietnam:0
Thailand:0
Brazil:0</t>
  </si>
  <si>
    <t>India :4
Vietnam: 1</t>
  </si>
  <si>
    <t>90% Own OSS &amp; 100% AE Machines In-House, Multi-domain design ( Dispensing, Laser, P&amp;P, Plasma, Assembly, Test &amp; Inspection) , Process capabilities ( CVD, PVD, Bonding, Packaging, Wire &amp; Wedge Bonding), Automation &amp; Robotics integration, Advanced Machine Vision &amp; inspection systems, AI-enabled equipment with predictive maintenance, yield &amp; output optimization, Industrial AI for predictive maintenance, yield enhancement, output optimization, and seamless overseas support. (applicable for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</si>
</sst>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1">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b/>
      <sz val="23"/>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7">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30" fillId="0" borderId="0" xfId="0" applyFont="1"/>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1</xdr:col>
      <xdr:colOff>0</xdr:colOff>
      <xdr:row>8</xdr:row>
      <xdr:rowOff>0</xdr:rowOff>
    </xdr:from>
    <xdr:ext cx="11039475" cy="12696825"/>
    <xdr:pic>
      <xdr:nvPicPr>
        <xdr:cNvPr id="2" name="image4.png" title="Image">
          <a:extLst>
            <a:ext uri="{FF2B5EF4-FFF2-40B4-BE49-F238E27FC236}">
              <a16:creationId xmlns:a16="http://schemas.microsoft.com/office/drawing/2014/main" id="{0DB4555D-E82F-4C16-BDA8-409B9540AAA5}"/>
            </a:ext>
          </a:extLst>
        </xdr:cNvPr>
        <xdr:cNvPicPr preferRelativeResize="0"/>
      </xdr:nvPicPr>
      <xdr:blipFill>
        <a:blip xmlns:r="http://schemas.openxmlformats.org/officeDocument/2006/relationships" r:embed="rId1" cstate="print"/>
        <a:stretch>
          <a:fillRect/>
        </a:stretch>
      </xdr:blipFill>
      <xdr:spPr>
        <a:xfrm>
          <a:off x="403860" y="3169920"/>
          <a:ext cx="11039475" cy="12696825"/>
        </a:xfrm>
        <a:prstGeom prst="rect">
          <a:avLst/>
        </a:prstGeom>
        <a:noFill/>
      </xdr:spPr>
    </xdr:pic>
    <xdr:clientData fLocksWithSheet="0"/>
  </xdr:oneCellAnchor>
  <xdr:oneCellAnchor>
    <xdr:from>
      <xdr:col>12</xdr:col>
      <xdr:colOff>396240</xdr:colOff>
      <xdr:row>8</xdr:row>
      <xdr:rowOff>30480</xdr:rowOff>
    </xdr:from>
    <xdr:ext cx="8896350" cy="9972675"/>
    <xdr:pic>
      <xdr:nvPicPr>
        <xdr:cNvPr id="3" name="image3.png" title="Image">
          <a:extLst>
            <a:ext uri="{FF2B5EF4-FFF2-40B4-BE49-F238E27FC236}">
              <a16:creationId xmlns:a16="http://schemas.microsoft.com/office/drawing/2014/main" id="{1148F731-1673-4E37-82D9-28E256190BC2}"/>
            </a:ext>
          </a:extLst>
        </xdr:cNvPr>
        <xdr:cNvPicPr preferRelativeResize="0"/>
      </xdr:nvPicPr>
      <xdr:blipFill>
        <a:blip xmlns:r="http://schemas.openxmlformats.org/officeDocument/2006/relationships" r:embed="rId2" cstate="print"/>
        <a:stretch>
          <a:fillRect/>
        </a:stretch>
      </xdr:blipFill>
      <xdr:spPr>
        <a:xfrm>
          <a:off x="11643360" y="3322320"/>
          <a:ext cx="8896350" cy="9972675"/>
        </a:xfrm>
        <a:prstGeom prst="rect">
          <a:avLst/>
        </a:prstGeom>
        <a:noFill/>
      </xdr:spPr>
    </xdr:pic>
    <xdr:clientData fLocksWithSheet="0"/>
  </xdr:oneCellAnchor>
  <xdr:oneCellAnchor>
    <xdr:from>
      <xdr:col>23</xdr:col>
      <xdr:colOff>396240</xdr:colOff>
      <xdr:row>8</xdr:row>
      <xdr:rowOff>0</xdr:rowOff>
    </xdr:from>
    <xdr:ext cx="8362950" cy="9858375"/>
    <xdr:pic>
      <xdr:nvPicPr>
        <xdr:cNvPr id="4" name="image2.png" title="Image">
          <a:extLst>
            <a:ext uri="{FF2B5EF4-FFF2-40B4-BE49-F238E27FC236}">
              <a16:creationId xmlns:a16="http://schemas.microsoft.com/office/drawing/2014/main" id="{05AF74AE-E355-4F00-8A75-DDC546BAAB8C}"/>
            </a:ext>
          </a:extLst>
        </xdr:cNvPr>
        <xdr:cNvPicPr preferRelativeResize="0"/>
      </xdr:nvPicPr>
      <xdr:blipFill>
        <a:blip xmlns:r="http://schemas.openxmlformats.org/officeDocument/2006/relationships" r:embed="rId3" cstate="print"/>
        <a:stretch>
          <a:fillRect/>
        </a:stretch>
      </xdr:blipFill>
      <xdr:spPr>
        <a:xfrm>
          <a:off x="20695920" y="3291840"/>
          <a:ext cx="8362950" cy="9858375"/>
        </a:xfrm>
        <a:prstGeom prst="rect">
          <a:avLst/>
        </a:prstGeom>
        <a:noFill/>
      </xdr:spPr>
    </xdr:pic>
    <xdr:clientData fLocksWithSheet="0"/>
  </xdr:oneCellAnchor>
  <xdr:oneCellAnchor>
    <xdr:from>
      <xdr:col>12</xdr:col>
      <xdr:colOff>426720</xdr:colOff>
      <xdr:row>55</xdr:row>
      <xdr:rowOff>182880</xdr:rowOff>
    </xdr:from>
    <xdr:ext cx="8810625" cy="10029825"/>
    <xdr:pic>
      <xdr:nvPicPr>
        <xdr:cNvPr id="5" name="image1.png" title="Image">
          <a:extLst>
            <a:ext uri="{FF2B5EF4-FFF2-40B4-BE49-F238E27FC236}">
              <a16:creationId xmlns:a16="http://schemas.microsoft.com/office/drawing/2014/main" id="{7697613E-FF0A-492A-9919-7038AA54E693}"/>
            </a:ext>
          </a:extLst>
        </xdr:cNvPr>
        <xdr:cNvPicPr preferRelativeResize="0"/>
      </xdr:nvPicPr>
      <xdr:blipFill>
        <a:blip xmlns:r="http://schemas.openxmlformats.org/officeDocument/2006/relationships" r:embed="rId4" cstate="print"/>
        <a:stretch>
          <a:fillRect/>
        </a:stretch>
      </xdr:blipFill>
      <xdr:spPr>
        <a:xfrm>
          <a:off x="11673840" y="13502640"/>
          <a:ext cx="8810625" cy="10029825"/>
        </a:xfrm>
        <a:prstGeom prst="rect">
          <a:avLst/>
        </a:prstGeom>
        <a:noFill/>
      </xdr:spPr>
    </xdr:pic>
    <xdr:clientData fLocksWithSheet="0"/>
  </xdr:oneCellAnchor>
  <xdr:oneCellAnchor>
    <xdr:from>
      <xdr:col>23</xdr:col>
      <xdr:colOff>487680</xdr:colOff>
      <xdr:row>55</xdr:row>
      <xdr:rowOff>91440</xdr:rowOff>
    </xdr:from>
    <xdr:ext cx="8362950" cy="9944100"/>
    <xdr:pic>
      <xdr:nvPicPr>
        <xdr:cNvPr id="6" name="image6.png" title="Image">
          <a:extLst>
            <a:ext uri="{FF2B5EF4-FFF2-40B4-BE49-F238E27FC236}">
              <a16:creationId xmlns:a16="http://schemas.microsoft.com/office/drawing/2014/main" id="{2FBE9B1A-2C58-495B-A728-0D9D50B70B93}"/>
            </a:ext>
          </a:extLst>
        </xdr:cNvPr>
        <xdr:cNvPicPr preferRelativeResize="0"/>
      </xdr:nvPicPr>
      <xdr:blipFill>
        <a:blip xmlns:r="http://schemas.openxmlformats.org/officeDocument/2006/relationships" r:embed="rId5" cstate="print"/>
        <a:stretch>
          <a:fillRect/>
        </a:stretch>
      </xdr:blipFill>
      <xdr:spPr>
        <a:xfrm>
          <a:off x="20787360" y="13411200"/>
          <a:ext cx="8362950" cy="9944100"/>
        </a:xfrm>
        <a:prstGeom prst="rect">
          <a:avLst/>
        </a:prstGeom>
        <a:noFill/>
      </xdr:spPr>
    </xdr:pic>
    <xdr:clientData fLocksWithSheet="0"/>
  </xdr:oneCellAnchor>
  <xdr:oneCellAnchor>
    <xdr:from>
      <xdr:col>12</xdr:col>
      <xdr:colOff>396240</xdr:colOff>
      <xdr:row>103</xdr:row>
      <xdr:rowOff>182880</xdr:rowOff>
    </xdr:from>
    <xdr:ext cx="8810625" cy="9401175"/>
    <xdr:pic>
      <xdr:nvPicPr>
        <xdr:cNvPr id="7" name="image5.png" title="Image">
          <a:extLst>
            <a:ext uri="{FF2B5EF4-FFF2-40B4-BE49-F238E27FC236}">
              <a16:creationId xmlns:a16="http://schemas.microsoft.com/office/drawing/2014/main" id="{A3C542C6-1EDD-4662-9765-474CB494E29F}"/>
            </a:ext>
          </a:extLst>
        </xdr:cNvPr>
        <xdr:cNvPicPr preferRelativeResize="0"/>
      </xdr:nvPicPr>
      <xdr:blipFill>
        <a:blip xmlns:r="http://schemas.openxmlformats.org/officeDocument/2006/relationships" r:embed="rId6" cstate="print"/>
        <a:stretch>
          <a:fillRect/>
        </a:stretch>
      </xdr:blipFill>
      <xdr:spPr>
        <a:xfrm>
          <a:off x="11643360" y="23743920"/>
          <a:ext cx="8810625" cy="94011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60960</xdr:colOff>
      <xdr:row>7</xdr:row>
      <xdr:rowOff>22860</xdr:rowOff>
    </xdr:from>
    <xdr:ext cx="15878175" cy="8877300"/>
    <xdr:grpSp>
      <xdr:nvGrpSpPr>
        <xdr:cNvPr id="2" name="Shape 2" title="Drawing">
          <a:extLst>
            <a:ext uri="{FF2B5EF4-FFF2-40B4-BE49-F238E27FC236}">
              <a16:creationId xmlns:a16="http://schemas.microsoft.com/office/drawing/2014/main" id="{975B8B0A-F5B2-4120-9811-9FB0BDA83AD0}"/>
            </a:ext>
          </a:extLst>
        </xdr:cNvPr>
        <xdr:cNvGrpSpPr/>
      </xdr:nvGrpSpPr>
      <xdr:grpSpPr>
        <a:xfrm>
          <a:off x="480060" y="2270760"/>
          <a:ext cx="15878175" cy="8877300"/>
          <a:chOff x="0" y="121950"/>
          <a:chExt cx="7543300" cy="4200174"/>
        </a:xfrm>
      </xdr:grpSpPr>
      <xdr:pic>
        <xdr:nvPicPr>
          <xdr:cNvPr id="3" name="Shape 3">
            <a:extLst>
              <a:ext uri="{FF2B5EF4-FFF2-40B4-BE49-F238E27FC236}">
                <a16:creationId xmlns:a16="http://schemas.microsoft.com/office/drawing/2014/main" id="{76F00AD1-A5E1-EE2D-6524-F3D747FA840A}"/>
              </a:ext>
            </a:extLst>
          </xdr:cNvPr>
          <xdr:cNvPicPr preferRelativeResize="0"/>
        </xdr:nvPicPr>
        <xdr:blipFill>
          <a:blip xmlns:r="http://schemas.openxmlformats.org/officeDocument/2006/relationships" r:embed="rId1">
            <a:alphaModFix/>
          </a:blip>
          <a:stretch>
            <a:fillRect/>
          </a:stretch>
        </xdr:blipFill>
        <xdr:spPr>
          <a:xfrm>
            <a:off x="0" y="121950"/>
            <a:ext cx="7543300" cy="4200174"/>
          </a:xfrm>
          <a:prstGeom prst="rect">
            <a:avLst/>
          </a:prstGeom>
          <a:noFill/>
          <a:ln>
            <a:noFill/>
          </a:ln>
        </xdr:spPr>
      </xdr:pic>
    </xdr:grpSp>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zoomScale="55" zoomScaleNormal="55" workbookViewId="0">
      <selection activeCell="B8" sqref="B8"/>
    </sheetView>
  </sheetViews>
  <sheetFormatPr defaultColWidth="10.796875" defaultRowHeight="20.399999999999999"/>
  <cols>
    <col min="1" max="1" width="10.796875" style="48"/>
    <col min="2" max="2" width="200.796875" style="10" customWidth="1"/>
    <col min="3" max="16384" width="10.796875" style="48"/>
  </cols>
  <sheetData>
    <row r="2" spans="2:2" ht="21">
      <c r="B2" s="8" t="s">
        <v>212</v>
      </c>
    </row>
    <row r="3" spans="2:2" ht="21">
      <c r="B3" s="41" t="s">
        <v>174</v>
      </c>
    </row>
    <row r="4" spans="2:2" ht="81.599999999999994">
      <c r="B4" s="9" t="s">
        <v>113</v>
      </c>
    </row>
    <row r="5" spans="2:2" ht="21">
      <c r="B5" s="41" t="s">
        <v>175</v>
      </c>
    </row>
    <row r="6" spans="2:2" ht="40.799999999999997">
      <c r="B6" s="9" t="s">
        <v>114</v>
      </c>
    </row>
    <row r="7" spans="2:2" ht="21">
      <c r="B7" s="41" t="s">
        <v>176</v>
      </c>
    </row>
    <row r="8" spans="2:2" ht="285.60000000000002">
      <c r="B8" s="9" t="s">
        <v>291</v>
      </c>
    </row>
    <row r="9" spans="2:2" ht="21">
      <c r="B9" s="41" t="s">
        <v>177</v>
      </c>
    </row>
    <row r="10" spans="2:2" ht="21">
      <c r="B10" s="9" t="s">
        <v>319</v>
      </c>
    </row>
    <row r="11" spans="2:2" ht="21">
      <c r="B11" s="41" t="s">
        <v>178</v>
      </c>
    </row>
    <row r="12" spans="2:2" ht="40.799999999999997">
      <c r="B12" s="9" t="s">
        <v>115</v>
      </c>
    </row>
    <row r="13" spans="2:2" ht="21">
      <c r="B13" s="41" t="s">
        <v>179</v>
      </c>
    </row>
    <row r="14" spans="2:2" ht="81.599999999999994">
      <c r="B14" s="69" t="s">
        <v>316</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zoomScale="55" zoomScaleNormal="55" workbookViewId="0">
      <selection activeCell="B12" sqref="B12"/>
    </sheetView>
  </sheetViews>
  <sheetFormatPr defaultColWidth="10.796875" defaultRowHeight="20.399999999999999"/>
  <cols>
    <col min="1" max="1" width="10.796875" style="48"/>
    <col min="2" max="2" width="200.796875" style="10" customWidth="1"/>
    <col min="3" max="16384" width="10.796875" style="48"/>
  </cols>
  <sheetData>
    <row r="2" spans="2:2" ht="21">
      <c r="B2" s="8" t="s">
        <v>116</v>
      </c>
    </row>
    <row r="3" spans="2:2" ht="21">
      <c r="B3" s="40" t="s">
        <v>160</v>
      </c>
    </row>
    <row r="4" spans="2:2" ht="61.2">
      <c r="B4" s="9" t="s">
        <v>117</v>
      </c>
    </row>
    <row r="5" spans="2:2" ht="21">
      <c r="B5" s="41" t="s">
        <v>161</v>
      </c>
    </row>
    <row r="6" spans="2:2" ht="40.799999999999997">
      <c r="B6" s="9" t="s">
        <v>118</v>
      </c>
    </row>
    <row r="7" spans="2:2" ht="21">
      <c r="B7" s="41" t="s">
        <v>162</v>
      </c>
    </row>
    <row r="8" spans="2:2" ht="61.8">
      <c r="B8" s="9" t="s">
        <v>320</v>
      </c>
    </row>
    <row r="9" spans="2:2" ht="21">
      <c r="B9" s="41" t="s">
        <v>163</v>
      </c>
    </row>
    <row r="10" spans="2:2" ht="40.799999999999997">
      <c r="B10" s="9" t="s">
        <v>119</v>
      </c>
    </row>
    <row r="11" spans="2:2" ht="21">
      <c r="B11" s="41" t="s">
        <v>164</v>
      </c>
    </row>
    <row r="12" spans="2:2" ht="122.4">
      <c r="B12" s="9" t="s">
        <v>120</v>
      </c>
    </row>
    <row r="13" spans="2:2" ht="21">
      <c r="B13" s="41" t="s">
        <v>165</v>
      </c>
    </row>
    <row r="14" spans="2:2" ht="81.599999999999994">
      <c r="B14" s="9" t="s">
        <v>121</v>
      </c>
    </row>
    <row r="15" spans="2:2" ht="21">
      <c r="B15" s="41" t="s">
        <v>166</v>
      </c>
    </row>
    <row r="16" spans="2:2" ht="183.6">
      <c r="B16" s="9" t="s">
        <v>122</v>
      </c>
    </row>
    <row r="17" spans="2:2" ht="21">
      <c r="B17" s="41" t="s">
        <v>167</v>
      </c>
    </row>
    <row r="18" spans="2:2" ht="61.2">
      <c r="B18" s="9" t="s">
        <v>123</v>
      </c>
    </row>
    <row r="19" spans="2:2" ht="21">
      <c r="B19" s="41" t="s">
        <v>168</v>
      </c>
    </row>
    <row r="20" spans="2:2" ht="122.4">
      <c r="B20" s="9" t="s">
        <v>124</v>
      </c>
    </row>
    <row r="21" spans="2:2" ht="21">
      <c r="B21" s="41" t="s">
        <v>169</v>
      </c>
    </row>
    <row r="22" spans="2:2" ht="61.2">
      <c r="B22" s="9" t="s">
        <v>125</v>
      </c>
    </row>
    <row r="23" spans="2:2" ht="21">
      <c r="B23" s="41" t="s">
        <v>170</v>
      </c>
    </row>
    <row r="24" spans="2:2" ht="224.4">
      <c r="B24" s="9" t="s">
        <v>126</v>
      </c>
    </row>
    <row r="25" spans="2:2" ht="21">
      <c r="B25" s="41" t="s">
        <v>171</v>
      </c>
    </row>
    <row r="26" spans="2:2" ht="163.19999999999999">
      <c r="B26" s="9" t="s">
        <v>127</v>
      </c>
    </row>
    <row r="27" spans="2:2" ht="21">
      <c r="B27" s="41" t="s">
        <v>172</v>
      </c>
    </row>
    <row r="28" spans="2:2" ht="40.799999999999997">
      <c r="B28" s="9" t="s">
        <v>128</v>
      </c>
    </row>
    <row r="29" spans="2:2" ht="21">
      <c r="B29" s="41" t="s">
        <v>173</v>
      </c>
    </row>
    <row r="30" spans="2:2" ht="40.799999999999997">
      <c r="B30" s="9" t="s">
        <v>129</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70" zoomScaleNormal="70" workbookViewId="0">
      <selection activeCell="C4" sqref="C4"/>
    </sheetView>
  </sheetViews>
  <sheetFormatPr defaultColWidth="10.796875" defaultRowHeight="20.399999999999999"/>
  <cols>
    <col min="1" max="1" width="10.796875" style="48"/>
    <col min="2" max="2" width="141.5" style="10" customWidth="1"/>
    <col min="3" max="3" width="40.796875" style="13" customWidth="1"/>
    <col min="4" max="16384" width="10.796875" style="48"/>
  </cols>
  <sheetData>
    <row r="2" spans="2:3" ht="21">
      <c r="B2" s="8" t="s">
        <v>130</v>
      </c>
      <c r="C2" s="11"/>
    </row>
    <row r="3" spans="2:3" ht="21">
      <c r="B3" s="40" t="s">
        <v>151</v>
      </c>
      <c r="C3" s="11"/>
    </row>
    <row r="4" spans="2:3" ht="204">
      <c r="B4" s="12" t="s">
        <v>131</v>
      </c>
      <c r="C4" s="47"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55" zoomScaleNormal="55" workbookViewId="0">
      <selection activeCell="E23" sqref="E23"/>
    </sheetView>
  </sheetViews>
  <sheetFormatPr defaultColWidth="10.796875" defaultRowHeight="18"/>
  <cols>
    <col min="1" max="1" width="3.5" style="15" customWidth="1"/>
    <col min="2" max="2" width="74.69921875" style="15" customWidth="1"/>
    <col min="3" max="4" width="29.19921875" style="15" customWidth="1"/>
    <col min="5" max="5" width="30.296875" style="15" bestFit="1" customWidth="1"/>
    <col min="6" max="6" width="29.19921875" style="15" customWidth="1"/>
    <col min="7" max="7" width="38.296875" style="15" customWidth="1"/>
    <col min="8" max="8" width="10.796875" style="3" customWidth="1"/>
    <col min="9" max="16384" width="10.796875" style="3"/>
  </cols>
  <sheetData>
    <row r="1" spans="1:7" ht="25.95" customHeight="1">
      <c r="B1" s="14" t="s">
        <v>234</v>
      </c>
    </row>
    <row r="2" spans="1:7" ht="25.95" customHeight="1">
      <c r="A2" s="15">
        <v>1</v>
      </c>
      <c r="B2" s="16" t="s">
        <v>132</v>
      </c>
      <c r="C2" s="17">
        <v>45993</v>
      </c>
    </row>
    <row r="3" spans="1:7" ht="25.95" customHeight="1">
      <c r="A3" s="15">
        <v>2</v>
      </c>
      <c r="B3" s="16" t="s">
        <v>14</v>
      </c>
      <c r="C3" s="18" t="s">
        <v>321</v>
      </c>
    </row>
    <row r="4" spans="1:7" ht="25.95" customHeight="1">
      <c r="A4" s="15">
        <v>3</v>
      </c>
      <c r="B4" s="16" t="s">
        <v>13</v>
      </c>
      <c r="C4" s="18" t="s">
        <v>321</v>
      </c>
      <c r="E4" s="19"/>
    </row>
    <row r="5" spans="1:7" ht="25.95" customHeight="1">
      <c r="A5" s="15">
        <v>4</v>
      </c>
      <c r="B5" s="16" t="s">
        <v>133</v>
      </c>
      <c r="C5" s="18" t="s">
        <v>398</v>
      </c>
      <c r="E5" s="19"/>
    </row>
    <row r="6" spans="1:7" ht="25.95" customHeight="1">
      <c r="A6" s="15">
        <v>5</v>
      </c>
      <c r="B6" s="16" t="s">
        <v>0</v>
      </c>
      <c r="C6" s="20" t="s">
        <v>399</v>
      </c>
      <c r="E6" s="19"/>
    </row>
    <row r="7" spans="1:7" ht="25.95" customHeight="1">
      <c r="A7" s="15">
        <v>6</v>
      </c>
      <c r="B7" s="16" t="s">
        <v>1</v>
      </c>
      <c r="C7" s="18" t="s">
        <v>12</v>
      </c>
      <c r="E7" s="19"/>
    </row>
    <row r="8" spans="1:7" ht="25.95" customHeight="1">
      <c r="A8" s="15">
        <v>7</v>
      </c>
      <c r="B8" s="16" t="s">
        <v>2</v>
      </c>
      <c r="C8" s="18" t="s">
        <v>400</v>
      </c>
    </row>
    <row r="9" spans="1:7" ht="25.95" customHeight="1">
      <c r="A9" s="15">
        <v>8</v>
      </c>
      <c r="B9" s="16" t="s">
        <v>134</v>
      </c>
      <c r="C9" s="18" t="s">
        <v>401</v>
      </c>
    </row>
    <row r="10" spans="1:7" ht="25.95" customHeight="1">
      <c r="A10" s="15">
        <v>9</v>
      </c>
      <c r="B10" s="16" t="s">
        <v>5</v>
      </c>
      <c r="C10" s="18">
        <v>2000</v>
      </c>
    </row>
    <row r="11" spans="1:7">
      <c r="A11" s="15">
        <v>10</v>
      </c>
      <c r="B11" s="16" t="s">
        <v>3</v>
      </c>
      <c r="C11" s="18">
        <v>1992</v>
      </c>
    </row>
    <row r="12" spans="1:7">
      <c r="A12" s="15">
        <v>11</v>
      </c>
      <c r="B12" s="16" t="s">
        <v>4</v>
      </c>
      <c r="C12" s="18">
        <v>2021</v>
      </c>
      <c r="F12" s="21"/>
    </row>
    <row r="15" spans="1:7" ht="36">
      <c r="B15" s="24" t="s">
        <v>135</v>
      </c>
      <c r="C15" s="25" t="s">
        <v>136</v>
      </c>
      <c r="D15" s="25" t="s">
        <v>19</v>
      </c>
      <c r="E15" s="25" t="s">
        <v>112</v>
      </c>
      <c r="F15" s="25" t="s">
        <v>20</v>
      </c>
      <c r="G15" s="26" t="s">
        <v>137</v>
      </c>
    </row>
    <row r="16" spans="1:7">
      <c r="B16" s="27" t="s">
        <v>21</v>
      </c>
      <c r="C16" s="18" t="s">
        <v>402</v>
      </c>
      <c r="D16" s="18" t="s">
        <v>403</v>
      </c>
      <c r="E16" s="18" t="s">
        <v>68</v>
      </c>
      <c r="F16" s="20" t="s">
        <v>404</v>
      </c>
      <c r="G16" s="28" t="s">
        <v>405</v>
      </c>
    </row>
    <row r="17" spans="2:7">
      <c r="B17" s="27" t="s">
        <v>138</v>
      </c>
      <c r="C17" s="18" t="s">
        <v>406</v>
      </c>
      <c r="D17" s="18" t="s">
        <v>407</v>
      </c>
      <c r="E17" s="18" t="s">
        <v>68</v>
      </c>
      <c r="F17" s="20" t="s">
        <v>408</v>
      </c>
      <c r="G17" s="28" t="s">
        <v>409</v>
      </c>
    </row>
    <row r="18" spans="2:7">
      <c r="B18" s="27" t="s">
        <v>139</v>
      </c>
      <c r="C18" s="18" t="s">
        <v>406</v>
      </c>
      <c r="D18" s="18" t="s">
        <v>407</v>
      </c>
      <c r="E18" s="18" t="s">
        <v>68</v>
      </c>
      <c r="F18" s="20" t="s">
        <v>408</v>
      </c>
      <c r="G18" s="28" t="s">
        <v>409</v>
      </c>
    </row>
    <row r="19" spans="2:7" ht="31.2">
      <c r="B19" s="27" t="s">
        <v>140</v>
      </c>
      <c r="C19" s="18" t="s">
        <v>410</v>
      </c>
      <c r="D19" s="18" t="s">
        <v>411</v>
      </c>
      <c r="E19" s="18" t="s">
        <v>68</v>
      </c>
      <c r="F19" s="20" t="s">
        <v>412</v>
      </c>
      <c r="G19" s="28" t="s">
        <v>413</v>
      </c>
    </row>
    <row r="20" spans="2:7" ht="31.2">
      <c r="B20" s="29" t="s">
        <v>141</v>
      </c>
      <c r="C20" s="22" t="s">
        <v>414</v>
      </c>
      <c r="D20" s="22" t="s">
        <v>415</v>
      </c>
      <c r="E20" s="18" t="s">
        <v>68</v>
      </c>
      <c r="F20" s="23" t="s">
        <v>416</v>
      </c>
      <c r="G20" s="28" t="s">
        <v>417</v>
      </c>
    </row>
    <row r="21" spans="2:7" ht="36">
      <c r="B21" s="27" t="s">
        <v>142</v>
      </c>
      <c r="C21" s="18" t="s">
        <v>418</v>
      </c>
      <c r="D21" s="18" t="s">
        <v>419</v>
      </c>
      <c r="E21" s="18" t="s">
        <v>68</v>
      </c>
      <c r="F21" s="20" t="s">
        <v>420</v>
      </c>
      <c r="G21" s="28" t="s">
        <v>421</v>
      </c>
    </row>
    <row r="22" spans="2:7">
      <c r="B22" s="27" t="s">
        <v>143</v>
      </c>
      <c r="C22" s="18" t="s">
        <v>422</v>
      </c>
      <c r="D22" s="22" t="s">
        <v>423</v>
      </c>
      <c r="E22" s="18" t="s">
        <v>68</v>
      </c>
      <c r="F22" s="20" t="s">
        <v>424</v>
      </c>
      <c r="G22" s="28" t="s">
        <v>425</v>
      </c>
    </row>
    <row r="23" spans="2:7" ht="36">
      <c r="B23" s="27" t="s">
        <v>144</v>
      </c>
      <c r="C23" s="18" t="s">
        <v>426</v>
      </c>
      <c r="D23" s="22" t="s">
        <v>427</v>
      </c>
      <c r="E23" s="18" t="s">
        <v>68</v>
      </c>
      <c r="F23" s="20" t="s">
        <v>428</v>
      </c>
      <c r="G23" s="28" t="s">
        <v>429</v>
      </c>
    </row>
    <row r="24" spans="2:7">
      <c r="B24" s="27" t="s">
        <v>210</v>
      </c>
      <c r="C24" s="18"/>
      <c r="D24" s="18"/>
      <c r="E24" s="18"/>
      <c r="F24" s="20"/>
      <c r="G24" s="28"/>
    </row>
    <row r="25" spans="2:7">
      <c r="B25" s="27" t="s">
        <v>210</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70" zoomScaleNormal="70" workbookViewId="0">
      <selection activeCell="F5" sqref="F5"/>
    </sheetView>
  </sheetViews>
  <sheetFormatPr defaultColWidth="10.796875" defaultRowHeight="15.6"/>
  <cols>
    <col min="1" max="1" width="4.796875" customWidth="1"/>
    <col min="2" max="2" width="53.796875" customWidth="1"/>
    <col min="3" max="8" width="28.19921875" customWidth="1"/>
    <col min="9" max="16384" width="10.79687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58">
        <v>59</v>
      </c>
      <c r="D3" s="58">
        <v>132</v>
      </c>
      <c r="E3" s="58">
        <v>171</v>
      </c>
      <c r="F3" s="58">
        <v>443</v>
      </c>
      <c r="G3" s="58">
        <v>438</v>
      </c>
      <c r="H3" s="58">
        <v>438</v>
      </c>
    </row>
    <row r="4" spans="2:9" ht="51" customHeight="1">
      <c r="B4" s="33" t="s">
        <v>10</v>
      </c>
      <c r="C4" s="58">
        <v>27</v>
      </c>
      <c r="D4" s="58">
        <v>24</v>
      </c>
      <c r="E4" s="58">
        <v>34</v>
      </c>
      <c r="F4" s="58">
        <v>62</v>
      </c>
      <c r="G4" s="58">
        <v>89</v>
      </c>
      <c r="H4" s="58">
        <v>133</v>
      </c>
      <c r="I4" s="4"/>
    </row>
    <row r="5" spans="2:9" ht="51" customHeight="1">
      <c r="B5" s="33" t="s">
        <v>11</v>
      </c>
      <c r="C5" s="58"/>
      <c r="D5" s="58"/>
      <c r="E5" s="58"/>
      <c r="F5" s="58"/>
      <c r="G5" s="58"/>
      <c r="H5" s="58"/>
      <c r="I5" s="4" t="s">
        <v>18</v>
      </c>
    </row>
    <row r="6" spans="2:9" ht="51" customHeight="1">
      <c r="B6" s="33" t="s">
        <v>284</v>
      </c>
      <c r="C6" s="58">
        <v>1.53</v>
      </c>
      <c r="D6" s="58">
        <v>1.1000000000000001</v>
      </c>
      <c r="E6" s="58">
        <v>7.9</v>
      </c>
      <c r="F6" s="58">
        <v>28</v>
      </c>
      <c r="G6" s="58">
        <v>39</v>
      </c>
      <c r="H6" s="58">
        <v>55.5</v>
      </c>
      <c r="I6" s="2" t="s">
        <v>150</v>
      </c>
    </row>
    <row r="8" spans="2:9" ht="18">
      <c r="B8" s="16" t="s">
        <v>145</v>
      </c>
      <c r="C8" s="16">
        <v>2023</v>
      </c>
      <c r="D8" s="16">
        <v>2023</v>
      </c>
      <c r="E8" s="16">
        <v>2024</v>
      </c>
      <c r="F8" s="16" t="s">
        <v>208</v>
      </c>
      <c r="G8" s="16" t="s">
        <v>146</v>
      </c>
      <c r="H8" s="16" t="s">
        <v>147</v>
      </c>
    </row>
    <row r="9" spans="2:9" ht="18">
      <c r="B9" s="33" t="s">
        <v>148</v>
      </c>
      <c r="C9" s="59">
        <v>6.73</v>
      </c>
      <c r="D9" s="59">
        <v>4.75</v>
      </c>
      <c r="E9" s="59">
        <v>10.6</v>
      </c>
      <c r="F9" s="59">
        <v>9.5500000000000007</v>
      </c>
      <c r="G9" s="59">
        <v>11.81</v>
      </c>
      <c r="H9" s="59">
        <v>15.94</v>
      </c>
    </row>
    <row r="10" spans="2:9" ht="18">
      <c r="B10" s="33" t="s">
        <v>149</v>
      </c>
      <c r="C10" s="59">
        <v>1.52</v>
      </c>
      <c r="D10" s="59">
        <v>0.01</v>
      </c>
      <c r="E10" s="59">
        <v>4.34</v>
      </c>
      <c r="F10" s="59">
        <v>5.0599999999999996</v>
      </c>
      <c r="G10" s="59">
        <v>6.6</v>
      </c>
      <c r="H10" s="59">
        <v>10</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55" zoomScaleNormal="55" workbookViewId="0">
      <selection activeCell="C10" sqref="C10"/>
    </sheetView>
  </sheetViews>
  <sheetFormatPr defaultColWidth="10.796875" defaultRowHeight="25.95" customHeight="1"/>
  <cols>
    <col min="1" max="1" width="6.19921875" style="63" customWidth="1"/>
    <col min="2" max="2" width="59" style="35" customWidth="1"/>
    <col min="3" max="3" width="38.5" style="3" customWidth="1"/>
    <col min="4" max="8" width="38.5" style="6" customWidth="1"/>
    <col min="9" max="11" width="29.19921875" style="3" customWidth="1"/>
    <col min="12" max="16384" width="10.796875" style="3"/>
  </cols>
  <sheetData>
    <row r="1" spans="1:8" s="15" customFormat="1" ht="51" customHeight="1">
      <c r="A1" s="61"/>
      <c r="B1" s="34" t="s">
        <v>293</v>
      </c>
    </row>
    <row r="2" spans="1:8" s="35" customFormat="1" ht="55.95" customHeight="1">
      <c r="A2" s="62"/>
      <c r="B2" s="16"/>
      <c r="C2" s="16" t="s">
        <v>15</v>
      </c>
      <c r="D2" s="36" t="s">
        <v>107</v>
      </c>
      <c r="E2" s="36" t="s">
        <v>108</v>
      </c>
      <c r="F2" s="36" t="s">
        <v>109</v>
      </c>
      <c r="G2" s="36" t="s">
        <v>110</v>
      </c>
      <c r="H2" s="36" t="s">
        <v>111</v>
      </c>
    </row>
    <row r="3" spans="1:8" ht="60" customHeight="1">
      <c r="A3" s="63">
        <v>1</v>
      </c>
      <c r="B3" s="16" t="s">
        <v>152</v>
      </c>
      <c r="C3" s="37" t="s">
        <v>321</v>
      </c>
      <c r="D3" s="37" t="s">
        <v>321</v>
      </c>
      <c r="E3" s="37" t="s">
        <v>321</v>
      </c>
      <c r="F3" s="18" t="s">
        <v>322</v>
      </c>
      <c r="G3" s="18" t="s">
        <v>321</v>
      </c>
      <c r="H3" s="18" t="s">
        <v>321</v>
      </c>
    </row>
    <row r="4" spans="1:8" ht="60" customHeight="1">
      <c r="A4" s="63">
        <v>2</v>
      </c>
      <c r="B4" s="16" t="s">
        <v>153</v>
      </c>
      <c r="C4" s="18" t="s">
        <v>323</v>
      </c>
      <c r="D4" s="18" t="s">
        <v>324</v>
      </c>
      <c r="E4" s="18" t="s">
        <v>325</v>
      </c>
      <c r="F4" s="18" t="s">
        <v>326</v>
      </c>
      <c r="G4" s="50" t="s">
        <v>327</v>
      </c>
      <c r="H4" s="18" t="s">
        <v>323</v>
      </c>
    </row>
    <row r="5" spans="1:8" ht="60" customHeight="1">
      <c r="A5" s="63">
        <v>3</v>
      </c>
      <c r="B5" s="16" t="s">
        <v>154</v>
      </c>
      <c r="C5" s="18" t="s">
        <v>328</v>
      </c>
      <c r="D5" s="18" t="s">
        <v>329</v>
      </c>
      <c r="E5" s="18" t="s">
        <v>330</v>
      </c>
      <c r="F5" s="18" t="s">
        <v>331</v>
      </c>
      <c r="G5" s="18" t="s">
        <v>332</v>
      </c>
      <c r="H5" s="18" t="s">
        <v>333</v>
      </c>
    </row>
    <row r="6" spans="1:8" ht="60" customHeight="1">
      <c r="A6" s="63">
        <v>4</v>
      </c>
      <c r="B6" s="36" t="s">
        <v>155</v>
      </c>
      <c r="C6" s="18" t="s">
        <v>334</v>
      </c>
      <c r="D6" s="18" t="s">
        <v>334</v>
      </c>
      <c r="E6" s="18" t="s">
        <v>334</v>
      </c>
      <c r="F6" s="18" t="s">
        <v>334</v>
      </c>
      <c r="G6" s="18" t="s">
        <v>334</v>
      </c>
      <c r="H6" s="18" t="s">
        <v>334</v>
      </c>
    </row>
    <row r="7" spans="1:8" ht="85.95" customHeight="1">
      <c r="A7" s="63">
        <v>5</v>
      </c>
      <c r="B7" s="36" t="s">
        <v>156</v>
      </c>
      <c r="C7" s="18" t="s">
        <v>335</v>
      </c>
      <c r="D7" s="18" t="s">
        <v>336</v>
      </c>
      <c r="E7" s="18" t="s">
        <v>337</v>
      </c>
      <c r="F7" s="18" t="s">
        <v>337</v>
      </c>
      <c r="G7" s="18" t="s">
        <v>336</v>
      </c>
      <c r="H7" s="18" t="s">
        <v>338</v>
      </c>
    </row>
    <row r="8" spans="1:8" ht="85.95" customHeight="1">
      <c r="A8" s="63">
        <v>6</v>
      </c>
      <c r="B8" s="36" t="s">
        <v>157</v>
      </c>
      <c r="C8" s="18" t="s">
        <v>335</v>
      </c>
      <c r="D8" s="18" t="s">
        <v>336</v>
      </c>
      <c r="E8" s="18" t="s">
        <v>337</v>
      </c>
      <c r="F8" s="18" t="s">
        <v>337</v>
      </c>
      <c r="G8" s="18" t="s">
        <v>336</v>
      </c>
      <c r="H8" s="18" t="s">
        <v>338</v>
      </c>
    </row>
    <row r="9" spans="1:8" ht="60" customHeight="1">
      <c r="A9" s="63">
        <v>7</v>
      </c>
      <c r="B9" s="16" t="s">
        <v>158</v>
      </c>
      <c r="C9" s="38" t="s">
        <v>339</v>
      </c>
      <c r="D9" s="38">
        <v>2745</v>
      </c>
      <c r="E9" s="39">
        <v>2082</v>
      </c>
      <c r="F9" s="39">
        <v>738</v>
      </c>
      <c r="G9" s="39">
        <v>3976</v>
      </c>
      <c r="H9" s="39" t="s">
        <v>339</v>
      </c>
    </row>
    <row r="10" spans="1:8" ht="60" customHeight="1">
      <c r="A10" s="63">
        <v>8</v>
      </c>
      <c r="B10" s="36" t="s">
        <v>277</v>
      </c>
      <c r="C10" s="38" t="s">
        <v>339</v>
      </c>
      <c r="D10" s="38">
        <v>160</v>
      </c>
      <c r="E10" s="39">
        <v>110</v>
      </c>
      <c r="F10" s="39">
        <v>54</v>
      </c>
      <c r="G10" s="39">
        <v>141</v>
      </c>
      <c r="H10" s="39" t="s">
        <v>339</v>
      </c>
    </row>
    <row r="11" spans="1:8" ht="60" customHeight="1">
      <c r="A11" s="63">
        <v>9</v>
      </c>
      <c r="B11" s="36" t="s">
        <v>206</v>
      </c>
      <c r="C11" s="18" t="s">
        <v>339</v>
      </c>
      <c r="D11" s="18">
        <v>48</v>
      </c>
      <c r="E11" s="18" t="s">
        <v>339</v>
      </c>
      <c r="F11" s="18" t="s">
        <v>339</v>
      </c>
      <c r="G11" s="18" t="s">
        <v>339</v>
      </c>
      <c r="H11" s="18" t="s">
        <v>339</v>
      </c>
    </row>
    <row r="12" spans="1:8" ht="60" customHeight="1">
      <c r="A12" s="63">
        <v>10</v>
      </c>
      <c r="B12" s="36" t="s">
        <v>205</v>
      </c>
      <c r="C12" s="18" t="s">
        <v>339</v>
      </c>
      <c r="D12" s="18">
        <v>60</v>
      </c>
      <c r="E12" s="18" t="s">
        <v>339</v>
      </c>
      <c r="F12" s="18" t="s">
        <v>339</v>
      </c>
      <c r="G12" s="18" t="s">
        <v>339</v>
      </c>
      <c r="H12" s="18" t="s">
        <v>339</v>
      </c>
    </row>
    <row r="13" spans="1:8" ht="60" customHeight="1">
      <c r="A13" s="63">
        <v>11</v>
      </c>
      <c r="B13" s="36" t="s">
        <v>278</v>
      </c>
      <c r="C13" s="18" t="s">
        <v>339</v>
      </c>
      <c r="D13" s="18" t="s">
        <v>339</v>
      </c>
      <c r="E13" s="18" t="s">
        <v>339</v>
      </c>
      <c r="F13" s="18" t="s">
        <v>339</v>
      </c>
      <c r="G13" s="18" t="s">
        <v>339</v>
      </c>
      <c r="H13" s="18" t="s">
        <v>339</v>
      </c>
    </row>
    <row r="14" spans="1:8" ht="60" customHeight="1">
      <c r="A14" s="63">
        <v>12</v>
      </c>
      <c r="B14" s="36" t="s">
        <v>203</v>
      </c>
      <c r="C14" s="18" t="s">
        <v>339</v>
      </c>
      <c r="D14" s="18" t="s">
        <v>36</v>
      </c>
      <c r="E14" s="18" t="s">
        <v>37</v>
      </c>
      <c r="F14" s="18" t="s">
        <v>37</v>
      </c>
      <c r="G14" s="18" t="s">
        <v>37</v>
      </c>
      <c r="H14" s="18" t="s">
        <v>339</v>
      </c>
    </row>
    <row r="15" spans="1:8" ht="60" customHeight="1">
      <c r="A15" s="63">
        <v>13</v>
      </c>
      <c r="B15" s="36" t="s">
        <v>280</v>
      </c>
      <c r="C15" s="18" t="s">
        <v>339</v>
      </c>
      <c r="D15" s="18" t="s">
        <v>36</v>
      </c>
      <c r="E15" s="18" t="s">
        <v>37</v>
      </c>
      <c r="F15" s="18" t="s">
        <v>37</v>
      </c>
      <c r="G15" s="18" t="s">
        <v>37</v>
      </c>
      <c r="H15" s="18" t="s">
        <v>339</v>
      </c>
    </row>
    <row r="16" spans="1:8" ht="60" customHeight="1">
      <c r="A16" s="63">
        <v>14</v>
      </c>
      <c r="B16" s="36" t="s">
        <v>204</v>
      </c>
      <c r="C16" s="18" t="s">
        <v>339</v>
      </c>
      <c r="D16" s="18" t="s">
        <v>340</v>
      </c>
      <c r="E16" s="18" t="s">
        <v>341</v>
      </c>
      <c r="F16" s="18" t="s">
        <v>341</v>
      </c>
      <c r="G16" s="18" t="s">
        <v>340</v>
      </c>
      <c r="H16" s="18" t="s">
        <v>339</v>
      </c>
    </row>
    <row r="18" spans="1:8" ht="61.05" customHeight="1">
      <c r="A18" s="63">
        <v>15</v>
      </c>
      <c r="B18" s="76" t="s">
        <v>227</v>
      </c>
      <c r="C18" s="76"/>
      <c r="D18" s="77" t="s">
        <v>342</v>
      </c>
      <c r="E18" s="78"/>
      <c r="F18" s="78"/>
      <c r="G18" s="78"/>
      <c r="H18" s="79"/>
    </row>
    <row r="19" spans="1:8" ht="61.05" customHeight="1">
      <c r="A19" s="63">
        <v>16</v>
      </c>
      <c r="B19" s="76" t="s">
        <v>213</v>
      </c>
      <c r="C19" s="76"/>
      <c r="D19" s="77" t="s">
        <v>343</v>
      </c>
      <c r="E19" s="78"/>
      <c r="F19" s="78"/>
      <c r="G19" s="78"/>
      <c r="H19" s="79"/>
    </row>
    <row r="20" spans="1:8" ht="61.05" customHeight="1">
      <c r="A20" s="63">
        <v>17</v>
      </c>
      <c r="B20" s="76" t="s">
        <v>200</v>
      </c>
      <c r="C20" s="76"/>
      <c r="D20" s="77" t="s">
        <v>37</v>
      </c>
      <c r="E20" s="78"/>
      <c r="F20" s="78"/>
      <c r="G20" s="78"/>
      <c r="H20" s="79"/>
    </row>
    <row r="21" spans="1:8" ht="61.05" customHeight="1">
      <c r="A21" s="63">
        <v>18</v>
      </c>
      <c r="B21" s="76" t="s">
        <v>159</v>
      </c>
      <c r="C21" s="76"/>
      <c r="D21" s="77" t="s">
        <v>344</v>
      </c>
      <c r="E21" s="78"/>
      <c r="F21" s="78"/>
      <c r="G21" s="78"/>
      <c r="H21" s="79"/>
    </row>
    <row r="22" spans="1:8" ht="61.05" customHeight="1">
      <c r="A22" s="63">
        <v>19</v>
      </c>
      <c r="B22" s="76" t="s">
        <v>201</v>
      </c>
      <c r="C22" s="76"/>
      <c r="D22" s="77" t="s">
        <v>345</v>
      </c>
      <c r="E22" s="78"/>
      <c r="F22" s="78"/>
      <c r="G22" s="78"/>
      <c r="H22" s="79"/>
    </row>
    <row r="23" spans="1:8" ht="61.05" customHeight="1">
      <c r="A23" s="63">
        <v>20</v>
      </c>
      <c r="B23" s="80" t="s">
        <v>225</v>
      </c>
      <c r="C23" s="81"/>
      <c r="D23" s="77" t="s">
        <v>346</v>
      </c>
      <c r="E23" s="78"/>
      <c r="F23" s="78"/>
      <c r="G23" s="78"/>
      <c r="H23" s="79"/>
    </row>
    <row r="24" spans="1:8" ht="61.05" customHeight="1">
      <c r="A24" s="63">
        <v>21</v>
      </c>
      <c r="B24" s="80" t="s">
        <v>226</v>
      </c>
      <c r="C24" s="81"/>
      <c r="D24" s="77" t="s">
        <v>347</v>
      </c>
      <c r="E24" s="78"/>
      <c r="F24" s="78"/>
      <c r="G24" s="78"/>
      <c r="H24" s="79"/>
    </row>
    <row r="25" spans="1:8" ht="187.8" customHeight="1">
      <c r="A25" s="63">
        <v>22</v>
      </c>
      <c r="B25" s="76" t="s">
        <v>202</v>
      </c>
      <c r="C25" s="76"/>
      <c r="D25" s="77" t="s">
        <v>348</v>
      </c>
      <c r="E25" s="78"/>
      <c r="F25" s="78"/>
      <c r="G25" s="78"/>
      <c r="H25" s="79"/>
    </row>
    <row r="26" spans="1:8" ht="61.05" customHeight="1"/>
    <row r="27" spans="1:8" ht="61.05" customHeight="1"/>
    <row r="28" spans="1:8" ht="61.05" customHeight="1"/>
    <row r="29" spans="1:8" ht="61.05"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70" zoomScaleNormal="70" workbookViewId="0">
      <selection activeCell="C7" sqref="C7"/>
    </sheetView>
  </sheetViews>
  <sheetFormatPr defaultColWidth="10.796875" defaultRowHeight="49.95" customHeight="1"/>
  <cols>
    <col min="1" max="1" width="5.19921875" style="3" customWidth="1"/>
    <col min="2" max="2" width="53.19921875" style="3" customWidth="1"/>
    <col min="3" max="10" width="32.69921875" style="3" customWidth="1"/>
    <col min="11" max="16384" width="10.796875" style="3"/>
  </cols>
  <sheetData>
    <row r="1" spans="2:10" ht="49.95" customHeight="1">
      <c r="B1" s="42" t="s">
        <v>294</v>
      </c>
    </row>
    <row r="2" spans="2:10" ht="49.95" customHeight="1">
      <c r="B2" s="43"/>
      <c r="C2" s="44" t="s">
        <v>6</v>
      </c>
      <c r="D2" s="44" t="s">
        <v>7</v>
      </c>
      <c r="E2" s="44" t="s">
        <v>8</v>
      </c>
      <c r="F2" s="44" t="s">
        <v>16</v>
      </c>
      <c r="G2" s="44" t="s">
        <v>17</v>
      </c>
      <c r="H2" s="44" t="s">
        <v>180</v>
      </c>
      <c r="I2" s="44" t="s">
        <v>215</v>
      </c>
      <c r="J2" s="44" t="s">
        <v>216</v>
      </c>
    </row>
    <row r="3" spans="2:10" ht="49.95" customHeight="1">
      <c r="B3" s="44" t="s">
        <v>181</v>
      </c>
      <c r="C3" s="70" t="s">
        <v>68</v>
      </c>
      <c r="D3" s="70" t="s">
        <v>103</v>
      </c>
      <c r="E3" s="70"/>
      <c r="F3" s="70"/>
      <c r="G3" s="70"/>
      <c r="H3" s="70"/>
      <c r="I3" s="70"/>
      <c r="J3" s="70"/>
    </row>
    <row r="4" spans="2:10" ht="49.95" customHeight="1">
      <c r="B4" s="45" t="s">
        <v>263</v>
      </c>
      <c r="C4" s="70">
        <v>133</v>
      </c>
      <c r="D4" s="70"/>
      <c r="E4" s="70"/>
      <c r="F4" s="70"/>
      <c r="G4" s="70"/>
      <c r="H4" s="70"/>
      <c r="I4" s="70"/>
      <c r="J4" s="70"/>
    </row>
    <row r="5" spans="2:10" ht="49.95" customHeight="1">
      <c r="B5" s="45" t="s">
        <v>262</v>
      </c>
      <c r="C5" s="70">
        <v>89</v>
      </c>
      <c r="D5" s="70"/>
      <c r="E5" s="70"/>
      <c r="F5" s="70"/>
      <c r="G5" s="70"/>
      <c r="H5" s="70"/>
      <c r="I5" s="70"/>
      <c r="J5" s="70"/>
    </row>
    <row r="6" spans="2:10" ht="49.95" customHeight="1">
      <c r="B6" s="45" t="s">
        <v>264</v>
      </c>
      <c r="C6" s="70">
        <v>128</v>
      </c>
      <c r="D6" s="70">
        <v>3</v>
      </c>
      <c r="E6" s="70"/>
      <c r="F6" s="70"/>
      <c r="G6" s="70"/>
      <c r="H6" s="70"/>
      <c r="I6" s="70"/>
      <c r="J6" s="70"/>
    </row>
    <row r="7" spans="2:10" ht="49.95" customHeight="1">
      <c r="B7" s="45" t="s">
        <v>265</v>
      </c>
      <c r="C7" s="70">
        <v>350</v>
      </c>
      <c r="D7" s="70"/>
      <c r="E7" s="70"/>
      <c r="F7" s="70"/>
      <c r="G7" s="70"/>
      <c r="H7" s="70"/>
      <c r="I7" s="70"/>
      <c r="J7" s="70"/>
    </row>
    <row r="8" spans="2:10" ht="49.95" customHeight="1">
      <c r="B8" s="45" t="s">
        <v>214</v>
      </c>
      <c r="C8" s="70" t="s">
        <v>349</v>
      </c>
      <c r="D8" s="70" t="s">
        <v>349</v>
      </c>
      <c r="E8" s="70"/>
      <c r="F8" s="70"/>
      <c r="G8" s="70"/>
      <c r="H8" s="70"/>
      <c r="I8" s="70"/>
      <c r="J8" s="70"/>
    </row>
    <row r="9" spans="2:10" ht="49.95" customHeight="1">
      <c r="B9" s="45" t="s">
        <v>296</v>
      </c>
      <c r="C9" s="70" t="s">
        <v>349</v>
      </c>
      <c r="D9" s="70" t="s">
        <v>349</v>
      </c>
      <c r="E9" s="70"/>
      <c r="F9" s="70"/>
      <c r="G9" s="70"/>
      <c r="H9" s="70"/>
      <c r="I9" s="70"/>
      <c r="J9" s="70"/>
    </row>
    <row r="10" spans="2:10" ht="49.95" customHeight="1">
      <c r="B10" s="64" t="s">
        <v>290</v>
      </c>
      <c r="C10" s="70">
        <v>2</v>
      </c>
      <c r="D10" s="70">
        <v>2</v>
      </c>
      <c r="E10" s="70"/>
      <c r="F10" s="70"/>
      <c r="G10" s="70"/>
      <c r="H10" s="70"/>
      <c r="I10" s="70"/>
      <c r="J10" s="70"/>
    </row>
    <row r="11" spans="2:10" ht="49.95" customHeight="1">
      <c r="B11" s="45" t="s">
        <v>106</v>
      </c>
      <c r="C11" s="71">
        <v>12</v>
      </c>
      <c r="D11" s="71">
        <v>12</v>
      </c>
      <c r="E11" s="71"/>
      <c r="F11" s="70"/>
      <c r="G11" s="70"/>
      <c r="H11" s="70"/>
      <c r="I11" s="70"/>
      <c r="J11" s="70"/>
    </row>
    <row r="12" spans="2:10" ht="49.95" customHeight="1">
      <c r="B12" s="45" t="s">
        <v>199</v>
      </c>
      <c r="C12" s="72">
        <v>0.05</v>
      </c>
      <c r="D12" s="73"/>
      <c r="E12" s="73"/>
      <c r="F12" s="73"/>
      <c r="G12" s="73"/>
      <c r="H12" s="73"/>
      <c r="I12" s="73"/>
      <c r="J12" s="73"/>
    </row>
    <row r="14" spans="2:10" ht="49.95" customHeight="1">
      <c r="B14" s="83" t="s">
        <v>182</v>
      </c>
      <c r="C14" s="83"/>
      <c r="D14" s="83"/>
    </row>
    <row r="15" spans="2:10" ht="49.95" customHeight="1">
      <c r="B15" s="16" t="s">
        <v>183</v>
      </c>
      <c r="C15" s="83" t="s">
        <v>184</v>
      </c>
      <c r="D15" s="83"/>
    </row>
    <row r="16" spans="2:10" ht="49.95" customHeight="1">
      <c r="B16" s="46" t="s">
        <v>185</v>
      </c>
      <c r="C16" s="84" t="s">
        <v>186</v>
      </c>
      <c r="D16" s="84"/>
    </row>
    <row r="17" spans="2:4" ht="49.95" customHeight="1">
      <c r="B17" s="82" t="s">
        <v>187</v>
      </c>
      <c r="C17" s="82" t="s">
        <v>188</v>
      </c>
      <c r="D17" s="82"/>
    </row>
    <row r="18" spans="2:4" ht="49.95" customHeight="1">
      <c r="B18" s="82"/>
      <c r="C18" s="82" t="s">
        <v>189</v>
      </c>
      <c r="D18" s="82"/>
    </row>
    <row r="19" spans="2:4" ht="49.95" customHeight="1">
      <c r="B19" s="82"/>
      <c r="C19" s="82" t="s">
        <v>190</v>
      </c>
      <c r="D19" s="82"/>
    </row>
    <row r="20" spans="2:4" ht="49.95" customHeight="1">
      <c r="B20" s="82"/>
      <c r="C20" s="82" t="s">
        <v>191</v>
      </c>
      <c r="D20" s="82"/>
    </row>
    <row r="21" spans="2:4" ht="49.95" customHeight="1">
      <c r="B21" s="82" t="s">
        <v>192</v>
      </c>
      <c r="C21" s="82" t="s">
        <v>193</v>
      </c>
      <c r="D21" s="82"/>
    </row>
    <row r="22" spans="2:4" ht="49.95" customHeight="1">
      <c r="B22" s="82"/>
      <c r="C22" s="82" t="s">
        <v>194</v>
      </c>
      <c r="D22" s="82"/>
    </row>
    <row r="23" spans="2:4" ht="49.95" customHeight="1">
      <c r="B23" s="82"/>
      <c r="C23" s="82" t="s">
        <v>195</v>
      </c>
      <c r="D23" s="82"/>
    </row>
    <row r="24" spans="2:4" ht="49.95" customHeight="1">
      <c r="B24" s="82" t="s">
        <v>196</v>
      </c>
      <c r="C24" s="82" t="s">
        <v>197</v>
      </c>
      <c r="D24" s="82"/>
    </row>
    <row r="25" spans="2:4" ht="49.95" customHeight="1">
      <c r="B25" s="82"/>
      <c r="C25" s="82" t="s">
        <v>198</v>
      </c>
      <c r="D25" s="82"/>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55" zoomScaleNormal="55" workbookViewId="0">
      <selection activeCell="E1" sqref="E1:E1048576"/>
    </sheetView>
  </sheetViews>
  <sheetFormatPr defaultColWidth="10.796875" defaultRowHeight="15"/>
  <cols>
    <col min="1" max="1" width="4.19921875" style="1" customWidth="1"/>
    <col min="2" max="2" width="51.5" style="1" customWidth="1"/>
    <col min="3" max="9" width="29.19921875" style="1" customWidth="1"/>
    <col min="10" max="10" width="57.796875" style="1" customWidth="1"/>
    <col min="11" max="11" width="102.69921875" style="1" bestFit="1" customWidth="1"/>
    <col min="12" max="15" width="29.19921875" style="1" customWidth="1"/>
    <col min="16" max="16384" width="10.796875" style="1"/>
  </cols>
  <sheetData>
    <row r="1" spans="2:11" ht="67.05" customHeight="1">
      <c r="B1" s="34" t="s">
        <v>288</v>
      </c>
    </row>
    <row r="2" spans="2:11" ht="67.05" customHeight="1">
      <c r="B2" s="33"/>
      <c r="C2" s="16">
        <v>2022</v>
      </c>
      <c r="D2" s="16">
        <v>2023</v>
      </c>
      <c r="E2" s="16">
        <v>2024</v>
      </c>
      <c r="F2" s="16" t="s">
        <v>208</v>
      </c>
      <c r="G2" s="16" t="s">
        <v>146</v>
      </c>
      <c r="H2" s="16" t="s">
        <v>147</v>
      </c>
      <c r="I2" s="16" t="s">
        <v>209</v>
      </c>
      <c r="J2" s="16" t="s">
        <v>207</v>
      </c>
    </row>
    <row r="3" spans="2:11" ht="67.05" customHeight="1">
      <c r="B3" s="16" t="s">
        <v>266</v>
      </c>
      <c r="C3" s="39">
        <v>1</v>
      </c>
      <c r="D3" s="39">
        <v>2</v>
      </c>
      <c r="E3" s="39">
        <v>4</v>
      </c>
      <c r="F3" s="39">
        <v>8</v>
      </c>
      <c r="G3" s="39">
        <v>10</v>
      </c>
      <c r="H3" s="39">
        <v>12</v>
      </c>
      <c r="I3" s="39">
        <v>15</v>
      </c>
      <c r="J3" s="60" t="s">
        <v>437</v>
      </c>
    </row>
    <row r="4" spans="2:11" ht="108">
      <c r="B4" s="36" t="s">
        <v>267</v>
      </c>
      <c r="C4" s="39">
        <v>20</v>
      </c>
      <c r="D4" s="39">
        <v>25</v>
      </c>
      <c r="E4" s="39">
        <v>42.6</v>
      </c>
      <c r="F4" s="39">
        <v>283</v>
      </c>
      <c r="G4" s="39">
        <v>325</v>
      </c>
      <c r="H4" s="39">
        <v>375</v>
      </c>
      <c r="I4" s="39">
        <v>450</v>
      </c>
      <c r="J4" s="60" t="s">
        <v>443</v>
      </c>
      <c r="K4" s="74" t="s">
        <v>318</v>
      </c>
    </row>
    <row r="5" spans="2:11" ht="67.05" customHeight="1">
      <c r="B5" s="16" t="s">
        <v>268</v>
      </c>
      <c r="C5" s="39">
        <v>30</v>
      </c>
      <c r="D5" s="39">
        <v>30</v>
      </c>
      <c r="E5" s="39">
        <v>57</v>
      </c>
      <c r="F5" s="39">
        <v>171</v>
      </c>
      <c r="G5" s="39">
        <f>380+50</f>
        <v>430</v>
      </c>
      <c r="H5" s="39">
        <f>450</f>
        <v>450</v>
      </c>
      <c r="I5" s="39">
        <v>500</v>
      </c>
      <c r="J5" s="60" t="s">
        <v>438</v>
      </c>
    </row>
    <row r="6" spans="2:11" ht="67.05" customHeight="1">
      <c r="B6" s="16" t="s">
        <v>269</v>
      </c>
      <c r="C6" s="39">
        <v>70</v>
      </c>
      <c r="D6" s="39">
        <v>70</v>
      </c>
      <c r="E6" s="39">
        <v>75</v>
      </c>
      <c r="F6" s="39">
        <v>350</v>
      </c>
      <c r="G6" s="39">
        <f>384+50</f>
        <v>434</v>
      </c>
      <c r="H6" s="39">
        <v>413</v>
      </c>
      <c r="I6" s="39">
        <v>480</v>
      </c>
      <c r="J6" s="60" t="s">
        <v>439</v>
      </c>
      <c r="K6" s="4" t="s">
        <v>217</v>
      </c>
    </row>
    <row r="7" spans="2:11" ht="67.05" customHeight="1">
      <c r="B7" s="16" t="s">
        <v>270</v>
      </c>
      <c r="C7" s="39">
        <v>4</v>
      </c>
      <c r="D7" s="39">
        <v>4</v>
      </c>
      <c r="E7" s="39">
        <v>9</v>
      </c>
      <c r="F7" s="39">
        <v>20</v>
      </c>
      <c r="G7" s="39">
        <f>27+2</f>
        <v>29</v>
      </c>
      <c r="H7" s="39">
        <v>35</v>
      </c>
      <c r="I7" s="39">
        <v>40</v>
      </c>
      <c r="J7" s="60" t="s">
        <v>440</v>
      </c>
    </row>
    <row r="8" spans="2:11" ht="67.05" customHeight="1">
      <c r="B8" s="16" t="s">
        <v>271</v>
      </c>
      <c r="C8" s="39">
        <v>4</v>
      </c>
      <c r="D8" s="39">
        <v>4</v>
      </c>
      <c r="E8" s="39">
        <v>8</v>
      </c>
      <c r="F8" s="39">
        <v>22</v>
      </c>
      <c r="G8" s="39">
        <f>26+3</f>
        <v>29</v>
      </c>
      <c r="H8" s="39">
        <v>29.735999999999997</v>
      </c>
      <c r="I8" s="39">
        <v>40</v>
      </c>
      <c r="J8" s="60" t="s">
        <v>441</v>
      </c>
    </row>
    <row r="9" spans="2:11" ht="67.05" customHeight="1">
      <c r="B9" s="16" t="s">
        <v>272</v>
      </c>
      <c r="C9" s="39">
        <v>1</v>
      </c>
      <c r="D9" s="39">
        <v>1</v>
      </c>
      <c r="E9" s="39">
        <v>2</v>
      </c>
      <c r="F9" s="39">
        <v>4</v>
      </c>
      <c r="G9" s="39">
        <f>5+1</f>
        <v>6</v>
      </c>
      <c r="H9" s="39">
        <v>6</v>
      </c>
      <c r="I9" s="39">
        <v>7</v>
      </c>
      <c r="J9" s="60" t="s">
        <v>442</v>
      </c>
    </row>
    <row r="10" spans="2:11" ht="67.05" customHeight="1">
      <c r="B10" s="36" t="s">
        <v>285</v>
      </c>
      <c r="C10" s="39">
        <v>3</v>
      </c>
      <c r="D10" s="39">
        <v>3</v>
      </c>
      <c r="E10" s="39">
        <v>6</v>
      </c>
      <c r="F10" s="39">
        <v>70</v>
      </c>
      <c r="G10" s="39">
        <v>80</v>
      </c>
      <c r="H10" s="39">
        <v>85</v>
      </c>
      <c r="I10" s="39">
        <v>95</v>
      </c>
      <c r="J10" s="60"/>
    </row>
    <row r="11" spans="2:11" ht="67.05" customHeight="1">
      <c r="B11" s="16" t="s">
        <v>286</v>
      </c>
      <c r="C11" s="39">
        <v>1</v>
      </c>
      <c r="D11" s="39">
        <v>1</v>
      </c>
      <c r="E11" s="39">
        <v>2</v>
      </c>
      <c r="F11" s="39">
        <v>3</v>
      </c>
      <c r="G11" s="39">
        <f>3</f>
        <v>3</v>
      </c>
      <c r="H11" s="39">
        <v>4</v>
      </c>
      <c r="I11" s="39">
        <v>5</v>
      </c>
      <c r="J11" s="60"/>
    </row>
    <row r="12" spans="2:11" ht="67.05" customHeight="1">
      <c r="B12" s="16" t="s">
        <v>287</v>
      </c>
      <c r="C12" s="39">
        <v>1</v>
      </c>
      <c r="D12" s="39">
        <v>1</v>
      </c>
      <c r="E12" s="39">
        <v>2</v>
      </c>
      <c r="F12" s="39">
        <v>3</v>
      </c>
      <c r="G12" s="39">
        <f>4+1</f>
        <v>5</v>
      </c>
      <c r="H12" s="39">
        <v>5</v>
      </c>
      <c r="I12" s="39">
        <v>6</v>
      </c>
      <c r="J12" s="60" t="s">
        <v>444</v>
      </c>
    </row>
    <row r="13" spans="2:11" ht="67.05" customHeight="1">
      <c r="B13" s="16" t="s">
        <v>210</v>
      </c>
      <c r="C13" s="39">
        <v>3</v>
      </c>
      <c r="D13" s="39">
        <v>3</v>
      </c>
      <c r="E13" s="39">
        <v>9</v>
      </c>
      <c r="F13" s="39">
        <v>9</v>
      </c>
      <c r="G13" s="39">
        <v>10</v>
      </c>
      <c r="H13" s="39">
        <v>11</v>
      </c>
      <c r="I13" s="39">
        <v>12</v>
      </c>
      <c r="J13" s="60" t="s">
        <v>350</v>
      </c>
    </row>
    <row r="14" spans="2:11" ht="67.05" customHeight="1">
      <c r="B14" s="16" t="s">
        <v>210</v>
      </c>
      <c r="C14" s="39">
        <v>1</v>
      </c>
      <c r="D14" s="39">
        <v>1</v>
      </c>
      <c r="E14" s="39">
        <v>3</v>
      </c>
      <c r="F14" s="39">
        <v>5</v>
      </c>
      <c r="G14" s="39">
        <f>5+1</f>
        <v>6</v>
      </c>
      <c r="H14" s="39">
        <v>6</v>
      </c>
      <c r="I14" s="39">
        <v>8</v>
      </c>
      <c r="J14" s="60" t="s">
        <v>351</v>
      </c>
    </row>
    <row r="15" spans="2:11" ht="67.05" customHeight="1">
      <c r="B15" s="16" t="s">
        <v>210</v>
      </c>
      <c r="C15" s="39">
        <v>2</v>
      </c>
      <c r="D15" s="39">
        <v>2</v>
      </c>
      <c r="E15" s="39">
        <v>5</v>
      </c>
      <c r="F15" s="39">
        <v>8</v>
      </c>
      <c r="G15" s="39">
        <f>8+1</f>
        <v>9</v>
      </c>
      <c r="H15" s="39">
        <v>9</v>
      </c>
      <c r="I15" s="39">
        <v>11</v>
      </c>
      <c r="J15" s="60" t="s">
        <v>352</v>
      </c>
    </row>
    <row r="16" spans="2:11" ht="18">
      <c r="B16" s="51" t="s">
        <v>218</v>
      </c>
      <c r="C16" s="52">
        <f t="shared" ref="C16:I16" si="0">SUM(C3:C15)</f>
        <v>141</v>
      </c>
      <c r="D16" s="52">
        <f t="shared" si="0"/>
        <v>147</v>
      </c>
      <c r="E16" s="52">
        <f t="shared" si="0"/>
        <v>224.6</v>
      </c>
      <c r="F16" s="52">
        <f t="shared" si="0"/>
        <v>956</v>
      </c>
      <c r="G16" s="52">
        <f t="shared" si="0"/>
        <v>1376</v>
      </c>
      <c r="H16" s="52">
        <f t="shared" si="0"/>
        <v>1440.7360000000001</v>
      </c>
      <c r="I16" s="52">
        <f t="shared" si="0"/>
        <v>1669</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Y7"/>
  <sheetViews>
    <sheetView showGridLines="0" zoomScale="25" zoomScaleNormal="25" workbookViewId="0">
      <selection activeCell="Y7" sqref="Y7"/>
    </sheetView>
  </sheetViews>
  <sheetFormatPr defaultColWidth="10.796875" defaultRowHeight="15.6"/>
  <cols>
    <col min="1" max="1" width="5.296875" customWidth="1"/>
    <col min="2" max="2" width="34.5" customWidth="1"/>
  </cols>
  <sheetData>
    <row r="2" spans="2:25" ht="46.95" customHeight="1">
      <c r="B2" s="85" t="s">
        <v>314</v>
      </c>
      <c r="C2" s="85"/>
      <c r="D2" s="85"/>
      <c r="E2" s="85"/>
      <c r="F2" s="85"/>
      <c r="G2" s="85"/>
      <c r="H2" s="85"/>
      <c r="I2" s="85"/>
      <c r="J2" s="85"/>
      <c r="K2" s="85"/>
    </row>
    <row r="3" spans="2:25" ht="46.95" customHeight="1">
      <c r="B3" s="85"/>
      <c r="C3" s="85"/>
      <c r="D3" s="85"/>
      <c r="E3" s="85"/>
      <c r="F3" s="85"/>
      <c r="G3" s="85"/>
      <c r="H3" s="85"/>
      <c r="I3" s="85"/>
      <c r="J3" s="85"/>
      <c r="K3" s="85"/>
    </row>
    <row r="4" spans="2:25" ht="46.95" customHeight="1">
      <c r="B4" s="85"/>
      <c r="C4" s="85"/>
      <c r="D4" s="85"/>
      <c r="E4" s="85"/>
      <c r="F4" s="85"/>
      <c r="G4" s="85"/>
      <c r="H4" s="85"/>
      <c r="I4" s="85"/>
      <c r="J4" s="85"/>
      <c r="K4" s="85"/>
    </row>
    <row r="5" spans="2:25" ht="46.95" customHeight="1">
      <c r="B5" s="85"/>
      <c r="C5" s="85"/>
      <c r="D5" s="85"/>
      <c r="E5" s="85"/>
      <c r="F5" s="85"/>
      <c r="G5" s="85"/>
      <c r="H5" s="85"/>
      <c r="I5" s="85"/>
      <c r="J5" s="85"/>
      <c r="K5" s="85"/>
    </row>
    <row r="7" spans="2:25" ht="29.4">
      <c r="B7" s="75" t="s">
        <v>353</v>
      </c>
      <c r="M7" s="75" t="s">
        <v>354</v>
      </c>
      <c r="Y7" s="75" t="s">
        <v>355</v>
      </c>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abSelected="1" zoomScale="70" zoomScaleNormal="70" workbookViewId="0">
      <selection activeCell="D5" sqref="D5"/>
    </sheetView>
  </sheetViews>
  <sheetFormatPr defaultColWidth="11.19921875" defaultRowHeight="15.6"/>
  <cols>
    <col min="1" max="1" width="4.19921875" style="1" customWidth="1"/>
    <col min="2" max="2" width="51.5" style="1" customWidth="1"/>
    <col min="3" max="22" width="29.19921875" style="1" customWidth="1"/>
    <col min="23" max="23" width="57.796875" style="1" customWidth="1"/>
  </cols>
  <sheetData>
    <row r="1" spans="2:23" ht="60" customHeight="1">
      <c r="B1" s="34" t="s">
        <v>247</v>
      </c>
    </row>
    <row r="2" spans="2:23" ht="60" customHeight="1">
      <c r="B2" s="65" t="s">
        <v>240</v>
      </c>
      <c r="C2" s="86" t="s">
        <v>242</v>
      </c>
      <c r="D2" s="86"/>
      <c r="E2" s="86"/>
      <c r="F2" s="86"/>
      <c r="G2" s="86" t="s">
        <v>243</v>
      </c>
      <c r="H2" s="86"/>
      <c r="I2" s="86"/>
      <c r="J2" s="86"/>
      <c r="K2" s="86"/>
      <c r="L2" s="86" t="s">
        <v>305</v>
      </c>
      <c r="M2" s="86"/>
      <c r="N2" s="86"/>
      <c r="O2" s="86"/>
      <c r="P2" s="86"/>
      <c r="Q2" s="86"/>
      <c r="R2" s="86"/>
      <c r="S2" s="86" t="s">
        <v>244</v>
      </c>
      <c r="T2" s="86"/>
      <c r="U2" s="86"/>
      <c r="V2" s="86"/>
    </row>
    <row r="3" spans="2:23" ht="60" customHeight="1">
      <c r="B3" s="16" t="s">
        <v>241</v>
      </c>
      <c r="C3" s="66" t="s">
        <v>245</v>
      </c>
      <c r="D3" s="66" t="s">
        <v>297</v>
      </c>
      <c r="E3" s="66" t="s">
        <v>235</v>
      </c>
      <c r="F3" s="66" t="s">
        <v>292</v>
      </c>
      <c r="G3" s="66" t="s">
        <v>41</v>
      </c>
      <c r="H3" s="66" t="s">
        <v>246</v>
      </c>
      <c r="I3" s="66" t="s">
        <v>236</v>
      </c>
      <c r="J3" s="66" t="s">
        <v>237</v>
      </c>
      <c r="K3" s="66" t="s">
        <v>289</v>
      </c>
      <c r="L3" s="66" t="s">
        <v>306</v>
      </c>
      <c r="M3" s="67" t="s">
        <v>312</v>
      </c>
      <c r="N3" s="66" t="s">
        <v>307</v>
      </c>
      <c r="O3" s="66" t="s">
        <v>311</v>
      </c>
      <c r="P3" s="66" t="s">
        <v>308</v>
      </c>
      <c r="Q3" s="66" t="s">
        <v>309</v>
      </c>
      <c r="R3" s="66" t="s">
        <v>310</v>
      </c>
      <c r="S3" s="66" t="s">
        <v>24</v>
      </c>
      <c r="T3" s="66" t="s">
        <v>238</v>
      </c>
      <c r="U3" s="66" t="s">
        <v>295</v>
      </c>
      <c r="V3" s="66" t="s">
        <v>239</v>
      </c>
      <c r="W3" s="16" t="s">
        <v>207</v>
      </c>
    </row>
    <row r="4" spans="2:23" ht="60" customHeight="1">
      <c r="B4" s="16" t="s">
        <v>254</v>
      </c>
      <c r="C4" s="39" t="s">
        <v>36</v>
      </c>
      <c r="D4" s="39" t="s">
        <v>36</v>
      </c>
      <c r="E4" s="39" t="s">
        <v>36</v>
      </c>
      <c r="F4" s="39" t="s">
        <v>36</v>
      </c>
      <c r="G4" s="39" t="s">
        <v>36</v>
      </c>
      <c r="H4" s="39" t="s">
        <v>36</v>
      </c>
      <c r="I4" s="39" t="s">
        <v>36</v>
      </c>
      <c r="J4" s="39" t="s">
        <v>36</v>
      </c>
      <c r="K4" s="39" t="s">
        <v>36</v>
      </c>
      <c r="L4" s="39" t="s">
        <v>36</v>
      </c>
      <c r="M4" s="39" t="s">
        <v>36</v>
      </c>
      <c r="N4" s="39" t="s">
        <v>36</v>
      </c>
      <c r="O4" s="39" t="s">
        <v>36</v>
      </c>
      <c r="P4" s="39" t="s">
        <v>36</v>
      </c>
      <c r="Q4" s="39" t="s">
        <v>36</v>
      </c>
      <c r="R4" s="39" t="s">
        <v>36</v>
      </c>
      <c r="S4" s="39" t="s">
        <v>36</v>
      </c>
      <c r="T4" s="39" t="s">
        <v>36</v>
      </c>
      <c r="U4" s="39" t="s">
        <v>36</v>
      </c>
      <c r="V4" s="39" t="s">
        <v>36</v>
      </c>
      <c r="W4" s="60"/>
    </row>
    <row r="5" spans="2:23" ht="60" customHeight="1">
      <c r="B5" s="36" t="s">
        <v>274</v>
      </c>
      <c r="C5" s="39" t="s">
        <v>356</v>
      </c>
      <c r="D5" s="39" t="s">
        <v>356</v>
      </c>
      <c r="E5" s="39" t="s">
        <v>356</v>
      </c>
      <c r="F5" s="39" t="s">
        <v>356</v>
      </c>
      <c r="G5" s="39" t="s">
        <v>356</v>
      </c>
      <c r="H5" s="39" t="s">
        <v>356</v>
      </c>
      <c r="I5" s="39" t="s">
        <v>356</v>
      </c>
      <c r="J5" s="39" t="s">
        <v>356</v>
      </c>
      <c r="K5" s="39" t="s">
        <v>356</v>
      </c>
      <c r="L5" s="39" t="s">
        <v>356</v>
      </c>
      <c r="M5" s="39" t="s">
        <v>349</v>
      </c>
      <c r="N5" s="39" t="s">
        <v>349</v>
      </c>
      <c r="O5" s="39" t="s">
        <v>349</v>
      </c>
      <c r="P5" s="39" t="s">
        <v>356</v>
      </c>
      <c r="Q5" s="39" t="s">
        <v>349</v>
      </c>
      <c r="R5" s="39" t="s">
        <v>349</v>
      </c>
      <c r="S5" s="39" t="s">
        <v>356</v>
      </c>
      <c r="T5" s="39" t="s">
        <v>356</v>
      </c>
      <c r="U5" s="39" t="s">
        <v>356</v>
      </c>
      <c r="V5" s="39" t="s">
        <v>356</v>
      </c>
      <c r="W5" s="60"/>
    </row>
    <row r="6" spans="2:23" ht="60" customHeight="1">
      <c r="B6" s="36" t="s">
        <v>255</v>
      </c>
      <c r="C6" s="39" t="s">
        <v>37</v>
      </c>
      <c r="D6" s="39" t="s">
        <v>37</v>
      </c>
      <c r="E6" s="39" t="s">
        <v>37</v>
      </c>
      <c r="F6" s="39" t="s">
        <v>37</v>
      </c>
      <c r="G6" s="39" t="s">
        <v>37</v>
      </c>
      <c r="H6" s="39" t="s">
        <v>37</v>
      </c>
      <c r="I6" s="39" t="s">
        <v>37</v>
      </c>
      <c r="J6" s="39" t="s">
        <v>37</v>
      </c>
      <c r="K6" s="39" t="s">
        <v>37</v>
      </c>
      <c r="L6" s="39" t="s">
        <v>36</v>
      </c>
      <c r="M6" s="39" t="s">
        <v>36</v>
      </c>
      <c r="N6" s="39" t="s">
        <v>36</v>
      </c>
      <c r="O6" s="39" t="s">
        <v>36</v>
      </c>
      <c r="P6" s="39" t="s">
        <v>36</v>
      </c>
      <c r="Q6" s="39" t="s">
        <v>36</v>
      </c>
      <c r="R6" s="39" t="s">
        <v>36</v>
      </c>
      <c r="S6" s="39" t="s">
        <v>36</v>
      </c>
      <c r="T6" s="39" t="s">
        <v>36</v>
      </c>
      <c r="U6" s="39" t="s">
        <v>36</v>
      </c>
      <c r="V6" s="39" t="s">
        <v>36</v>
      </c>
      <c r="W6" s="60"/>
    </row>
    <row r="7" spans="2:23" ht="60" customHeight="1">
      <c r="B7" s="36" t="s">
        <v>22</v>
      </c>
      <c r="C7" s="39" t="s">
        <v>430</v>
      </c>
      <c r="D7" s="39" t="s">
        <v>431</v>
      </c>
      <c r="E7" s="39" t="s">
        <v>432</v>
      </c>
      <c r="F7" s="39" t="s">
        <v>436</v>
      </c>
      <c r="G7" s="39" t="s">
        <v>357</v>
      </c>
      <c r="H7" s="39" t="s">
        <v>358</v>
      </c>
      <c r="I7" s="39" t="s">
        <v>359</v>
      </c>
      <c r="J7" s="39" t="s">
        <v>360</v>
      </c>
      <c r="K7" s="39" t="s">
        <v>361</v>
      </c>
      <c r="L7" s="39" t="s">
        <v>362</v>
      </c>
      <c r="M7" s="39" t="s">
        <v>363</v>
      </c>
      <c r="N7" s="39" t="s">
        <v>364</v>
      </c>
      <c r="O7" s="39" t="s">
        <v>365</v>
      </c>
      <c r="P7" s="39" t="s">
        <v>366</v>
      </c>
      <c r="Q7" s="39" t="s">
        <v>367</v>
      </c>
      <c r="R7" s="39" t="s">
        <v>368</v>
      </c>
      <c r="S7" s="39" t="s">
        <v>369</v>
      </c>
      <c r="T7" s="39" t="s">
        <v>433</v>
      </c>
      <c r="U7" s="39" t="s">
        <v>434</v>
      </c>
      <c r="V7" s="39" t="s">
        <v>435</v>
      </c>
      <c r="W7" s="60"/>
    </row>
    <row r="8" spans="2:23" ht="60" customHeight="1">
      <c r="B8" s="36" t="s">
        <v>273</v>
      </c>
      <c r="C8" s="39">
        <v>1014</v>
      </c>
      <c r="D8" s="39"/>
      <c r="E8" s="39"/>
      <c r="F8" s="39"/>
      <c r="G8" s="39"/>
      <c r="H8" s="39"/>
      <c r="I8" s="39"/>
      <c r="J8" s="39"/>
      <c r="K8" s="39"/>
      <c r="L8" s="39"/>
      <c r="M8" s="39"/>
      <c r="N8" s="39"/>
      <c r="O8" s="39"/>
      <c r="P8" s="39"/>
      <c r="Q8" s="39"/>
      <c r="R8" s="39"/>
      <c r="S8" s="39"/>
      <c r="T8" s="39"/>
      <c r="U8" s="39"/>
      <c r="V8" s="39"/>
      <c r="W8" s="60" t="s">
        <v>397</v>
      </c>
    </row>
    <row r="9" spans="2:23" ht="60" customHeight="1">
      <c r="B9" s="36" t="s">
        <v>256</v>
      </c>
      <c r="C9" s="39" t="s">
        <v>370</v>
      </c>
      <c r="D9" s="39" t="s">
        <v>371</v>
      </c>
      <c r="E9" s="39" t="s">
        <v>371</v>
      </c>
      <c r="F9" s="39" t="s">
        <v>371</v>
      </c>
      <c r="G9" s="39" t="s">
        <v>372</v>
      </c>
      <c r="H9" s="39" t="s">
        <v>373</v>
      </c>
      <c r="I9" s="39" t="s">
        <v>374</v>
      </c>
      <c r="J9" s="39" t="s">
        <v>375</v>
      </c>
      <c r="K9" s="39" t="s">
        <v>371</v>
      </c>
      <c r="L9" s="39" t="s">
        <v>376</v>
      </c>
      <c r="M9" s="39" t="s">
        <v>376</v>
      </c>
      <c r="N9" s="39" t="s">
        <v>376</v>
      </c>
      <c r="O9" s="39" t="s">
        <v>376</v>
      </c>
      <c r="P9" s="39" t="s">
        <v>376</v>
      </c>
      <c r="Q9" s="39" t="s">
        <v>376</v>
      </c>
      <c r="R9" s="39" t="s">
        <v>376</v>
      </c>
      <c r="S9" s="39" t="s">
        <v>376</v>
      </c>
      <c r="T9" s="39" t="s">
        <v>376</v>
      </c>
      <c r="U9" s="39" t="s">
        <v>376</v>
      </c>
      <c r="V9" s="39" t="s">
        <v>376</v>
      </c>
      <c r="W9" s="60"/>
    </row>
    <row r="10" spans="2:23" ht="60" customHeight="1">
      <c r="B10" s="36" t="s">
        <v>304</v>
      </c>
      <c r="C10" s="39" t="s">
        <v>339</v>
      </c>
      <c r="D10" s="39" t="s">
        <v>339</v>
      </c>
      <c r="E10" s="39" t="s">
        <v>339</v>
      </c>
      <c r="F10" s="39" t="s">
        <v>339</v>
      </c>
      <c r="G10" s="39" t="s">
        <v>339</v>
      </c>
      <c r="H10" s="39" t="s">
        <v>339</v>
      </c>
      <c r="I10" s="39" t="s">
        <v>339</v>
      </c>
      <c r="J10" s="39" t="s">
        <v>339</v>
      </c>
      <c r="K10" s="39" t="s">
        <v>339</v>
      </c>
      <c r="L10" s="39" t="s">
        <v>339</v>
      </c>
      <c r="M10" s="39" t="s">
        <v>339</v>
      </c>
      <c r="N10" s="39" t="s">
        <v>339</v>
      </c>
      <c r="O10" s="39" t="s">
        <v>339</v>
      </c>
      <c r="P10" s="39" t="s">
        <v>339</v>
      </c>
      <c r="Q10" s="39" t="s">
        <v>339</v>
      </c>
      <c r="R10" s="39" t="s">
        <v>339</v>
      </c>
      <c r="S10" s="39" t="s">
        <v>339</v>
      </c>
      <c r="T10" s="39" t="s">
        <v>339</v>
      </c>
      <c r="U10" s="39" t="s">
        <v>339</v>
      </c>
      <c r="V10" s="39" t="s">
        <v>339</v>
      </c>
      <c r="W10" s="60"/>
    </row>
    <row r="11" spans="2:23" ht="60" customHeight="1">
      <c r="B11" s="36" t="s">
        <v>275</v>
      </c>
      <c r="C11" s="39" t="s">
        <v>377</v>
      </c>
      <c r="D11" s="39" t="s">
        <v>377</v>
      </c>
      <c r="E11" s="39" t="s">
        <v>377</v>
      </c>
      <c r="F11" s="39" t="s">
        <v>378</v>
      </c>
      <c r="G11" s="68" t="s">
        <v>377</v>
      </c>
      <c r="H11" s="39" t="s">
        <v>377</v>
      </c>
      <c r="I11" s="39" t="s">
        <v>377</v>
      </c>
      <c r="J11" s="39" t="s">
        <v>377</v>
      </c>
      <c r="K11" s="39" t="s">
        <v>377</v>
      </c>
      <c r="L11" s="39" t="s">
        <v>377</v>
      </c>
      <c r="M11" s="39" t="s">
        <v>377</v>
      </c>
      <c r="N11" s="39" t="s">
        <v>377</v>
      </c>
      <c r="O11" s="39" t="s">
        <v>377</v>
      </c>
      <c r="P11" s="39" t="s">
        <v>377</v>
      </c>
      <c r="Q11" s="39" t="s">
        <v>377</v>
      </c>
      <c r="R11" s="39" t="s">
        <v>377</v>
      </c>
      <c r="S11" s="39" t="s">
        <v>377</v>
      </c>
      <c r="T11" s="39" t="s">
        <v>377</v>
      </c>
      <c r="U11" s="39" t="s">
        <v>377</v>
      </c>
      <c r="V11" s="39" t="s">
        <v>377</v>
      </c>
      <c r="W11" s="60"/>
    </row>
    <row r="12" spans="2:23" ht="60" customHeight="1">
      <c r="B12" s="16" t="s">
        <v>257</v>
      </c>
      <c r="C12" s="39" t="s">
        <v>379</v>
      </c>
      <c r="D12" s="39"/>
      <c r="E12" s="39"/>
      <c r="F12" s="39"/>
      <c r="G12" s="39"/>
      <c r="H12" s="39"/>
      <c r="I12" s="39"/>
      <c r="J12" s="39"/>
      <c r="K12" s="39"/>
      <c r="L12" s="39"/>
      <c r="M12" s="39"/>
      <c r="N12" s="39"/>
      <c r="O12" s="39"/>
      <c r="P12" s="39"/>
      <c r="Q12" s="39"/>
      <c r="R12" s="39"/>
      <c r="S12" s="39"/>
      <c r="T12" s="39"/>
      <c r="U12" s="39"/>
      <c r="V12" s="39"/>
      <c r="W12" s="60" t="s">
        <v>445</v>
      </c>
    </row>
    <row r="13" spans="2:23" ht="60" customHeight="1">
      <c r="B13" s="36" t="s">
        <v>252</v>
      </c>
      <c r="C13" s="39" t="s">
        <v>380</v>
      </c>
      <c r="D13" s="39" t="s">
        <v>380</v>
      </c>
      <c r="E13" s="39" t="s">
        <v>380</v>
      </c>
      <c r="F13" s="39" t="s">
        <v>381</v>
      </c>
      <c r="G13" s="39" t="s">
        <v>380</v>
      </c>
      <c r="H13" s="39" t="s">
        <v>380</v>
      </c>
      <c r="I13" s="39" t="s">
        <v>380</v>
      </c>
      <c r="J13" s="39" t="s">
        <v>380</v>
      </c>
      <c r="K13" s="39" t="s">
        <v>380</v>
      </c>
      <c r="L13" s="39" t="s">
        <v>380</v>
      </c>
      <c r="M13" s="39" t="s">
        <v>380</v>
      </c>
      <c r="N13" s="39" t="s">
        <v>380</v>
      </c>
      <c r="O13" s="39" t="s">
        <v>380</v>
      </c>
      <c r="P13" s="39" t="s">
        <v>380</v>
      </c>
      <c r="Q13" s="39" t="s">
        <v>380</v>
      </c>
      <c r="R13" s="39" t="s">
        <v>380</v>
      </c>
      <c r="S13" s="39" t="s">
        <v>380</v>
      </c>
      <c r="T13" s="39" t="s">
        <v>380</v>
      </c>
      <c r="U13" s="39" t="s">
        <v>380</v>
      </c>
      <c r="V13" s="39" t="s">
        <v>380</v>
      </c>
      <c r="W13" s="60"/>
    </row>
    <row r="14" spans="2:23" ht="60" customHeight="1">
      <c r="B14" s="16" t="s">
        <v>248</v>
      </c>
      <c r="C14" s="39" t="s">
        <v>339</v>
      </c>
      <c r="D14" s="39" t="s">
        <v>339</v>
      </c>
      <c r="E14" s="39" t="s">
        <v>339</v>
      </c>
      <c r="F14" s="39" t="s">
        <v>339</v>
      </c>
      <c r="G14" s="39" t="s">
        <v>339</v>
      </c>
      <c r="H14" s="39" t="s">
        <v>339</v>
      </c>
      <c r="I14" s="39" t="s">
        <v>339</v>
      </c>
      <c r="J14" s="39" t="s">
        <v>339</v>
      </c>
      <c r="K14" s="39" t="s">
        <v>339</v>
      </c>
      <c r="L14" s="39" t="s">
        <v>339</v>
      </c>
      <c r="M14" s="39" t="s">
        <v>339</v>
      </c>
      <c r="N14" s="39" t="s">
        <v>339</v>
      </c>
      <c r="O14" s="39" t="s">
        <v>339</v>
      </c>
      <c r="P14" s="39" t="s">
        <v>339</v>
      </c>
      <c r="Q14" s="39" t="s">
        <v>339</v>
      </c>
      <c r="R14" s="39" t="s">
        <v>339</v>
      </c>
      <c r="S14" s="39" t="s">
        <v>339</v>
      </c>
      <c r="T14" s="39" t="s">
        <v>339</v>
      </c>
      <c r="U14" s="39" t="s">
        <v>339</v>
      </c>
      <c r="V14" s="39" t="s">
        <v>339</v>
      </c>
      <c r="W14" s="60"/>
    </row>
    <row r="15" spans="2:23" ht="60" customHeight="1">
      <c r="B15" s="16" t="s">
        <v>251</v>
      </c>
      <c r="C15" s="39" t="s">
        <v>339</v>
      </c>
      <c r="D15" s="39" t="s">
        <v>339</v>
      </c>
      <c r="E15" s="39" t="s">
        <v>339</v>
      </c>
      <c r="F15" s="39" t="s">
        <v>339</v>
      </c>
      <c r="G15" s="39" t="s">
        <v>339</v>
      </c>
      <c r="H15" s="39" t="s">
        <v>339</v>
      </c>
      <c r="I15" s="39" t="s">
        <v>339</v>
      </c>
      <c r="J15" s="39" t="s">
        <v>339</v>
      </c>
      <c r="K15" s="39" t="s">
        <v>339</v>
      </c>
      <c r="L15" s="39" t="s">
        <v>339</v>
      </c>
      <c r="M15" s="39" t="s">
        <v>339</v>
      </c>
      <c r="N15" s="39" t="s">
        <v>339</v>
      </c>
      <c r="O15" s="39" t="s">
        <v>339</v>
      </c>
      <c r="P15" s="39" t="s">
        <v>339</v>
      </c>
      <c r="Q15" s="39" t="s">
        <v>339</v>
      </c>
      <c r="R15" s="39" t="s">
        <v>339</v>
      </c>
      <c r="S15" s="39" t="s">
        <v>339</v>
      </c>
      <c r="T15" s="39" t="s">
        <v>339</v>
      </c>
      <c r="U15" s="39" t="s">
        <v>339</v>
      </c>
      <c r="V15" s="39" t="s">
        <v>339</v>
      </c>
      <c r="W15" s="60"/>
    </row>
    <row r="16" spans="2:23" ht="60" customHeight="1">
      <c r="B16" s="36" t="s">
        <v>253</v>
      </c>
      <c r="C16" s="39" t="s">
        <v>382</v>
      </c>
      <c r="D16" s="39" t="s">
        <v>382</v>
      </c>
      <c r="E16" s="39" t="s">
        <v>382</v>
      </c>
      <c r="F16" s="39" t="s">
        <v>383</v>
      </c>
      <c r="G16" s="39" t="s">
        <v>382</v>
      </c>
      <c r="H16" s="39"/>
      <c r="I16" s="39"/>
      <c r="J16" s="39"/>
      <c r="K16" s="39"/>
      <c r="L16" s="39"/>
      <c r="M16" s="39"/>
      <c r="N16" s="39"/>
      <c r="O16" s="39"/>
      <c r="P16" s="39"/>
      <c r="Q16" s="39"/>
      <c r="R16" s="39"/>
      <c r="S16" s="39"/>
      <c r="T16" s="39"/>
      <c r="U16" s="39"/>
      <c r="V16" s="39"/>
      <c r="W16" s="60"/>
    </row>
    <row r="17" spans="2:23" ht="60" customHeight="1">
      <c r="B17" s="16" t="s">
        <v>249</v>
      </c>
      <c r="C17" s="39" t="s">
        <v>384</v>
      </c>
      <c r="D17" s="39" t="s">
        <v>385</v>
      </c>
      <c r="E17" s="39" t="s">
        <v>386</v>
      </c>
      <c r="F17" s="39" t="s">
        <v>387</v>
      </c>
      <c r="G17" s="39" t="s">
        <v>386</v>
      </c>
      <c r="H17" s="39" t="s">
        <v>388</v>
      </c>
      <c r="I17" s="39" t="s">
        <v>389</v>
      </c>
      <c r="J17" s="39" t="s">
        <v>390</v>
      </c>
      <c r="K17" s="39" t="s">
        <v>391</v>
      </c>
      <c r="L17" s="39" t="s">
        <v>392</v>
      </c>
      <c r="M17" s="39" t="s">
        <v>339</v>
      </c>
      <c r="N17" s="39" t="s">
        <v>339</v>
      </c>
      <c r="O17" s="39" t="s">
        <v>339</v>
      </c>
      <c r="P17" s="39" t="s">
        <v>339</v>
      </c>
      <c r="Q17" s="39" t="s">
        <v>393</v>
      </c>
      <c r="R17" s="39" t="s">
        <v>339</v>
      </c>
      <c r="S17" s="39" t="s">
        <v>393</v>
      </c>
      <c r="T17" s="39" t="s">
        <v>393</v>
      </c>
      <c r="U17" s="39" t="s">
        <v>339</v>
      </c>
      <c r="V17" s="39" t="s">
        <v>386</v>
      </c>
      <c r="W17" s="60"/>
    </row>
    <row r="18" spans="2:23" ht="60" customHeight="1">
      <c r="B18" s="16" t="s">
        <v>250</v>
      </c>
      <c r="C18" s="39" t="s">
        <v>394</v>
      </c>
      <c r="D18" s="39" t="s">
        <v>395</v>
      </c>
      <c r="E18" s="39"/>
      <c r="F18" s="39" t="s">
        <v>396</v>
      </c>
      <c r="G18" s="39"/>
      <c r="H18" s="39" t="s">
        <v>396</v>
      </c>
      <c r="I18" s="39" t="s">
        <v>396</v>
      </c>
      <c r="J18" s="39"/>
      <c r="K18" s="39"/>
      <c r="L18" s="39" t="s">
        <v>339</v>
      </c>
      <c r="M18" s="39" t="s">
        <v>339</v>
      </c>
      <c r="N18" s="39" t="s">
        <v>339</v>
      </c>
      <c r="O18" s="39" t="s">
        <v>339</v>
      </c>
      <c r="P18" s="39" t="s">
        <v>339</v>
      </c>
      <c r="Q18" s="39"/>
      <c r="R18" s="39" t="s">
        <v>339</v>
      </c>
      <c r="S18" s="39"/>
      <c r="T18" s="39" t="s">
        <v>339</v>
      </c>
      <c r="U18" s="39" t="s">
        <v>339</v>
      </c>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zoomScale="40" zoomScaleNormal="40" workbookViewId="0">
      <selection activeCell="B7" sqref="B7"/>
    </sheetView>
  </sheetViews>
  <sheetFormatPr defaultColWidth="10.796875" defaultRowHeight="15.6"/>
  <cols>
    <col min="1" max="1" width="5.5" customWidth="1"/>
  </cols>
  <sheetData>
    <row r="3" spans="2:11" ht="34.049999999999997" customHeight="1">
      <c r="B3" s="85" t="s">
        <v>224</v>
      </c>
      <c r="C3" s="85"/>
      <c r="D3" s="85"/>
      <c r="E3" s="85"/>
      <c r="F3" s="85"/>
      <c r="G3" s="85"/>
      <c r="H3" s="85"/>
      <c r="I3" s="85"/>
      <c r="J3" s="85"/>
      <c r="K3" s="85"/>
    </row>
    <row r="4" spans="2:11" ht="34.049999999999997" customHeight="1">
      <c r="B4" s="85"/>
      <c r="C4" s="85"/>
      <c r="D4" s="85"/>
      <c r="E4" s="85"/>
      <c r="F4" s="85"/>
      <c r="G4" s="85"/>
      <c r="H4" s="85"/>
      <c r="I4" s="85"/>
      <c r="J4" s="85"/>
      <c r="K4" s="85"/>
    </row>
    <row r="5" spans="2:11" ht="34.049999999999997" customHeight="1">
      <c r="B5" s="85"/>
      <c r="C5" s="85"/>
      <c r="D5" s="85"/>
      <c r="E5" s="85"/>
      <c r="F5" s="85"/>
      <c r="G5" s="85"/>
      <c r="H5" s="85"/>
      <c r="I5" s="85"/>
      <c r="J5" s="85"/>
      <c r="K5" s="85"/>
    </row>
    <row r="6" spans="2:11" ht="34.049999999999997" customHeight="1">
      <c r="B6" s="85"/>
      <c r="C6" s="85"/>
      <c r="D6" s="85"/>
      <c r="E6" s="85"/>
      <c r="F6" s="85"/>
      <c r="G6" s="85"/>
      <c r="H6" s="85"/>
      <c r="I6" s="85"/>
      <c r="J6" s="85"/>
      <c r="K6" s="85"/>
    </row>
    <row r="12" spans="2:11">
      <c r="B12" s="57"/>
    </row>
    <row r="15" spans="2:11">
      <c r="B15" s="57"/>
    </row>
    <row r="18" spans="2:2">
      <c r="B18" s="57"/>
    </row>
    <row r="21" spans="2:2">
      <c r="B21" s="57"/>
    </row>
    <row r="24" spans="2:2">
      <c r="B24" s="57"/>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A8" zoomScale="40" zoomScaleNormal="40" workbookViewId="0">
      <selection activeCell="F18" sqref="F18"/>
    </sheetView>
  </sheetViews>
  <sheetFormatPr defaultColWidth="10.796875" defaultRowHeight="20.399999999999999"/>
  <cols>
    <col min="1" max="1" width="4.19921875" style="54" customWidth="1"/>
    <col min="2" max="2" width="200.796875" style="10" customWidth="1"/>
    <col min="3" max="3" width="67.5" style="13" customWidth="1"/>
    <col min="4" max="16384" width="10.796875" style="48"/>
  </cols>
  <sheetData>
    <row r="2" spans="2:4" ht="21">
      <c r="B2" s="8" t="s">
        <v>233</v>
      </c>
      <c r="C2" s="11"/>
    </row>
    <row r="3" spans="2:4" ht="21">
      <c r="B3" s="41" t="s">
        <v>231</v>
      </c>
      <c r="C3" s="56"/>
    </row>
    <row r="4" spans="2:4" ht="21">
      <c r="B4" s="55" t="s">
        <v>260</v>
      </c>
      <c r="C4" s="56"/>
    </row>
    <row r="5" spans="2:4" ht="81.599999999999994">
      <c r="B5" s="53" t="s">
        <v>282</v>
      </c>
      <c r="C5" s="47" t="s">
        <v>36</v>
      </c>
      <c r="D5" s="49" t="s">
        <v>283</v>
      </c>
    </row>
    <row r="6" spans="2:4" ht="21">
      <c r="B6" s="55" t="s">
        <v>259</v>
      </c>
      <c r="C6" s="56"/>
      <c r="D6" s="49"/>
    </row>
    <row r="7" spans="2:4" ht="61.2">
      <c r="B7" s="53" t="s">
        <v>221</v>
      </c>
      <c r="C7" s="47" t="s">
        <v>36</v>
      </c>
      <c r="D7" s="49" t="s">
        <v>276</v>
      </c>
    </row>
    <row r="8" spans="2:4" ht="21">
      <c r="B8" s="55" t="s">
        <v>258</v>
      </c>
      <c r="C8" s="56"/>
    </row>
    <row r="9" spans="2:4" ht="61.2">
      <c r="B9" s="53" t="s">
        <v>222</v>
      </c>
      <c r="C9" s="47" t="s">
        <v>36</v>
      </c>
    </row>
    <row r="10" spans="2:4" ht="21">
      <c r="B10" s="55" t="s">
        <v>279</v>
      </c>
      <c r="C10" s="56"/>
    </row>
    <row r="11" spans="2:4" ht="61.2">
      <c r="B11" s="53" t="s">
        <v>317</v>
      </c>
      <c r="C11" s="47" t="s">
        <v>36</v>
      </c>
    </row>
    <row r="12" spans="2:4" ht="21">
      <c r="B12" s="41" t="s">
        <v>230</v>
      </c>
      <c r="C12" s="56"/>
    </row>
    <row r="13" spans="2:4" ht="21">
      <c r="B13" s="55" t="s">
        <v>232</v>
      </c>
      <c r="C13" s="56"/>
    </row>
    <row r="14" spans="2:4" ht="61.2">
      <c r="B14" s="53" t="s">
        <v>219</v>
      </c>
      <c r="C14" s="47" t="s">
        <v>37</v>
      </c>
    </row>
    <row r="15" spans="2:4" ht="21">
      <c r="B15" s="55" t="s">
        <v>228</v>
      </c>
      <c r="C15" s="56"/>
    </row>
    <row r="16" spans="2:4" ht="61.2">
      <c r="B16" s="53" t="s">
        <v>220</v>
      </c>
      <c r="C16" s="47" t="s">
        <v>37</v>
      </c>
    </row>
    <row r="17" spans="2:3" ht="21">
      <c r="B17" s="55" t="s">
        <v>229</v>
      </c>
      <c r="C17" s="56"/>
    </row>
    <row r="18" spans="2:3" ht="61.2">
      <c r="B18" s="53" t="s">
        <v>223</v>
      </c>
      <c r="C18" s="47" t="s">
        <v>36</v>
      </c>
    </row>
    <row r="19" spans="2:3" ht="21">
      <c r="B19" s="55" t="s">
        <v>261</v>
      </c>
      <c r="C19" s="56"/>
    </row>
    <row r="20" spans="2:3" ht="61.2">
      <c r="B20" s="53" t="s">
        <v>281</v>
      </c>
      <c r="C20" s="47" t="s">
        <v>36</v>
      </c>
    </row>
    <row r="21" spans="2:3" ht="21">
      <c r="B21" s="55" t="s">
        <v>298</v>
      </c>
      <c r="C21" s="56"/>
    </row>
    <row r="22" spans="2:3" ht="81.599999999999994">
      <c r="B22" s="53" t="s">
        <v>300</v>
      </c>
      <c r="C22" s="47" t="s">
        <v>36</v>
      </c>
    </row>
    <row r="23" spans="2:3" ht="21">
      <c r="B23" s="55" t="s">
        <v>303</v>
      </c>
      <c r="C23" s="56"/>
    </row>
    <row r="24" spans="2:3" ht="102">
      <c r="B24" s="53" t="s">
        <v>301</v>
      </c>
      <c r="C24" s="47" t="s">
        <v>36</v>
      </c>
    </row>
    <row r="25" spans="2:3" ht="21">
      <c r="B25" s="55" t="s">
        <v>299</v>
      </c>
      <c r="C25" s="56"/>
    </row>
    <row r="26" spans="2:3" ht="81.599999999999994">
      <c r="B26" s="53" t="s">
        <v>302</v>
      </c>
      <c r="C26" s="47" t="s">
        <v>36</v>
      </c>
    </row>
    <row r="27" spans="2:3" ht="21">
      <c r="B27" s="55" t="s">
        <v>313</v>
      </c>
      <c r="C27" s="56"/>
    </row>
    <row r="28" spans="2:3" ht="81.599999999999994">
      <c r="B28" s="53" t="s">
        <v>315</v>
      </c>
      <c r="C28" s="47" t="s">
        <v>36</v>
      </c>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796875" defaultRowHeight="15"/>
  <cols>
    <col min="1" max="1" width="14.69921875" style="1" bestFit="1" customWidth="1"/>
    <col min="2" max="2" width="10.796875" style="1"/>
    <col min="3" max="3" width="60" style="1" bestFit="1" customWidth="1"/>
    <col min="4" max="4" width="10.796875" style="1"/>
    <col min="5" max="5" width="7.19921875" style="1" bestFit="1" customWidth="1"/>
    <col min="6" max="6" width="10.796875" style="1"/>
    <col min="7" max="7" width="17" style="1" bestFit="1" customWidth="1"/>
    <col min="8" max="8" width="21" style="1" customWidth="1"/>
    <col min="9" max="10" width="10.796875" style="1"/>
    <col min="11" max="11" width="12" style="1" customWidth="1"/>
    <col min="12" max="16384" width="10.796875" style="1"/>
  </cols>
  <sheetData>
    <row r="1" spans="1:7" ht="15.6">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Abeez Shanavas</cp:lastModifiedBy>
  <cp:lastPrinted>2018-09-13T16:04:18Z</cp:lastPrinted>
  <dcterms:created xsi:type="dcterms:W3CDTF">2018-09-10T17:18:27Z</dcterms:created>
  <dcterms:modified xsi:type="dcterms:W3CDTF">2025-12-04T12:45:54Z</dcterms:modified>
</cp:coreProperties>
</file>