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Users/amer/Library/CloudStorage/Box-Box/CAPEX GSSM Collaboration/2026 Global Suppliers RFI/Stiwa/"/>
    </mc:Choice>
  </mc:AlternateContent>
  <xr:revisionPtr revIDLastSave="0" documentId="8_{47ED5C3B-2526-A44C-A6B9-772AAA11DE95}" xr6:coauthVersionLast="47" xr6:coauthVersionMax="47" xr10:uidLastSave="{00000000-0000-0000-0000-000000000000}"/>
  <bookViews>
    <workbookView xWindow="160" yWindow="920" windowWidth="29920" windowHeight="17440" activeTab="3"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<sst xmlns="http://schemas.openxmlformats.org/spreadsheetml/2006/main" count="505" uniqueCount="392">
  <si>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</si>
  <si>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</si>
  <si>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</si>
  <si>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</si>
  <si>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</si>
  <si>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</si>
  <si>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</si>
  <si>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</si>
  <si>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</si>
  <si>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</si>
  <si>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</si>
  <si>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</si>
  <si>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</si>
  <si>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</si>
  <si>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</si>
  <si>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</si>
  <si>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</si>
  <si>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</si>
  <si>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</si>
  <si>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</si>
  <si>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</si>
  <si>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</si>
  <si>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</si>
  <si>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</si>
  <si>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</si>
  <si>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</si>
  <si>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</si>
  <si>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</si>
  <si>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</si>
  <si>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</si>
  <si>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</si>
  <si>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</si>
  <si>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</si>
  <si>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</si>
  <si>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</si>
  <si>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</si>
  <si>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</si>
  <si>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</si>
  <si>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</si>
  <si>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</si>
  <si>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</si>
  <si>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</si>
  <si>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</si>
  <si>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</si>
  <si>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</si>
  <si>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</si>
  <si>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</si>
  <si>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</si>
  <si>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</si>
  <si>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</si>
  <si>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</si>
  <si>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</si>
  <si>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</si>
  <si>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</si>
  <si>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</si>
  <si>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</si>
  <si>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</si>
  <si>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</si>
  <si>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</si>
  <si>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</si>
  <si>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</si>
  <si>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</si>
  <si>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</si>
  <si>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</si>
  <si>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</si>
  <si>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</si>
  <si>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</si>
  <si>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</si>
  <si>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</si>
  <si>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</si>
  <si>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</si>
  <si>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</si>
  <si>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</si>
  <si>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</si>
  <si>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</si>
  <si>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</si>
  <si>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</si>
  <si>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</si>
  <si>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</si>
  <si>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</si>
  <si>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</si>
  <si>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</si>
  <si>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</si>
  <si>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</si>
  <si>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</si>
  <si>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</si>
  <si>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</si>
  <si>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</si>
  <si>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</si>
  <si>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</si>
  <si>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</si>
  <si>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</si>
  <si>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</si>
  <si>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</si>
  <si>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</si>
  <si>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</si>
  <si>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</si>
  <si>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</si>
  <si>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</si>
  <si>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</si>
  <si>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</si>
  <si>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</si>
  <si>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</si>
  <si>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</si>
  <si>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</si>
  <si>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</si>
  <si>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</si>
  <si>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</si>
  <si>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</si>
  <si>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</si>
  <si>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</si>
  <si>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</si>
  <si>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</si>
  <si>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</si>
  <si>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</si>
  <si>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</si>
  <si>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</si>
  <si>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</si>
  <si>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</si>
  <si>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</si>
  <si>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</si>
  <si>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</si>
  <si>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</si>
  <si>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</si>
  <si>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</si>
  <si>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</si>
  <si>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</si>
  <si>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</si>
  <si>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</si>
  <si>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</si>
  <si>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</si>
  <si>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</si>
  <si>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</si>
  <si>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</si>
  <si>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</si>
  <si>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</si>
  <si>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</si>
  <si>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</si>
  <si>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</si>
  <si>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</si>
  <si>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</si>
  <si>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</si>
  <si>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</si>
  <si>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</si>
  <si>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</si>
  <si>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</si>
  <si>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</si>
  <si>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</si>
  <si>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</si>
  <si>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</si>
  <si>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</si>
  <si>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</si>
  <si>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</si>
  <si>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</si>
  <si>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</si>
  <si>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</si>
  <si>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</si>
  <si>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</si>
  <si>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</si>
  <si>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</si>
  <si>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</si>
  <si>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</si>
  <si>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</si>
  <si>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</si>
  <si>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</si>
  <si>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</si>
  <si>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</si>
  <si>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</si>
  <si>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</si>
  <si>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</si>
  <si>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</si>
  <si>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</si>
  <si>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</si>
  <si>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</si>
  <si>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</si>
  <si>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</si>
  <si>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</si>
  <si>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</si>
  <si>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</si>
  <si>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</si>
  <si>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</si>
  <si>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</si>
  <si>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</si>
  <si>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</si>
  <si>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</si>
  <si>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</si>
  <si>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</si>
  <si>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</si>
  <si>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</si>
  <si>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</si>
  <si>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</si>
  <si>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</si>
  <si>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</si>
  <si>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</si>
  <si>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</si>
  <si>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</si>
  <si>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</si>
  <si>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</si>
  <si>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</si>
  <si>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</si>
  <si>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</si>
  <si>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</si>
  <si>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</si>
  <si>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</si>
  <si>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</si>
  <si>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</si>
  <si>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</si>
  <si>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</si>
  <si>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</si>
  <si>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</si>
  <si>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</si>
  <si>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</si>
  <si>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</si>
  <si>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</si>
  <si>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</si>
  <si>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</si>
  <si>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</si>
  <si>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</si>
  <si>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</si>
  <si>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</si>
  <si>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</si>
  <si>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</si>
  <si>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</si>
  <si>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</si>
  <si>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</si>
  <si>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</si>
  <si>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</si>
  <si>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</si>
  <si>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</si>
  <si>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</si>
  <si>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</si>
  <si>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</si>
  <si>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</si>
  <si>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</si>
  <si>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</si>
  <si>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</si>
  <si>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</si>
  <si>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</si>
  <si>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</si>
  <si>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</si>
  <si>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</si>
  <si>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</si>
  <si>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</si>
  <si>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</si>
  <si>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</si>
  <si>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</si>
  <si>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</si>
  <si>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</si>
  <si>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</si>
  <si>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</si>
  <si>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</si>
  <si>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</si>
  <si>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</si>
  <si>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</si>
  <si>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</si>
  <si>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</si>
  <si>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</si>
  <si>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</si>
  <si>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</si>
  <si>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</si>
  <si>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</si>
  <si>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</si>
  <si>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</si>
  <si>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</si>
  <si>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</si>
  <si>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</si>
  <si>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</si>
  <si>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</si>
  <si>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</si>
  <si>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</si>
  <si>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</si>
  <si>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</si>
  <si>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</si>
  <si>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</si>
  <si>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</si>
  <si>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</si>
  <si>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</si>
  <si>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</si>
  <si>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</si>
  <si>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</si>
  <si>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</si>
  <si>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</si>
  <si>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</si>
  <si>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</si>
  <si>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</si>
  <si>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</si>
  <si>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</si>
  <si>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</si>
  <si>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</si>
  <si>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</si>
  <si>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</si>
  <si>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</si>
  <si>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</si>
  <si>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</si>
  <si>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</si>
  <si>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</si>
  <si>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</si>
  <si>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</si>
  <si>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</si>
  <si>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</si>
  <si>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</si>
  <si>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</si>
  <si>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</si>
  <si>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</si>
  <si>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</si>
  <si>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</si>
  <si>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</si>
  <si>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</si>
  <si>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</si>
  <si>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</si>
  <si>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</si>
  <si>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</si>
  <si>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</si>
  <si>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</si>
  <si>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</si>
  <si>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</si>
  <si>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</si>
  <si>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r>
      <t xml:space="preserve">Participant's Proposal to this Request for Information (“RFI”) shall be sent via email by no later than </t>
    </r>
    <r>
      <rPr>
        <b/>
        <sz val="16"/>
        <color rgb="FFFF0000"/>
        <rFont val="SF Hello Regular"/>
      </rPr>
      <t>Friday August 1, 5PM (PT)</t>
    </r>
  </si>
  <si>
    <t xml:space="preserve">Amer Mokaddem
Global Sourcing &amp; Supply Management
+1-408-464-1693
amokaddem@apple.com   </t>
  </si>
  <si>
    <r>
      <t xml:space="preserve">All Proposals shall be submitted via email to Procurement Contact no later than </t>
    </r>
    <r>
      <rPr>
        <b/>
        <sz val="16"/>
        <color rgb="FFFF0000"/>
        <rFont val="SF Hello Regular"/>
      </rPr>
      <t>as indicated on Introduction tab.</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</si>
  <si>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www.stiwa.com</t>
  </si>
  <si>
    <t>Peter Sticht</t>
  </si>
  <si>
    <t>Gerald Berger</t>
  </si>
  <si>
    <t>Gerhard Berer</t>
  </si>
  <si>
    <t>Michael Scherübl</t>
  </si>
  <si>
    <t>Jürgen Götschhofer</t>
  </si>
  <si>
    <t>Ing. Mag.</t>
  </si>
  <si>
    <t>peter.sticht@stiwa.com</t>
  </si>
  <si>
    <t>+43 664 80803 264</t>
  </si>
  <si>
    <t>gerhard.berer@stiwa.com</t>
  </si>
  <si>
    <t>+43 664 80803 507</t>
  </si>
  <si>
    <t>Mag.</t>
  </si>
  <si>
    <t>gerald.berger@stiwa.com</t>
  </si>
  <si>
    <t>+43 664 80803 862</t>
  </si>
  <si>
    <t>michael.scheruebl@stiwa.com</t>
  </si>
  <si>
    <t>+43 664 80803 454</t>
  </si>
  <si>
    <t xml:space="preserve">Ing.  </t>
  </si>
  <si>
    <t>juergen.goetschhofer@stiwa.com</t>
  </si>
  <si>
    <t>+43 664 80803 258</t>
  </si>
  <si>
    <t>STIWA Holding GmbH</t>
  </si>
  <si>
    <t>Attnang-Puchheim, Austria</t>
  </si>
  <si>
    <t>Salzburger Str. 52, 4800 Attnang-Puchheim</t>
  </si>
  <si>
    <t>STIWA Automation GmbH</t>
  </si>
  <si>
    <t>Gampern, Austria</t>
  </si>
  <si>
    <t>Technologiepark 10
4851 Gampern</t>
  </si>
  <si>
    <t>STIWA Advanced Products GmbH</t>
  </si>
  <si>
    <t>STIWA AMS GmbH</t>
  </si>
  <si>
    <t>Hagenberg, Austria</t>
  </si>
  <si>
    <t>Softwarepark 37, 4232 Hagenberg im Mühlkreis</t>
  </si>
  <si>
    <t xml:space="preserve">STIWA US Inc. </t>
  </si>
  <si>
    <t>Rock Hill, USA</t>
  </si>
  <si>
    <t>1704 Prter Road, Rock Hill, SC 29730</t>
  </si>
  <si>
    <t>Europe</t>
  </si>
  <si>
    <t>We manufacture production parts and assemblies in-house and program our software tools.</t>
  </si>
  <si>
    <t>We work with local regular suppliers (framework agreements), have defined minimum stock levels and track ongoing deliveries.</t>
  </si>
  <si>
    <t>07/23/2025</t>
  </si>
  <si>
    <t>STIWA US Inc.</t>
  </si>
  <si>
    <t>private</t>
  </si>
  <si>
    <t>limited</t>
  </si>
  <si>
    <t>Robert Schinazi</t>
  </si>
  <si>
    <t>Ph.D.</t>
  </si>
  <si>
    <t>robert.schinazi@stiwa.com</t>
  </si>
  <si>
    <t>+1 8032309229</t>
  </si>
  <si>
    <t>Andreas Prokesch</t>
  </si>
  <si>
    <t>DI(FH) MSc</t>
  </si>
  <si>
    <t>andreas.prokesch@stiwa.com</t>
  </si>
  <si>
    <t>+1 7049575772</t>
  </si>
  <si>
    <t>Josef Brandmayr</t>
  </si>
  <si>
    <t>Michael Fuchshuber</t>
  </si>
  <si>
    <t>Europa</t>
  </si>
  <si>
    <t>Asia</t>
  </si>
  <si>
    <t>America</t>
  </si>
  <si>
    <t>We are certified ISO9001, ISO14001, IATF16949, TISAX</t>
  </si>
  <si>
    <t>Low</t>
  </si>
  <si>
    <t>USA, Canada, Mexico</t>
  </si>
  <si>
    <t>China, Asia</t>
  </si>
  <si>
    <t>C-Level (CEO, CFO, …), local and global</t>
  </si>
  <si>
    <t>High</t>
  </si>
  <si>
    <t>N/A</t>
  </si>
  <si>
    <t>Medium</t>
  </si>
  <si>
    <t>josef.brandmayr@stiwa.com</t>
  </si>
  <si>
    <t>+43 664 80803 260</t>
  </si>
  <si>
    <t>michael.fuchshuber@stiwa.com</t>
  </si>
  <si>
    <t>+43 664 80803 266</t>
  </si>
  <si>
    <t>Nantong, China</t>
  </si>
  <si>
    <t>70# Jiangguang Road, 226010 Nantong, Jiangsu</t>
  </si>
  <si>
    <t>CEO STIWA Automation GmbH</t>
  </si>
  <si>
    <t>CEO STIWA Advanced Products GmbH</t>
  </si>
  <si>
    <t>CEO STIWA AMS GmbH</t>
  </si>
  <si>
    <t>STIWA Nantong Automation Machinery Production Co., Ltd.</t>
  </si>
  <si>
    <t>Machining, Contract Manufacturing, HR, ….</t>
  </si>
  <si>
    <t>Europe, South America,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</si>
</sst>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_-[$$-409]* #,##0_ ;_-[$$-409]* \-#,##0\ ;_-[$$-409]* &quot;-&quot;??_ ;_-@_ "/>
    <numFmt numFmtId="166" formatCode="_-[$$-409]* #,##0.00_ ;_-[$$-409]* \-#,##0.00\ ;_-[$$-409]* &quot;-&quot;_ ;_-@_ "/>
  </numFmts>
  <fonts count="31">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12"/>
      <color rgb="FFFFFFFF"/>
      <name val="Arial"/>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4" fontId="1" fillId="0" borderId="0" applyFont="0" applyFill="0" applyBorder="0" applyAlignment="0" applyProtection="0">
      <alignment vertical="center"/>
    </xf>
  </cellStyleXfs>
  <cellXfs count="87">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5"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30" fillId="5" borderId="1" xfId="0" applyFont="1" applyFill="1" applyBorder="1" applyAlignment="1" applyProtection="1">
      <alignment horizontal="center" vertical="center" wrapText="1"/>
      <protection locked="0"/>
    </xf>
    <xf numFmtId="0" fontId="30" fillId="5" borderId="1" xfId="0" applyFont="1" applyFill="1" applyBorder="1" applyAlignment="1" applyProtection="1">
      <alignment horizontal="left" vertical="center" wrapText="1" indent="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A4" zoomScale="58" zoomScaleNormal="58" workbookViewId="0">
      <selection activeCell="D8" sqref="D8"/>
    </sheetView>
  </sheetViews>
  <sheetFormatPr baseColWidth="10" defaultColWidth="10.83203125" defaultRowHeight="21"/>
  <cols>
    <col min="1" max="1" width="10.83203125" style="48"/>
    <col min="2" max="2" width="200.83203125" style="10" customWidth="1"/>
    <col min="3" max="16384" width="10.83203125" style="48"/>
  </cols>
  <sheetData>
    <row r="2" spans="2:2" ht="22">
      <c r="B2" s="8" t="s">
        <v>212</v>
      </c>
    </row>
    <row r="3" spans="2:2" ht="22">
      <c r="B3" s="41" t="s">
        <v>174</v>
      </c>
    </row>
    <row r="4" spans="2:2" ht="88">
      <c r="B4" s="9" t="s">
        <v>113</v>
      </c>
    </row>
    <row r="5" spans="2:2" ht="22">
      <c r="B5" s="41" t="s">
        <v>175</v>
      </c>
    </row>
    <row r="6" spans="2:2" ht="44">
      <c r="B6" s="9" t="s">
        <v>114</v>
      </c>
    </row>
    <row r="7" spans="2:2" ht="22">
      <c r="B7" s="41" t="s">
        <v>176</v>
      </c>
    </row>
    <row r="8" spans="2:2" ht="308">
      <c r="B8" s="9" t="s">
        <v>292</v>
      </c>
    </row>
    <row r="9" spans="2:2" ht="22">
      <c r="B9" s="41" t="s">
        <v>177</v>
      </c>
    </row>
    <row r="10" spans="2:2" ht="22">
      <c r="B10" s="9" t="s">
        <v>317</v>
      </c>
    </row>
    <row r="11" spans="2:2" ht="22">
      <c r="B11" s="41" t="s">
        <v>178</v>
      </c>
    </row>
    <row r="12" spans="2:2" ht="44">
      <c r="B12" s="9" t="s">
        <v>115</v>
      </c>
    </row>
    <row r="13" spans="2:2" ht="22">
      <c r="B13" s="41" t="s">
        <v>179</v>
      </c>
    </row>
    <row r="14" spans="2:2" ht="88">
      <c r="B14" s="69" t="s">
        <v>318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22" zoomScale="56" zoomScaleNormal="56" workbookViewId="0">
      <selection activeCell="B30" sqref="B30"/>
    </sheetView>
  </sheetViews>
  <sheetFormatPr baseColWidth="10" defaultColWidth="10.83203125" defaultRowHeight="21"/>
  <cols>
    <col min="1" max="1" width="10.83203125" style="48"/>
    <col min="2" max="2" width="200.83203125" style="10" customWidth="1"/>
    <col min="3" max="16384" width="10.83203125" style="48"/>
  </cols>
  <sheetData>
    <row r="2" spans="2:2" ht="22">
      <c r="B2" s="8" t="s">
        <v>116</v>
      </c>
    </row>
    <row r="3" spans="2:2" ht="22">
      <c r="B3" s="40" t="s">
        <v>160</v>
      </c>
    </row>
    <row r="4" spans="2:2" ht="66">
      <c r="B4" s="9" t="s">
        <v>117</v>
      </c>
    </row>
    <row r="5" spans="2:2" ht="22">
      <c r="B5" s="41" t="s">
        <v>161</v>
      </c>
    </row>
    <row r="6" spans="2:2" ht="44">
      <c r="B6" s="9" t="s">
        <v>118</v>
      </c>
    </row>
    <row r="7" spans="2:2" ht="22">
      <c r="B7" s="41" t="s">
        <v>162</v>
      </c>
    </row>
    <row r="8" spans="2:2" ht="66">
      <c r="B8" s="9" t="s">
        <v>319</v>
      </c>
    </row>
    <row r="9" spans="2:2" ht="22">
      <c r="B9" s="41" t="s">
        <v>163</v>
      </c>
    </row>
    <row r="10" spans="2:2" ht="44">
      <c r="B10" s="9" t="s">
        <v>119</v>
      </c>
    </row>
    <row r="11" spans="2:2" ht="22">
      <c r="B11" s="41" t="s">
        <v>164</v>
      </c>
    </row>
    <row r="12" spans="2:2" ht="132">
      <c r="B12" s="9" t="s">
        <v>120</v>
      </c>
    </row>
    <row r="13" spans="2:2" ht="22">
      <c r="B13" s="41" t="s">
        <v>165</v>
      </c>
    </row>
    <row r="14" spans="2:2" ht="88">
      <c r="B14" s="9" t="s">
        <v>121</v>
      </c>
    </row>
    <row r="15" spans="2:2" ht="22">
      <c r="B15" s="41" t="s">
        <v>166</v>
      </c>
    </row>
    <row r="16" spans="2:2" ht="176">
      <c r="B16" s="9" t="s">
        <v>122</v>
      </c>
    </row>
    <row r="17" spans="2:2" ht="22">
      <c r="B17" s="41" t="s">
        <v>167</v>
      </c>
    </row>
    <row r="18" spans="2:2" ht="66">
      <c r="B18" s="9" t="s">
        <v>123</v>
      </c>
    </row>
    <row r="19" spans="2:2" ht="22">
      <c r="B19" s="41" t="s">
        <v>168</v>
      </c>
    </row>
    <row r="20" spans="2:2" ht="132">
      <c r="B20" s="9" t="s">
        <v>124</v>
      </c>
    </row>
    <row r="21" spans="2:2" ht="22">
      <c r="B21" s="41" t="s">
        <v>169</v>
      </c>
    </row>
    <row r="22" spans="2:2" ht="66">
      <c r="B22" s="9" t="s">
        <v>125</v>
      </c>
    </row>
    <row r="23" spans="2:2" ht="22">
      <c r="B23" s="41" t="s">
        <v>170</v>
      </c>
    </row>
    <row r="24" spans="2:2" ht="242">
      <c r="B24" s="9" t="s">
        <v>126</v>
      </c>
    </row>
    <row r="25" spans="2:2" ht="22">
      <c r="B25" s="41" t="s">
        <v>171</v>
      </c>
    </row>
    <row r="26" spans="2:2" ht="176">
      <c r="B26" s="9" t="s">
        <v>127</v>
      </c>
    </row>
    <row r="27" spans="2:2" ht="22">
      <c r="B27" s="41" t="s">
        <v>172</v>
      </c>
    </row>
    <row r="28" spans="2:2" ht="44">
      <c r="B28" s="9" t="s">
        <v>128</v>
      </c>
    </row>
    <row r="29" spans="2:2" ht="22">
      <c r="B29" s="41" t="s">
        <v>173</v>
      </c>
    </row>
    <row r="30" spans="2:2" ht="44">
      <c r="B30" s="9" t="s">
        <v>129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topLeftCell="B3" workbookViewId="0">
      <selection activeCell="C4" sqref="C4"/>
    </sheetView>
  </sheetViews>
  <sheetFormatPr baseColWidth="10" defaultColWidth="10.83203125" defaultRowHeight="21"/>
  <cols>
    <col min="1" max="1" width="10.83203125" style="48"/>
    <col min="2" max="2" width="141.5" style="10" customWidth="1"/>
    <col min="3" max="3" width="40.83203125" style="13" customWidth="1"/>
    <col min="4" max="16384" width="10.83203125" style="48"/>
  </cols>
  <sheetData>
    <row r="2" spans="2:3" ht="22">
      <c r="B2" s="8" t="s">
        <v>130</v>
      </c>
      <c r="C2" s="11"/>
    </row>
    <row r="3" spans="2:3" ht="22">
      <c r="B3" s="40" t="s">
        <v>151</v>
      </c>
      <c r="C3" s="11"/>
    </row>
    <row r="4" spans="2:3" ht="220">
      <c r="B4" s="12" t="s">
        <v>131</v>
      </c>
      <c r="C4" s="47" t="s">
        <v>36</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pageSetUpPr fitToPage="1"/>
  </sheetPr>
  <dimension ref="A1:G25"/>
  <sheetViews>
    <sheetView showGridLines="0" tabSelected="1" topLeftCell="B1" zoomScale="134" zoomScaleNormal="60" workbookViewId="0">
      <selection activeCell="G17" sqref="G17"/>
    </sheetView>
  </sheetViews>
  <sheetFormatPr baseColWidth="10" defaultColWidth="10.83203125" defaultRowHeight="19"/>
  <cols>
    <col min="1" max="1" width="3.5" style="15" customWidth="1"/>
    <col min="2" max="2" width="74.6640625" style="15" customWidth="1"/>
    <col min="3" max="4" width="29.1640625" style="15" customWidth="1"/>
    <col min="5" max="5" width="30.33203125" style="15" bestFit="1" customWidth="1"/>
    <col min="6" max="6" width="29.1640625" style="15" customWidth="1"/>
    <col min="7" max="7" width="38.33203125" style="15" customWidth="1"/>
    <col min="8" max="8" width="10.83203125" style="3" customWidth="1"/>
    <col min="9" max="16384" width="10.83203125" style="3"/>
  </cols>
  <sheetData>
    <row r="1" spans="1:7" ht="26" customHeight="1">
      <c r="B1" s="14" t="s">
        <v>234</v>
      </c>
    </row>
    <row r="2" spans="1:7" ht="26" customHeight="1">
      <c r="A2" s="15">
        <v>1</v>
      </c>
      <c r="B2" s="16" t="s">
        <v>132</v>
      </c>
      <c r="C2" s="17" t="s">
        <v>355</v>
      </c>
    </row>
    <row r="3" spans="1:7" ht="26" customHeight="1">
      <c r="A3" s="15">
        <v>2</v>
      </c>
      <c r="B3" s="16" t="s">
        <v>14</v>
      </c>
      <c r="C3" s="18" t="s">
        <v>356</v>
      </c>
    </row>
    <row r="4" spans="1:7" ht="26" customHeight="1">
      <c r="A4" s="15">
        <v>3</v>
      </c>
      <c r="B4" s="16" t="s">
        <v>13</v>
      </c>
      <c r="C4" s="18" t="s">
        <v>339</v>
      </c>
      <c r="E4" s="19"/>
    </row>
    <row r="5" spans="1:7" ht="26" customHeight="1">
      <c r="A5" s="15">
        <v>4</v>
      </c>
      <c r="B5" s="16" t="s">
        <v>133</v>
      </c>
      <c r="C5" s="18" t="s">
        <v>340</v>
      </c>
      <c r="E5" s="19"/>
    </row>
    <row r="6" spans="1:7" ht="26" customHeight="1">
      <c r="A6" s="15">
        <v>5</v>
      </c>
      <c r="B6" s="16" t="s">
        <v>0</v>
      </c>
      <c r="C6" s="20" t="s">
        <v>320</v>
      </c>
      <c r="E6" s="19"/>
    </row>
    <row r="7" spans="1:7" ht="26" customHeight="1">
      <c r="A7" s="15">
        <v>6</v>
      </c>
      <c r="B7" s="16" t="s">
        <v>1</v>
      </c>
      <c r="C7" s="18" t="s">
        <v>357</v>
      </c>
      <c r="E7" s="19"/>
    </row>
    <row r="8" spans="1:7" ht="26" customHeight="1">
      <c r="A8" s="15">
        <v>7</v>
      </c>
      <c r="B8" s="16" t="s">
        <v>2</v>
      </c>
      <c r="C8" s="18"/>
    </row>
    <row r="9" spans="1:7" ht="26" customHeight="1">
      <c r="A9" s="15">
        <v>8</v>
      </c>
      <c r="B9" s="16" t="s">
        <v>134</v>
      </c>
      <c r="C9" s="18" t="s">
        <v>358</v>
      </c>
    </row>
    <row r="10" spans="1:7" ht="26" customHeight="1">
      <c r="A10" s="15">
        <v>9</v>
      </c>
      <c r="B10" s="16" t="s">
        <v>5</v>
      </c>
      <c r="C10" s="18">
        <v>2070</v>
      </c>
    </row>
    <row r="11" spans="1:7">
      <c r="A11" s="15">
        <v>10</v>
      </c>
      <c r="B11" s="16" t="s">
        <v>3</v>
      </c>
      <c r="C11" s="18">
        <v>1972</v>
      </c>
    </row>
    <row r="12" spans="1:7">
      <c r="A12" s="15">
        <v>11</v>
      </c>
      <c r="B12" s="16" t="s">
        <v>4</v>
      </c>
      <c r="C12" s="18"/>
      <c r="F12" s="21"/>
    </row>
    <row r="15" spans="1:7" ht="40">
      <c r="B15" s="24" t="s">
        <v>135</v>
      </c>
      <c r="C15" s="25" t="s">
        <v>136</v>
      </c>
      <c r="D15" s="25" t="s">
        <v>19</v>
      </c>
      <c r="E15" s="25" t="s">
        <v>112</v>
      </c>
      <c r="F15" s="25" t="s">
        <v>20</v>
      </c>
      <c r="G15" s="26" t="s">
        <v>137</v>
      </c>
    </row>
    <row r="16" spans="1:7" ht="20">
      <c r="B16" s="27" t="s">
        <v>21</v>
      </c>
      <c r="C16" s="18" t="s">
        <v>321</v>
      </c>
      <c r="D16" s="18" t="s">
        <v>326</v>
      </c>
      <c r="E16" s="18" t="s">
        <v>51</v>
      </c>
      <c r="F16" s="20" t="s">
        <v>327</v>
      </c>
      <c r="G16" s="28" t="s">
        <v>328</v>
      </c>
    </row>
    <row r="17" spans="2:7" ht="20">
      <c r="B17" s="27" t="s">
        <v>138</v>
      </c>
      <c r="C17" s="18" t="s">
        <v>359</v>
      </c>
      <c r="D17" s="18" t="s">
        <v>360</v>
      </c>
      <c r="E17" s="18" t="s">
        <v>102</v>
      </c>
      <c r="F17" s="20" t="s">
        <v>361</v>
      </c>
      <c r="G17" s="28" t="s">
        <v>362</v>
      </c>
    </row>
    <row r="18" spans="2:7" ht="20">
      <c r="B18" s="27" t="s">
        <v>139</v>
      </c>
      <c r="C18" s="18" t="s">
        <v>363</v>
      </c>
      <c r="D18" s="18" t="s">
        <v>364</v>
      </c>
      <c r="E18" s="18" t="s">
        <v>102</v>
      </c>
      <c r="F18" s="20" t="s">
        <v>365</v>
      </c>
      <c r="G18" s="28" t="s">
        <v>366</v>
      </c>
    </row>
    <row r="19" spans="2:7" ht="20">
      <c r="B19" s="27" t="s">
        <v>140</v>
      </c>
      <c r="C19" s="18" t="s">
        <v>322</v>
      </c>
      <c r="D19" s="18" t="s">
        <v>331</v>
      </c>
      <c r="E19" s="18" t="s">
        <v>51</v>
      </c>
      <c r="F19" s="20" t="s">
        <v>332</v>
      </c>
      <c r="G19" s="28" t="s">
        <v>333</v>
      </c>
    </row>
    <row r="20" spans="2:7" ht="20">
      <c r="B20" s="29" t="s">
        <v>141</v>
      </c>
      <c r="C20" s="22" t="s">
        <v>323</v>
      </c>
      <c r="D20" s="22"/>
      <c r="E20" s="18" t="s">
        <v>51</v>
      </c>
      <c r="F20" s="23" t="s">
        <v>329</v>
      </c>
      <c r="G20" s="28" t="s">
        <v>330</v>
      </c>
    </row>
    <row r="21" spans="2:7" ht="20">
      <c r="B21" s="27" t="s">
        <v>142</v>
      </c>
      <c r="C21" s="18" t="s">
        <v>324</v>
      </c>
      <c r="D21" s="18"/>
      <c r="E21" s="18" t="s">
        <v>51</v>
      </c>
      <c r="F21" s="20" t="s">
        <v>334</v>
      </c>
      <c r="G21" s="28" t="s">
        <v>335</v>
      </c>
    </row>
    <row r="22" spans="2:7" ht="34">
      <c r="B22" s="27" t="s">
        <v>143</v>
      </c>
      <c r="C22" s="18" t="s">
        <v>325</v>
      </c>
      <c r="D22" s="22" t="s">
        <v>336</v>
      </c>
      <c r="E22" s="18" t="s">
        <v>51</v>
      </c>
      <c r="F22" s="20" t="s">
        <v>337</v>
      </c>
      <c r="G22" s="28" t="s">
        <v>338</v>
      </c>
    </row>
    <row r="23" spans="2:7" ht="40">
      <c r="B23" s="27" t="s">
        <v>144</v>
      </c>
      <c r="C23" s="18" t="s">
        <v>367</v>
      </c>
      <c r="D23" s="22" t="s">
        <v>387</v>
      </c>
      <c r="E23" s="18" t="s">
        <v>51</v>
      </c>
      <c r="F23" s="20" t="s">
        <v>380</v>
      </c>
      <c r="G23" s="28" t="s">
        <v>381</v>
      </c>
    </row>
    <row r="24" spans="2:7" ht="40">
      <c r="B24" s="27" t="s">
        <v>210</v>
      </c>
      <c r="C24" s="18" t="s">
        <v>368</v>
      </c>
      <c r="D24" s="18" t="s">
        <v>386</v>
      </c>
      <c r="E24" s="18" t="s">
        <v>51</v>
      </c>
      <c r="F24" s="20" t="s">
        <v>382</v>
      </c>
      <c r="G24" s="28" t="s">
        <v>383</v>
      </c>
    </row>
    <row r="25" spans="2:7" ht="20">
      <c r="B25" s="27" t="s">
        <v>210</v>
      </c>
      <c r="C25" s="30" t="s">
        <v>321</v>
      </c>
      <c r="D25" s="30" t="s">
        <v>388</v>
      </c>
      <c r="E25" s="30" t="s">
        <v>51</v>
      </c>
      <c r="F25" s="31" t="s">
        <v>327</v>
      </c>
      <c r="G25" s="32" t="s">
        <v>328</v>
      </c>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0866141732283472" right="0.70866141732283472" top="0.74803149606299213" bottom="0.74803149606299213" header="0.31496062992125984" footer="0.31496062992125984"/>
  <pageSetup paperSize="9" scale="51"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pageSetUpPr fitToPage="1"/>
  </sheetPr>
  <dimension ref="A1:I10"/>
  <sheetViews>
    <sheetView showGridLines="0" topLeftCell="A3" zoomScaleNormal="100" workbookViewId="0">
      <selection activeCell="B14" sqref="B14"/>
    </sheetView>
  </sheetViews>
  <sheetFormatPr baseColWidth="10" defaultColWidth="10.83203125" defaultRowHeight="16"/>
  <cols>
    <col min="1" max="1" width="4.83203125" customWidth="1"/>
    <col min="2" max="2" width="53.83203125" customWidth="1"/>
    <col min="3" max="8" width="28.1640625" customWidth="1"/>
    <col min="9" max="16384" width="10.83203125" style="1"/>
  </cols>
  <sheetData>
    <row r="1" spans="2:9" ht="51" customHeight="1">
      <c r="B1" s="14" t="s">
        <v>211</v>
      </c>
    </row>
    <row r="2" spans="2:9" ht="51" customHeight="1">
      <c r="B2" s="16" t="s">
        <v>145</v>
      </c>
      <c r="C2" s="16">
        <v>2022</v>
      </c>
      <c r="D2" s="16">
        <v>2023</v>
      </c>
      <c r="E2" s="16">
        <v>2024</v>
      </c>
      <c r="F2" s="16" t="s">
        <v>208</v>
      </c>
      <c r="G2" s="16" t="s">
        <v>146</v>
      </c>
      <c r="H2" s="16" t="s">
        <v>147</v>
      </c>
    </row>
    <row r="3" spans="2:9" ht="51" customHeight="1">
      <c r="B3" s="33" t="s">
        <v>9</v>
      </c>
      <c r="C3" s="58"/>
      <c r="D3" s="58"/>
      <c r="E3" s="58"/>
      <c r="F3" s="58"/>
      <c r="G3" s="58"/>
      <c r="H3" s="58"/>
    </row>
    <row r="4" spans="2:9" ht="51" customHeight="1">
      <c r="B4" s="33" t="s">
        <v>10</v>
      </c>
      <c r="C4" s="58">
        <v>400</v>
      </c>
      <c r="D4" s="58">
        <v>416</v>
      </c>
      <c r="E4" s="58">
        <v>440</v>
      </c>
      <c r="F4" s="58">
        <v>353</v>
      </c>
      <c r="G4" s="58">
        <v>350</v>
      </c>
      <c r="H4" s="58">
        <v>390</v>
      </c>
      <c r="I4" s="4"/>
    </row>
    <row r="5" spans="2:9" ht="51" customHeight="1">
      <c r="B5" s="33" t="s">
        <v>11</v>
      </c>
      <c r="C5" s="58"/>
      <c r="D5" s="58"/>
      <c r="E5" s="58"/>
      <c r="F5" s="58"/>
      <c r="G5" s="58"/>
      <c r="H5" s="58"/>
      <c r="I5" s="4" t="s">
        <v>18</v>
      </c>
    </row>
    <row r="6" spans="2:9" ht="51" customHeight="1">
      <c r="B6" s="33" t="s">
        <v>285</v>
      </c>
      <c r="C6" s="58"/>
      <c r="D6" s="58"/>
      <c r="E6" s="58"/>
      <c r="F6" s="58"/>
      <c r="G6" s="58"/>
      <c r="H6" s="58"/>
      <c r="I6" s="2" t="s">
        <v>150</v>
      </c>
    </row>
    <row r="8" spans="2:9" ht="19">
      <c r="B8" s="16" t="s">
        <v>145</v>
      </c>
      <c r="C8" s="16">
        <v>2023</v>
      </c>
      <c r="D8" s="16">
        <v>2023</v>
      </c>
      <c r="E8" s="16">
        <v>2024</v>
      </c>
      <c r="F8" s="16" t="s">
        <v>208</v>
      </c>
      <c r="G8" s="16" t="s">
        <v>146</v>
      </c>
      <c r="H8" s="16" t="s">
        <v>147</v>
      </c>
    </row>
    <row r="9" spans="2:9" ht="19">
      <c r="B9" s="33" t="s">
        <v>148</v>
      </c>
      <c r="C9" s="59">
        <v>270</v>
      </c>
      <c r="D9" s="59">
        <v>277</v>
      </c>
      <c r="E9" s="59">
        <v>296</v>
      </c>
      <c r="F9" s="59">
        <v>260</v>
      </c>
      <c r="G9" s="59">
        <v>248</v>
      </c>
      <c r="H9" s="59">
        <v>286</v>
      </c>
    </row>
    <row r="10" spans="2:9" ht="19">
      <c r="B10" s="33" t="s">
        <v>149</v>
      </c>
      <c r="C10" s="59">
        <v>38</v>
      </c>
      <c r="D10" s="59">
        <v>20</v>
      </c>
      <c r="E10" s="59">
        <v>24</v>
      </c>
      <c r="F10" s="59">
        <v>10</v>
      </c>
      <c r="G10" s="59">
        <v>1</v>
      </c>
      <c r="H10" s="59">
        <v>26</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0866141732283472" right="0.70866141732283472" top="0.74803149606299213" bottom="0.74803149606299213" header="0.31496062992125984" footer="0.31496062992125984"/>
  <pageSetup paperSize="9" scale="4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pageSetUpPr fitToPage="1"/>
  </sheetPr>
  <dimension ref="A1:H29"/>
  <sheetViews>
    <sheetView showGridLines="0" topLeftCell="A18" zoomScale="50" zoomScaleNormal="50" workbookViewId="0">
      <selection activeCell="D24" sqref="D24:H24"/>
    </sheetView>
  </sheetViews>
  <sheetFormatPr baseColWidth="10" defaultColWidth="10.83203125" defaultRowHeight="26" customHeight="1"/>
  <cols>
    <col min="1" max="1" width="6.1640625" style="63" customWidth="1"/>
    <col min="2" max="2" width="59" style="35" customWidth="1"/>
    <col min="3" max="3" width="38.5" style="3" customWidth="1"/>
    <col min="4" max="8" width="38.5" style="6" customWidth="1"/>
    <col min="9" max="11" width="29.1640625" style="3" customWidth="1"/>
    <col min="12" max="16384" width="10.83203125" style="3"/>
  </cols>
  <sheetData>
    <row r="1" spans="1:8" s="15" customFormat="1" ht="51" customHeight="1">
      <c r="A1" s="61"/>
      <c r="B1" s="34" t="s">
        <v>294</v>
      </c>
    </row>
    <row r="2" spans="1:8" s="35" customFormat="1" ht="56" customHeight="1">
      <c r="A2" s="62"/>
      <c r="B2" s="16"/>
      <c r="C2" s="16" t="s">
        <v>15</v>
      </c>
      <c r="D2" s="36" t="s">
        <v>107</v>
      </c>
      <c r="E2" s="36" t="s">
        <v>108</v>
      </c>
      <c r="F2" s="36" t="s">
        <v>109</v>
      </c>
      <c r="G2" s="36" t="s">
        <v>110</v>
      </c>
      <c r="H2" s="36" t="s">
        <v>111</v>
      </c>
    </row>
    <row r="3" spans="1:8" ht="60" customHeight="1">
      <c r="A3" s="63">
        <v>1</v>
      </c>
      <c r="B3" s="16" t="s">
        <v>152</v>
      </c>
      <c r="C3" s="37" t="s">
        <v>339</v>
      </c>
      <c r="D3" s="37" t="s">
        <v>342</v>
      </c>
      <c r="E3" s="37" t="s">
        <v>345</v>
      </c>
      <c r="F3" s="18" t="s">
        <v>346</v>
      </c>
      <c r="G3" s="75" t="s">
        <v>389</v>
      </c>
      <c r="H3" s="18" t="s">
        <v>349</v>
      </c>
    </row>
    <row r="4" spans="1:8" ht="60" customHeight="1">
      <c r="A4" s="63">
        <v>2</v>
      </c>
      <c r="B4" s="16" t="s">
        <v>153</v>
      </c>
      <c r="C4" s="18" t="s">
        <v>340</v>
      </c>
      <c r="D4" s="18" t="s">
        <v>340</v>
      </c>
      <c r="E4" s="18" t="s">
        <v>343</v>
      </c>
      <c r="F4" s="18" t="s">
        <v>347</v>
      </c>
      <c r="G4" s="50" t="s">
        <v>384</v>
      </c>
      <c r="H4" s="18" t="s">
        <v>350</v>
      </c>
    </row>
    <row r="5" spans="1:8" ht="60" customHeight="1">
      <c r="A5" s="63">
        <v>3</v>
      </c>
      <c r="B5" s="16" t="s">
        <v>154</v>
      </c>
      <c r="C5" s="18" t="s">
        <v>341</v>
      </c>
      <c r="D5" s="18" t="s">
        <v>341</v>
      </c>
      <c r="E5" s="18" t="s">
        <v>344</v>
      </c>
      <c r="F5" s="74" t="s">
        <v>348</v>
      </c>
      <c r="G5" s="74" t="s">
        <v>385</v>
      </c>
      <c r="H5" s="18" t="s">
        <v>351</v>
      </c>
    </row>
    <row r="6" spans="1:8" ht="60" customHeight="1">
      <c r="A6" s="63">
        <v>4</v>
      </c>
      <c r="B6" s="36" t="s">
        <v>155</v>
      </c>
      <c r="C6" s="18"/>
      <c r="D6" s="18"/>
      <c r="E6" s="18"/>
      <c r="F6" s="74"/>
      <c r="G6" s="74"/>
      <c r="H6" s="18"/>
    </row>
    <row r="7" spans="1:8" ht="86" customHeight="1">
      <c r="A7" s="63">
        <v>5</v>
      </c>
      <c r="B7" s="36" t="s">
        <v>156</v>
      </c>
      <c r="C7" s="18"/>
      <c r="D7" s="18"/>
      <c r="E7" s="18"/>
      <c r="F7" s="18"/>
      <c r="G7" s="18"/>
      <c r="H7" s="18"/>
    </row>
    <row r="8" spans="1:8" ht="86" customHeight="1">
      <c r="A8" s="63">
        <v>6</v>
      </c>
      <c r="B8" s="36" t="s">
        <v>157</v>
      </c>
      <c r="C8" s="18"/>
      <c r="D8" s="18"/>
      <c r="E8" s="18"/>
      <c r="F8" s="18"/>
      <c r="G8" s="18"/>
      <c r="H8" s="18"/>
    </row>
    <row r="9" spans="1:8" ht="60" customHeight="1">
      <c r="A9" s="63">
        <v>7</v>
      </c>
      <c r="B9" s="16" t="s">
        <v>158</v>
      </c>
      <c r="C9" s="38">
        <v>2000</v>
      </c>
      <c r="D9" s="38">
        <v>14000</v>
      </c>
      <c r="E9" s="39">
        <v>58000</v>
      </c>
      <c r="F9" s="39">
        <v>1000</v>
      </c>
      <c r="G9" s="39">
        <v>10000</v>
      </c>
      <c r="H9" s="39">
        <v>6000</v>
      </c>
    </row>
    <row r="10" spans="1:8" ht="60" customHeight="1">
      <c r="A10" s="63">
        <v>8</v>
      </c>
      <c r="B10" s="36" t="s">
        <v>277</v>
      </c>
      <c r="C10" s="38"/>
      <c r="D10" s="38"/>
      <c r="E10" s="39"/>
      <c r="F10" s="39"/>
      <c r="G10" s="39"/>
      <c r="H10" s="39"/>
    </row>
    <row r="11" spans="1:8" ht="60" customHeight="1">
      <c r="A11" s="63">
        <v>9</v>
      </c>
      <c r="B11" s="36" t="s">
        <v>206</v>
      </c>
      <c r="C11" s="18"/>
      <c r="D11" s="18"/>
      <c r="E11" s="18"/>
      <c r="F11" s="18"/>
      <c r="G11" s="18"/>
      <c r="H11" s="18"/>
    </row>
    <row r="12" spans="1:8" ht="60" customHeight="1">
      <c r="A12" s="63">
        <v>10</v>
      </c>
      <c r="B12" s="36" t="s">
        <v>205</v>
      </c>
      <c r="C12" s="18"/>
      <c r="D12" s="18"/>
      <c r="E12" s="18"/>
      <c r="F12" s="18"/>
      <c r="G12" s="18"/>
      <c r="H12" s="18"/>
    </row>
    <row r="13" spans="1:8" ht="60" customHeight="1">
      <c r="A13" s="63">
        <v>11</v>
      </c>
      <c r="B13" s="36" t="s">
        <v>278</v>
      </c>
      <c r="C13" s="18"/>
      <c r="D13" s="18"/>
      <c r="E13" s="18"/>
      <c r="F13" s="18"/>
      <c r="G13" s="18"/>
      <c r="H13" s="18"/>
    </row>
    <row r="14" spans="1:8" ht="60" customHeight="1">
      <c r="A14" s="63">
        <v>12</v>
      </c>
      <c r="B14" s="36" t="s">
        <v>203</v>
      </c>
      <c r="C14" s="18"/>
      <c r="D14" s="18"/>
      <c r="E14" s="18"/>
      <c r="F14" s="18"/>
      <c r="G14" s="18"/>
      <c r="H14" s="18"/>
    </row>
    <row r="15" spans="1:8" ht="60" customHeight="1">
      <c r="A15" s="63">
        <v>13</v>
      </c>
      <c r="B15" s="36" t="s">
        <v>281</v>
      </c>
      <c r="C15" s="18"/>
      <c r="D15" s="18"/>
      <c r="E15" s="18"/>
      <c r="F15" s="18"/>
      <c r="G15" s="18"/>
      <c r="H15" s="18"/>
    </row>
    <row r="16" spans="1:8" ht="60" customHeight="1">
      <c r="A16" s="63">
        <v>14</v>
      </c>
      <c r="B16" s="36" t="s">
        <v>204</v>
      </c>
      <c r="C16" s="18" t="s">
        <v>369</v>
      </c>
      <c r="D16" s="18" t="s">
        <v>352</v>
      </c>
      <c r="E16" s="18" t="s">
        <v>352</v>
      </c>
      <c r="F16" s="18" t="s">
        <v>352</v>
      </c>
      <c r="G16" s="18" t="s">
        <v>370</v>
      </c>
      <c r="H16" s="18" t="s">
        <v>371</v>
      </c>
    </row>
    <row r="18" spans="1:8" ht="61" customHeight="1">
      <c r="A18" s="63">
        <v>15</v>
      </c>
      <c r="B18" s="76" t="s">
        <v>227</v>
      </c>
      <c r="C18" s="76"/>
      <c r="D18" s="77" t="s">
        <v>56</v>
      </c>
      <c r="E18" s="78"/>
      <c r="F18" s="78"/>
      <c r="G18" s="78"/>
      <c r="H18" s="79"/>
    </row>
    <row r="19" spans="1:8" ht="61" customHeight="1">
      <c r="A19" s="63">
        <v>16</v>
      </c>
      <c r="B19" s="76" t="s">
        <v>213</v>
      </c>
      <c r="C19" s="76"/>
      <c r="D19" s="77"/>
      <c r="E19" s="78"/>
      <c r="F19" s="78"/>
      <c r="G19" s="78"/>
      <c r="H19" s="79"/>
    </row>
    <row r="20" spans="1:8" ht="61" customHeight="1">
      <c r="A20" s="63">
        <v>17</v>
      </c>
      <c r="B20" s="76" t="s">
        <v>200</v>
      </c>
      <c r="C20" s="76"/>
      <c r="D20" s="77" t="s">
        <v>37</v>
      </c>
      <c r="E20" s="78"/>
      <c r="F20" s="78"/>
      <c r="G20" s="78"/>
      <c r="H20" s="79"/>
    </row>
    <row r="21" spans="1:8" ht="61" customHeight="1">
      <c r="A21" s="63">
        <v>18</v>
      </c>
      <c r="B21" s="76" t="s">
        <v>159</v>
      </c>
      <c r="C21" s="76"/>
      <c r="D21" s="77"/>
      <c r="E21" s="78"/>
      <c r="F21" s="78"/>
      <c r="G21" s="78"/>
      <c r="H21" s="79"/>
    </row>
    <row r="22" spans="1:8" ht="61" customHeight="1">
      <c r="A22" s="63">
        <v>19</v>
      </c>
      <c r="B22" s="76" t="s">
        <v>201</v>
      </c>
      <c r="C22" s="76"/>
      <c r="D22" s="77" t="s">
        <v>353</v>
      </c>
      <c r="E22" s="78"/>
      <c r="F22" s="78"/>
      <c r="G22" s="78"/>
      <c r="H22" s="79"/>
    </row>
    <row r="23" spans="1:8" ht="61" customHeight="1">
      <c r="A23" s="63">
        <v>20</v>
      </c>
      <c r="B23" s="80" t="s">
        <v>225</v>
      </c>
      <c r="C23" s="81"/>
      <c r="D23" s="77" t="s">
        <v>372</v>
      </c>
      <c r="E23" s="78"/>
      <c r="F23" s="78"/>
      <c r="G23" s="78"/>
      <c r="H23" s="79"/>
    </row>
    <row r="24" spans="1:8" ht="61" customHeight="1">
      <c r="A24" s="63">
        <v>21</v>
      </c>
      <c r="B24" s="80" t="s">
        <v>226</v>
      </c>
      <c r="C24" s="81"/>
      <c r="D24" s="77"/>
      <c r="E24" s="78"/>
      <c r="F24" s="78"/>
      <c r="G24" s="78"/>
      <c r="H24" s="79"/>
    </row>
    <row r="25" spans="1:8" ht="187.75" customHeight="1">
      <c r="A25" s="63">
        <v>22</v>
      </c>
      <c r="B25" s="76" t="s">
        <v>202</v>
      </c>
      <c r="C25" s="76"/>
      <c r="D25" s="77" t="s">
        <v>354</v>
      </c>
      <c r="E25" s="78"/>
      <c r="F25" s="78"/>
      <c r="G25" s="78"/>
      <c r="H25" s="79"/>
    </row>
    <row r="26" spans="1:8" ht="61" customHeight="1"/>
    <row r="27" spans="1:8" ht="61" customHeight="1"/>
    <row r="28" spans="1:8" ht="61" customHeight="1"/>
    <row r="29" spans="1:8" ht="61" customHeight="1"/>
  </sheetData>
  <sheetProtection algorithmName="SHA-512" hashValue="zQUmRTblo7NwmNDoVbXM0yjst7rVPj5/m4axI2ivAgmUPwHZYj2vbWzF/lmehodxi4GZXwtagu0UzxPO76uzxg==" saltValue="p9e4rdm25WVOlVQ/gvBS1w==" spinCount="100000" sheet="1" selectLockedCells="1"/>
  <mergeCells count="16">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 ref="D23:H23"/>
    <mergeCell ref="D24:H24"/>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0866141732283472" right="0.70866141732283472" top="0.74803149606299213" bottom="0.74803149606299213" header="0.31496062992125984" footer="0.31496062992125984"/>
  <pageSetup scale="3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pageSetUpPr fitToPage="1"/>
  </sheetPr>
  <dimension ref="B1:J25"/>
  <sheetViews>
    <sheetView showGridLines="0" topLeftCell="B9" zoomScaleNormal="100" workbookViewId="0">
      <selection activeCell="D8" sqref="D8"/>
    </sheetView>
  </sheetViews>
  <sheetFormatPr baseColWidth="10" defaultColWidth="10.83203125" defaultRowHeight="50" customHeight="1"/>
  <cols>
    <col min="1" max="1" width="5.1640625" style="3" customWidth="1"/>
    <col min="2" max="2" width="53.1640625" style="3" customWidth="1"/>
    <col min="3" max="10" width="32.6640625" style="3" customWidth="1"/>
    <col min="11" max="16384" width="10.83203125" style="3"/>
  </cols>
  <sheetData>
    <row r="1" spans="2:10" ht="50" customHeight="1">
      <c r="B1" s="42" t="s">
        <v>295</v>
      </c>
    </row>
    <row r="2" spans="2:10" ht="50" customHeight="1">
      <c r="B2" s="43"/>
      <c r="C2" s="44" t="s">
        <v>6</v>
      </c>
      <c r="D2" s="44" t="s">
        <v>7</v>
      </c>
      <c r="E2" s="44" t="s">
        <v>8</v>
      </c>
      <c r="F2" s="44" t="s">
        <v>16</v>
      </c>
      <c r="G2" s="44" t="s">
        <v>17</v>
      </c>
      <c r="H2" s="44" t="s">
        <v>180</v>
      </c>
      <c r="I2" s="44" t="s">
        <v>215</v>
      </c>
      <c r="J2" s="44" t="s">
        <v>216</v>
      </c>
    </row>
    <row r="3" spans="2:10" ht="50" customHeight="1">
      <c r="B3" s="44" t="s">
        <v>181</v>
      </c>
      <c r="C3" s="70" t="s">
        <v>102</v>
      </c>
      <c r="D3" s="70" t="s">
        <v>352</v>
      </c>
      <c r="E3" s="70" t="s">
        <v>58</v>
      </c>
      <c r="F3" s="70"/>
      <c r="G3" s="70"/>
      <c r="H3" s="70"/>
      <c r="I3" s="70"/>
      <c r="J3" s="70"/>
    </row>
    <row r="4" spans="2:10" ht="50" customHeight="1">
      <c r="B4" s="45" t="s">
        <v>263</v>
      </c>
      <c r="C4" s="70">
        <v>14</v>
      </c>
      <c r="D4" s="70">
        <v>251</v>
      </c>
      <c r="E4" s="70">
        <v>56</v>
      </c>
      <c r="F4" s="70"/>
      <c r="G4" s="70"/>
      <c r="H4" s="70"/>
      <c r="I4" s="70"/>
      <c r="J4" s="70"/>
    </row>
    <row r="5" spans="2:10" ht="50" customHeight="1">
      <c r="B5" s="45" t="s">
        <v>262</v>
      </c>
      <c r="C5" s="70">
        <v>14</v>
      </c>
      <c r="D5" s="70">
        <v>251</v>
      </c>
      <c r="E5" s="70">
        <v>56</v>
      </c>
      <c r="F5" s="70"/>
      <c r="G5" s="70"/>
      <c r="H5" s="70"/>
      <c r="I5" s="70"/>
      <c r="J5" s="70"/>
    </row>
    <row r="6" spans="2:10" ht="50" customHeight="1">
      <c r="B6" s="45" t="s">
        <v>264</v>
      </c>
      <c r="C6" s="70">
        <v>14</v>
      </c>
      <c r="D6" s="70">
        <v>251</v>
      </c>
      <c r="E6" s="70">
        <v>56</v>
      </c>
      <c r="F6" s="70"/>
      <c r="G6" s="70"/>
      <c r="H6" s="70"/>
      <c r="I6" s="70"/>
      <c r="J6" s="70"/>
    </row>
    <row r="7" spans="2:10" ht="50" customHeight="1">
      <c r="B7" s="45" t="s">
        <v>265</v>
      </c>
      <c r="C7" s="70"/>
      <c r="D7" s="70"/>
      <c r="E7" s="70"/>
      <c r="F7" s="70"/>
      <c r="G7" s="70"/>
      <c r="H7" s="70"/>
      <c r="I7" s="70"/>
      <c r="J7" s="70"/>
    </row>
    <row r="8" spans="2:10" ht="50" customHeight="1">
      <c r="B8" s="45" t="s">
        <v>214</v>
      </c>
      <c r="C8" s="70" t="s">
        <v>373</v>
      </c>
      <c r="D8" s="70" t="s">
        <v>373</v>
      </c>
      <c r="E8" s="70" t="s">
        <v>373</v>
      </c>
      <c r="F8" s="70"/>
      <c r="G8" s="70"/>
      <c r="H8" s="70"/>
      <c r="I8" s="70"/>
      <c r="J8" s="70"/>
    </row>
    <row r="9" spans="2:10" ht="50" customHeight="1">
      <c r="B9" s="45" t="s">
        <v>297</v>
      </c>
      <c r="C9" s="70" t="s">
        <v>373</v>
      </c>
      <c r="D9" s="70" t="s">
        <v>373</v>
      </c>
      <c r="E9" s="70" t="s">
        <v>373</v>
      </c>
      <c r="F9" s="70"/>
      <c r="G9" s="70"/>
      <c r="H9" s="70"/>
      <c r="I9" s="70"/>
      <c r="J9" s="70"/>
    </row>
    <row r="10" spans="2:10" ht="50" customHeight="1">
      <c r="B10" s="64" t="s">
        <v>291</v>
      </c>
      <c r="C10" s="70" t="s">
        <v>374</v>
      </c>
      <c r="D10" s="70" t="s">
        <v>391</v>
      </c>
      <c r="E10" s="70" t="s">
        <v>375</v>
      </c>
      <c r="F10" s="70"/>
      <c r="G10" s="70"/>
      <c r="H10" s="70"/>
      <c r="I10" s="70"/>
      <c r="J10" s="70"/>
    </row>
    <row r="11" spans="2:10" ht="50" customHeight="1">
      <c r="B11" s="45" t="s">
        <v>106</v>
      </c>
      <c r="C11" s="71">
        <v>25</v>
      </c>
      <c r="D11" s="71">
        <v>25</v>
      </c>
      <c r="E11" s="71">
        <v>25</v>
      </c>
      <c r="F11" s="70"/>
      <c r="G11" s="70"/>
      <c r="H11" s="70"/>
      <c r="I11" s="70"/>
      <c r="J11" s="70"/>
    </row>
    <row r="12" spans="2:10" ht="50" customHeight="1">
      <c r="B12" s="45" t="s">
        <v>199</v>
      </c>
      <c r="C12" s="72">
        <v>0.03</v>
      </c>
      <c r="D12" s="73">
        <v>0.05</v>
      </c>
      <c r="E12" s="73">
        <v>0.01</v>
      </c>
      <c r="F12" s="73"/>
      <c r="G12" s="73"/>
      <c r="H12" s="73"/>
      <c r="I12" s="73"/>
      <c r="J12" s="73"/>
    </row>
    <row r="14" spans="2:10" ht="50" customHeight="1">
      <c r="B14" s="83" t="s">
        <v>182</v>
      </c>
      <c r="C14" s="83"/>
      <c r="D14" s="83"/>
    </row>
    <row r="15" spans="2:10" ht="50" customHeight="1">
      <c r="B15" s="16" t="s">
        <v>183</v>
      </c>
      <c r="C15" s="83" t="s">
        <v>184</v>
      </c>
      <c r="D15" s="83"/>
    </row>
    <row r="16" spans="2:10" ht="50" customHeight="1">
      <c r="B16" s="46" t="s">
        <v>185</v>
      </c>
      <c r="C16" s="84" t="s">
        <v>186</v>
      </c>
      <c r="D16" s="84"/>
    </row>
    <row r="17" spans="2:4" ht="50" customHeight="1">
      <c r="B17" s="82" t="s">
        <v>187</v>
      </c>
      <c r="C17" s="82" t="s">
        <v>188</v>
      </c>
      <c r="D17" s="82"/>
    </row>
    <row r="18" spans="2:4" ht="50" customHeight="1">
      <c r="B18" s="82"/>
      <c r="C18" s="82" t="s">
        <v>189</v>
      </c>
      <c r="D18" s="82"/>
    </row>
    <row r="19" spans="2:4" ht="50" customHeight="1">
      <c r="B19" s="82"/>
      <c r="C19" s="82" t="s">
        <v>190</v>
      </c>
      <c r="D19" s="82"/>
    </row>
    <row r="20" spans="2:4" ht="50" customHeight="1">
      <c r="B20" s="82"/>
      <c r="C20" s="82" t="s">
        <v>191</v>
      </c>
      <c r="D20" s="82"/>
    </row>
    <row r="21" spans="2:4" ht="50" customHeight="1">
      <c r="B21" s="82" t="s">
        <v>192</v>
      </c>
      <c r="C21" s="82" t="s">
        <v>193</v>
      </c>
      <c r="D21" s="82"/>
    </row>
    <row r="22" spans="2:4" ht="50" customHeight="1">
      <c r="B22" s="82"/>
      <c r="C22" s="82" t="s">
        <v>194</v>
      </c>
      <c r="D22" s="82"/>
    </row>
    <row r="23" spans="2:4" ht="50" customHeight="1">
      <c r="B23" s="82"/>
      <c r="C23" s="82" t="s">
        <v>195</v>
      </c>
      <c r="D23" s="82"/>
    </row>
    <row r="24" spans="2:4" ht="50" customHeight="1">
      <c r="B24" s="82" t="s">
        <v>196</v>
      </c>
      <c r="C24" s="82" t="s">
        <v>197</v>
      </c>
      <c r="D24" s="82"/>
    </row>
    <row r="25" spans="2:4" ht="50" customHeight="1">
      <c r="B25" s="82"/>
      <c r="C25" s="82" t="s">
        <v>198</v>
      </c>
      <c r="D25" s="82"/>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0866141732283472" right="0.70866141732283472" top="0.74803149606299213" bottom="0.74803149606299213" header="0.31496062992125984" footer="0.31496062992125984"/>
  <pageSetup scale="3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pageSetUpPr fitToPage="1"/>
  </sheetPr>
  <dimension ref="B1:K16"/>
  <sheetViews>
    <sheetView showGridLines="0" topLeftCell="B2" zoomScaleNormal="100" workbookViewId="0">
      <selection activeCell="B6" sqref="B6"/>
    </sheetView>
  </sheetViews>
  <sheetFormatPr baseColWidth="10" defaultColWidth="10.83203125" defaultRowHeight="16"/>
  <cols>
    <col min="1" max="1" width="4.1640625" style="1" customWidth="1"/>
    <col min="2" max="2" width="51.5" style="1" customWidth="1"/>
    <col min="3" max="9" width="29.1640625" style="1" customWidth="1"/>
    <col min="10" max="10" width="57.83203125" style="1" customWidth="1"/>
    <col min="11" max="11" width="31.33203125" style="1" bestFit="1" customWidth="1"/>
    <col min="12" max="15" width="29.1640625" style="1" customWidth="1"/>
    <col min="16" max="16384" width="10.83203125" style="1"/>
  </cols>
  <sheetData>
    <row r="1" spans="2:11" ht="67" customHeight="1">
      <c r="B1" s="34" t="s">
        <v>289</v>
      </c>
    </row>
    <row r="2" spans="2:11" ht="67" customHeight="1">
      <c r="B2" s="33"/>
      <c r="C2" s="16">
        <v>2022</v>
      </c>
      <c r="D2" s="16">
        <v>2023</v>
      </c>
      <c r="E2" s="16">
        <v>2024</v>
      </c>
      <c r="F2" s="16" t="s">
        <v>208</v>
      </c>
      <c r="G2" s="16" t="s">
        <v>146</v>
      </c>
      <c r="H2" s="16" t="s">
        <v>147</v>
      </c>
      <c r="I2" s="16" t="s">
        <v>209</v>
      </c>
      <c r="J2" s="16" t="s">
        <v>207</v>
      </c>
    </row>
    <row r="3" spans="2:11" ht="67" customHeight="1">
      <c r="B3" s="16" t="s">
        <v>266</v>
      </c>
      <c r="C3" s="39"/>
      <c r="D3" s="39"/>
      <c r="E3" s="39"/>
      <c r="F3" s="39">
        <v>78</v>
      </c>
      <c r="G3" s="39"/>
      <c r="H3" s="39"/>
      <c r="I3" s="39"/>
      <c r="J3" s="60"/>
    </row>
    <row r="4" spans="2:11" ht="67" customHeight="1">
      <c r="B4" s="36" t="s">
        <v>267</v>
      </c>
      <c r="C4" s="39"/>
      <c r="D4" s="39"/>
      <c r="E4" s="39"/>
      <c r="F4" s="39">
        <v>35</v>
      </c>
      <c r="G4" s="39"/>
      <c r="H4" s="39"/>
      <c r="I4" s="39"/>
      <c r="J4" s="60"/>
    </row>
    <row r="5" spans="2:11" ht="67" customHeight="1">
      <c r="B5" s="16" t="s">
        <v>268</v>
      </c>
      <c r="C5" s="39"/>
      <c r="D5" s="39"/>
      <c r="E5" s="39"/>
      <c r="F5" s="39">
        <v>456</v>
      </c>
      <c r="G5" s="39"/>
      <c r="H5" s="39"/>
      <c r="I5" s="39"/>
      <c r="J5" s="60"/>
    </row>
    <row r="6" spans="2:11" ht="67" customHeight="1">
      <c r="B6" s="16" t="s">
        <v>269</v>
      </c>
      <c r="C6" s="39"/>
      <c r="D6" s="39"/>
      <c r="E6" s="39"/>
      <c r="F6" s="39"/>
      <c r="G6" s="39"/>
      <c r="H6" s="39"/>
      <c r="I6" s="39"/>
      <c r="J6" s="60"/>
      <c r="K6" s="4" t="s">
        <v>217</v>
      </c>
    </row>
    <row r="7" spans="2:11" ht="67" customHeight="1">
      <c r="B7" s="16" t="s">
        <v>270</v>
      </c>
      <c r="C7" s="39"/>
      <c r="D7" s="39"/>
      <c r="E7" s="39"/>
      <c r="F7" s="39">
        <v>61</v>
      </c>
      <c r="G7" s="39"/>
      <c r="H7" s="39"/>
      <c r="I7" s="39"/>
      <c r="J7" s="60"/>
    </row>
    <row r="8" spans="2:11" ht="67" customHeight="1">
      <c r="B8" s="16" t="s">
        <v>271</v>
      </c>
      <c r="C8" s="39"/>
      <c r="D8" s="39"/>
      <c r="E8" s="39"/>
      <c r="F8" s="39">
        <v>11</v>
      </c>
      <c r="G8" s="39"/>
      <c r="H8" s="39"/>
      <c r="I8" s="39"/>
      <c r="J8" s="60"/>
    </row>
    <row r="9" spans="2:11" ht="67" customHeight="1">
      <c r="B9" s="16" t="s">
        <v>272</v>
      </c>
      <c r="C9" s="39"/>
      <c r="D9" s="39"/>
      <c r="E9" s="39"/>
      <c r="F9" s="39">
        <v>16</v>
      </c>
      <c r="G9" s="39"/>
      <c r="H9" s="39"/>
      <c r="I9" s="39"/>
      <c r="J9" s="60"/>
    </row>
    <row r="10" spans="2:11" ht="67" customHeight="1">
      <c r="B10" s="36" t="s">
        <v>286</v>
      </c>
      <c r="C10" s="39"/>
      <c r="D10" s="39"/>
      <c r="E10" s="39"/>
      <c r="F10" s="39">
        <v>171</v>
      </c>
      <c r="G10" s="39"/>
      <c r="H10" s="39"/>
      <c r="I10" s="39"/>
      <c r="J10" s="60"/>
    </row>
    <row r="11" spans="2:11" ht="67" customHeight="1">
      <c r="B11" s="16" t="s">
        <v>287</v>
      </c>
      <c r="C11" s="39"/>
      <c r="D11" s="39"/>
      <c r="E11" s="39"/>
      <c r="F11" s="39">
        <v>20</v>
      </c>
      <c r="G11" s="39"/>
      <c r="H11" s="39"/>
      <c r="I11" s="39"/>
      <c r="J11" s="60"/>
    </row>
    <row r="12" spans="2:11" ht="67" customHeight="1">
      <c r="B12" s="16" t="s">
        <v>288</v>
      </c>
      <c r="C12" s="39"/>
      <c r="D12" s="39"/>
      <c r="E12" s="39"/>
      <c r="F12" s="39">
        <v>7</v>
      </c>
      <c r="G12" s="39"/>
      <c r="H12" s="39"/>
      <c r="I12" s="39"/>
      <c r="J12" s="60" t="s">
        <v>376</v>
      </c>
    </row>
    <row r="13" spans="2:11" ht="67" customHeight="1">
      <c r="B13" s="16" t="s">
        <v>210</v>
      </c>
      <c r="C13" s="39"/>
      <c r="D13" s="39"/>
      <c r="E13" s="39"/>
      <c r="F13" s="39">
        <v>1215</v>
      </c>
      <c r="G13" s="39"/>
      <c r="H13" s="39"/>
      <c r="I13" s="39"/>
      <c r="J13" s="60" t="s">
        <v>390</v>
      </c>
    </row>
    <row r="14" spans="2:11" ht="67" customHeight="1">
      <c r="B14" s="16" t="s">
        <v>210</v>
      </c>
      <c r="C14" s="39"/>
      <c r="D14" s="39"/>
      <c r="E14" s="39"/>
      <c r="F14" s="39"/>
      <c r="G14" s="39"/>
      <c r="H14" s="39"/>
      <c r="I14" s="39"/>
      <c r="J14" s="60"/>
    </row>
    <row r="15" spans="2:11" ht="67" customHeight="1">
      <c r="B15" s="16" t="s">
        <v>210</v>
      </c>
      <c r="C15" s="39"/>
      <c r="D15" s="39"/>
      <c r="E15" s="39"/>
      <c r="F15" s="39"/>
      <c r="G15" s="39"/>
      <c r="H15" s="39"/>
      <c r="I15" s="39"/>
      <c r="J15" s="60"/>
    </row>
    <row r="16" spans="2:11" ht="19">
      <c r="B16" s="51" t="s">
        <v>218</v>
      </c>
      <c r="C16" s="52">
        <f t="shared" ref="C16:I16" si="0">SUM(C3:C15)</f>
        <v>0</v>
      </c>
      <c r="D16" s="52">
        <f t="shared" si="0"/>
        <v>0</v>
      </c>
      <c r="E16" s="52">
        <f t="shared" si="0"/>
        <v>0</v>
      </c>
      <c r="F16" s="52">
        <f t="shared" si="0"/>
        <v>2070</v>
      </c>
      <c r="G16" s="52">
        <f t="shared" si="0"/>
        <v>0</v>
      </c>
      <c r="H16" s="52">
        <f t="shared" si="0"/>
        <v>0</v>
      </c>
      <c r="I16" s="52">
        <f t="shared" si="0"/>
        <v>0</v>
      </c>
    </row>
  </sheetData>
  <sheetProtection algorithmName="SHA-512" hashValue="pWayqKTpOx63s3zLc4m4aGPKKuSb8adOhevZ0wWthyhvYTVCTEnq7bLF8p8dczIv/WCghbt4WhCQ3pUquMCdFw==" saltValue="HjGdSZStmrB5yzaiPfgXtw=="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25" right="0.25" top="0.75" bottom="0.75" header="0.3" footer="0.3"/>
  <pageSetup scale="3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pageSetUpPr fitToPage="1"/>
  </sheetPr>
  <dimension ref="B2:K5"/>
  <sheetViews>
    <sheetView showGridLines="0" topLeftCell="A3" workbookViewId="0">
      <selection activeCell="C14" sqref="C14"/>
    </sheetView>
  </sheetViews>
  <sheetFormatPr baseColWidth="10" defaultColWidth="10.83203125" defaultRowHeight="16"/>
  <cols>
    <col min="1" max="1" width="5.33203125" customWidth="1"/>
    <col min="2" max="2" width="34.5" customWidth="1"/>
  </cols>
  <sheetData>
    <row r="2" spans="2:11" ht="47" customHeight="1">
      <c r="B2" s="85" t="s">
        <v>315</v>
      </c>
      <c r="C2" s="85"/>
      <c r="D2" s="85"/>
      <c r="E2" s="85"/>
      <c r="F2" s="85"/>
      <c r="G2" s="85"/>
      <c r="H2" s="85"/>
      <c r="I2" s="85"/>
      <c r="J2" s="85"/>
      <c r="K2" s="85"/>
    </row>
    <row r="3" spans="2:11" ht="47" customHeight="1">
      <c r="B3" s="85"/>
      <c r="C3" s="85"/>
      <c r="D3" s="85"/>
      <c r="E3" s="85"/>
      <c r="F3" s="85"/>
      <c r="G3" s="85"/>
      <c r="H3" s="85"/>
      <c r="I3" s="85"/>
      <c r="J3" s="85"/>
      <c r="K3" s="85"/>
    </row>
    <row r="4" spans="2:11" ht="47" customHeight="1">
      <c r="B4" s="85"/>
      <c r="C4" s="85"/>
      <c r="D4" s="85"/>
      <c r="E4" s="85"/>
      <c r="F4" s="85"/>
      <c r="G4" s="85"/>
      <c r="H4" s="85"/>
      <c r="I4" s="85"/>
      <c r="J4" s="85"/>
      <c r="K4" s="85"/>
    </row>
    <row r="5" spans="2:11" ht="47" customHeight="1">
      <c r="B5" s="85"/>
      <c r="C5" s="85"/>
      <c r="D5" s="85"/>
      <c r="E5" s="85"/>
      <c r="F5" s="85"/>
      <c r="G5" s="85"/>
      <c r="H5" s="85"/>
      <c r="I5" s="85"/>
      <c r="J5" s="85"/>
      <c r="K5" s="85"/>
    </row>
  </sheetData>
  <mergeCells count="1">
    <mergeCell ref="B2:K5"/>
  </mergeCells>
  <pageMargins left="0.70866141732283472" right="0.70866141732283472" top="0.74803149606299213" bottom="0.74803149606299213" header="0.31496062992125984" footer="0.31496062992125984"/>
  <pageSetup paperSize="9" scale="58"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pageSetUpPr fitToPage="1"/>
  </sheetPr>
  <dimension ref="A1:W18"/>
  <sheetViews>
    <sheetView zoomScale="60" zoomScaleNormal="60" workbookViewId="0">
      <selection activeCell="C17" sqref="C17"/>
    </sheetView>
  </sheetViews>
  <sheetFormatPr baseColWidth="10" defaultColWidth="11.1640625" defaultRowHeight="16"/>
  <cols>
    <col min="1" max="1" width="4.1640625" style="1" customWidth="1"/>
    <col min="2" max="2" width="51.5" style="1" customWidth="1"/>
    <col min="3" max="22" width="29.1640625" style="1" customWidth="1"/>
    <col min="23" max="23" width="57.83203125" style="1" customWidth="1"/>
  </cols>
  <sheetData>
    <row r="1" spans="2:23" ht="60" customHeight="1">
      <c r="B1" s="34" t="s">
        <v>247</v>
      </c>
    </row>
    <row r="2" spans="2:23" ht="60" customHeight="1">
      <c r="B2" s="65" t="s">
        <v>240</v>
      </c>
      <c r="C2" s="86" t="s">
        <v>242</v>
      </c>
      <c r="D2" s="86"/>
      <c r="E2" s="86"/>
      <c r="F2" s="86"/>
      <c r="G2" s="86" t="s">
        <v>243</v>
      </c>
      <c r="H2" s="86"/>
      <c r="I2" s="86"/>
      <c r="J2" s="86"/>
      <c r="K2" s="86"/>
      <c r="L2" s="86" t="s">
        <v>306</v>
      </c>
      <c r="M2" s="86"/>
      <c r="N2" s="86"/>
      <c r="O2" s="86"/>
      <c r="P2" s="86"/>
      <c r="Q2" s="86"/>
      <c r="R2" s="86"/>
      <c r="S2" s="86" t="s">
        <v>244</v>
      </c>
      <c r="T2" s="86"/>
      <c r="U2" s="86"/>
      <c r="V2" s="86"/>
    </row>
    <row r="3" spans="2:23" ht="60" customHeight="1">
      <c r="B3" s="16" t="s">
        <v>241</v>
      </c>
      <c r="C3" s="66" t="s">
        <v>245</v>
      </c>
      <c r="D3" s="66" t="s">
        <v>298</v>
      </c>
      <c r="E3" s="66" t="s">
        <v>235</v>
      </c>
      <c r="F3" s="66" t="s">
        <v>293</v>
      </c>
      <c r="G3" s="66" t="s">
        <v>41</v>
      </c>
      <c r="H3" s="66" t="s">
        <v>246</v>
      </c>
      <c r="I3" s="66" t="s">
        <v>236</v>
      </c>
      <c r="J3" s="66" t="s">
        <v>237</v>
      </c>
      <c r="K3" s="66" t="s">
        <v>290</v>
      </c>
      <c r="L3" s="66" t="s">
        <v>307</v>
      </c>
      <c r="M3" s="67" t="s">
        <v>313</v>
      </c>
      <c r="N3" s="66" t="s">
        <v>308</v>
      </c>
      <c r="O3" s="66" t="s">
        <v>312</v>
      </c>
      <c r="P3" s="66" t="s">
        <v>309</v>
      </c>
      <c r="Q3" s="66" t="s">
        <v>310</v>
      </c>
      <c r="R3" s="66" t="s">
        <v>311</v>
      </c>
      <c r="S3" s="66" t="s">
        <v>24</v>
      </c>
      <c r="T3" s="66" t="s">
        <v>238</v>
      </c>
      <c r="U3" s="66" t="s">
        <v>296</v>
      </c>
      <c r="V3" s="66" t="s">
        <v>239</v>
      </c>
      <c r="W3" s="16" t="s">
        <v>207</v>
      </c>
    </row>
    <row r="4" spans="2:23" ht="60" customHeight="1">
      <c r="B4" s="16" t="s">
        <v>254</v>
      </c>
      <c r="C4" s="39" t="s">
        <v>36</v>
      </c>
      <c r="D4" s="39" t="s">
        <v>36</v>
      </c>
      <c r="E4" s="39" t="s">
        <v>36</v>
      </c>
      <c r="F4" s="39" t="s">
        <v>36</v>
      </c>
      <c r="G4" s="39" t="s">
        <v>36</v>
      </c>
      <c r="H4" s="39" t="s">
        <v>36</v>
      </c>
      <c r="I4" s="39" t="s">
        <v>37</v>
      </c>
      <c r="J4" s="39" t="s">
        <v>37</v>
      </c>
      <c r="K4" s="39" t="s">
        <v>36</v>
      </c>
      <c r="L4" s="39" t="s">
        <v>36</v>
      </c>
      <c r="M4" s="39" t="s">
        <v>36</v>
      </c>
      <c r="N4" s="39" t="s">
        <v>36</v>
      </c>
      <c r="O4" s="39" t="s">
        <v>36</v>
      </c>
      <c r="P4" s="39" t="s">
        <v>36</v>
      </c>
      <c r="Q4" s="39" t="s">
        <v>36</v>
      </c>
      <c r="R4" s="39" t="s">
        <v>36</v>
      </c>
      <c r="S4" s="39" t="s">
        <v>36</v>
      </c>
      <c r="T4" s="39" t="s">
        <v>36</v>
      </c>
      <c r="U4" s="39" t="s">
        <v>36</v>
      </c>
      <c r="V4" s="39" t="s">
        <v>36</v>
      </c>
      <c r="W4" s="60"/>
    </row>
    <row r="5" spans="2:23" ht="60" customHeight="1">
      <c r="B5" s="36" t="s">
        <v>274</v>
      </c>
      <c r="C5" s="39" t="s">
        <v>377</v>
      </c>
      <c r="D5" s="39" t="s">
        <v>377</v>
      </c>
      <c r="E5" s="39" t="s">
        <v>377</v>
      </c>
      <c r="F5" s="39" t="s">
        <v>377</v>
      </c>
      <c r="G5" s="39" t="s">
        <v>377</v>
      </c>
      <c r="H5" s="39" t="s">
        <v>377</v>
      </c>
      <c r="I5" s="39" t="s">
        <v>373</v>
      </c>
      <c r="J5" s="39" t="s">
        <v>378</v>
      </c>
      <c r="K5" s="39" t="s">
        <v>377</v>
      </c>
      <c r="L5" s="39" t="s">
        <v>377</v>
      </c>
      <c r="M5" s="39" t="s">
        <v>379</v>
      </c>
      <c r="N5" s="39" t="s">
        <v>379</v>
      </c>
      <c r="O5" s="39" t="s">
        <v>377</v>
      </c>
      <c r="P5" s="39" t="s">
        <v>377</v>
      </c>
      <c r="Q5" s="39" t="s">
        <v>379</v>
      </c>
      <c r="R5" s="39" t="s">
        <v>379</v>
      </c>
      <c r="S5" s="39" t="s">
        <v>377</v>
      </c>
      <c r="T5" s="39" t="s">
        <v>377</v>
      </c>
      <c r="U5" s="39" t="s">
        <v>377</v>
      </c>
      <c r="V5" s="39" t="s">
        <v>377</v>
      </c>
      <c r="W5" s="60"/>
    </row>
    <row r="6" spans="2:23" ht="60" customHeight="1">
      <c r="B6" s="36" t="s">
        <v>255</v>
      </c>
      <c r="C6" s="39" t="s">
        <v>37</v>
      </c>
      <c r="D6" s="39" t="s">
        <v>37</v>
      </c>
      <c r="E6" s="39" t="s">
        <v>37</v>
      </c>
      <c r="F6" s="39" t="s">
        <v>37</v>
      </c>
      <c r="G6" s="39" t="s">
        <v>37</v>
      </c>
      <c r="H6" s="39" t="s">
        <v>37</v>
      </c>
      <c r="I6" s="39" t="s">
        <v>36</v>
      </c>
      <c r="J6" s="39" t="s">
        <v>36</v>
      </c>
      <c r="K6" s="39" t="s">
        <v>37</v>
      </c>
      <c r="L6" s="39" t="s">
        <v>37</v>
      </c>
      <c r="M6" s="39" t="s">
        <v>37</v>
      </c>
      <c r="N6" s="39" t="s">
        <v>37</v>
      </c>
      <c r="O6" s="39" t="s">
        <v>37</v>
      </c>
      <c r="P6" s="39" t="s">
        <v>37</v>
      </c>
      <c r="Q6" s="39" t="s">
        <v>37</v>
      </c>
      <c r="R6" s="39" t="s">
        <v>37</v>
      </c>
      <c r="S6" s="39" t="s">
        <v>37</v>
      </c>
      <c r="T6" s="39" t="s">
        <v>37</v>
      </c>
      <c r="U6" s="39" t="s">
        <v>37</v>
      </c>
      <c r="V6" s="39" t="s">
        <v>37</v>
      </c>
      <c r="W6" s="60"/>
    </row>
    <row r="7" spans="2:23" ht="60" customHeight="1">
      <c r="B7" s="36" t="s">
        <v>22</v>
      </c>
      <c r="C7" s="39"/>
      <c r="D7" s="39"/>
      <c r="E7" s="39"/>
      <c r="F7" s="39"/>
      <c r="G7" s="39"/>
      <c r="H7" s="39"/>
      <c r="I7" s="39"/>
      <c r="J7" s="39"/>
      <c r="K7" s="39"/>
      <c r="L7" s="39"/>
      <c r="M7" s="39"/>
      <c r="N7" s="39"/>
      <c r="O7" s="39"/>
      <c r="P7" s="39"/>
      <c r="Q7" s="39"/>
      <c r="R7" s="39"/>
      <c r="S7" s="39"/>
      <c r="T7" s="39"/>
      <c r="U7" s="39"/>
      <c r="V7" s="39"/>
      <c r="W7" s="60"/>
    </row>
    <row r="8" spans="2:23" ht="60" customHeight="1">
      <c r="B8" s="36" t="s">
        <v>273</v>
      </c>
      <c r="C8" s="39"/>
      <c r="D8" s="39"/>
      <c r="E8" s="39"/>
      <c r="F8" s="39"/>
      <c r="G8" s="39"/>
      <c r="H8" s="39"/>
      <c r="I8" s="39"/>
      <c r="J8" s="39"/>
      <c r="K8" s="39"/>
      <c r="L8" s="39"/>
      <c r="M8" s="39"/>
      <c r="N8" s="39"/>
      <c r="O8" s="39"/>
      <c r="P8" s="39"/>
      <c r="Q8" s="39"/>
      <c r="R8" s="39"/>
      <c r="S8" s="39"/>
      <c r="T8" s="39"/>
      <c r="U8" s="39"/>
      <c r="V8" s="39"/>
      <c r="W8" s="60"/>
    </row>
    <row r="9" spans="2:23" ht="60" customHeight="1">
      <c r="B9" s="36" t="s">
        <v>256</v>
      </c>
      <c r="C9" s="39"/>
      <c r="D9" s="39"/>
      <c r="E9" s="39"/>
      <c r="F9" s="39"/>
      <c r="G9" s="39"/>
      <c r="H9" s="39"/>
      <c r="I9" s="39"/>
      <c r="J9" s="39"/>
      <c r="K9" s="39"/>
      <c r="L9" s="39"/>
      <c r="M9" s="39"/>
      <c r="N9" s="39"/>
      <c r="O9" s="39"/>
      <c r="P9" s="39"/>
      <c r="Q9" s="39"/>
      <c r="R9" s="39"/>
      <c r="S9" s="39"/>
      <c r="T9" s="39"/>
      <c r="U9" s="39"/>
      <c r="V9" s="39"/>
      <c r="W9" s="60"/>
    </row>
    <row r="10" spans="2:23" ht="60" customHeight="1">
      <c r="B10" s="36" t="s">
        <v>305</v>
      </c>
      <c r="C10" s="39"/>
      <c r="D10" s="39"/>
      <c r="E10" s="39"/>
      <c r="F10" s="39"/>
      <c r="G10" s="39"/>
      <c r="H10" s="39"/>
      <c r="I10" s="39"/>
      <c r="J10" s="39"/>
      <c r="K10" s="39"/>
      <c r="L10" s="39"/>
      <c r="M10" s="39"/>
      <c r="N10" s="39"/>
      <c r="O10" s="39"/>
      <c r="P10" s="39"/>
      <c r="Q10" s="39"/>
      <c r="R10" s="39"/>
      <c r="S10" s="39"/>
      <c r="T10" s="39"/>
      <c r="U10" s="39"/>
      <c r="V10" s="39"/>
      <c r="W10" s="60"/>
    </row>
    <row r="11" spans="2:23" ht="60" customHeight="1">
      <c r="B11" s="36" t="s">
        <v>275</v>
      </c>
      <c r="C11" s="39"/>
      <c r="D11" s="39"/>
      <c r="E11" s="39"/>
      <c r="F11" s="39"/>
      <c r="G11" s="68"/>
      <c r="H11" s="39"/>
      <c r="I11" s="39"/>
      <c r="J11" s="39"/>
      <c r="K11" s="39"/>
      <c r="L11" s="39"/>
      <c r="M11" s="39"/>
      <c r="N11" s="39"/>
      <c r="O11" s="39"/>
      <c r="P11" s="39"/>
      <c r="Q11" s="39"/>
      <c r="R11" s="39"/>
      <c r="S11" s="39"/>
      <c r="T11" s="39"/>
      <c r="U11" s="39"/>
      <c r="V11" s="39"/>
      <c r="W11" s="60"/>
    </row>
    <row r="12" spans="2:23" ht="60" customHeight="1">
      <c r="B12" s="16" t="s">
        <v>257</v>
      </c>
      <c r="C12" s="39"/>
      <c r="D12" s="39"/>
      <c r="E12" s="39"/>
      <c r="F12" s="39"/>
      <c r="G12" s="39"/>
      <c r="H12" s="39"/>
      <c r="I12" s="39"/>
      <c r="J12" s="39"/>
      <c r="K12" s="39"/>
      <c r="L12" s="39"/>
      <c r="M12" s="39"/>
      <c r="N12" s="39"/>
      <c r="O12" s="39"/>
      <c r="P12" s="39"/>
      <c r="Q12" s="39"/>
      <c r="R12" s="39"/>
      <c r="S12" s="39"/>
      <c r="T12" s="39"/>
      <c r="U12" s="39"/>
      <c r="V12" s="39"/>
      <c r="W12" s="60"/>
    </row>
    <row r="13" spans="2:23" ht="60" customHeight="1">
      <c r="B13" s="36" t="s">
        <v>252</v>
      </c>
      <c r="C13" s="39"/>
      <c r="D13" s="39"/>
      <c r="E13" s="39"/>
      <c r="F13" s="39"/>
      <c r="G13" s="39"/>
      <c r="H13" s="39"/>
      <c r="I13" s="39"/>
      <c r="J13" s="39"/>
      <c r="K13" s="39"/>
      <c r="L13" s="39"/>
      <c r="M13" s="39"/>
      <c r="N13" s="39"/>
      <c r="O13" s="39"/>
      <c r="P13" s="39"/>
      <c r="Q13" s="39"/>
      <c r="R13" s="39"/>
      <c r="S13" s="39"/>
      <c r="T13" s="39"/>
      <c r="U13" s="39"/>
      <c r="V13" s="39"/>
      <c r="W13" s="60"/>
    </row>
    <row r="14" spans="2:23" ht="60" customHeight="1">
      <c r="B14" s="16" t="s">
        <v>248</v>
      </c>
      <c r="C14" s="39"/>
      <c r="D14" s="39"/>
      <c r="E14" s="39"/>
      <c r="F14" s="39"/>
      <c r="G14" s="39"/>
      <c r="H14" s="39"/>
      <c r="I14" s="39"/>
      <c r="J14" s="39"/>
      <c r="K14" s="39"/>
      <c r="L14" s="39"/>
      <c r="M14" s="39"/>
      <c r="N14" s="39"/>
      <c r="O14" s="39"/>
      <c r="P14" s="39"/>
      <c r="Q14" s="39"/>
      <c r="R14" s="39"/>
      <c r="S14" s="39"/>
      <c r="T14" s="39"/>
      <c r="U14" s="39"/>
      <c r="V14" s="39"/>
      <c r="W14" s="60"/>
    </row>
    <row r="15" spans="2:23" ht="60" customHeight="1">
      <c r="B15" s="16" t="s">
        <v>251</v>
      </c>
      <c r="C15" s="39"/>
      <c r="D15" s="39"/>
      <c r="E15" s="39"/>
      <c r="F15" s="39"/>
      <c r="G15" s="39"/>
      <c r="H15" s="39"/>
      <c r="I15" s="39"/>
      <c r="J15" s="39"/>
      <c r="K15" s="39"/>
      <c r="L15" s="39"/>
      <c r="M15" s="39"/>
      <c r="N15" s="39"/>
      <c r="O15" s="39"/>
      <c r="P15" s="39"/>
      <c r="Q15" s="39"/>
      <c r="R15" s="39"/>
      <c r="S15" s="39"/>
      <c r="T15" s="39"/>
      <c r="U15" s="39"/>
      <c r="V15" s="39"/>
      <c r="W15" s="60"/>
    </row>
    <row r="16" spans="2:23" ht="60" customHeight="1">
      <c r="B16" s="36" t="s">
        <v>253</v>
      </c>
      <c r="C16" s="39"/>
      <c r="D16" s="39"/>
      <c r="E16" s="39"/>
      <c r="F16" s="39"/>
      <c r="G16" s="39"/>
      <c r="H16" s="39"/>
      <c r="I16" s="39"/>
      <c r="J16" s="39"/>
      <c r="K16" s="39"/>
      <c r="L16" s="39"/>
      <c r="M16" s="39"/>
      <c r="N16" s="39"/>
      <c r="O16" s="39"/>
      <c r="P16" s="39"/>
      <c r="Q16" s="39"/>
      <c r="R16" s="39"/>
      <c r="S16" s="39"/>
      <c r="T16" s="39"/>
      <c r="U16" s="39"/>
      <c r="V16" s="39"/>
      <c r="W16" s="60"/>
    </row>
    <row r="17" spans="2:23" ht="60" customHeight="1">
      <c r="B17" s="16" t="s">
        <v>249</v>
      </c>
      <c r="C17" s="39"/>
      <c r="D17" s="39"/>
      <c r="E17" s="39"/>
      <c r="F17" s="39"/>
      <c r="G17" s="39"/>
      <c r="H17" s="39"/>
      <c r="I17" s="39"/>
      <c r="J17" s="39"/>
      <c r="K17" s="39"/>
      <c r="L17" s="39"/>
      <c r="M17" s="39"/>
      <c r="N17" s="39"/>
      <c r="O17" s="39"/>
      <c r="P17" s="39"/>
      <c r="Q17" s="39"/>
      <c r="R17" s="39"/>
      <c r="S17" s="39"/>
      <c r="T17" s="39"/>
      <c r="U17" s="39"/>
      <c r="V17" s="39"/>
      <c r="W17" s="60"/>
    </row>
    <row r="18" spans="2:23" ht="60" customHeight="1">
      <c r="B18" s="16" t="s">
        <v>250</v>
      </c>
      <c r="C18" s="39"/>
      <c r="D18" s="39"/>
      <c r="E18" s="39"/>
      <c r="F18" s="39"/>
      <c r="G18" s="39"/>
      <c r="H18" s="39"/>
      <c r="I18" s="39"/>
      <c r="J18" s="39"/>
      <c r="K18" s="39"/>
      <c r="L18" s="39"/>
      <c r="M18" s="39"/>
      <c r="N18" s="39"/>
      <c r="O18" s="39"/>
      <c r="P18" s="39"/>
      <c r="Q18" s="39"/>
      <c r="R18" s="39"/>
      <c r="S18" s="39"/>
      <c r="T18" s="39"/>
      <c r="U18" s="39"/>
      <c r="V18" s="39"/>
      <c r="W18" s="60"/>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23622047244094491" right="0.23622047244094491" top="0.74803149606299213" bottom="0.74803149606299213" header="0.31496062992125984" footer="0.31496062992125984"/>
  <pageSetup scale="46" fitToWidth="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workbookViewId="0">
      <selection activeCell="C7" sqref="C7"/>
    </sheetView>
  </sheetViews>
  <sheetFormatPr baseColWidth="10" defaultColWidth="10.83203125" defaultRowHeight="16"/>
  <cols>
    <col min="1" max="1" width="5.5" customWidth="1"/>
  </cols>
  <sheetData>
    <row r="3" spans="2:11" ht="34" customHeight="1">
      <c r="B3" s="85" t="s">
        <v>224</v>
      </c>
      <c r="C3" s="85"/>
      <c r="D3" s="85"/>
      <c r="E3" s="85"/>
      <c r="F3" s="85"/>
      <c r="G3" s="85"/>
      <c r="H3" s="85"/>
      <c r="I3" s="85"/>
      <c r="J3" s="85"/>
      <c r="K3" s="85"/>
    </row>
    <row r="4" spans="2:11" ht="34" customHeight="1">
      <c r="B4" s="85"/>
      <c r="C4" s="85"/>
      <c r="D4" s="85"/>
      <c r="E4" s="85"/>
      <c r="F4" s="85"/>
      <c r="G4" s="85"/>
      <c r="H4" s="85"/>
      <c r="I4" s="85"/>
      <c r="J4" s="85"/>
      <c r="K4" s="85"/>
    </row>
    <row r="5" spans="2:11" ht="34" customHeight="1">
      <c r="B5" s="85"/>
      <c r="C5" s="85"/>
      <c r="D5" s="85"/>
      <c r="E5" s="85"/>
      <c r="F5" s="85"/>
      <c r="G5" s="85"/>
      <c r="H5" s="85"/>
      <c r="I5" s="85"/>
      <c r="J5" s="85"/>
      <c r="K5" s="85"/>
    </row>
    <row r="6" spans="2:11" ht="34" customHeight="1">
      <c r="B6" s="85"/>
      <c r="C6" s="85"/>
      <c r="D6" s="85"/>
      <c r="E6" s="85"/>
      <c r="F6" s="85"/>
      <c r="G6" s="85"/>
      <c r="H6" s="85"/>
      <c r="I6" s="85"/>
      <c r="J6" s="85"/>
      <c r="K6" s="85"/>
    </row>
    <row r="12" spans="2:11">
      <c r="B12" s="57"/>
    </row>
    <row r="15" spans="2:11">
      <c r="B15" s="57"/>
    </row>
    <row r="18" spans="2:2">
      <c r="B18" s="57"/>
    </row>
    <row r="21" spans="2:2">
      <c r="B21" s="57"/>
    </row>
    <row r="24" spans="2:2">
      <c r="B24" s="57"/>
    </row>
  </sheetData>
  <mergeCells count="1">
    <mergeCell ref="B3:K6"/>
  </mergeCells>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pageSetUpPr fitToPage="1"/>
  </sheetPr>
  <dimension ref="A2:D28"/>
  <sheetViews>
    <sheetView zoomScale="74" zoomScaleNormal="74" workbookViewId="0">
      <selection activeCell="E5" sqref="E5"/>
    </sheetView>
  </sheetViews>
  <sheetFormatPr baseColWidth="10" defaultColWidth="10.83203125" defaultRowHeight="21"/>
  <cols>
    <col min="1" max="1" width="4.1640625" style="54" customWidth="1"/>
    <col min="2" max="2" width="200.83203125" style="10" customWidth="1"/>
    <col min="3" max="3" width="67.5" style="13" customWidth="1"/>
    <col min="4" max="16384" width="10.83203125" style="48"/>
  </cols>
  <sheetData>
    <row r="2" spans="2:4" ht="22">
      <c r="B2" s="8" t="s">
        <v>233</v>
      </c>
      <c r="C2" s="11"/>
    </row>
    <row r="3" spans="2:4" ht="22">
      <c r="B3" s="41" t="s">
        <v>231</v>
      </c>
      <c r="C3" s="56"/>
    </row>
    <row r="4" spans="2:4" ht="22">
      <c r="B4" s="55" t="s">
        <v>260</v>
      </c>
      <c r="C4" s="56"/>
    </row>
    <row r="5" spans="2:4" ht="66">
      <c r="B5" s="53" t="s">
        <v>283</v>
      </c>
      <c r="C5" s="47" t="s">
        <v>36</v>
      </c>
      <c r="D5" s="49" t="s">
        <v>284</v>
      </c>
    </row>
    <row r="6" spans="2:4" ht="22">
      <c r="B6" s="55" t="s">
        <v>259</v>
      </c>
      <c r="C6" s="56"/>
      <c r="D6" s="49"/>
    </row>
    <row r="7" spans="2:4" ht="66">
      <c r="B7" s="53" t="s">
        <v>221</v>
      </c>
      <c r="C7" s="47" t="s">
        <v>36</v>
      </c>
      <c r="D7" s="49" t="s">
        <v>276</v>
      </c>
    </row>
    <row r="8" spans="2:4" ht="22">
      <c r="B8" s="55" t="s">
        <v>258</v>
      </c>
      <c r="C8" s="56"/>
    </row>
    <row r="9" spans="2:4" ht="66">
      <c r="B9" s="53" t="s">
        <v>222</v>
      </c>
      <c r="C9" s="47" t="s">
        <v>36</v>
      </c>
    </row>
    <row r="10" spans="2:4" ht="22">
      <c r="B10" s="55" t="s">
        <v>279</v>
      </c>
      <c r="C10" s="56"/>
    </row>
    <row r="11" spans="2:4" ht="66">
      <c r="B11" s="53" t="s">
        <v>280</v>
      </c>
      <c r="C11" s="47" t="s">
        <v>36</v>
      </c>
    </row>
    <row r="12" spans="2:4" ht="22">
      <c r="B12" s="41" t="s">
        <v>230</v>
      </c>
      <c r="C12" s="56"/>
    </row>
    <row r="13" spans="2:4" ht="22">
      <c r="B13" s="55" t="s">
        <v>232</v>
      </c>
      <c r="C13" s="56"/>
    </row>
    <row r="14" spans="2:4" ht="66">
      <c r="B14" s="53" t="s">
        <v>219</v>
      </c>
      <c r="C14" s="47" t="s">
        <v>36</v>
      </c>
    </row>
    <row r="15" spans="2:4" ht="22">
      <c r="B15" s="55" t="s">
        <v>228</v>
      </c>
      <c r="C15" s="56"/>
    </row>
    <row r="16" spans="2:4" ht="66">
      <c r="B16" s="53" t="s">
        <v>220</v>
      </c>
      <c r="C16" s="47" t="s">
        <v>36</v>
      </c>
    </row>
    <row r="17" spans="2:3" ht="22">
      <c r="B17" s="55" t="s">
        <v>229</v>
      </c>
      <c r="C17" s="56"/>
    </row>
    <row r="18" spans="2:3" ht="66">
      <c r="B18" s="53" t="s">
        <v>223</v>
      </c>
      <c r="C18" s="47" t="s">
        <v>36</v>
      </c>
    </row>
    <row r="19" spans="2:3" ht="22">
      <c r="B19" s="55" t="s">
        <v>261</v>
      </c>
      <c r="C19" s="56"/>
    </row>
    <row r="20" spans="2:3" ht="66">
      <c r="B20" s="53" t="s">
        <v>282</v>
      </c>
      <c r="C20" s="47" t="s">
        <v>36</v>
      </c>
    </row>
    <row r="21" spans="2:3" ht="22">
      <c r="B21" s="55" t="s">
        <v>299</v>
      </c>
      <c r="C21" s="56"/>
    </row>
    <row r="22" spans="2:3" ht="88">
      <c r="B22" s="53" t="s">
        <v>301</v>
      </c>
      <c r="C22" s="47" t="s">
        <v>36</v>
      </c>
    </row>
    <row r="23" spans="2:3" ht="22">
      <c r="B23" s="55" t="s">
        <v>304</v>
      </c>
      <c r="C23" s="56"/>
    </row>
    <row r="24" spans="2:3" ht="88">
      <c r="B24" s="53" t="s">
        <v>302</v>
      </c>
      <c r="C24" s="47" t="s">
        <v>36</v>
      </c>
    </row>
    <row r="25" spans="2:3" ht="22">
      <c r="B25" s="55" t="s">
        <v>300</v>
      </c>
      <c r="C25" s="56"/>
    </row>
    <row r="26" spans="2:3" ht="88">
      <c r="B26" s="53" t="s">
        <v>303</v>
      </c>
      <c r="C26" s="47" t="s">
        <v>36</v>
      </c>
    </row>
    <row r="27" spans="2:3" ht="22">
      <c r="B27" s="55" t="s">
        <v>314</v>
      </c>
      <c r="C27" s="56"/>
    </row>
    <row r="28" spans="2:3" ht="88">
      <c r="B28" s="53" t="s">
        <v>316</v>
      </c>
      <c r="C28" s="47" t="s">
        <v>36</v>
      </c>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1" operator="containsText" text="No">
      <formula>NOT(ISERROR(SEARCH("No",C5)))</formula>
    </cfRule>
    <cfRule type="containsText" dxfId="51" priority="70" operator="containsText" text="Yes">
      <formula>NOT(ISERROR(SEARCH("Yes",C5)))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notContainsBlanks" dxfId="47" priority="27" stopIfTrue="1">
      <formula>LEN(TRIM(C9))&gt;0</formula>
    </cfRule>
    <cfRule type="containsText" dxfId="46" priority="25" operator="containsText" text="Yes">
      <formula>NOT(ISERROR(SEARCH("Yes",C9)))</formula>
    </cfRule>
    <cfRule type="containsText" dxfId="45" priority="26" operator="containsText" text="No">
      <formula>NOT(ISERROR(SEARCH("No",C9)))</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notContainsBlanks" dxfId="41" priority="54" stopIfTrue="1">
      <formula>LEN(TRIM(C12))&gt;0</formula>
    </cfRule>
    <cfRule type="containsText" dxfId="40" priority="43" operator="containsText" text="Yes">
      <formula>NOT(ISERROR(SEARCH("Yes",C12)))</formula>
    </cfRule>
    <cfRule type="containsText" dxfId="39" priority="44" operator="containsText" text="No">
      <formula>NOT(ISERROR(SEARCH("No",C12)))</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notContainsBlanks" dxfId="23" priority="21" stopIfTrue="1">
      <formula>LEN(TRIM(C16))&gt;0</formula>
    </cfRule>
    <cfRule type="containsText" dxfId="22" priority="20" operator="containsText" text="No">
      <formula>NOT(ISERROR(SEARCH("No",C16)))</formula>
    </cfRule>
    <cfRule type="containsText" dxfId="21" priority="19" operator="containsText" text="Yes">
      <formula>NOT(ISERROR(SEARCH("Yes",C16)))</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notContainsBlanks" dxfId="2" priority="3" stopIfTrue="1">
      <formula>LEN(TRIM(C28))&gt;0</formula>
    </cfRule>
    <cfRule type="containsText" dxfId="1" priority="2" operator="containsText" text="No">
      <formula>NOT(ISERROR(SEARCH("No",C28)))</formula>
    </cfRule>
    <cfRule type="containsText" dxfId="0" priority="1" operator="containsText" text="Yes">
      <formula>NOT(ISERROR(SEARCH("Yes",C28)))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0866141732283472" right="0.70866141732283472" top="0.74803149606299213" bottom="0.74803149606299213" header="0.31496062992125984" footer="0.31496062992125984"/>
  <pageSetup scale="43" fitToWidth="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baseColWidth="10" defaultColWidth="10.83203125" defaultRowHeight="16"/>
  <cols>
    <col min="1" max="1" width="14.6640625" style="1" bestFit="1" customWidth="1"/>
    <col min="2" max="2" width="10.83203125" style="1"/>
    <col min="3" max="3" width="60" style="1" bestFit="1" customWidth="1"/>
    <col min="4" max="4" width="10.83203125" style="1"/>
    <col min="5" max="5" width="7.16406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Amer Mokaddem</cp:lastModifiedBy>
  <cp:lastPrinted>2025-07-21T13:40:48Z</cp:lastPrinted>
  <dcterms:created xsi:type="dcterms:W3CDTF">2018-09-10T17:18:27Z</dcterms:created>
  <dcterms:modified xsi:type="dcterms:W3CDTF">2025-07-30T23:33:31Z</dcterms:modified>
</cp:coreProperties>
</file>