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Xfer Files 2019 0314\2019 FL MAC Backup\2025 Quotes\Robotics\Apple\Coesia Vendor Survey\2025 Initial VS\Formal Response Docs 1201\"/>
    </mc:Choice>
  </mc:AlternateContent>
  <xr:revisionPtr revIDLastSave="0" documentId="8_{98CD0265-DF00-4D76-B4CE-2814055D3861}" xr6:coauthVersionLast="47" xr6:coauthVersionMax="47" xr10:uidLastSave="{00000000-0000-0000-0000-000000000000}"/>
  <workbookProtection workbookAlgorithmName="SHA-512" workbookHashValue="RQH5Kx2dOBjDEqYj2TXipBbmUcoYWMLAdWE7C3q/46dzCrNjksss7Gqr5dWEtvMaqzG16old4r+CaVxzifhVUg==" workbookSaltValue="pZPxhzHsW4NsocMKqExkEg==" workbookSpinCount="100000" lockStructure="1"/>
  <bookViews>
    <workbookView xWindow="28680" yWindow="-120" windowWidth="29040" windowHeight="15720" tabRatio="947" activeTab="5"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0" l="1"/>
  <c r="H16" i="20"/>
  <c r="G16" i="20"/>
  <c r="F16" i="20"/>
  <c r="E16" i="20"/>
  <c r="D16" i="20"/>
  <c r="C16" i="20"/>
</calcChain>
</file>

<file path=xl/sharedStrings.xml><?xml version="1.0" encoding="utf-8"?>
<sst xmlns="http://schemas.openxmlformats.org/spreadsheetml/2006/main" count="521" uniqueCount="428">
  <si>
    <t>Website</t>
  </si>
  <si>
    <t>Public/Private</t>
  </si>
  <si>
    <t>Ticker Symbol (if Public)</t>
  </si>
  <si>
    <t>Year Founded</t>
  </si>
  <si>
    <t>First Year of Engagement with Apple</t>
  </si>
  <si>
    <t>Total # of Employees</t>
  </si>
  <si>
    <t>Region 1</t>
  </si>
  <si>
    <t>Region 2</t>
  </si>
  <si>
    <t>Region 3</t>
  </si>
  <si>
    <t>Market Cap (USD)</t>
  </si>
  <si>
    <t>Company Total Revenue (USD)</t>
  </si>
  <si>
    <t>Apple Direct Generated Revenue (USD)</t>
  </si>
  <si>
    <t>Public</t>
  </si>
  <si>
    <t>Parent Company Official Name</t>
  </si>
  <si>
    <t>Official Legal Name</t>
  </si>
  <si>
    <t>Company HQ</t>
  </si>
  <si>
    <t>Region 4</t>
  </si>
  <si>
    <t>Region 5</t>
  </si>
  <si>
    <t>*Apple issued a PO to you for this spend</t>
  </si>
  <si>
    <t>Title</t>
  </si>
  <si>
    <t>Email</t>
  </si>
  <si>
    <t>CEO or President</t>
  </si>
  <si>
    <t>Core Competencies</t>
  </si>
  <si>
    <t>Component Category</t>
  </si>
  <si>
    <t>Machine Vision</t>
  </si>
  <si>
    <t>Robotics</t>
  </si>
  <si>
    <t>Motors/Drives</t>
  </si>
  <si>
    <t>Pneumatics</t>
  </si>
  <si>
    <t>Optics</t>
  </si>
  <si>
    <t>Mechanical Linear Motion</t>
  </si>
  <si>
    <t>Conveyor System</t>
  </si>
  <si>
    <t>Feeder System</t>
  </si>
  <si>
    <t>Machined Part/Bracket</t>
  </si>
  <si>
    <t>Nest/Holder/Pallet</t>
  </si>
  <si>
    <t>Other</t>
  </si>
  <si>
    <t>Binary</t>
  </si>
  <si>
    <t>Yes</t>
  </si>
  <si>
    <t>No</t>
  </si>
  <si>
    <t>Safety/Electrical/Wiring</t>
  </si>
  <si>
    <t>Gantry Systems/Linear Motors/Stages</t>
  </si>
  <si>
    <t>Frame/Baseplate/Indexing Table</t>
  </si>
  <si>
    <t>Dispensing</t>
  </si>
  <si>
    <t>Screwdriving</t>
  </si>
  <si>
    <t>Consumables</t>
  </si>
  <si>
    <t>IPC/PLC/Motion Controller</t>
  </si>
  <si>
    <t>Fan Filtration Unit/Ionizer/HEPA Filter</t>
  </si>
  <si>
    <t>Force Measurement/Load Cells/Pressure Sensors/Accelerometers</t>
  </si>
  <si>
    <t>Countries</t>
  </si>
  <si>
    <t>Albania</t>
  </si>
  <si>
    <t>American Samoa</t>
  </si>
  <si>
    <t>Australia</t>
  </si>
  <si>
    <t>Austria</t>
  </si>
  <si>
    <t>Belgium</t>
  </si>
  <si>
    <t>Brazil</t>
  </si>
  <si>
    <t>British West Indie</t>
  </si>
  <si>
    <t>Cambodia</t>
  </si>
  <si>
    <t>Canada</t>
  </si>
  <si>
    <t>Cayman Islands</t>
  </si>
  <si>
    <t>China</t>
  </si>
  <si>
    <t>Costa Rica</t>
  </si>
  <si>
    <t>Czech Republic</t>
  </si>
  <si>
    <t>Denmark</t>
  </si>
  <si>
    <t>Estonia</t>
  </si>
  <si>
    <t>Finland</t>
  </si>
  <si>
    <t>France</t>
  </si>
  <si>
    <t>Germany</t>
  </si>
  <si>
    <t>Greece</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</si>
  <si>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</si>
  <si>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</si>
  <si>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</si>
  <si>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</si>
  <si>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</si>
  <si>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</si>
  <si>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</si>
  <si>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</si>
  <si>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</si>
  <si>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</si>
  <si>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</si>
  <si>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</si>
  <si>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</si>
  <si>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</si>
  <si>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</si>
  <si>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</si>
  <si>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</si>
  <si>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</si>
  <si>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</si>
  <si>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</si>
  <si>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</si>
  <si>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</si>
  <si>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</si>
  <si>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</si>
  <si>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</si>
  <si>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</si>
  <si>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</si>
  <si>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</si>
  <si>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</si>
  <si>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</si>
  <si>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</si>
  <si>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</si>
  <si>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</si>
  <si>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</si>
  <si>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</si>
  <si>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</si>
  <si>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</si>
  <si>
    <t>Company Type</t>
  </si>
  <si>
    <t>Private</t>
  </si>
  <si>
    <t>Training Time (wks)</t>
  </si>
  <si>
    <t>Manufacturing Location 1</t>
  </si>
  <si>
    <t>Manufacturing Location 2</t>
  </si>
  <si>
    <t>Manufacturing Location 3</t>
  </si>
  <si>
    <t>Manufacturing Location 4</t>
  </si>
  <si>
    <t>Manufacturing Location 5</t>
  </si>
  <si>
    <t>Country of Residence</t>
  </si>
  <si>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</si>
  <si>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</si>
  <si>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t xml:space="preserve">All sections requiring Participant's response are denoted by a highlighted cell. All responses shall be submitted, in writing, in the associated cell or attached via email response, where requested. </t>
  </si>
  <si>
    <t xml:space="preserve">2   RFI Rules of Engagement </t>
  </si>
  <si>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</si>
  <si>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</si>
  <si>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</si>
  <si>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</si>
  <si>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</si>
  <si>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</si>
  <si>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</si>
  <si>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</si>
  <si>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</si>
  <si>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</si>
  <si>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</si>
  <si>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t xml:space="preserve">Participant’s Proposal must identify and describe the Goods and/or Services to be provided by each subcontractor, if any, which Participant intends to use in providing any Goods and/or Services to Apple. </t>
  </si>
  <si>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</si>
  <si>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</si>
  <si>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</si>
  <si>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 xml:space="preserve">RFI Submission Date </t>
  </si>
  <si>
    <t>HQ Location</t>
  </si>
  <si>
    <t>Type</t>
  </si>
  <si>
    <t>Key Area Leaders (Example : CEO, COO, CFO etc)</t>
  </si>
  <si>
    <t>Name (First, Last)</t>
  </si>
  <si>
    <t xml:space="preserve">Contact Number (include country code - e.g. USA +1) </t>
  </si>
  <si>
    <t>Commercial DRI / Apple Executive Contact</t>
  </si>
  <si>
    <t>Operations Leader</t>
  </si>
  <si>
    <t xml:space="preserve">Finance </t>
  </si>
  <si>
    <t>Engineering</t>
  </si>
  <si>
    <t>Supply chain</t>
  </si>
  <si>
    <t>Project Management</t>
  </si>
  <si>
    <t>Production</t>
  </si>
  <si>
    <t>*Enter Data in USD in millions</t>
  </si>
  <si>
    <t>2026 (expected)</t>
  </si>
  <si>
    <t>2027 (expected)</t>
  </si>
  <si>
    <t>Gross Profit</t>
  </si>
  <si>
    <t>Operating Profit</t>
  </si>
  <si>
    <t>*CMs and Module Integrators issued a PO to you for this spend</t>
  </si>
  <si>
    <r>
      <t>     3.1  </t>
    </r>
    <r>
      <rPr>
        <b/>
        <sz val="16"/>
        <color theme="0"/>
        <rFont val="SF Hello Regular"/>
      </rPr>
      <t xml:space="preserve"> Participant Acknowledgment</t>
    </r>
  </si>
  <si>
    <t>Facility Name (if any)</t>
  </si>
  <si>
    <t xml:space="preserve">City and Country </t>
  </si>
  <si>
    <t>Full Address</t>
  </si>
  <si>
    <t>Current Apple Programs Supported
 (List Program Name or N/A)</t>
  </si>
  <si>
    <t>EQ Type manufactured in above location for Apple
(Dispense, Pick and place, Assembly, Die Attach, Wire Bond, Test, etc)</t>
  </si>
  <si>
    <t>EQ Type manufactured in above location for other customers
(Dispense, Pick and place, Assembly, Die Attach, Wire Bond, Test, etc)</t>
  </si>
  <si>
    <t>Facility Floor Space (Square Meters)</t>
    <phoneticPr fontId="0" type="noConversion"/>
  </si>
  <si>
    <t>What are the key supply chain tactics being followed?</t>
  </si>
  <si>
    <r>
      <t xml:space="preserve">     2.1   </t>
    </r>
    <r>
      <rPr>
        <b/>
        <sz val="16"/>
        <color theme="0"/>
        <rFont val="SF Hello Regular"/>
      </rPr>
      <t xml:space="preserve">Communications </t>
    </r>
  </si>
  <si>
    <r>
      <t xml:space="preserve">     2.2   </t>
    </r>
    <r>
      <rPr>
        <b/>
        <sz val="16"/>
        <color theme="0"/>
        <rFont val="SF Hello Regular"/>
      </rPr>
      <t xml:space="preserve">Proposal </t>
    </r>
  </si>
  <si>
    <r>
      <t xml:space="preserve">     2.3   </t>
    </r>
    <r>
      <rPr>
        <b/>
        <sz val="16"/>
        <color theme="0"/>
        <rFont val="SF Hello Regular"/>
      </rPr>
      <t xml:space="preserve">RFI Submission </t>
    </r>
  </si>
  <si>
    <r>
      <t xml:space="preserve">     2.4   </t>
    </r>
    <r>
      <rPr>
        <b/>
        <sz val="16"/>
        <color theme="0"/>
        <rFont val="SF Hello Regular"/>
      </rPr>
      <t xml:space="preserve">Proposal Decision </t>
    </r>
  </si>
  <si>
    <r>
      <t xml:space="preserve">     2.5   </t>
    </r>
    <r>
      <rPr>
        <b/>
        <sz val="16"/>
        <color theme="0"/>
        <rFont val="SF Hello Regular"/>
      </rPr>
      <t xml:space="preserve">No Obligation </t>
    </r>
  </si>
  <si>
    <r>
      <t xml:space="preserve">     2.6   </t>
    </r>
    <r>
      <rPr>
        <b/>
        <sz val="16"/>
        <color theme="0"/>
        <rFont val="SF Hello Regular"/>
      </rPr>
      <t xml:space="preserve">Purchase Orders </t>
    </r>
  </si>
  <si>
    <r>
      <t xml:space="preserve">     2.7   </t>
    </r>
    <r>
      <rPr>
        <b/>
        <sz val="16"/>
        <color theme="0"/>
        <rFont val="SF Hello Regular"/>
      </rPr>
      <t xml:space="preserve">Confidentiality; Publicity; Marks </t>
    </r>
  </si>
  <si>
    <r>
      <t xml:space="preserve">     2.8   </t>
    </r>
    <r>
      <rPr>
        <b/>
        <sz val="16"/>
        <color theme="0"/>
        <rFont val="SF Hello Regular"/>
      </rPr>
      <t xml:space="preserve">Risk of Loss, Damage or Delay </t>
    </r>
  </si>
  <si>
    <r>
      <t xml:space="preserve">     2.9   </t>
    </r>
    <r>
      <rPr>
        <b/>
        <sz val="16"/>
        <color theme="0"/>
        <rFont val="SF Hello Regular"/>
      </rPr>
      <t xml:space="preserve">No Gift Policy </t>
    </r>
  </si>
  <si>
    <r>
      <t xml:space="preserve">     2.10   </t>
    </r>
    <r>
      <rPr>
        <b/>
        <sz val="16"/>
        <color theme="0"/>
        <rFont val="SF Hello Regular"/>
      </rPr>
      <t xml:space="preserve">Participant Information </t>
    </r>
  </si>
  <si>
    <r>
      <t xml:space="preserve">     2.11   </t>
    </r>
    <r>
      <rPr>
        <b/>
        <sz val="16"/>
        <color theme="0"/>
        <rFont val="SF Hello Regular"/>
      </rPr>
      <t xml:space="preserve">Collusive Bidding </t>
    </r>
  </si>
  <si>
    <r>
      <t xml:space="preserve">     2.12   </t>
    </r>
    <r>
      <rPr>
        <b/>
        <sz val="16"/>
        <color theme="0"/>
        <rFont val="SF Hello Regular"/>
      </rPr>
      <t xml:space="preserve">Personnel </t>
    </r>
  </si>
  <si>
    <r>
      <t xml:space="preserve">     2.13   </t>
    </r>
    <r>
      <rPr>
        <b/>
        <sz val="16"/>
        <color theme="0"/>
        <rFont val="SF Hello Regular"/>
      </rPr>
      <t xml:space="preserve">Subcontractors </t>
    </r>
  </si>
  <si>
    <r>
      <t xml:space="preserve">     2.14   </t>
    </r>
    <r>
      <rPr>
        <b/>
        <sz val="16"/>
        <color theme="0"/>
        <rFont val="SF Hello Regular"/>
      </rPr>
      <t xml:space="preserve">Errors and Omissions </t>
    </r>
  </si>
  <si>
    <r>
      <t xml:space="preserve">     1.1   </t>
    </r>
    <r>
      <rPr>
        <b/>
        <sz val="16"/>
        <color theme="0"/>
        <rFont val="SF Hello Regular"/>
      </rPr>
      <t xml:space="preserve">About Apple </t>
    </r>
  </si>
  <si>
    <r>
      <t xml:space="preserve">     1.2  </t>
    </r>
    <r>
      <rPr>
        <b/>
        <sz val="16"/>
        <color theme="0"/>
        <rFont val="SF Hello Regular"/>
      </rPr>
      <t xml:space="preserve">Project Overview and Purpose </t>
    </r>
  </si>
  <si>
    <r>
      <t xml:space="preserve">     1.3  </t>
    </r>
    <r>
      <rPr>
        <b/>
        <sz val="16"/>
        <color theme="0"/>
        <rFont val="SF Hello Regular"/>
      </rPr>
      <t>RFI Content &amp; Sections</t>
    </r>
  </si>
  <si>
    <r>
      <t xml:space="preserve">     1.4  </t>
    </r>
    <r>
      <rPr>
        <b/>
        <sz val="16"/>
        <color theme="0"/>
        <rFont val="SF Hello Regular"/>
      </rPr>
      <t>RFI Due Date</t>
    </r>
  </si>
  <si>
    <r>
      <t xml:space="preserve">     1.5  </t>
    </r>
    <r>
      <rPr>
        <b/>
        <sz val="16"/>
        <color theme="0"/>
        <rFont val="SF Hello Regular"/>
      </rPr>
      <t>RFI Response Requested</t>
    </r>
  </si>
  <si>
    <r>
      <t>     1.6  </t>
    </r>
    <r>
      <rPr>
        <b/>
        <sz val="16"/>
        <color theme="0"/>
        <rFont val="SF Hello Regular"/>
      </rPr>
      <t xml:space="preserve">Procurement Contact </t>
    </r>
  </si>
  <si>
    <t>Region 6</t>
  </si>
  <si>
    <t>Region Country</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</si>
  <si>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</si>
  <si>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</si>
  <si>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</si>
  <si>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</si>
  <si>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</si>
  <si>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</si>
  <si>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</si>
  <si>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</si>
  <si>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</si>
  <si>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</si>
  <si>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</si>
  <si>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</si>
  <si>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</si>
  <si>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</si>
  <si>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</si>
  <si>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</si>
  <si>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</si>
  <si>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Attrition Rate (%)</t>
  </si>
  <si>
    <t>Any previous issues faced in shipping to certain countries?</t>
  </si>
  <si>
    <t>Are there any inhouse machining / job shop capabilities? If so, please explain in detail in terms of machine qty available (CNC, Mill, Lathe, EDM Weld, etc.), volume produced, &amp; available capacity.</t>
  </si>
  <si>
    <t>What are the supply chain resiliency plans to ensure no distruption in supply?</t>
  </si>
  <si>
    <t>Facility New Product Security (NPS) Approved?</t>
  </si>
  <si>
    <t>Customer Base served from this location
(City and Country of the customer)</t>
  </si>
  <si>
    <t>Max Weekly Manufacturing Capacity
(by volume of units shipped)</t>
  </si>
  <si>
    <t>Average Weekly Manufacturing Capacity
(by volume of units shipped)</t>
  </si>
  <si>
    <t>Comments</t>
  </si>
  <si>
    <t>2025 (expected)</t>
  </si>
  <si>
    <t>2028 (expected)</t>
  </si>
  <si>
    <t>If any other, please add …</t>
  </si>
  <si>
    <t>Please fill in all fields with year end numbers to complete this section. Only numbers are allowed to be input.</t>
  </si>
  <si>
    <t xml:space="preserve">1   Introduction </t>
  </si>
  <si>
    <t>What are all the key subcomponent vendors used and where are they located (city, country)? Please provide rough volume &amp; spend with key subcomponent vendors as well.</t>
  </si>
  <si>
    <t>Hiring Difficulty in Region (High/Medium/Low)</t>
  </si>
  <si>
    <t>Region 7</t>
  </si>
  <si>
    <t>Region 8</t>
  </si>
  <si>
    <t>Exclude 3rd Party Agency Partners</t>
  </si>
  <si>
    <t>TOTAL</t>
  </si>
  <si>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</si>
  <si>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</si>
  <si>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</si>
  <si>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</si>
  <si>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</si>
  <si>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t>Use the blank page to detail your company's technical roadmap for apple or other customers</t>
  </si>
  <si>
    <t>What are the incoming (IQC), in process (IPQC), and outgoing (OQC) quality control systems and/or processes? Please desrcibe in detail.</t>
  </si>
  <si>
    <t>Are there ERP system and processes, including any automation or integration functionality across EQ manufacturing supply chain? Please desrcibe in detail.</t>
  </si>
  <si>
    <t>Are there any Global expansion plans in the future for Manufacturing? Please desrcibe in detail.</t>
  </si>
  <si>
    <r>
      <t>     10.2.2</t>
    </r>
    <r>
      <rPr>
        <b/>
        <sz val="16"/>
        <color theme="0"/>
        <rFont val="SF Hello Regular"/>
      </rPr>
      <t>   Development Resources</t>
    </r>
  </si>
  <si>
    <r>
      <t>     10.2.3</t>
    </r>
    <r>
      <rPr>
        <b/>
        <sz val="16"/>
        <color theme="0"/>
        <rFont val="SF Hello Regular"/>
      </rPr>
      <t>   Price / Equipment Breakdown Transparency</t>
    </r>
  </si>
  <si>
    <r>
      <t xml:space="preserve">     10.2   </t>
    </r>
    <r>
      <rPr>
        <b/>
        <sz val="16"/>
        <color theme="0"/>
        <rFont val="SF Hello Regular"/>
      </rPr>
      <t>Commercial Standards</t>
    </r>
  </si>
  <si>
    <r>
      <t xml:space="preserve">     10.1   </t>
    </r>
    <r>
      <rPr>
        <b/>
        <sz val="16"/>
        <color theme="0"/>
        <rFont val="SF Hello Regular"/>
      </rPr>
      <t>Contractual Standards</t>
    </r>
  </si>
  <si>
    <r>
      <t xml:space="preserve">     10.2.1 </t>
    </r>
    <r>
      <rPr>
        <b/>
        <sz val="16"/>
        <color theme="0"/>
        <rFont val="SF Hello Regular"/>
      </rPr>
      <t>   Demo EQ</t>
    </r>
  </si>
  <si>
    <t>10   Commercial Expectations</t>
  </si>
  <si>
    <t>Please fill in all fields to complete this section. If there are supplemental compnay overview slides, please attach to RFI response.</t>
  </si>
  <si>
    <t>Custom Automation</t>
  </si>
  <si>
    <t>Plasma/Oven</t>
  </si>
  <si>
    <t>P&amp;P / Attach</t>
  </si>
  <si>
    <t>Lighting</t>
  </si>
  <si>
    <t>AI/ML</t>
  </si>
  <si>
    <t>Categories</t>
  </si>
  <si>
    <t>Sub-Categories</t>
  </si>
  <si>
    <t>Core Tech</t>
  </si>
  <si>
    <t>Process Equipment Tech</t>
  </si>
  <si>
    <t>Inspection Equipment Tech</t>
  </si>
  <si>
    <t>System Integtation</t>
  </si>
  <si>
    <t>Laser</t>
  </si>
  <si>
    <t>Please fill in Technical Capabilties information by Category and Sub-Category.</t>
  </si>
  <si>
    <t>Client / Reference</t>
  </si>
  <si>
    <t>Apple DRI Name</t>
  </si>
  <si>
    <t>Apple DRI Email</t>
  </si>
  <si>
    <t>Client / Reference Email</t>
  </si>
  <si>
    <t>Applicable Project Experience
(Year, Machine Description &amp; QTY, Spend, Timeline)</t>
  </si>
  <si>
    <t>Applicable Apple Experience
(Year, Machine Description &amp; QTY, Spend, Timeline)</t>
  </si>
  <si>
    <t>In House Capability?</t>
  </si>
  <si>
    <t>Outsourced?</t>
  </si>
  <si>
    <t>Equipment Type &amp; Key Technologies</t>
  </si>
  <si>
    <t>Competitive Advantage(s)</t>
  </si>
  <si>
    <r>
      <t>     10.1.3</t>
    </r>
    <r>
      <rPr>
        <b/>
        <sz val="16"/>
        <color theme="0"/>
        <rFont val="SF Hello Regular"/>
      </rPr>
      <t xml:space="preserve">  New Product Security (NPS) Audit</t>
    </r>
  </si>
  <si>
    <r>
      <t>     10.1.2</t>
    </r>
    <r>
      <rPr>
        <b/>
        <sz val="16"/>
        <color theme="0"/>
        <rFont val="SF Hello Regular"/>
      </rPr>
      <t xml:space="preserve">  NDA, ARPA, &amp; EDPA</t>
    </r>
  </si>
  <si>
    <r>
      <t xml:space="preserve">     10.1.1 </t>
    </r>
    <r>
      <rPr>
        <b/>
        <sz val="16"/>
        <color theme="0"/>
        <rFont val="SF Hello Regular"/>
      </rPr>
      <t>  Company Organizational Structure &amp; Entities</t>
    </r>
  </si>
  <si>
    <r>
      <t>     10.2.4</t>
    </r>
    <r>
      <rPr>
        <b/>
        <sz val="16"/>
        <color theme="0"/>
        <rFont val="SF Hello Regular"/>
      </rPr>
      <t>   Distribution Model &amp; Authorized Purchasers</t>
    </r>
  </si>
  <si>
    <t>Total Field Service Engineers - L2 (HC)</t>
  </si>
  <si>
    <t>Total Field Service Engineers - L1 (HC)</t>
  </si>
  <si>
    <t>Total Field Service Engineers - L3 (HC)</t>
  </si>
  <si>
    <t>Support Capabilities in Region - Total # of Units (QTY)</t>
  </si>
  <si>
    <t>Total Project Management (HC)</t>
  </si>
  <si>
    <t>Total Engineering (HC)
(Mechanical, Electircal, Software, etc.)</t>
  </si>
  <si>
    <t>Total Production (HC)</t>
  </si>
  <si>
    <t>Total OSS (HC)</t>
  </si>
  <si>
    <t>Supply Chain (HC)</t>
  </si>
  <si>
    <t>Quality (HC)</t>
  </si>
  <si>
    <t>Shipping &amp; Logistics (HC)</t>
  </si>
  <si>
    <t>Dedicated Resourcing (HC)
(PM, Engineering, Production, OSS, etc.)</t>
  </si>
  <si>
    <t>Proficiency</t>
  </si>
  <si>
    <t xml:space="preserve">Typcical Development &amp; Equipment Lead Times
(RFP to DFM, KO to ETA, ETA to SAT, OEE, etc.) </t>
  </si>
  <si>
    <t>*If there are existing NDA, ARPA, and EDPA, please attach in response to RFI.</t>
  </si>
  <si>
    <t>Facility Headcount (HC)
(PM, Engineering, Production, OSS, Supply Chain, Quality, Shipping &amp; Logistics, R&amp;D, Sales &amp; Marketing, Executive)</t>
  </si>
  <si>
    <t xml:space="preserve">Average Total Annual Revenue from Units Produced </t>
  </si>
  <si>
    <r>
      <t>     10.1.4</t>
    </r>
    <r>
      <rPr>
        <b/>
        <sz val="16"/>
        <color theme="0"/>
        <rFont val="SF Hello Regular"/>
      </rPr>
      <t xml:space="preserve">  Enviroment &amp; Supply Supply Chain Innovation (ESCI) Facility Readiness Assessment (FRA)</t>
    </r>
  </si>
  <si>
    <t>Enviroment &amp; Supply Supply Chain Innovation (ESCI) Facility Readiness Assessment (FRA) Approved?</t>
  </si>
  <si>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</si>
  <si>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</si>
  <si>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</si>
  <si>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t>Apple Indirect Generated Revenue (USD)</t>
  </si>
  <si>
    <t>R&amp;D (HC)
(Mechanical, Electircal, Software, etc.)</t>
  </si>
  <si>
    <t>Sales &amp; Marketing (HC)</t>
  </si>
  <si>
    <t>Executive (HC)</t>
  </si>
  <si>
    <t>Please fill in Headcount (HC) information. Only numbers are allowed to be input.</t>
  </si>
  <si>
    <t>Assembly</t>
  </si>
  <si>
    <t>Regions Served (Countries &amp; QTY)</t>
  </si>
  <si>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</si>
  <si>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t>Fixture Design &amp; Fabrication</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</si>
  <si>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</si>
  <si>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</si>
  <si>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Metrology</t>
  </si>
  <si>
    <t>Dispatch Difficulty from Region (High/Medium/Low)</t>
  </si>
  <si>
    <t>SW/PLC Integration</t>
  </si>
  <si>
    <r>
      <t>     10.2.5</t>
    </r>
    <r>
      <rPr>
        <b/>
        <sz val="16"/>
        <color theme="0"/>
        <rFont val="SF Hello Regular"/>
      </rPr>
      <t>   Equipment Design &amp; Retrofitability</t>
    </r>
  </si>
  <si>
    <r>
      <t>     10.2.7</t>
    </r>
    <r>
      <rPr>
        <b/>
        <sz val="16"/>
        <color theme="0"/>
        <rFont val="SF Hello Regular"/>
      </rPr>
      <t>   Equipment Component Selection</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</si>
  <si>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</si>
  <si>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</si>
  <si>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</si>
  <si>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10.2.6</t>
    </r>
    <r>
      <rPr>
        <b/>
        <sz val="16"/>
        <color theme="0"/>
        <rFont val="SF Hello Regular"/>
      </rPr>
      <t>   OSS Requirements &amp; Necessity</t>
    </r>
  </si>
  <si>
    <t>Key Components &amp; Average Annual Spend ($M)
(Prefernce for off the shelf components)</t>
  </si>
  <si>
    <t>Test Equipment Tech</t>
  </si>
  <si>
    <t>Laser Compliance Test</t>
  </si>
  <si>
    <t>Button Test</t>
  </si>
  <si>
    <t>Camera Test</t>
  </si>
  <si>
    <t>Optical Test</t>
  </si>
  <si>
    <t>Acoustic Test</t>
  </si>
  <si>
    <t>Force Test</t>
  </si>
  <si>
    <t>Display Sensing/L
uminance Test</t>
  </si>
  <si>
    <r>
      <t>     10.2.8</t>
    </r>
    <r>
      <rPr>
        <b/>
        <sz val="16"/>
        <color theme="0"/>
        <rFont val="SF Hello Regular"/>
      </rPr>
      <t>   Equipment Software &amp; Training Materials</t>
    </r>
  </si>
  <si>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</si>
  <si>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</si>
  <si>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 xml:space="preserve">Kyle Boutin
Global Sourcing &amp; Supply Management
+1-415-352-9000
kboutin@apple.com   </t>
  </si>
  <si>
    <t>Participant acknowledges and agrees to an on-site Facility Readiness Assessment (FRA) of workshop and facilities by Apple Environment &amp;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</si>
  <si>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t>Please add geographic breakdown of 2024/2025 Engineering resources by geography in the comments section
Suggested geogrpahies already incldued, feel free to edit/add/subtract geogrpahies as necessary</t>
  </si>
  <si>
    <t>US:
China:
India:
Vietnam:
Thailand:
Brazil:
ETC:</t>
  </si>
  <si>
    <r>
      <t xml:space="preserve">Participant's Proposal to this Request for Information (“RFI”) shall be sent via email by no later than </t>
    </r>
    <r>
      <rPr>
        <b/>
        <sz val="16"/>
        <color rgb="FFFF0000"/>
        <rFont val="SF Hello Regular"/>
      </rPr>
      <t>Monday, December 1, 2025 by 11:00PM Asia time.</t>
    </r>
    <r>
      <rPr>
        <b/>
        <sz val="16"/>
        <color theme="1"/>
        <rFont val="SF Hello Regular"/>
      </rPr>
      <t xml:space="preserve"> </t>
    </r>
  </si>
  <si>
    <r>
      <t xml:space="preserve">All Proposals shall be submitted via email to Procurement Contact no later than </t>
    </r>
    <r>
      <rPr>
        <b/>
        <sz val="16"/>
        <color rgb="FFFF0000"/>
        <rFont val="SF Hello Regular"/>
      </rPr>
      <t>Monday, December 1,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</si>
  <si>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t>Coesia SpA</t>
  </si>
  <si>
    <t>Bologna</t>
  </si>
  <si>
    <t>www.coesia.com</t>
  </si>
  <si>
    <t>Isabella Seràgnoli</t>
  </si>
  <si>
    <t>President</t>
  </si>
  <si>
    <t>Presidenza@coesia.com</t>
  </si>
  <si>
    <t>0039 051 6474238</t>
  </si>
  <si>
    <t>Sean Douglas</t>
  </si>
  <si>
    <t>Sr. Sales Engineer</t>
  </si>
  <si>
    <t>sean.douglas@flexlink.com</t>
  </si>
  <si>
    <t xml:space="preserve"> +1 610-554-1896</t>
  </si>
  <si>
    <t>Marco Andriano</t>
  </si>
  <si>
    <t>CEO FlexLink North America</t>
  </si>
  <si>
    <t>marco.andriano@flexlink.com</t>
  </si>
  <si>
    <t>Melanie Saugere</t>
  </si>
  <si>
    <t>Americas Controller</t>
  </si>
  <si>
    <t>melanie.Saugere@coesia.com</t>
  </si>
  <si>
    <t>+33 1 3068 53 95</t>
  </si>
  <si>
    <t xml:space="preserve"> +1 248-388-9825</t>
  </si>
  <si>
    <t>David Shaw</t>
  </si>
  <si>
    <t>Engineering Manager, FLNA</t>
  </si>
  <si>
    <t>david.shaw@flexlink.com</t>
  </si>
  <si>
    <t>Helen Wilkerson</t>
  </si>
  <si>
    <t>helen.wilkinson@flexlink.com</t>
  </si>
  <si>
    <t>Purchasing Supervisor, FLNA</t>
  </si>
  <si>
    <t>Mark Douglas</t>
  </si>
  <si>
    <t>Operations Manager, FLNA</t>
  </si>
  <si>
    <t>mark.douglas@flexlInk.com</t>
  </si>
  <si>
    <t>+1 610 554 1764</t>
  </si>
  <si>
    <t>HQ Coesia</t>
  </si>
  <si>
    <t>Bologna, Italy</t>
  </si>
  <si>
    <t>Via Battindarno 91, Bologna</t>
  </si>
  <si>
    <t>FlexLink USA Allentown</t>
  </si>
  <si>
    <t>Allentown, PA, USA</t>
  </si>
  <si>
    <t>Global</t>
  </si>
  <si>
    <t>Conveyors, Elevators, Puck Handling Systems, Vision (Orientation), Cartesian Pick &amp; Place, Manual Inspection Stations, Locate Stations, Tunnel Lifts, Merges, Diverts</t>
  </si>
  <si>
    <t>FlexLink USA, Davisburg</t>
  </si>
  <si>
    <t>Davisburg, MI, USA</t>
  </si>
  <si>
    <t>10301 Enterprise Dr, Davisburg, MI 48350</t>
  </si>
  <si>
    <t>6580 Snowdrift Rd, Allentown, PA 18106</t>
  </si>
  <si>
    <t>Conveyors, Elevators
Single Track Puck Handling Systems Twin Track Pallet Handling Systems
Heavy Roller Conveyors
Heavy Roller Chain Conveyors
AMR Integration
Cartesian Pick &amp; Place Cells
Automated Torque Tool Integration
Automated Test Cells (Automotive)
Ergo Frames &amp; Racks</t>
  </si>
  <si>
    <t>FlexLink Malaysia</t>
  </si>
  <si>
    <t>Kuala Lampur, Malaysia</t>
  </si>
  <si>
    <t>Conveyors, Elevators,
PCB / Semi Edge Belt Conveyors
Single Track Puck Handling Systems Twin Track Pallet Handling Systems
Standard Palletizing Robot
Case Packing Robots
AMR Integration
Linear Motor Puck Systems
I-Trak &amp; XTS Systems
Cartesian Pick &amp; Place Cells
SCARA Pick &amp; Place Cells
Automated Torque Tool Integration
Robotic Dispense Cells
Robotic Torque Tool Integration
Robotic Plasma Cleaning Cells
Robotic Component Pick &amp; Place (SCARA, Articulating, Cartesian)
Custom Robotics</t>
  </si>
  <si>
    <t>Conveyors, Elevators,
PCB / Semi Edge Belt Conveyors
Single Track Puck Handling Systems Twin Track Pallet Handling Systems
Standard Palletizing Robot
Case Packing Robots
AMR Integration
Linear Motor Puck Systems
I-Trak &amp; XTS Systems
Cartesian Pick &amp; Place Cells
SCARA Pick &amp; Place Cells
Automated Torque Tool Integration
Sorting Robots (SCARA &amp; Articulating)</t>
  </si>
  <si>
    <t>No 13, Jalan Tiang U8/93, Seksyen U8, Bukit Jelutong Industrial Park
40150 Shah Alam, Selangor, Malaysia</t>
  </si>
  <si>
    <t>RA Jones USA, Covington</t>
  </si>
  <si>
    <t>GD Bologna</t>
  </si>
  <si>
    <t>2701 Crescent Springs Pike, Covington, KY 41017</t>
  </si>
  <si>
    <t>Via Circonvallazione Sud 5, Offanengo (CR), 26010, Italy</t>
  </si>
  <si>
    <t xml:space="preserve">Custom Assembly Robots:  E-CA
Battery Winding Cells
FIFO Buffers
SCARA Robots (Manufacture)
SCARA Robots (Integration)
Delta Robots (Integration)
Solder Robots
Linear Motor XTS Puck Systems 
Tray Unloaders
Stamp Applicators
Flow Wrappers
Tray Filling Systems
Cartoning Systems
Folding Machine for Prismatic &amp; Pouch Cell Batteries
Packing Systems
</t>
  </si>
  <si>
    <t>Horizontal &amp; Vertical Cartoners, Conveyance
Turnkey Packaging Systems
Robotics (Case Packing)
Bagging Cells
Linear Motor XTS Systems
Puck &amp; Pallet Handling</t>
  </si>
  <si>
    <t>Covington, KY &amp; Davenport IA</t>
  </si>
  <si>
    <t>Low</t>
  </si>
  <si>
    <t>China, Hong Kong, South Korea</t>
  </si>
  <si>
    <t>Indonesia, Malaysia, 
Thailand, Vietnam</t>
  </si>
  <si>
    <t>Austrial, Czech Republic, France, 
Germany, Italy, Portugal, Spain, 
Sweden, Switzerland, United Kingdom</t>
  </si>
  <si>
    <t>Argentina, Brazil, 
Colombia, MExico</t>
  </si>
  <si>
    <t>Egypt, Turkey, 
United Arab Emirates</t>
  </si>
  <si>
    <t>United States of America</t>
  </si>
  <si>
    <t>Medium</t>
  </si>
  <si>
    <t>High</t>
  </si>
  <si>
    <t>Indonesia, Malaysia, 
Thailand, Vietnam,
Philippines, Singapore</t>
  </si>
  <si>
    <t>all world</t>
  </si>
  <si>
    <t>Latin America</t>
  </si>
  <si>
    <t>Middle East and Africa</t>
  </si>
  <si>
    <t>Coesia introduced since 2024 a new Project Management process aimed to:
1) Structuring project execution end to end since project award to completion
2) Support Coesia product development and delivery with focus on quality, on time delivery and profitability
3) Ensuring customer support with a main reference window person (Project Manager) to support customer all over the process
The process is structured with a stage gate approach where all Company functions are involved and coordinated by Project Manager.
The chart below represents the full process from Pre-order phase since Handover where structured decision gates (red squares) and milestones (circles) are defined to support Project Manager in leading the Coesia interfunctional team.</t>
  </si>
  <si>
    <t>In order to support the Project Management transformation Coesia adopted standard structures in all the involved Companies where:
1) 	Company Head of Project Management has been identified and elevated reporting directly to Company CEO in order to ensure a quick decision making and escalation process when needed.
2)	 Project Manager are supported with use of a new standard PPM platform (Monday.com) that is currently under roll out on selected Companies in order to support Project tracking and share information across the team
3)	 A Central team is established in order to support and coordinate all Project Management activities, fostering and leading  PMO transformation and monitoring execution providing direct support where needed. Central team is coordinated by Coesia Group Project Management Director that is directly reporting to Coesia Group Operations Director.</t>
  </si>
  <si>
    <r>
      <rPr>
        <b/>
        <u/>
        <sz val="12"/>
        <color theme="1"/>
        <rFont val="Calibri"/>
        <family val="2"/>
        <scheme val="minor"/>
      </rPr>
      <t>THE PROCESS:</t>
    </r>
    <r>
      <rPr>
        <b/>
        <sz val="12"/>
        <color theme="1"/>
        <rFont val="Calibri"/>
        <family val="2"/>
        <scheme val="minor"/>
      </rPr>
      <t xml:space="preserve">
</t>
    </r>
    <r>
      <rPr>
        <sz val="12"/>
        <color theme="1"/>
        <rFont val="Calibri"/>
        <family val="2"/>
        <scheme val="minor"/>
      </rPr>
      <t xml:space="preserve">
Project Management process has been developed based on PMI instructions and guidance, each phase and milestone have been tracked and RASIC chart is available to define clear roles and responsibility and ensure each deliverable is satisfied.
Starting from Project kick off (milestone 4b) there is a planning phase where detailed timing of Project activities are listed and prioritized based on specific project execution. Master plan is updated and defined by Project Manager who is responsible to keep the whole team updated and engaged.
Design phase is an interactive loop where existing solution adaptation, new solutions design, industrialization and cost optimization, simulations and module design review are looped based on project innovation requirements and specific solution development. Design phase is monitored and executed by technical functions coordinated by PM and reviewed through milestone (6 - design \ verification per each module).
System integration grants the overall architecture is integrated by design and meets customer demands according to technical specification. A specific gate (7) is established to monitor the process.
Handover to Manufacturing releasing Engineering Bill Of Material (EBOM) represent the handover phase from Engineering to Operations in order to kick off production activities by selecting suppliers, defining assembly cycles, sequencing and manufacturing operations.
The testing phase is an internal run out where performance are monitored (according to what agreed with customer per each specific project) and monitored by milestone (9). 
Final design with Manufacturing BOM and Service BOM release are important stages (milestone 10) to support handover phase to service by delivering essential information to provide an efficient support after SAT.
Installation at customer site and final SAT (Site Acceptance Test) are the final stage of installation and performance and are assessed with milestone (11).
Gate review and milestones have deliverable customized by company based on the core business and are under progressive roll out in order to ensure checklist definition to assess project status is proceeding meeting both internal and customer expectations. </t>
    </r>
  </si>
  <si>
    <r>
      <t xml:space="preserve">
Routine meeting are set in order to monitor on a periodic base progress of the project:
-	</t>
    </r>
    <r>
      <rPr>
        <b/>
        <sz val="12"/>
        <color theme="1"/>
        <rFont val="Calibri"/>
        <family val="2"/>
        <scheme val="minor"/>
      </rPr>
      <t>Operative meeting:</t>
    </r>
    <r>
      <rPr>
        <sz val="12"/>
        <color theme="1"/>
        <rFont val="Calibri"/>
        <family val="2"/>
        <scheme val="minor"/>
      </rPr>
      <t xml:space="preserve"> led by PM with project’s stakeholder and Functional Project Leader has the intent to schedule activities, keep team aligned and to share targets. Frequency depending on request / suggested schedule twice per week.
-	</t>
    </r>
    <r>
      <rPr>
        <b/>
        <sz val="12"/>
        <color theme="1"/>
        <rFont val="Calibri"/>
        <family val="2"/>
        <scheme val="minor"/>
      </rPr>
      <t>Customer meeting:</t>
    </r>
    <r>
      <rPr>
        <sz val="12"/>
        <color theme="1"/>
        <rFont val="Calibri"/>
        <family val="2"/>
        <scheme val="minor"/>
      </rPr>
      <t xml:space="preserve"> led by PM has the intent to work as a single team with customer to embrace challenges and share risks \ opportunities and keep the one-team alignment. Frequency depending on phase or status of the project.
-</t>
    </r>
    <r>
      <rPr>
        <b/>
        <sz val="12"/>
        <color theme="1"/>
        <rFont val="Calibri"/>
        <family val="2"/>
        <scheme val="minor"/>
      </rPr>
      <t xml:space="preserve">	Project review: </t>
    </r>
    <r>
      <rPr>
        <sz val="12"/>
        <color theme="1"/>
        <rFont val="Calibri"/>
        <family val="2"/>
        <scheme val="minor"/>
      </rPr>
      <t xml:space="preserve">led by Company Head of PM has the target to monitor on a weekly / bi weekly basis status of the project ensuring all key activities are proceeding according to Coesia standards.
-	</t>
    </r>
    <r>
      <rPr>
        <b/>
        <sz val="12"/>
        <color theme="1"/>
        <rFont val="Calibri"/>
        <family val="2"/>
        <scheme val="minor"/>
      </rPr>
      <t>CEO review:</t>
    </r>
    <r>
      <rPr>
        <sz val="12"/>
        <color theme="1"/>
        <rFont val="Calibri"/>
        <family val="2"/>
        <scheme val="minor"/>
      </rPr>
      <t xml:space="preserve"> Escalation meeting to report to Company CEO critical issues and remove roadblocks that might be on a critical path. Can be set anytime according to project’s requirements.
Coesia defined project categories in order to define project clusters and assign to each project the right Project Management seniority level and Sponsorship.
Project categories are based on:
-	 Solution maturity
-	 Delivery time
-	 Engineering effort </t>
    </r>
  </si>
  <si>
    <r>
      <rPr>
        <b/>
        <u/>
        <sz val="12"/>
        <color theme="1"/>
        <rFont val="Calibri"/>
        <family val="2"/>
        <scheme val="minor"/>
      </rPr>
      <t>ROLES IN PROJECT MANAGEMENT TEAM</t>
    </r>
    <r>
      <rPr>
        <u/>
        <sz val="12"/>
        <color theme="1"/>
        <rFont val="Calibri"/>
        <family val="2"/>
        <scheme val="minor"/>
      </rPr>
      <t xml:space="preserve">
</t>
    </r>
    <r>
      <rPr>
        <sz val="12"/>
        <color theme="1"/>
        <rFont val="Calibri"/>
        <family val="2"/>
        <scheme val="minor"/>
      </rPr>
      <t xml:space="preserve">
</t>
    </r>
    <r>
      <rPr>
        <b/>
        <sz val="12"/>
        <color theme="1"/>
        <rFont val="Calibri"/>
        <family val="2"/>
        <scheme val="minor"/>
      </rPr>
      <t>The Project Manager</t>
    </r>
    <r>
      <rPr>
        <sz val="12"/>
        <color theme="1"/>
        <rFont val="Calibri"/>
        <family val="2"/>
        <scheme val="minor"/>
      </rPr>
      <t xml:space="preserve"> is appointed by the Head of PM and he\she is accountable for the end-to-end Project Execution across all the Functions involved. The Project Manager leads a cross-functional Project Team and the Project Stakeholders towards the achievement of Project Objectives. The Project Manager is responsible for delivering the project results balancing constraints (scope, quality, time, cost), and accountable of project profitability and on time delivery.
Main activities/responsibilities
•	Apply and ensure the application of Company Project Management Framework (including Methodology, Policy, Process, Tools) and Project Governance Model
•	Review the consistency of the Project Scope, Time and Cost constraints of the original Business Case or Customer Order/Contract
•	Identify and engage Project Stakeholders (including the Customer when present)
•	PM directs day-by-day project execution and leads the functional project teams to respect of project time and cost to maximize profitability 
•	Represent the direct “point of contact” with Customers during the Project Execution phase and work to increase the Customer Satisfaction in accordance with Company business objectives
•	Ensure a “good” Project Start by means of an effective handover from the “Pre-order” to the “Execution” phase
•	Coordinate and ensure the creation of the Overall Project Plan, involving all the Project Management Team composed by the Functional Project Leaders assigned to the Project by the involved Functions
•	Obtain the approval of an official Project Plan (Baseline) against which the Project Performance is measured
•	Ensure that the Overall Project Plan is understood and respected by the Project Team and Project Stakeholders
•	Ensure that the Project is executed, and the Project Objectives are achieved respecting all the Project constraints (Budget, Time, Scope, Quality)
•	Coordinate key project communications and ensure the creation and archiving of all the necessary Project Documentation
•	Manage regular Project Performance review activities, identifying possible variances in scope, quality, time, cost and defining corrective and preventive actions with the support and involvement of the Project Management Team and other Project Stakeholders
•	Identify and manage Project Changes in compliance with Governance and escalation rules
•	Address and solve issues and remove impediments which are blocking the Project
•	Support Project Stakeholders in the decision-making in case of issues or change requests
•	Organize and lead Project Performance Review meetings</t>
    </r>
  </si>
  <si>
    <t>•Ensure regular, consistent, accurate Project Performance Reporting
•	Lead Gate and Milestone reviews
•	Lead the Project Team and ensure actual day by day collaboration
•	Identify possible gaps in the competences and skills of resources assigned to the Project Team and escalate so they are understood and addressed
•	Schedule and lead Project Team meetings with adequate frequency (weekly recommended)
•	Ensure the creation and utilization of Lessons Learned during the Project Execution
•	Identify and respond to Project Risks</t>
  </si>
  <si>
    <r>
      <rPr>
        <b/>
        <sz val="12"/>
        <color theme="1"/>
        <rFont val="Calibri"/>
        <family val="2"/>
        <scheme val="minor"/>
      </rPr>
      <t>The Project Sponsor</t>
    </r>
    <r>
      <rPr>
        <sz val="12"/>
        <color theme="1"/>
        <rFont val="Calibri"/>
        <family val="2"/>
        <scheme val="minor"/>
      </rPr>
      <t xml:space="preserve"> is the Company Stakeholder that formally authorizes the Project on the basis of the Project Business Case or Purchase Order/Contract with a Customer. The Project Sponsor provides guidance and governance beyond the Project Manager’s authority
Main activities/responsibilities
•	Formally authorizes the start of the Project Execution Phase (after gate G4a)
•	Defines the Project Manager’s level of authority
•	Approves Project Life Cycle Execution Gates
•	Approves the cost and schedule Project Baseline 
•	Approves project changes which impact the Latest Agreed Project Cost and Schedule
•	Serves as escalation path to higher levels in the organization and solves issues beyond the authority of the Project Manager
•	Balance resource allocation between different projects in case of conflicts
•	Presides Project Performance Reviews and oversees Project and Portfolio KPIs
</t>
    </r>
    <r>
      <rPr>
        <b/>
        <sz val="12"/>
        <color theme="1"/>
        <rFont val="Calibri"/>
        <family val="2"/>
        <scheme val="minor"/>
      </rPr>
      <t>The Functional Project Leader</t>
    </r>
    <r>
      <rPr>
        <sz val="12"/>
        <color theme="1"/>
        <rFont val="Calibri"/>
        <family val="2"/>
        <scheme val="minor"/>
      </rPr>
      <t xml:space="preserve"> is appointed by Company Functions involved in the Project with the responsibility to plan, monitor, control all the work assigned to the Function by the Project. Contribute to the achievement of Project Objectives, sharing project management responsibilities with the Project Manager balancing constraints (scope, quality, time, cost), and accountable of project profitability and time.
Main activities/responsibilities
•	Plan Project Functional activities in compliance with the Overall Project Plan defined by the Project Manager
•	Ensure an adequate functional staffing (number and skills) for the execution of the functional activities in accordance with the Project Plan
•	Coordinate internal/external functional activities and resources
•	Ensure the achievement of customer requirements
•	Guarantee achievement of Project objectives in terms of time, scope, quality and costs
•	Proactively collaborate with the Project Manager to identify, address, resolve Project Issues
•	Contribute to the Identification and management of Project Risks</t>
    </r>
  </si>
  <si>
    <t>•	Contribute to achieve the objectives of profit, quality, timing reviewed and agreed with the Project Manager
•	Plan, monitor, control project deliverables according to their functional area of accountability
•	Ensure high level of quality in the technical deliverables 
•	Support the PM in Change Request management to evaluate any technical, cost and schedule impact;
•	Apply the Company Project Management Framework (including Methodology, Policy, Process, Tools)
•	Support Gate and Milestone Validation</t>
  </si>
  <si>
    <r>
      <rPr>
        <b/>
        <u/>
        <sz val="12"/>
        <color theme="1"/>
        <rFont val="Calibri"/>
        <family val="2"/>
        <scheme val="minor"/>
      </rPr>
      <t>PPM Tools and KPI</t>
    </r>
    <r>
      <rPr>
        <sz val="12"/>
        <color theme="1"/>
        <rFont val="Calibri"/>
        <family val="2"/>
        <scheme val="minor"/>
      </rPr>
      <t xml:space="preserve">
Coesia is rolling out a customized PPM platform based on Monday.com to manage, record and monitor project’s updates.
Responsibility to keep project platform update is under PM but integration to ERP system is considered as a priority and was designed an internal work frame to integrate the PPM on standard activity planning. Since September 2025 is scheduled a progressive roll out to have integrated and on time results on few important KPI to track project profitability and stages.
Thanks to software integration with WBS present on ERP it would be available for PM monitoring:
-	Effort provided by team in engineering category defined
-	Effort provided by team in assembly and testing category defined
-	Status of BOM
-	Monitor progress update to make Estimate At Completion (EAC) of project lead time and profitability </t>
    </r>
  </si>
  <si>
    <r>
      <rPr>
        <b/>
        <u/>
        <sz val="12"/>
        <color theme="1"/>
        <rFont val="Calibri"/>
        <family val="2"/>
        <scheme val="minor"/>
      </rPr>
      <t>Investment on People</t>
    </r>
    <r>
      <rPr>
        <sz val="12"/>
        <color theme="1"/>
        <rFont val="Calibri"/>
        <family val="2"/>
        <scheme val="minor"/>
      </rPr>
      <t xml:space="preserve">
Coesia is strongly focusing in transforming Project Management by investing in very high skills training to strive to increase PM and FPL (Functional Project Leaders) knowledge, know how and practice.
There are structured plans to train PM investing in the people grow to set new standards for Coesia PMO.
Since Q3 2024 to date:
- 	Project Management fundamentals training &gt; 250 PM coached
-	 PM new operating model &gt; 100 PM trained
- PM new tools &gt; 100 PM trained
-	 PMP certification (just for senior PM and master PM) 20 certified + 37 trained to be certified in the next few weeks </t>
    </r>
  </si>
  <si>
    <t>Design
Simulation
Procurement
Assembly
Test
Installation 
Training
Field Service</t>
  </si>
  <si>
    <t>PLC Programming
Panel Design
HMI Configuration
MES Interfacing
Data Collection
Performance Analytics</t>
  </si>
  <si>
    <t xml:space="preserve">Custom Conveyance
Belt, Chain, Roller, Magnetic Drive, Indexing
Dynamic Routing (RFID/BC)
Powered Device Handling
Robotics
Custom Machine Building
Motion Control
Automated Assembly Systems
Packaging Systems
Rotary Assembly Cells
</t>
  </si>
  <si>
    <t>Puck Fixtures(Small)
Pallet Fixtures(M,L,XL)
Operator Fixtures for Manual Workstations
Locate Tooling
Custom EOAT (Robotics)
Tool Change Fixtures</t>
  </si>
  <si>
    <t>CO2
YAG
PCB FR4 Marking
Stainless Steel Automotive Component Marking
Laser Welding (Metal)</t>
  </si>
  <si>
    <t>Plasma Cleaning Robot (Electronics)</t>
  </si>
  <si>
    <t>Rockwell
Siemens
Omron
Mitsubishi
Beckhoff
Schneider</t>
  </si>
  <si>
    <t>Conveyors
Packaging Systems
Robotics
Automated Assembly Systems
Custom Machine Building
Vision</t>
  </si>
  <si>
    <t>Custom Cartesian Pick &amp; Place
Simple Pneumatic P&amp;P
Robotic Pick &amp; Place
SCARA, Articulating, Delta
Machine Tending
Pallet Load
Industrial &amp; Collaborative
Vision Guided Component Pick and Place (Electronics)
Odd form Component Pick and Place (Cosmetics)</t>
  </si>
  <si>
    <t xml:space="preserve">Automated Torque Tools
Glue Dispense
Semi-Automated Workstations
Lift &amp; Rotate Stations
Robotic Assembly Cells
Rotary Table Assembly Cells
Integrated Vision (fiducial &amp; inspection)
Turnkey Electronics Assembly Robots
</t>
  </si>
  <si>
    <t>Yes, Component Presence / Absence
Component Orientation Inspection
Quality Defect Inspection
Vision Guided Picking (Totes, Components, Electronics, Cosmetics, Sorting</t>
  </si>
  <si>
    <t>AI for MultiSKU Palletizing
AI for Vision learning for pick assist for flexible products</t>
  </si>
  <si>
    <t>Fixtures for EOAT Storage
Fixtures for Pallets
Assembly Jigs &amp; Fixtures</t>
  </si>
  <si>
    <t>Conveyor
Packaging Systems
Cartesian P&amp;P Cells
Packaging Robots (Delta)
Packagiung Robots (Articulating &amp; SCARA)
Stackers, Destackers
Elevators and MHS Shuttles and Rotates
Laser Marking Cells
Turnkey Electronics Assembly Systems
Turnkey Battery Winding Systems</t>
  </si>
  <si>
    <t>Time / Pressure Pumps
Auger Pumps
Glue Dispense
Encapsulation Dispense
Conductive Epoxy
Tube Filling Systems (healthcare, personal care)</t>
  </si>
  <si>
    <t>In house Conveyor Component Manufacturing</t>
  </si>
  <si>
    <t xml:space="preserve">Laser Marking Cells
Direct Print Systems </t>
  </si>
  <si>
    <t>Robot Cells:
   RFP-DFM:  20-32 Weeks
KO-SAT(Dup Build):12-20Wks
ETA-SAT(Dup Build) 1-2 Wks</t>
  </si>
  <si>
    <t xml:space="preserve">PCB Assembly Pick &amp; Place
Robotic Torque Tools
</t>
  </si>
  <si>
    <t>Customization Capabilities
Dynamic Routing
Track &amp; Trace
Multiple Robot Control Platforms</t>
  </si>
  <si>
    <t>Small Cells:  16-24 Weeks
Large Turnkey Systems:  20-52 Weeks</t>
  </si>
  <si>
    <t>Small Systems 8-12 weeks
Medium Conveyor Projects 10-16 Weeks
Large ($1M+ Turnkey Systems) 16-36 weeks
Extra Large ($5M+) 24-52 Wks</t>
  </si>
  <si>
    <t>Over 1200 robots in the field
Over 800 Collaborative Robots in the Field
45+ years in Conveyor, Automation and Integration
Over 9500 km of Conveyor in the field</t>
  </si>
  <si>
    <t>Please reference the PDF 9b uploaded to the BOX</t>
  </si>
  <si>
    <t>Yes.      In this case we can say yes to standard Apple T's &amp; C's  with amendments for the specific application required and confirmation of standard Apple T's &amp; C's.</t>
  </si>
  <si>
    <t>Coesia spend is divided in Custom parts and Commercial Parts. Custom parts are mechanical components and 90% of the total value is sourced from the same geographical area where the production facility is located. The commercial parts are sourced from well known brands as Bosch, Siemenes, Rockwell, Keynece,SKF, Festo, etc and are referring to categories as Automation, Vision system, pneumatics, etc. 
Custom parts spend is more than 50% of the overall spend. Values are confidential info</t>
  </si>
  <si>
    <t>We do not have any specific record of recurring issues with shipments to particular countries. That said, as with any international operations, occasional variations in lead times may arise due to broader global geopolitical or logistical developments that are sometimes beyond our direct control.</t>
  </si>
  <si>
    <t>Our supply chain strategy integrates supplier collaboration, dynamic planning, and continuous process optimization to maintain delivery performance and adaptability in our  operations</t>
  </si>
  <si>
    <t>IQC: there is a material incoming quality ispection process based on complexity of the component / quality supplier performance track record to determine accordingly the level of material checking
IPQC/OQC: not full applicable on our business. Major quality check through FAT/SAT milestones</t>
  </si>
  <si>
    <t>Multi suppliers sourcing for each sub commodity with high technology content. High local suppliers capacity dedicated to our Group within the mechanical components to prevent bottle neck in production during high peak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</si>
</sst>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164" formatCode="_-[$$-409]* #,##0_ ;_-[$$-409]* \-#,##0\ ;_-[$$-409]* &quot;-&quot;??_ ;_-@_ "/>
    <numFmt numFmtId="165" formatCode="_-* #,##0_-;\-* #,##0_-;_-* &quot;-&quot;_-;_-@_-"/>
    <numFmt numFmtId="166" formatCode="_-[$$-409]* #,##0.00_ ;_-[$$-409]* \-#,##0.00\ ;_-[$$-409]* &quot;-&quot;_ ;_-@_ "/>
  </numFmts>
  <fonts count="36">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
      <b/>
      <sz val="12"/>
      <color theme="1"/>
      <name val="Calibri"/>
      <family val="2"/>
      <scheme val="minor"/>
    </font>
    <font>
      <u/>
      <sz val="12"/>
      <color theme="1"/>
      <name val="Calibri"/>
      <family val="2"/>
      <scheme val="minor"/>
    </font>
    <font>
      <sz val="16"/>
      <color rgb="FF000000"/>
      <name val="Calibri"/>
      <family val="2"/>
      <scheme val="minor"/>
    </font>
    <font>
      <sz val="9"/>
      <color theme="1"/>
      <name val="Segoe UI"/>
      <family val="2"/>
    </font>
    <font>
      <sz val="8"/>
      <color rgb="FF1F1F1F"/>
      <name val="Arial"/>
      <family val="2"/>
    </font>
    <font>
      <sz val="8"/>
      <color rgb="FF222222"/>
      <name val="Arial"/>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5" fontId="1" fillId="0" borderId="0" applyFont="0" applyFill="0" applyBorder="0" applyAlignment="0" applyProtection="0">
      <alignment vertical="center"/>
    </xf>
  </cellStyleXfs>
  <cellXfs count="129">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2" fillId="0" borderId="0" xfId="0" applyFont="1" applyAlignment="1">
      <alignment vertical="center" wrapText="1"/>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xf numFmtId="6" fontId="12" fillId="5" borderId="1" xfId="0" applyNumberFormat="1" applyFont="1" applyFill="1" applyBorder="1" applyAlignment="1" applyProtection="1">
      <alignment horizontal="center" vertical="center" wrapText="1"/>
      <protection locked="0"/>
    </xf>
    <xf numFmtId="0" fontId="0" fillId="5" borderId="1" xfId="0" applyFont="1" applyFill="1" applyBorder="1" applyAlignment="1" applyProtection="1">
      <alignment horizontal="center" vertical="center" wrapText="1"/>
      <protection locked="0"/>
    </xf>
    <xf numFmtId="0" fontId="34" fillId="5" borderId="1" xfId="0" applyFont="1" applyFill="1" applyBorder="1" applyAlignment="1" applyProtection="1">
      <alignment horizontal="center" vertical="center" wrapText="1"/>
      <protection locked="0"/>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0" fontId="8" fillId="5" borderId="1" xfId="3"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0" fontId="8" fillId="5" borderId="1" xfId="3" applyFill="1" applyBorder="1" applyAlignment="1" applyProtection="1">
      <alignment horizontal="center" vertical="center" wrapText="1"/>
      <protection locked="0"/>
    </xf>
    <xf numFmtId="0" fontId="12" fillId="5" borderId="9" xfId="0" quotePrefix="1" applyFont="1" applyFill="1" applyBorder="1" applyAlignment="1" applyProtection="1">
      <alignment horizontal="center" vertical="center" wrapText="1"/>
      <protection locked="0"/>
    </xf>
    <xf numFmtId="0" fontId="32" fillId="5" borderId="9" xfId="0" quotePrefix="1" applyFont="1" applyFill="1" applyBorder="1" applyAlignment="1" applyProtection="1">
      <alignment horizontal="center" vertical="center" wrapText="1"/>
      <protection locked="0"/>
    </xf>
    <xf numFmtId="0" fontId="35" fillId="5" borderId="1" xfId="0" applyFont="1" applyFill="1" applyBorder="1" applyAlignment="1" applyProtection="1">
      <alignment horizontal="center" vertical="center" wrapText="1"/>
      <protection locked="0"/>
    </xf>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0" fontId="19" fillId="5" borderId="1" xfId="0"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center"/>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protection locked="0"/>
    </xf>
    <xf numFmtId="1" fontId="12"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0" fillId="0" borderId="0" xfId="0"/>
    <xf numFmtId="1" fontId="12"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0" fillId="0" borderId="0" xfId="0"/>
    <xf numFmtId="14" fontId="33" fillId="5" borderId="1" xfId="0" applyNumberFormat="1" applyFont="1" applyFill="1" applyBorder="1" applyAlignment="1" applyProtection="1">
      <alignment horizontal="center" vertical="center" wrapText="1"/>
      <protection locked="0"/>
    </xf>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6">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390525</xdr:colOff>
      <xdr:row>6</xdr:row>
      <xdr:rowOff>2114550</xdr:rowOff>
    </xdr:from>
    <xdr:to>
      <xdr:col>14</xdr:col>
      <xdr:colOff>358140</xdr:colOff>
      <xdr:row>42</xdr:row>
      <xdr:rowOff>131445</xdr:rowOff>
    </xdr:to>
    <xdr:pic>
      <xdr:nvPicPr>
        <xdr:cNvPr id="2" name="Immagine 1">
          <a:extLst>
            <a:ext uri="{FF2B5EF4-FFF2-40B4-BE49-F238E27FC236}">
              <a16:creationId xmlns:a16="http://schemas.microsoft.com/office/drawing/2014/main" id="{6FF9A93F-C620-4AA3-B611-1356A6EE9D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4876800"/>
          <a:ext cx="12820650" cy="7151370"/>
        </a:xfrm>
        <a:prstGeom prst="rect">
          <a:avLst/>
        </a:prstGeom>
        <a:noFill/>
        <a:ln>
          <a:noFill/>
        </a:ln>
      </xdr:spPr>
    </xdr:pic>
    <xdr:clientData/>
  </xdr:twoCellAnchor>
  <xdr:twoCellAnchor editAs="oneCell">
    <xdr:from>
      <xdr:col>1</xdr:col>
      <xdr:colOff>0</xdr:colOff>
      <xdr:row>48</xdr:row>
      <xdr:rowOff>1</xdr:rowOff>
    </xdr:from>
    <xdr:to>
      <xdr:col>7</xdr:col>
      <xdr:colOff>666652</xdr:colOff>
      <xdr:row>53</xdr:row>
      <xdr:rowOff>53340</xdr:rowOff>
    </xdr:to>
    <xdr:pic>
      <xdr:nvPicPr>
        <xdr:cNvPr id="3" name="Immagine 2">
          <a:extLst>
            <a:ext uri="{FF2B5EF4-FFF2-40B4-BE49-F238E27FC236}">
              <a16:creationId xmlns:a16="http://schemas.microsoft.com/office/drawing/2014/main" id="{B5E26E11-7A59-4E0A-9F2A-7712E0114A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0050" y="24012526"/>
          <a:ext cx="7398922" cy="17811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topLeftCell="A8" workbookViewId="0">
      <selection activeCell="B10" sqref="B10"/>
    </sheetView>
  </sheetViews>
  <sheetFormatPr defaultColWidth="10.796875" defaultRowHeight="20.399999999999999"/>
  <cols>
    <col min="1" max="1" width="10.796875" style="47"/>
    <col min="2" max="2" width="200.796875" style="10" customWidth="1"/>
    <col min="3" max="16384" width="10.796875" style="47"/>
  </cols>
  <sheetData>
    <row r="2" spans="2:2" ht="21">
      <c r="B2" s="8" t="s">
        <v>212</v>
      </c>
    </row>
    <row r="3" spans="2:2" ht="21">
      <c r="B3" s="40" t="s">
        <v>174</v>
      </c>
    </row>
    <row r="4" spans="2:2" ht="81.599999999999994">
      <c r="B4" s="9" t="s">
        <v>113</v>
      </c>
    </row>
    <row r="5" spans="2:2" ht="21">
      <c r="B5" s="40" t="s">
        <v>175</v>
      </c>
    </row>
    <row r="6" spans="2:2" ht="40.799999999999997">
      <c r="B6" s="9" t="s">
        <v>114</v>
      </c>
    </row>
    <row r="7" spans="2:2" ht="21">
      <c r="B7" s="40" t="s">
        <v>176</v>
      </c>
    </row>
    <row r="8" spans="2:2" ht="285.60000000000002">
      <c r="B8" s="9" t="s">
        <v>291</v>
      </c>
    </row>
    <row r="9" spans="2:2" ht="21">
      <c r="B9" s="40" t="s">
        <v>177</v>
      </c>
    </row>
    <row r="10" spans="2:2" ht="21">
      <c r="B10" s="9" t="s">
        <v>320</v>
      </c>
    </row>
    <row r="11" spans="2:2" ht="21">
      <c r="B11" s="40" t="s">
        <v>178</v>
      </c>
    </row>
    <row r="12" spans="2:2" ht="40.799999999999997">
      <c r="B12" s="9" t="s">
        <v>115</v>
      </c>
    </row>
    <row r="13" spans="2:2" ht="21">
      <c r="B13" s="40" t="s">
        <v>179</v>
      </c>
    </row>
    <row r="14" spans="2:2" ht="81.599999999999994">
      <c r="B14" s="67" t="s">
        <v>316</v>
      </c>
    </row>
  </sheetData>
  <sheetProtection algorithmName="SHA-512" hashValue="gNEeoSaHz0Uu18VdOcEyK/p84qeJJF8CIF0tFHmc4GF7IrTX01qVcEa1Hedm4DXyFCdELvLMAzKP0cDidCfi9w==" saltValue="a4PtLAARMg3VQpgqL3E1CA=="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workbookViewId="0">
      <selection activeCell="B8" sqref="B8"/>
    </sheetView>
  </sheetViews>
  <sheetFormatPr defaultColWidth="10.796875" defaultRowHeight="20.399999999999999"/>
  <cols>
    <col min="1" max="1" width="10.796875" style="47"/>
    <col min="2" max="2" width="200.796875" style="10" customWidth="1"/>
    <col min="3" max="16384" width="10.796875" style="47"/>
  </cols>
  <sheetData>
    <row r="2" spans="2:2" ht="21">
      <c r="B2" s="8" t="s">
        <v>116</v>
      </c>
    </row>
    <row r="3" spans="2:2" ht="21">
      <c r="B3" s="39" t="s">
        <v>160</v>
      </c>
    </row>
    <row r="4" spans="2:2" ht="61.2">
      <c r="B4" s="9" t="s">
        <v>117</v>
      </c>
    </row>
    <row r="5" spans="2:2" ht="21">
      <c r="B5" s="40" t="s">
        <v>161</v>
      </c>
    </row>
    <row r="6" spans="2:2" ht="40.799999999999997">
      <c r="B6" s="9" t="s">
        <v>118</v>
      </c>
    </row>
    <row r="7" spans="2:2" ht="21">
      <c r="B7" s="40" t="s">
        <v>162</v>
      </c>
    </row>
    <row r="8" spans="2:2" ht="61.8">
      <c r="B8" s="9" t="s">
        <v>321</v>
      </c>
    </row>
    <row r="9" spans="2:2" ht="21">
      <c r="B9" s="40" t="s">
        <v>163</v>
      </c>
    </row>
    <row r="10" spans="2:2" ht="40.799999999999997">
      <c r="B10" s="9" t="s">
        <v>119</v>
      </c>
    </row>
    <row r="11" spans="2:2" ht="21">
      <c r="B11" s="40" t="s">
        <v>164</v>
      </c>
    </row>
    <row r="12" spans="2:2" ht="122.4">
      <c r="B12" s="9" t="s">
        <v>120</v>
      </c>
    </row>
    <row r="13" spans="2:2" ht="21">
      <c r="B13" s="40" t="s">
        <v>165</v>
      </c>
    </row>
    <row r="14" spans="2:2" ht="81.599999999999994">
      <c r="B14" s="9" t="s">
        <v>121</v>
      </c>
    </row>
    <row r="15" spans="2:2" ht="21">
      <c r="B15" s="40" t="s">
        <v>166</v>
      </c>
    </row>
    <row r="16" spans="2:2" ht="163.19999999999999">
      <c r="B16" s="9" t="s">
        <v>122</v>
      </c>
    </row>
    <row r="17" spans="2:2" ht="21">
      <c r="B17" s="40" t="s">
        <v>167</v>
      </c>
    </row>
    <row r="18" spans="2:2" ht="61.2">
      <c r="B18" s="9" t="s">
        <v>123</v>
      </c>
    </row>
    <row r="19" spans="2:2" ht="21">
      <c r="B19" s="40" t="s">
        <v>168</v>
      </c>
    </row>
    <row r="20" spans="2:2" ht="122.4">
      <c r="B20" s="9" t="s">
        <v>124</v>
      </c>
    </row>
    <row r="21" spans="2:2" ht="21">
      <c r="B21" s="40" t="s">
        <v>169</v>
      </c>
    </row>
    <row r="22" spans="2:2" ht="61.2">
      <c r="B22" s="9" t="s">
        <v>125</v>
      </c>
    </row>
    <row r="23" spans="2:2" ht="21">
      <c r="B23" s="40" t="s">
        <v>170</v>
      </c>
    </row>
    <row r="24" spans="2:2" ht="224.4">
      <c r="B24" s="9" t="s">
        <v>126</v>
      </c>
    </row>
    <row r="25" spans="2:2" ht="21">
      <c r="B25" s="40" t="s">
        <v>171</v>
      </c>
    </row>
    <row r="26" spans="2:2" ht="163.19999999999999">
      <c r="B26" s="9" t="s">
        <v>127</v>
      </c>
    </row>
    <row r="27" spans="2:2" ht="21">
      <c r="B27" s="40" t="s">
        <v>172</v>
      </c>
    </row>
    <row r="28" spans="2:2" ht="40.799999999999997">
      <c r="B28" s="9" t="s">
        <v>128</v>
      </c>
    </row>
    <row r="29" spans="2:2" ht="21">
      <c r="B29" s="40" t="s">
        <v>173</v>
      </c>
    </row>
    <row r="30" spans="2:2" ht="40.799999999999997">
      <c r="B30" s="9" t="s">
        <v>129</v>
      </c>
    </row>
  </sheetData>
  <sheetProtection algorithmName="SHA-512" hashValue="oPI9W8iskSgpld/0BkjZBsYnh5Hq6dyz0CDPgqA1ni8GlsxmWoGR94CoqCdWi3PzbXEQ5SdtT3TX+p47CBhapQ==" saltValue="5jF/pdWWHs7i04RBnxdMfw=="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workbookViewId="0">
      <selection activeCell="C4" sqref="C4"/>
    </sheetView>
  </sheetViews>
  <sheetFormatPr defaultColWidth="10.796875" defaultRowHeight="20.399999999999999"/>
  <cols>
    <col min="1" max="1" width="10.796875" style="47"/>
    <col min="2" max="2" width="141.5" style="10" customWidth="1"/>
    <col min="3" max="3" width="40.796875" style="13" customWidth="1"/>
    <col min="4" max="16384" width="10.796875" style="47"/>
  </cols>
  <sheetData>
    <row r="2" spans="2:3" ht="21">
      <c r="B2" s="8" t="s">
        <v>130</v>
      </c>
      <c r="C2" s="11"/>
    </row>
    <row r="3" spans="2:3" ht="21">
      <c r="B3" s="39" t="s">
        <v>151</v>
      </c>
      <c r="C3" s="11"/>
    </row>
    <row r="4" spans="2:3" ht="204">
      <c r="B4" s="12" t="s">
        <v>131</v>
      </c>
      <c r="C4" s="46" t="s">
        <v>36</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topLeftCell="B7" zoomScaleNormal="100" workbookViewId="0">
      <selection activeCell="C24" sqref="C24"/>
    </sheetView>
  </sheetViews>
  <sheetFormatPr defaultColWidth="10.796875" defaultRowHeight="18"/>
  <cols>
    <col min="1" max="1" width="3.5" style="15" customWidth="1"/>
    <col min="2" max="2" width="74.69921875" style="15" customWidth="1"/>
    <col min="3" max="4" width="29.19921875" style="15" customWidth="1"/>
    <col min="5" max="5" width="30.296875" style="15" bestFit="1" customWidth="1"/>
    <col min="6" max="6" width="29.19921875" style="15" customWidth="1"/>
    <col min="7" max="7" width="38.296875" style="15" customWidth="1"/>
    <col min="8" max="8" width="10.796875" style="3" customWidth="1"/>
    <col min="9" max="16384" width="10.796875" style="3"/>
  </cols>
  <sheetData>
    <row r="1" spans="1:7" ht="25.95" customHeight="1">
      <c r="B1" s="14" t="s">
        <v>234</v>
      </c>
    </row>
    <row r="2" spans="1:7" ht="25.95" customHeight="1">
      <c r="A2" s="15">
        <v>1</v>
      </c>
      <c r="B2" s="16" t="s">
        <v>132</v>
      </c>
      <c r="C2" s="87">
        <v>45828</v>
      </c>
    </row>
    <row r="3" spans="1:7" ht="25.95" customHeight="1">
      <c r="A3" s="15">
        <v>2</v>
      </c>
      <c r="B3" s="16" t="s">
        <v>14</v>
      </c>
      <c r="C3" s="88" t="s">
        <v>322</v>
      </c>
    </row>
    <row r="4" spans="1:7" ht="25.95" customHeight="1">
      <c r="A4" s="15">
        <v>3</v>
      </c>
      <c r="B4" s="16" t="s">
        <v>13</v>
      </c>
      <c r="C4" s="88"/>
      <c r="E4" s="18"/>
    </row>
    <row r="5" spans="1:7" ht="25.95" customHeight="1">
      <c r="A5" s="15">
        <v>4</v>
      </c>
      <c r="B5" s="16" t="s">
        <v>133</v>
      </c>
      <c r="C5" s="88" t="s">
        <v>323</v>
      </c>
      <c r="E5" s="18"/>
    </row>
    <row r="6" spans="1:7" ht="25.95" customHeight="1">
      <c r="A6" s="15">
        <v>5</v>
      </c>
      <c r="B6" s="16" t="s">
        <v>0</v>
      </c>
      <c r="C6" s="89" t="s">
        <v>324</v>
      </c>
      <c r="E6" s="18"/>
    </row>
    <row r="7" spans="1:7" ht="25.95" customHeight="1">
      <c r="A7" s="15">
        <v>6</v>
      </c>
      <c r="B7" s="16" t="s">
        <v>1</v>
      </c>
      <c r="C7" s="88" t="s">
        <v>105</v>
      </c>
      <c r="E7" s="18"/>
    </row>
    <row r="8" spans="1:7" ht="25.95" customHeight="1">
      <c r="A8" s="15">
        <v>7</v>
      </c>
      <c r="B8" s="16" t="s">
        <v>2</v>
      </c>
      <c r="C8" s="88"/>
    </row>
    <row r="9" spans="1:7" ht="25.95" customHeight="1">
      <c r="A9" s="15">
        <v>8</v>
      </c>
      <c r="B9" s="16" t="s">
        <v>134</v>
      </c>
      <c r="C9" s="88"/>
    </row>
    <row r="10" spans="1:7" ht="25.95" customHeight="1">
      <c r="A10" s="15">
        <v>9</v>
      </c>
      <c r="B10" s="16" t="s">
        <v>5</v>
      </c>
      <c r="C10" s="88">
        <v>8309</v>
      </c>
    </row>
    <row r="11" spans="1:7">
      <c r="A11" s="15">
        <v>10</v>
      </c>
      <c r="B11" s="16" t="s">
        <v>3</v>
      </c>
      <c r="C11" s="88">
        <v>2005</v>
      </c>
    </row>
    <row r="12" spans="1:7">
      <c r="A12" s="15">
        <v>11</v>
      </c>
      <c r="B12" s="16" t="s">
        <v>4</v>
      </c>
      <c r="C12" s="88">
        <v>2012</v>
      </c>
      <c r="F12" s="20"/>
    </row>
    <row r="15" spans="1:7" ht="36">
      <c r="B15" s="23" t="s">
        <v>135</v>
      </c>
      <c r="C15" s="24" t="s">
        <v>136</v>
      </c>
      <c r="D15" s="24" t="s">
        <v>19</v>
      </c>
      <c r="E15" s="24" t="s">
        <v>112</v>
      </c>
      <c r="F15" s="24" t="s">
        <v>20</v>
      </c>
      <c r="G15" s="25" t="s">
        <v>137</v>
      </c>
    </row>
    <row r="16" spans="1:7" ht="21">
      <c r="B16" s="26" t="s">
        <v>21</v>
      </c>
      <c r="C16" s="90" t="s">
        <v>325</v>
      </c>
      <c r="D16" s="90" t="s">
        <v>326</v>
      </c>
      <c r="E16" s="90" t="s">
        <v>72</v>
      </c>
      <c r="F16" s="91" t="s">
        <v>327</v>
      </c>
      <c r="G16" s="93" t="s">
        <v>328</v>
      </c>
    </row>
    <row r="17" spans="2:7">
      <c r="B17" s="26" t="s">
        <v>138</v>
      </c>
      <c r="C17" s="17" t="s">
        <v>329</v>
      </c>
      <c r="D17" s="17" t="s">
        <v>330</v>
      </c>
      <c r="E17" s="17" t="s">
        <v>102</v>
      </c>
      <c r="F17" s="19" t="s">
        <v>331</v>
      </c>
      <c r="G17" s="27" t="s">
        <v>332</v>
      </c>
    </row>
    <row r="18" spans="2:7">
      <c r="B18" s="26" t="s">
        <v>139</v>
      </c>
      <c r="C18" s="17" t="s">
        <v>333</v>
      </c>
      <c r="D18" s="17" t="s">
        <v>334</v>
      </c>
      <c r="E18" s="17" t="s">
        <v>102</v>
      </c>
      <c r="F18" s="19" t="s">
        <v>335</v>
      </c>
      <c r="G18" s="27" t="s">
        <v>340</v>
      </c>
    </row>
    <row r="19" spans="2:7">
      <c r="B19" s="26" t="s">
        <v>140</v>
      </c>
      <c r="C19" s="17" t="s">
        <v>336</v>
      </c>
      <c r="D19" s="17" t="s">
        <v>337</v>
      </c>
      <c r="E19" s="17" t="s">
        <v>72</v>
      </c>
      <c r="F19" s="19" t="s">
        <v>338</v>
      </c>
      <c r="G19" s="92" t="s">
        <v>339</v>
      </c>
    </row>
    <row r="20" spans="2:7">
      <c r="B20" s="28" t="s">
        <v>141</v>
      </c>
      <c r="C20" s="21" t="s">
        <v>341</v>
      </c>
      <c r="D20" s="21" t="s">
        <v>342</v>
      </c>
      <c r="E20" s="17" t="s">
        <v>102</v>
      </c>
      <c r="F20" s="22" t="s">
        <v>343</v>
      </c>
      <c r="G20" s="27"/>
    </row>
    <row r="21" spans="2:7">
      <c r="B21" s="26" t="s">
        <v>142</v>
      </c>
      <c r="C21" s="17" t="s">
        <v>344</v>
      </c>
      <c r="D21" s="17" t="s">
        <v>346</v>
      </c>
      <c r="E21" s="17" t="s">
        <v>102</v>
      </c>
      <c r="F21" s="19" t="s">
        <v>345</v>
      </c>
      <c r="G21" s="27"/>
    </row>
    <row r="22" spans="2:7">
      <c r="B22" s="26" t="s">
        <v>143</v>
      </c>
      <c r="C22" s="17"/>
      <c r="D22" s="21"/>
      <c r="E22" s="17"/>
      <c r="F22" s="19"/>
      <c r="G22" s="27"/>
    </row>
    <row r="23" spans="2:7">
      <c r="B23" s="26" t="s">
        <v>144</v>
      </c>
      <c r="C23" s="17" t="s">
        <v>347</v>
      </c>
      <c r="D23" s="21" t="s">
        <v>348</v>
      </c>
      <c r="E23" s="17" t="s">
        <v>102</v>
      </c>
      <c r="F23" s="19" t="s">
        <v>349</v>
      </c>
      <c r="G23" s="92" t="s">
        <v>350</v>
      </c>
    </row>
    <row r="24" spans="2:7">
      <c r="B24" s="26" t="s">
        <v>210</v>
      </c>
      <c r="C24" s="17"/>
      <c r="D24" s="17"/>
      <c r="E24" s="17"/>
      <c r="F24" s="19"/>
      <c r="G24" s="27"/>
    </row>
    <row r="25" spans="2:7">
      <c r="B25" s="26" t="s">
        <v>210</v>
      </c>
      <c r="C25" s="29"/>
      <c r="D25" s="29"/>
      <c r="E25" s="29"/>
      <c r="F25" s="30"/>
      <c r="G25" s="31"/>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zoomScaleNormal="100" workbookViewId="0">
      <selection activeCell="C9" sqref="C9:H10"/>
    </sheetView>
  </sheetViews>
  <sheetFormatPr defaultColWidth="10.796875" defaultRowHeight="15.6"/>
  <cols>
    <col min="1" max="1" width="4.796875" customWidth="1"/>
    <col min="2" max="2" width="53.796875" customWidth="1"/>
    <col min="3" max="8" width="28.19921875" customWidth="1"/>
    <col min="9" max="16384" width="10.796875" style="1"/>
  </cols>
  <sheetData>
    <row r="1" spans="2:9" ht="51" customHeight="1">
      <c r="B1" s="14" t="s">
        <v>211</v>
      </c>
    </row>
    <row r="2" spans="2:9" ht="51" customHeight="1">
      <c r="B2" s="16" t="s">
        <v>145</v>
      </c>
      <c r="C2" s="16">
        <v>2022</v>
      </c>
      <c r="D2" s="16">
        <v>2023</v>
      </c>
      <c r="E2" s="16">
        <v>2024</v>
      </c>
      <c r="F2" s="16" t="s">
        <v>208</v>
      </c>
      <c r="G2" s="16" t="s">
        <v>146</v>
      </c>
      <c r="H2" s="16" t="s">
        <v>147</v>
      </c>
    </row>
    <row r="3" spans="2:9" ht="51" customHeight="1">
      <c r="B3" s="32" t="s">
        <v>9</v>
      </c>
      <c r="C3" s="57"/>
      <c r="D3" s="57"/>
      <c r="E3" s="57"/>
      <c r="F3" s="57"/>
      <c r="G3" s="57"/>
      <c r="H3" s="57"/>
    </row>
    <row r="4" spans="2:9" ht="51" customHeight="1">
      <c r="B4" s="32" t="s">
        <v>10</v>
      </c>
      <c r="C4" s="95">
        <v>2121600.1949999998</v>
      </c>
      <c r="D4" s="95">
        <v>2253647.6225999999</v>
      </c>
      <c r="E4" s="95">
        <v>2281042.1831999999</v>
      </c>
      <c r="F4" s="95">
        <v>2554150</v>
      </c>
      <c r="G4" s="95">
        <v>2714000</v>
      </c>
      <c r="H4" s="95">
        <v>2932500</v>
      </c>
      <c r="I4" s="4"/>
    </row>
    <row r="5" spans="2:9" ht="51" customHeight="1">
      <c r="B5" s="32" t="s">
        <v>11</v>
      </c>
      <c r="C5" s="57"/>
      <c r="D5" s="57"/>
      <c r="E5" s="57"/>
      <c r="F5" s="57"/>
      <c r="G5" s="57"/>
      <c r="H5" s="57"/>
      <c r="I5" s="4" t="s">
        <v>18</v>
      </c>
    </row>
    <row r="6" spans="2:9" ht="51" customHeight="1">
      <c r="B6" s="32" t="s">
        <v>284</v>
      </c>
      <c r="C6" s="57"/>
      <c r="D6" s="57"/>
      <c r="E6" s="57"/>
      <c r="F6" s="57"/>
      <c r="G6" s="57"/>
      <c r="H6" s="57"/>
      <c r="I6" s="2" t="s">
        <v>150</v>
      </c>
    </row>
    <row r="8" spans="2:9" ht="18">
      <c r="B8" s="16" t="s">
        <v>145</v>
      </c>
      <c r="C8" s="16">
        <v>2023</v>
      </c>
      <c r="D8" s="16">
        <v>2023</v>
      </c>
      <c r="E8" s="16">
        <v>2024</v>
      </c>
      <c r="F8" s="16" t="s">
        <v>208</v>
      </c>
      <c r="G8" s="16" t="s">
        <v>146</v>
      </c>
      <c r="H8" s="16" t="s">
        <v>147</v>
      </c>
    </row>
    <row r="9" spans="2:9" ht="18">
      <c r="B9" s="32" t="s">
        <v>148</v>
      </c>
      <c r="C9" s="96">
        <v>600961.84199999995</v>
      </c>
      <c r="D9" s="96">
        <v>672382.61639999994</v>
      </c>
      <c r="E9" s="96">
        <v>655993.93200000003</v>
      </c>
      <c r="F9" s="96">
        <v>733041.04999999993</v>
      </c>
      <c r="G9" s="96">
        <v>778917.99999999988</v>
      </c>
      <c r="H9" s="96">
        <v>841627.49999999988</v>
      </c>
    </row>
    <row r="10" spans="2:9" ht="18">
      <c r="B10" s="32" t="s">
        <v>149</v>
      </c>
      <c r="C10" s="96">
        <v>140760.82799999998</v>
      </c>
      <c r="D10" s="96">
        <v>172910.68299999999</v>
      </c>
      <c r="E10" s="96">
        <v>171444.58319999999</v>
      </c>
      <c r="F10" s="96">
        <v>191561.25</v>
      </c>
      <c r="G10" s="96">
        <v>203550</v>
      </c>
      <c r="H10" s="96">
        <v>219937.5</v>
      </c>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tabSelected="1" topLeftCell="A21" zoomScaleNormal="100" workbookViewId="0">
      <selection activeCell="D25" sqref="D25:H25"/>
    </sheetView>
  </sheetViews>
  <sheetFormatPr defaultColWidth="10.796875" defaultRowHeight="25.95" customHeight="1"/>
  <cols>
    <col min="1" max="1" width="6.19921875" style="61" customWidth="1"/>
    <col min="2" max="2" width="59" style="34" customWidth="1"/>
    <col min="3" max="3" width="38.5" style="3" customWidth="1"/>
    <col min="4" max="8" width="38.5" style="6" customWidth="1"/>
    <col min="9" max="11" width="29.19921875" style="3" customWidth="1"/>
    <col min="12" max="16384" width="10.796875" style="3"/>
  </cols>
  <sheetData>
    <row r="1" spans="1:8" s="15" customFormat="1" ht="51" customHeight="1">
      <c r="A1" s="59"/>
      <c r="B1" s="33" t="s">
        <v>293</v>
      </c>
    </row>
    <row r="2" spans="1:8" s="34" customFormat="1" ht="55.95" customHeight="1">
      <c r="A2" s="60"/>
      <c r="B2" s="16"/>
      <c r="C2" s="16" t="s">
        <v>15</v>
      </c>
      <c r="D2" s="35" t="s">
        <v>107</v>
      </c>
      <c r="E2" s="35" t="s">
        <v>108</v>
      </c>
      <c r="F2" s="35" t="s">
        <v>109</v>
      </c>
      <c r="G2" s="35" t="s">
        <v>110</v>
      </c>
      <c r="H2" s="35" t="s">
        <v>111</v>
      </c>
    </row>
    <row r="3" spans="1:8" ht="60" customHeight="1">
      <c r="A3" s="61">
        <v>1</v>
      </c>
      <c r="B3" s="16" t="s">
        <v>152</v>
      </c>
      <c r="C3" s="97" t="s">
        <v>351</v>
      </c>
      <c r="D3" s="36" t="s">
        <v>354</v>
      </c>
      <c r="E3" s="36" t="s">
        <v>358</v>
      </c>
      <c r="F3" s="17" t="s">
        <v>363</v>
      </c>
      <c r="G3" s="17" t="s">
        <v>368</v>
      </c>
      <c r="H3" s="17" t="s">
        <v>369</v>
      </c>
    </row>
    <row r="4" spans="1:8" ht="60" customHeight="1">
      <c r="A4" s="61">
        <v>2</v>
      </c>
      <c r="B4" s="16" t="s">
        <v>153</v>
      </c>
      <c r="C4" s="98" t="s">
        <v>352</v>
      </c>
      <c r="D4" s="17" t="s">
        <v>355</v>
      </c>
      <c r="E4" s="99" t="s">
        <v>359</v>
      </c>
      <c r="F4" s="17" t="s">
        <v>364</v>
      </c>
      <c r="G4" s="49" t="s">
        <v>374</v>
      </c>
      <c r="H4" s="17" t="s">
        <v>352</v>
      </c>
    </row>
    <row r="5" spans="1:8" ht="60" customHeight="1">
      <c r="A5" s="61">
        <v>3</v>
      </c>
      <c r="B5" s="16" t="s">
        <v>154</v>
      </c>
      <c r="C5" s="99" t="s">
        <v>353</v>
      </c>
      <c r="D5" s="17" t="s">
        <v>361</v>
      </c>
      <c r="E5" s="99" t="s">
        <v>360</v>
      </c>
      <c r="F5" s="85" t="s">
        <v>367</v>
      </c>
      <c r="G5" s="86" t="s">
        <v>370</v>
      </c>
      <c r="H5" s="94" t="s">
        <v>371</v>
      </c>
    </row>
    <row r="6" spans="1:8" ht="60" customHeight="1">
      <c r="A6" s="61">
        <v>4</v>
      </c>
      <c r="B6" s="35" t="s">
        <v>155</v>
      </c>
      <c r="C6" s="17"/>
      <c r="D6" s="17"/>
      <c r="E6" s="17"/>
      <c r="F6" s="99"/>
      <c r="G6" s="17"/>
      <c r="H6" s="17"/>
    </row>
    <row r="7" spans="1:8" ht="85.95" customHeight="1">
      <c r="A7" s="61">
        <v>5</v>
      </c>
      <c r="B7" s="35" t="s">
        <v>156</v>
      </c>
      <c r="C7" s="17"/>
      <c r="D7" s="17" t="s">
        <v>357</v>
      </c>
      <c r="E7" s="17"/>
      <c r="F7" s="99"/>
      <c r="G7" s="17"/>
      <c r="H7" s="17"/>
    </row>
    <row r="8" spans="1:8" ht="85.95" customHeight="1">
      <c r="A8" s="61">
        <v>6</v>
      </c>
      <c r="B8" s="35" t="s">
        <v>157</v>
      </c>
      <c r="C8" s="17"/>
      <c r="D8" s="17" t="s">
        <v>366</v>
      </c>
      <c r="E8" s="17" t="s">
        <v>362</v>
      </c>
      <c r="F8" s="99" t="s">
        <v>365</v>
      </c>
      <c r="G8" s="17" t="s">
        <v>373</v>
      </c>
      <c r="H8" s="17" t="s">
        <v>372</v>
      </c>
    </row>
    <row r="9" spans="1:8" ht="60" customHeight="1">
      <c r="A9" s="61">
        <v>7</v>
      </c>
      <c r="B9" s="16" t="s">
        <v>158</v>
      </c>
      <c r="C9" s="37"/>
      <c r="D9" s="37">
        <v>13006</v>
      </c>
      <c r="E9" s="38">
        <v>3716</v>
      </c>
      <c r="F9" s="100">
        <v>2500</v>
      </c>
      <c r="G9" s="38">
        <v>10683</v>
      </c>
      <c r="H9" s="38"/>
    </row>
    <row r="10" spans="1:8" ht="60" customHeight="1">
      <c r="A10" s="61">
        <v>8</v>
      </c>
      <c r="B10" s="35" t="s">
        <v>277</v>
      </c>
      <c r="C10" s="37"/>
      <c r="D10" s="37">
        <v>234</v>
      </c>
      <c r="E10" s="38">
        <v>90</v>
      </c>
      <c r="F10" s="38">
        <v>80</v>
      </c>
      <c r="G10" s="38">
        <v>500</v>
      </c>
      <c r="H10" s="38"/>
    </row>
    <row r="11" spans="1:8" ht="60" customHeight="1">
      <c r="A11" s="61">
        <v>9</v>
      </c>
      <c r="B11" s="35" t="s">
        <v>206</v>
      </c>
      <c r="C11" s="17"/>
      <c r="D11" s="17">
        <v>20</v>
      </c>
      <c r="E11" s="17">
        <v>5</v>
      </c>
      <c r="F11" s="17">
        <v>4</v>
      </c>
      <c r="G11" s="17">
        <v>26</v>
      </c>
      <c r="H11" s="17"/>
    </row>
    <row r="12" spans="1:8" ht="60" customHeight="1">
      <c r="A12" s="61">
        <v>10</v>
      </c>
      <c r="B12" s="35" t="s">
        <v>205</v>
      </c>
      <c r="C12" s="17"/>
      <c r="D12" s="17">
        <v>40</v>
      </c>
      <c r="E12" s="17">
        <v>10</v>
      </c>
      <c r="F12" s="17">
        <v>8</v>
      </c>
      <c r="G12" s="17">
        <v>52</v>
      </c>
      <c r="H12" s="17"/>
    </row>
    <row r="13" spans="1:8" ht="60" customHeight="1">
      <c r="A13" s="61">
        <v>11</v>
      </c>
      <c r="B13" s="35" t="s">
        <v>278</v>
      </c>
      <c r="C13" s="17"/>
      <c r="D13" s="84">
        <v>150000000</v>
      </c>
      <c r="E13" s="84">
        <v>34000000</v>
      </c>
      <c r="F13" s="84">
        <v>22000000</v>
      </c>
      <c r="G13" s="84">
        <v>200000000</v>
      </c>
      <c r="H13" s="84">
        <v>750000000</v>
      </c>
    </row>
    <row r="14" spans="1:8" ht="60" customHeight="1">
      <c r="A14" s="61">
        <v>12</v>
      </c>
      <c r="B14" s="35" t="s">
        <v>203</v>
      </c>
      <c r="C14" s="17"/>
      <c r="D14" s="17" t="s">
        <v>37</v>
      </c>
      <c r="E14" s="17" t="s">
        <v>37</v>
      </c>
      <c r="F14" s="17" t="s">
        <v>37</v>
      </c>
      <c r="G14" s="17" t="s">
        <v>37</v>
      </c>
      <c r="H14" s="17" t="s">
        <v>37</v>
      </c>
    </row>
    <row r="15" spans="1:8" ht="60" customHeight="1">
      <c r="A15" s="61">
        <v>13</v>
      </c>
      <c r="B15" s="35" t="s">
        <v>280</v>
      </c>
      <c r="C15" s="17"/>
      <c r="D15" s="17" t="s">
        <v>37</v>
      </c>
      <c r="E15" s="17" t="s">
        <v>37</v>
      </c>
      <c r="F15" s="17" t="s">
        <v>37</v>
      </c>
      <c r="G15" s="17" t="s">
        <v>37</v>
      </c>
      <c r="H15" s="17" t="s">
        <v>37</v>
      </c>
    </row>
    <row r="16" spans="1:8" ht="60" customHeight="1">
      <c r="A16" s="61">
        <v>14</v>
      </c>
      <c r="B16" s="35" t="s">
        <v>204</v>
      </c>
      <c r="C16" s="17"/>
      <c r="D16" s="17" t="s">
        <v>356</v>
      </c>
      <c r="E16" s="17" t="s">
        <v>356</v>
      </c>
      <c r="F16" s="17" t="s">
        <v>356</v>
      </c>
      <c r="G16" s="17" t="s">
        <v>356</v>
      </c>
      <c r="H16" s="17" t="s">
        <v>356</v>
      </c>
    </row>
    <row r="18" spans="1:8" ht="61.05" customHeight="1">
      <c r="A18" s="61">
        <v>15</v>
      </c>
      <c r="B18" s="73" t="s">
        <v>227</v>
      </c>
      <c r="C18" s="73"/>
      <c r="D18" s="74"/>
      <c r="E18" s="75"/>
      <c r="F18" s="75"/>
      <c r="G18" s="75"/>
      <c r="H18" s="76"/>
    </row>
    <row r="19" spans="1:8" ht="61.05" customHeight="1">
      <c r="A19" s="61">
        <v>16</v>
      </c>
      <c r="B19" s="73" t="s">
        <v>213</v>
      </c>
      <c r="C19" s="73"/>
      <c r="D19" s="74" t="s">
        <v>423</v>
      </c>
      <c r="E19" s="75"/>
      <c r="F19" s="75"/>
      <c r="G19" s="75"/>
      <c r="H19" s="76"/>
    </row>
    <row r="20" spans="1:8" ht="61.05" customHeight="1">
      <c r="A20" s="61">
        <v>17</v>
      </c>
      <c r="B20" s="73" t="s">
        <v>200</v>
      </c>
      <c r="C20" s="73"/>
      <c r="D20" s="74" t="s">
        <v>424</v>
      </c>
      <c r="E20" s="75"/>
      <c r="F20" s="75"/>
      <c r="G20" s="75"/>
      <c r="H20" s="76"/>
    </row>
    <row r="21" spans="1:8" ht="61.05" customHeight="1">
      <c r="A21" s="61">
        <v>18</v>
      </c>
      <c r="B21" s="73" t="s">
        <v>159</v>
      </c>
      <c r="C21" s="73"/>
      <c r="D21" s="74" t="s">
        <v>425</v>
      </c>
      <c r="E21" s="75"/>
      <c r="F21" s="75"/>
      <c r="G21" s="75"/>
      <c r="H21" s="76"/>
    </row>
    <row r="22" spans="1:8" ht="61.05" customHeight="1">
      <c r="A22" s="61">
        <v>19</v>
      </c>
      <c r="B22" s="73" t="s">
        <v>201</v>
      </c>
      <c r="C22" s="73"/>
      <c r="D22" s="74"/>
      <c r="E22" s="75"/>
      <c r="F22" s="75"/>
      <c r="G22" s="75"/>
      <c r="H22" s="76"/>
    </row>
    <row r="23" spans="1:8" ht="61.05" customHeight="1">
      <c r="A23" s="61">
        <v>20</v>
      </c>
      <c r="B23" s="77" t="s">
        <v>225</v>
      </c>
      <c r="C23" s="78"/>
      <c r="D23" s="74" t="s">
        <v>426</v>
      </c>
      <c r="E23" s="75"/>
      <c r="F23" s="75"/>
      <c r="G23" s="75"/>
      <c r="H23" s="76"/>
    </row>
    <row r="24" spans="1:8" ht="61.05" customHeight="1">
      <c r="A24" s="61">
        <v>21</v>
      </c>
      <c r="B24" s="77" t="s">
        <v>226</v>
      </c>
      <c r="C24" s="78"/>
      <c r="D24" s="74"/>
      <c r="E24" s="75"/>
      <c r="F24" s="75"/>
      <c r="G24" s="75"/>
      <c r="H24" s="76"/>
    </row>
    <row r="25" spans="1:8" ht="187.8" customHeight="1">
      <c r="A25" s="61">
        <v>22</v>
      </c>
      <c r="B25" s="73" t="s">
        <v>202</v>
      </c>
      <c r="C25" s="73"/>
      <c r="D25" s="74" t="s">
        <v>427</v>
      </c>
      <c r="E25" s="75"/>
      <c r="F25" s="75"/>
      <c r="G25" s="75"/>
      <c r="H25" s="76"/>
    </row>
    <row r="26" spans="1:8" ht="61.05" customHeight="1"/>
    <row r="27" spans="1:8" ht="61.05" customHeight="1"/>
    <row r="28" spans="1:8" ht="61.05" customHeight="1"/>
    <row r="29" spans="1:8" ht="61.05" customHeight="1"/>
  </sheetData>
  <sheetProtection algorithmName="SHA-512" hashValue="zQUmRTblo7NwmNDoVbXM0yjst7rVPj5/m4axI2ivAgmUPwHZYj2vbWzF/lmehodxi4GZXwtagu0UzxPO76uzxg==" saltValue="p9e4rdm25WVOlVQ/gvBS1w==" spinCount="100000" sheet="1" selectLockedCells="1"/>
  <mergeCells count="16">
    <mergeCell ref="B21:C21"/>
    <mergeCell ref="B22:C22"/>
    <mergeCell ref="D22:H22"/>
    <mergeCell ref="B25:C25"/>
    <mergeCell ref="B24:C24"/>
    <mergeCell ref="B23:C23"/>
    <mergeCell ref="D24:H24"/>
    <mergeCell ref="D21:H21"/>
    <mergeCell ref="D23:H23"/>
    <mergeCell ref="D25:H25"/>
    <mergeCell ref="B18:C18"/>
    <mergeCell ref="D18:H18"/>
    <mergeCell ref="B19:C19"/>
    <mergeCell ref="B20:C20"/>
    <mergeCell ref="D19:H19"/>
    <mergeCell ref="D20:H20"/>
  </mergeCells>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zoomScaleNormal="100" workbookViewId="0">
      <selection activeCell="C10" sqref="C10:I10"/>
    </sheetView>
  </sheetViews>
  <sheetFormatPr defaultColWidth="10.796875" defaultRowHeight="49.95" customHeight="1"/>
  <cols>
    <col min="1" max="1" width="5.19921875" style="3" customWidth="1"/>
    <col min="2" max="2" width="53.19921875" style="3" customWidth="1"/>
    <col min="3" max="10" width="32.69921875" style="3" customWidth="1"/>
    <col min="11" max="16384" width="10.796875" style="3"/>
  </cols>
  <sheetData>
    <row r="1" spans="2:10" ht="49.95" customHeight="1">
      <c r="B1" s="41" t="s">
        <v>294</v>
      </c>
    </row>
    <row r="2" spans="2:10" ht="49.95" customHeight="1">
      <c r="B2" s="42"/>
      <c r="C2" s="43" t="s">
        <v>6</v>
      </c>
      <c r="D2" s="43" t="s">
        <v>7</v>
      </c>
      <c r="E2" s="43" t="s">
        <v>8</v>
      </c>
      <c r="F2" s="43" t="s">
        <v>16</v>
      </c>
      <c r="G2" s="43" t="s">
        <v>17</v>
      </c>
      <c r="H2" s="43" t="s">
        <v>180</v>
      </c>
      <c r="I2" s="43" t="s">
        <v>215</v>
      </c>
      <c r="J2" s="43" t="s">
        <v>216</v>
      </c>
    </row>
    <row r="3" spans="2:10" ht="49.95" customHeight="1">
      <c r="B3" s="43" t="s">
        <v>181</v>
      </c>
      <c r="C3" s="104" t="s">
        <v>376</v>
      </c>
      <c r="D3" s="104" t="s">
        <v>377</v>
      </c>
      <c r="E3" s="104" t="s">
        <v>378</v>
      </c>
      <c r="F3" s="104" t="s">
        <v>68</v>
      </c>
      <c r="G3" s="104" t="s">
        <v>379</v>
      </c>
      <c r="H3" s="104" t="s">
        <v>380</v>
      </c>
      <c r="I3" s="104" t="s">
        <v>381</v>
      </c>
      <c r="J3" s="68"/>
    </row>
    <row r="4" spans="2:10" ht="49.95" customHeight="1">
      <c r="B4" s="44" t="s">
        <v>263</v>
      </c>
      <c r="C4" s="105"/>
      <c r="D4" s="105">
        <v>2</v>
      </c>
      <c r="E4" s="105">
        <v>51</v>
      </c>
      <c r="F4" s="105">
        <v>2</v>
      </c>
      <c r="G4" s="105">
        <v>16</v>
      </c>
      <c r="H4" s="105">
        <v>4</v>
      </c>
      <c r="I4" s="105">
        <v>28</v>
      </c>
      <c r="J4" s="68"/>
    </row>
    <row r="5" spans="2:10" ht="49.95" customHeight="1">
      <c r="B5" s="44" t="s">
        <v>262</v>
      </c>
      <c r="C5" s="106">
        <v>27</v>
      </c>
      <c r="D5" s="106">
        <v>11</v>
      </c>
      <c r="E5" s="106">
        <v>130</v>
      </c>
      <c r="F5" s="106">
        <v>16</v>
      </c>
      <c r="G5" s="106">
        <v>45</v>
      </c>
      <c r="H5" s="106">
        <v>9</v>
      </c>
      <c r="I5" s="106">
        <v>38</v>
      </c>
      <c r="J5" s="68"/>
    </row>
    <row r="6" spans="2:10" ht="49.95" customHeight="1">
      <c r="B6" s="44" t="s">
        <v>264</v>
      </c>
      <c r="C6" s="107">
        <v>12</v>
      </c>
      <c r="D6" s="107">
        <v>1</v>
      </c>
      <c r="E6" s="107">
        <v>42</v>
      </c>
      <c r="F6" s="107">
        <v>9</v>
      </c>
      <c r="G6" s="107">
        <v>14</v>
      </c>
      <c r="H6" s="107">
        <v>3</v>
      </c>
      <c r="I6" s="107">
        <v>46</v>
      </c>
      <c r="J6" s="68"/>
    </row>
    <row r="7" spans="2:10" ht="49.95" customHeight="1">
      <c r="B7" s="44" t="s">
        <v>265</v>
      </c>
      <c r="C7" s="68"/>
      <c r="D7" s="68"/>
      <c r="E7" s="68"/>
      <c r="F7" s="68"/>
      <c r="G7" s="68"/>
      <c r="H7" s="68"/>
      <c r="I7" s="68"/>
      <c r="J7" s="68"/>
    </row>
    <row r="8" spans="2:10" ht="49.95" customHeight="1">
      <c r="B8" s="44" t="s">
        <v>214</v>
      </c>
      <c r="C8" s="108" t="s">
        <v>382</v>
      </c>
      <c r="D8" s="108" t="s">
        <v>383</v>
      </c>
      <c r="E8" s="108" t="s">
        <v>382</v>
      </c>
      <c r="F8" s="108" t="s">
        <v>382</v>
      </c>
      <c r="G8" s="108" t="s">
        <v>382</v>
      </c>
      <c r="H8" s="108" t="s">
        <v>382</v>
      </c>
      <c r="I8" s="108" t="s">
        <v>383</v>
      </c>
      <c r="J8" s="68"/>
    </row>
    <row r="9" spans="2:10" ht="49.95" customHeight="1">
      <c r="B9" s="44" t="s">
        <v>296</v>
      </c>
      <c r="C9" s="109" t="s">
        <v>382</v>
      </c>
      <c r="D9" s="109" t="s">
        <v>382</v>
      </c>
      <c r="E9" s="109" t="s">
        <v>375</v>
      </c>
      <c r="F9" s="109" t="s">
        <v>382</v>
      </c>
      <c r="G9" s="109" t="s">
        <v>382</v>
      </c>
      <c r="H9" s="109" t="s">
        <v>382</v>
      </c>
      <c r="I9" s="109" t="s">
        <v>375</v>
      </c>
      <c r="J9" s="68"/>
    </row>
    <row r="10" spans="2:10" ht="49.95" customHeight="1">
      <c r="B10" s="62" t="s">
        <v>290</v>
      </c>
      <c r="C10" s="110" t="s">
        <v>376</v>
      </c>
      <c r="D10" s="110" t="s">
        <v>384</v>
      </c>
      <c r="E10" s="110" t="s">
        <v>385</v>
      </c>
      <c r="F10" s="110" t="s">
        <v>68</v>
      </c>
      <c r="G10" s="110" t="s">
        <v>386</v>
      </c>
      <c r="H10" s="110" t="s">
        <v>387</v>
      </c>
      <c r="I10" s="110" t="s">
        <v>385</v>
      </c>
      <c r="J10" s="68"/>
    </row>
    <row r="11" spans="2:10" ht="49.95" customHeight="1">
      <c r="B11" s="44" t="s">
        <v>106</v>
      </c>
      <c r="C11" s="69"/>
      <c r="D11" s="69"/>
      <c r="E11" s="69"/>
      <c r="F11" s="68"/>
      <c r="G11" s="68"/>
      <c r="H11" s="68"/>
      <c r="I11" s="68"/>
      <c r="J11" s="68"/>
    </row>
    <row r="12" spans="2:10" ht="49.95" customHeight="1">
      <c r="B12" s="44" t="s">
        <v>199</v>
      </c>
      <c r="C12" s="70"/>
      <c r="D12" s="71"/>
      <c r="E12" s="71"/>
      <c r="F12" s="71"/>
      <c r="G12" s="71"/>
      <c r="H12" s="71"/>
      <c r="I12" s="71"/>
      <c r="J12" s="71"/>
    </row>
    <row r="14" spans="2:10" ht="49.95" customHeight="1">
      <c r="B14" s="79" t="s">
        <v>182</v>
      </c>
      <c r="C14" s="79"/>
      <c r="D14" s="79"/>
    </row>
    <row r="15" spans="2:10" ht="49.95" customHeight="1">
      <c r="B15" s="16" t="s">
        <v>183</v>
      </c>
      <c r="C15" s="79" t="s">
        <v>184</v>
      </c>
      <c r="D15" s="79"/>
    </row>
    <row r="16" spans="2:10" ht="49.95" customHeight="1">
      <c r="B16" s="45" t="s">
        <v>185</v>
      </c>
      <c r="C16" s="80" t="s">
        <v>186</v>
      </c>
      <c r="D16" s="80"/>
    </row>
    <row r="17" spans="2:4" ht="49.95" customHeight="1">
      <c r="B17" s="81" t="s">
        <v>187</v>
      </c>
      <c r="C17" s="81" t="s">
        <v>188</v>
      </c>
      <c r="D17" s="81"/>
    </row>
    <row r="18" spans="2:4" ht="49.95" customHeight="1">
      <c r="B18" s="81"/>
      <c r="C18" s="81" t="s">
        <v>189</v>
      </c>
      <c r="D18" s="81"/>
    </row>
    <row r="19" spans="2:4" ht="49.95" customHeight="1">
      <c r="B19" s="81"/>
      <c r="C19" s="81" t="s">
        <v>190</v>
      </c>
      <c r="D19" s="81"/>
    </row>
    <row r="20" spans="2:4" ht="49.95" customHeight="1">
      <c r="B20" s="81"/>
      <c r="C20" s="81" t="s">
        <v>191</v>
      </c>
      <c r="D20" s="81"/>
    </row>
    <row r="21" spans="2:4" ht="49.95" customHeight="1">
      <c r="B21" s="81" t="s">
        <v>192</v>
      </c>
      <c r="C21" s="81" t="s">
        <v>193</v>
      </c>
      <c r="D21" s="81"/>
    </row>
    <row r="22" spans="2:4" ht="49.95" customHeight="1">
      <c r="B22" s="81"/>
      <c r="C22" s="81" t="s">
        <v>194</v>
      </c>
      <c r="D22" s="81"/>
    </row>
    <row r="23" spans="2:4" ht="49.95" customHeight="1">
      <c r="B23" s="81"/>
      <c r="C23" s="81" t="s">
        <v>195</v>
      </c>
      <c r="D23" s="81"/>
    </row>
    <row r="24" spans="2:4" ht="49.95" customHeight="1">
      <c r="B24" s="81" t="s">
        <v>196</v>
      </c>
      <c r="C24" s="81" t="s">
        <v>197</v>
      </c>
      <c r="D24" s="81"/>
    </row>
    <row r="25" spans="2:4" ht="49.95" customHeight="1">
      <c r="B25" s="81"/>
      <c r="C25" s="81" t="s">
        <v>198</v>
      </c>
      <c r="D25" s="81"/>
    </row>
  </sheetData>
  <sheetProtection algorithmName="SHA-512" hashValue="bZUL6mD159NJzrDMfwN4drt+BOqtexhCohLvWTFiYmwi3OxjnrOscfwij2lbQWlD1y6kwb2Toihf5J7T9rDt2w==" saltValue="3UFfoL413EPmJz18ZLo85A==" spinCount="100000" sheet="1" objects="1" scenarios="1"/>
  <mergeCells count="15">
    <mergeCell ref="B21:B23"/>
    <mergeCell ref="C21:D21"/>
    <mergeCell ref="C22:D22"/>
    <mergeCell ref="C23:D23"/>
    <mergeCell ref="B24:B25"/>
    <mergeCell ref="C24:D24"/>
    <mergeCell ref="C25:D25"/>
    <mergeCell ref="B14:D14"/>
    <mergeCell ref="C15:D15"/>
    <mergeCell ref="C16:D16"/>
    <mergeCell ref="B17:B20"/>
    <mergeCell ref="C17:D17"/>
    <mergeCell ref="C18:D18"/>
    <mergeCell ref="C19:D19"/>
    <mergeCell ref="C20:D20"/>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topLeftCell="A8" zoomScaleNormal="100" workbookViewId="0">
      <selection activeCell="C13" sqref="C13:F13"/>
    </sheetView>
  </sheetViews>
  <sheetFormatPr defaultColWidth="10.796875" defaultRowHeight="15"/>
  <cols>
    <col min="1" max="1" width="4.19921875" style="1" customWidth="1"/>
    <col min="2" max="2" width="51.5" style="1" customWidth="1"/>
    <col min="3" max="9" width="29.19921875" style="1" customWidth="1"/>
    <col min="10" max="10" width="57.796875" style="1" customWidth="1"/>
    <col min="11" max="11" width="102.69921875" style="1" bestFit="1" customWidth="1"/>
    <col min="12" max="15" width="29.19921875" style="1" customWidth="1"/>
    <col min="16" max="16384" width="10.796875" style="1"/>
  </cols>
  <sheetData>
    <row r="1" spans="2:11" ht="67.05" customHeight="1">
      <c r="B1" s="33" t="s">
        <v>288</v>
      </c>
    </row>
    <row r="2" spans="2:11" ht="67.05" customHeight="1">
      <c r="B2" s="32"/>
      <c r="C2" s="16">
        <v>2022</v>
      </c>
      <c r="D2" s="16">
        <v>2023</v>
      </c>
      <c r="E2" s="16">
        <v>2024</v>
      </c>
      <c r="F2" s="16" t="s">
        <v>208</v>
      </c>
      <c r="G2" s="16" t="s">
        <v>146</v>
      </c>
      <c r="H2" s="16" t="s">
        <v>147</v>
      </c>
      <c r="I2" s="16" t="s">
        <v>209</v>
      </c>
      <c r="J2" s="16" t="s">
        <v>207</v>
      </c>
    </row>
    <row r="3" spans="2:11" ht="67.05" customHeight="1">
      <c r="B3" s="16" t="s">
        <v>266</v>
      </c>
      <c r="C3" s="111">
        <v>212</v>
      </c>
      <c r="D3" s="111">
        <v>225</v>
      </c>
      <c r="E3" s="111">
        <v>261</v>
      </c>
      <c r="F3" s="111">
        <v>263</v>
      </c>
      <c r="G3" s="38"/>
      <c r="H3" s="38"/>
      <c r="I3" s="38"/>
      <c r="J3" s="58"/>
    </row>
    <row r="4" spans="2:11" ht="126">
      <c r="B4" s="35" t="s">
        <v>267</v>
      </c>
      <c r="C4" s="112">
        <v>1677</v>
      </c>
      <c r="D4" s="112">
        <v>1780</v>
      </c>
      <c r="E4" s="112">
        <v>1798</v>
      </c>
      <c r="F4" s="112">
        <v>1782</v>
      </c>
      <c r="G4" s="38"/>
      <c r="H4" s="38"/>
      <c r="I4" s="38"/>
      <c r="J4" s="58" t="s">
        <v>319</v>
      </c>
      <c r="K4" s="72" t="s">
        <v>318</v>
      </c>
    </row>
    <row r="5" spans="2:11" ht="67.05" customHeight="1">
      <c r="B5" s="16" t="s">
        <v>268</v>
      </c>
      <c r="C5" s="113">
        <v>2985</v>
      </c>
      <c r="D5" s="113">
        <v>2866</v>
      </c>
      <c r="E5" s="113">
        <v>2749</v>
      </c>
      <c r="F5" s="113">
        <v>2709</v>
      </c>
      <c r="G5" s="38"/>
      <c r="H5" s="38"/>
      <c r="I5" s="38"/>
      <c r="J5" s="58"/>
    </row>
    <row r="6" spans="2:11" ht="67.05" customHeight="1">
      <c r="B6" s="16" t="s">
        <v>269</v>
      </c>
      <c r="C6" s="114">
        <v>978</v>
      </c>
      <c r="D6" s="114">
        <v>982</v>
      </c>
      <c r="E6" s="114">
        <v>1039</v>
      </c>
      <c r="F6" s="114">
        <v>1061</v>
      </c>
      <c r="G6" s="38"/>
      <c r="H6" s="38"/>
      <c r="I6" s="38"/>
      <c r="J6" s="58"/>
      <c r="K6" s="4" t="s">
        <v>217</v>
      </c>
    </row>
    <row r="7" spans="2:11" ht="67.05" customHeight="1">
      <c r="B7" s="16" t="s">
        <v>270</v>
      </c>
      <c r="C7" s="115">
        <v>278</v>
      </c>
      <c r="D7" s="115">
        <v>278</v>
      </c>
      <c r="E7" s="115">
        <v>289</v>
      </c>
      <c r="F7" s="115">
        <v>285</v>
      </c>
      <c r="G7" s="38"/>
      <c r="H7" s="38"/>
      <c r="I7" s="38"/>
      <c r="J7" s="58"/>
    </row>
    <row r="8" spans="2:11" ht="67.05" customHeight="1">
      <c r="B8" s="16" t="s">
        <v>271</v>
      </c>
      <c r="C8" s="116">
        <v>145</v>
      </c>
      <c r="D8" s="116">
        <v>150</v>
      </c>
      <c r="E8" s="116">
        <v>169</v>
      </c>
      <c r="F8" s="116">
        <v>151</v>
      </c>
      <c r="G8" s="38"/>
      <c r="H8" s="38"/>
      <c r="I8" s="38"/>
      <c r="J8" s="58"/>
    </row>
    <row r="9" spans="2:11" ht="67.05" customHeight="1">
      <c r="B9" s="16" t="s">
        <v>272</v>
      </c>
      <c r="C9" s="117">
        <v>429</v>
      </c>
      <c r="D9" s="117">
        <v>423</v>
      </c>
      <c r="E9" s="117">
        <v>393</v>
      </c>
      <c r="F9" s="117">
        <v>390</v>
      </c>
      <c r="G9" s="38"/>
      <c r="H9" s="38"/>
      <c r="I9" s="38"/>
      <c r="J9" s="58"/>
    </row>
    <row r="10" spans="2:11" ht="67.05" customHeight="1">
      <c r="B10" s="35" t="s">
        <v>285</v>
      </c>
      <c r="C10" s="38"/>
      <c r="D10" s="38"/>
      <c r="E10" s="38"/>
      <c r="F10" s="38"/>
      <c r="G10" s="38"/>
      <c r="H10" s="38"/>
      <c r="I10" s="38"/>
      <c r="J10" s="58"/>
    </row>
    <row r="11" spans="2:11" ht="67.05" customHeight="1">
      <c r="B11" s="16" t="s">
        <v>286</v>
      </c>
      <c r="C11" s="118">
        <v>594</v>
      </c>
      <c r="D11" s="118">
        <v>604</v>
      </c>
      <c r="E11" s="118">
        <v>607</v>
      </c>
      <c r="F11" s="118">
        <v>597</v>
      </c>
      <c r="G11" s="38"/>
      <c r="H11" s="38"/>
      <c r="I11" s="38"/>
      <c r="J11" s="58"/>
    </row>
    <row r="12" spans="2:11" ht="67.05" customHeight="1">
      <c r="B12" s="16" t="s">
        <v>287</v>
      </c>
      <c r="C12" s="119">
        <v>117</v>
      </c>
      <c r="D12" s="119">
        <v>114</v>
      </c>
      <c r="E12" s="119">
        <v>88</v>
      </c>
      <c r="F12" s="119">
        <v>89</v>
      </c>
      <c r="G12" s="38"/>
      <c r="H12" s="38"/>
      <c r="I12" s="38"/>
      <c r="J12" s="58"/>
    </row>
    <row r="13" spans="2:11" ht="67.05" customHeight="1">
      <c r="B13" s="16" t="s">
        <v>210</v>
      </c>
      <c r="C13" s="121">
        <v>936</v>
      </c>
      <c r="D13" s="121">
        <v>933</v>
      </c>
      <c r="E13" s="121">
        <v>981</v>
      </c>
      <c r="F13" s="121">
        <v>982</v>
      </c>
      <c r="G13" s="38"/>
      <c r="H13" s="38"/>
      <c r="I13" s="38"/>
      <c r="J13" s="58"/>
    </row>
    <row r="14" spans="2:11" ht="67.05" customHeight="1">
      <c r="B14" s="16" t="s">
        <v>210</v>
      </c>
      <c r="C14" s="38"/>
      <c r="D14" s="38"/>
      <c r="E14" s="38"/>
      <c r="F14" s="38"/>
      <c r="G14" s="38"/>
      <c r="H14" s="38"/>
      <c r="I14" s="38"/>
      <c r="J14" s="58"/>
    </row>
    <row r="15" spans="2:11" ht="67.05" customHeight="1">
      <c r="B15" s="16" t="s">
        <v>210</v>
      </c>
      <c r="C15" s="38"/>
      <c r="D15" s="38"/>
      <c r="E15" s="38"/>
      <c r="F15" s="38"/>
      <c r="G15" s="38"/>
      <c r="H15" s="38"/>
      <c r="I15" s="38"/>
      <c r="J15" s="58"/>
    </row>
    <row r="16" spans="2:11" ht="18">
      <c r="B16" s="50" t="s">
        <v>218</v>
      </c>
      <c r="C16" s="51">
        <f t="shared" ref="C16:I16" si="0">SUM(C3:C15)</f>
        <v>8351</v>
      </c>
      <c r="D16" s="51">
        <f t="shared" si="0"/>
        <v>8355</v>
      </c>
      <c r="E16" s="51">
        <f t="shared" si="0"/>
        <v>8374</v>
      </c>
      <c r="F16" s="51">
        <f t="shared" si="0"/>
        <v>8309</v>
      </c>
      <c r="G16" s="51">
        <f t="shared" si="0"/>
        <v>0</v>
      </c>
      <c r="H16" s="51">
        <f t="shared" si="0"/>
        <v>0</v>
      </c>
      <c r="I16" s="51">
        <f t="shared" si="0"/>
        <v>0</v>
      </c>
    </row>
  </sheetData>
  <sheetProtection algorithmName="SHA-512" hashValue="PhkzxIhRU/NEqiY5KBZ8osucQOINuCuNxmLGQ4G6ElnHL0RVLYel/mPUcfz2JPa3W0fO6h3g2OZ30cklvyYhDA==" saltValue="Iw59MJ83Pv69NpgKR5baOg==" spinCount="100000"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A1:K69"/>
  <sheetViews>
    <sheetView showGridLines="0" topLeftCell="A62" workbookViewId="0">
      <selection activeCell="A58" sqref="A58:XFD58"/>
    </sheetView>
  </sheetViews>
  <sheetFormatPr defaultColWidth="10.796875" defaultRowHeight="15.6"/>
  <cols>
    <col min="1" max="1" width="5.296875" customWidth="1"/>
    <col min="2" max="2" width="34.5" customWidth="1"/>
  </cols>
  <sheetData>
    <row r="1" spans="1:11">
      <c r="A1" s="120"/>
      <c r="B1" s="120"/>
      <c r="C1" s="120"/>
      <c r="D1" s="120"/>
      <c r="E1" s="120"/>
      <c r="F1" s="120"/>
      <c r="G1" s="120"/>
      <c r="H1" s="120"/>
      <c r="I1" s="120"/>
      <c r="J1" s="120"/>
      <c r="K1" s="120"/>
    </row>
    <row r="2" spans="1:11" ht="46.95" customHeight="1">
      <c r="A2" s="120"/>
      <c r="B2" s="82" t="s">
        <v>314</v>
      </c>
      <c r="C2" s="82"/>
      <c r="D2" s="82"/>
      <c r="E2" s="82"/>
      <c r="F2" s="82"/>
      <c r="G2" s="82"/>
      <c r="H2" s="82"/>
      <c r="I2" s="82"/>
      <c r="J2" s="82"/>
      <c r="K2" s="82"/>
    </row>
    <row r="3" spans="1:11" ht="46.95" customHeight="1">
      <c r="A3" s="120"/>
      <c r="B3" s="82"/>
      <c r="C3" s="82"/>
      <c r="D3" s="82"/>
      <c r="E3" s="82"/>
      <c r="F3" s="82"/>
      <c r="G3" s="82"/>
      <c r="H3" s="82"/>
      <c r="I3" s="82"/>
      <c r="J3" s="82"/>
      <c r="K3" s="82"/>
    </row>
    <row r="4" spans="1:11" ht="46.95" customHeight="1">
      <c r="A4" s="120"/>
      <c r="B4" s="82"/>
      <c r="C4" s="82"/>
      <c r="D4" s="82"/>
      <c r="E4" s="82"/>
      <c r="F4" s="82"/>
      <c r="G4" s="82"/>
      <c r="H4" s="82"/>
      <c r="I4" s="82"/>
      <c r="J4" s="82"/>
      <c r="K4" s="82"/>
    </row>
    <row r="5" spans="1:11" ht="46.95" customHeight="1">
      <c r="A5" s="120"/>
      <c r="B5" s="82"/>
      <c r="C5" s="82"/>
      <c r="D5" s="82"/>
      <c r="E5" s="82"/>
      <c r="F5" s="82"/>
      <c r="G5" s="82"/>
      <c r="H5" s="82"/>
      <c r="I5" s="82"/>
      <c r="J5" s="82"/>
      <c r="K5" s="82"/>
    </row>
    <row r="6" spans="1:11">
      <c r="A6" s="120"/>
      <c r="B6" s="120"/>
      <c r="C6" s="120"/>
      <c r="D6" s="120"/>
      <c r="E6" s="120"/>
      <c r="F6" s="120"/>
      <c r="G6" s="120"/>
      <c r="H6" s="120"/>
      <c r="I6" s="120"/>
      <c r="J6" s="120"/>
      <c r="K6" s="120"/>
    </row>
    <row r="7" spans="1:11" ht="168" customHeight="1">
      <c r="A7" s="120"/>
      <c r="B7" s="101" t="s">
        <v>388</v>
      </c>
      <c r="C7" s="102"/>
      <c r="D7" s="102"/>
      <c r="E7" s="102"/>
      <c r="F7" s="102"/>
      <c r="G7" s="102"/>
      <c r="H7" s="102"/>
      <c r="I7" s="102"/>
      <c r="J7" s="102"/>
      <c r="K7" s="102"/>
    </row>
    <row r="8" spans="1:11">
      <c r="A8" s="120"/>
      <c r="B8" s="120"/>
      <c r="C8" s="120"/>
      <c r="D8" s="120"/>
      <c r="E8" s="120"/>
      <c r="F8" s="120"/>
      <c r="G8" s="120"/>
      <c r="H8" s="120"/>
      <c r="I8" s="120"/>
      <c r="J8" s="120"/>
      <c r="K8" s="120"/>
    </row>
    <row r="9" spans="1:11">
      <c r="A9" s="120"/>
      <c r="B9" s="120"/>
      <c r="C9" s="120"/>
      <c r="D9" s="120"/>
      <c r="E9" s="120"/>
      <c r="F9" s="120"/>
      <c r="G9" s="120"/>
      <c r="H9" s="120"/>
      <c r="I9" s="120"/>
      <c r="J9" s="120"/>
      <c r="K9" s="120"/>
    </row>
    <row r="10" spans="1:11">
      <c r="A10" s="120"/>
      <c r="B10" s="120"/>
      <c r="C10" s="120"/>
      <c r="D10" s="120"/>
      <c r="E10" s="120"/>
      <c r="F10" s="120"/>
      <c r="G10" s="120"/>
      <c r="H10" s="120"/>
      <c r="I10" s="120"/>
      <c r="J10" s="120"/>
      <c r="K10" s="120"/>
    </row>
    <row r="11" spans="1:11">
      <c r="A11" s="120"/>
      <c r="B11" s="120"/>
      <c r="C11" s="120"/>
      <c r="D11" s="120"/>
      <c r="E11" s="120"/>
      <c r="F11" s="120"/>
      <c r="G11" s="120"/>
      <c r="H11" s="120"/>
      <c r="I11" s="120"/>
      <c r="J11" s="120"/>
      <c r="K11" s="120"/>
    </row>
    <row r="12" spans="1:11">
      <c r="A12" s="120"/>
      <c r="B12" s="120"/>
      <c r="C12" s="120"/>
      <c r="D12" s="120"/>
      <c r="E12" s="120"/>
      <c r="F12" s="120"/>
      <c r="G12" s="120"/>
      <c r="H12" s="120"/>
      <c r="I12" s="120"/>
      <c r="J12" s="120"/>
      <c r="K12" s="120"/>
    </row>
    <row r="13" spans="1:11">
      <c r="A13" s="120"/>
      <c r="B13" s="120"/>
      <c r="C13" s="120"/>
      <c r="D13" s="120"/>
      <c r="E13" s="120"/>
      <c r="F13" s="120"/>
      <c r="G13" s="120"/>
      <c r="H13" s="120"/>
      <c r="I13" s="120"/>
      <c r="J13" s="120"/>
      <c r="K13" s="120"/>
    </row>
    <row r="14" spans="1:11">
      <c r="A14" s="120"/>
      <c r="B14" s="120"/>
      <c r="C14" s="120"/>
      <c r="D14" s="120"/>
      <c r="E14" s="120"/>
      <c r="F14" s="120"/>
      <c r="G14" s="120"/>
      <c r="H14" s="120"/>
      <c r="I14" s="120"/>
      <c r="J14" s="120"/>
      <c r="K14" s="120"/>
    </row>
    <row r="15" spans="1:11">
      <c r="A15" s="120"/>
      <c r="B15" s="120"/>
      <c r="C15" s="120"/>
      <c r="D15" s="120"/>
      <c r="E15" s="120"/>
      <c r="F15" s="120"/>
      <c r="G15" s="120"/>
      <c r="H15" s="120"/>
      <c r="I15" s="120"/>
      <c r="J15" s="120"/>
      <c r="K15" s="120"/>
    </row>
    <row r="16" spans="1:11">
      <c r="A16" s="120"/>
      <c r="B16" s="120"/>
      <c r="C16" s="120"/>
      <c r="D16" s="120"/>
      <c r="E16" s="120"/>
      <c r="F16" s="120"/>
      <c r="G16" s="120"/>
      <c r="H16" s="120"/>
      <c r="I16" s="120"/>
      <c r="J16" s="120"/>
      <c r="K16" s="120"/>
    </row>
    <row r="17" spans="1:11">
      <c r="A17" s="120"/>
      <c r="B17" s="120"/>
      <c r="C17" s="120"/>
      <c r="D17" s="120"/>
      <c r="E17" s="120"/>
      <c r="F17" s="120"/>
      <c r="G17" s="120"/>
      <c r="H17" s="120"/>
      <c r="I17" s="120"/>
      <c r="J17" s="120"/>
      <c r="K17" s="120"/>
    </row>
    <row r="18" spans="1:11">
      <c r="A18" s="120"/>
      <c r="B18" s="120"/>
      <c r="C18" s="120"/>
      <c r="D18" s="120"/>
      <c r="E18" s="120"/>
      <c r="F18" s="120"/>
      <c r="G18" s="120"/>
      <c r="H18" s="120"/>
      <c r="I18" s="120"/>
      <c r="J18" s="120"/>
      <c r="K18" s="120"/>
    </row>
    <row r="19" spans="1:11">
      <c r="A19" s="120"/>
      <c r="B19" s="120"/>
      <c r="C19" s="120"/>
      <c r="D19" s="120"/>
      <c r="E19" s="120"/>
      <c r="F19" s="120"/>
      <c r="G19" s="120"/>
      <c r="H19" s="120"/>
      <c r="I19" s="120"/>
      <c r="J19" s="120"/>
      <c r="K19" s="120"/>
    </row>
    <row r="20" spans="1:11">
      <c r="A20" s="120"/>
      <c r="B20" s="120"/>
      <c r="C20" s="120"/>
      <c r="D20" s="120"/>
      <c r="E20" s="120"/>
      <c r="F20" s="120"/>
      <c r="G20" s="120"/>
      <c r="H20" s="120"/>
      <c r="I20" s="120"/>
      <c r="J20" s="120"/>
      <c r="K20" s="120"/>
    </row>
    <row r="21" spans="1:11">
      <c r="A21" s="120"/>
      <c r="B21" s="120"/>
      <c r="C21" s="120"/>
      <c r="D21" s="120"/>
      <c r="E21" s="120"/>
      <c r="F21" s="120"/>
      <c r="G21" s="120"/>
      <c r="H21" s="120"/>
      <c r="I21" s="120"/>
      <c r="J21" s="120"/>
      <c r="K21" s="120"/>
    </row>
    <row r="22" spans="1:11">
      <c r="A22" s="120"/>
      <c r="B22" s="120"/>
      <c r="C22" s="120"/>
      <c r="D22" s="120"/>
      <c r="E22" s="120"/>
      <c r="F22" s="120"/>
      <c r="G22" s="120"/>
      <c r="H22" s="120"/>
      <c r="I22" s="120"/>
      <c r="J22" s="120"/>
      <c r="K22" s="120"/>
    </row>
    <row r="23" spans="1:11">
      <c r="A23" s="120"/>
      <c r="B23" s="120"/>
      <c r="C23" s="120"/>
      <c r="D23" s="120"/>
      <c r="E23" s="120"/>
      <c r="F23" s="120"/>
      <c r="G23" s="120"/>
      <c r="H23" s="120"/>
      <c r="I23" s="120"/>
      <c r="J23" s="120"/>
      <c r="K23" s="120"/>
    </row>
    <row r="24" spans="1:11">
      <c r="A24" s="120"/>
      <c r="B24" s="120"/>
      <c r="C24" s="120"/>
      <c r="D24" s="120"/>
      <c r="E24" s="120"/>
      <c r="F24" s="120"/>
      <c r="G24" s="120"/>
      <c r="H24" s="120"/>
      <c r="I24" s="120"/>
      <c r="J24" s="120"/>
      <c r="K24" s="120"/>
    </row>
    <row r="25" spans="1:11">
      <c r="A25" s="120"/>
      <c r="B25" s="120"/>
      <c r="C25" s="120"/>
      <c r="D25" s="120"/>
      <c r="E25" s="120"/>
      <c r="F25" s="120"/>
      <c r="G25" s="120"/>
      <c r="H25" s="120"/>
      <c r="I25" s="120"/>
      <c r="J25" s="120"/>
      <c r="K25" s="120"/>
    </row>
    <row r="26" spans="1:11">
      <c r="A26" s="120"/>
      <c r="B26" s="120"/>
      <c r="C26" s="120"/>
      <c r="D26" s="120"/>
      <c r="E26" s="120"/>
      <c r="F26" s="120"/>
      <c r="G26" s="120"/>
      <c r="H26" s="120"/>
      <c r="I26" s="120"/>
      <c r="J26" s="120"/>
      <c r="K26" s="120"/>
    </row>
    <row r="27" spans="1:11">
      <c r="A27" s="120"/>
      <c r="B27" s="120"/>
      <c r="C27" s="120"/>
      <c r="D27" s="120"/>
      <c r="E27" s="120"/>
      <c r="F27" s="120"/>
      <c r="G27" s="120"/>
      <c r="H27" s="120"/>
      <c r="I27" s="120"/>
      <c r="J27" s="120"/>
      <c r="K27" s="120"/>
    </row>
    <row r="28" spans="1:11">
      <c r="A28" s="120"/>
      <c r="B28" s="120"/>
      <c r="C28" s="120"/>
      <c r="D28" s="120"/>
      <c r="E28" s="120"/>
      <c r="F28" s="120"/>
      <c r="G28" s="120"/>
      <c r="H28" s="120"/>
      <c r="I28" s="120"/>
      <c r="J28" s="120"/>
      <c r="K28" s="120"/>
    </row>
    <row r="29" spans="1:11">
      <c r="A29" s="120"/>
      <c r="B29" s="120"/>
      <c r="C29" s="120"/>
      <c r="D29" s="120"/>
      <c r="E29" s="120"/>
      <c r="F29" s="120"/>
      <c r="G29" s="120"/>
      <c r="H29" s="120"/>
      <c r="I29" s="120"/>
      <c r="J29" s="120"/>
      <c r="K29" s="120"/>
    </row>
    <row r="30" spans="1:11">
      <c r="A30" s="120"/>
      <c r="B30" s="120"/>
      <c r="C30" s="120"/>
      <c r="D30" s="120"/>
      <c r="E30" s="120"/>
      <c r="F30" s="120"/>
      <c r="G30" s="120"/>
      <c r="H30" s="120"/>
      <c r="I30" s="120"/>
      <c r="J30" s="120"/>
      <c r="K30" s="120"/>
    </row>
    <row r="31" spans="1:11">
      <c r="A31" s="120"/>
      <c r="B31" s="120"/>
      <c r="C31" s="120"/>
      <c r="D31" s="120"/>
      <c r="E31" s="120"/>
      <c r="F31" s="120"/>
      <c r="G31" s="120"/>
      <c r="H31" s="120"/>
      <c r="I31" s="120"/>
      <c r="J31" s="120"/>
      <c r="K31" s="120"/>
    </row>
    <row r="32" spans="1:11">
      <c r="A32" s="120"/>
      <c r="B32" s="120"/>
      <c r="C32" s="120"/>
      <c r="D32" s="120"/>
      <c r="E32" s="120"/>
      <c r="F32" s="120"/>
      <c r="G32" s="120"/>
      <c r="H32" s="120"/>
      <c r="I32" s="120"/>
      <c r="J32" s="120"/>
      <c r="K32" s="120"/>
    </row>
    <row r="33" spans="1:11">
      <c r="A33" s="120"/>
      <c r="B33" s="120"/>
      <c r="C33" s="120"/>
      <c r="D33" s="120"/>
      <c r="E33" s="120"/>
      <c r="F33" s="120"/>
      <c r="G33" s="120"/>
      <c r="H33" s="120"/>
      <c r="I33" s="120"/>
      <c r="J33" s="120"/>
      <c r="K33" s="120"/>
    </row>
    <row r="34" spans="1:11">
      <c r="A34" s="120"/>
      <c r="B34" s="120"/>
      <c r="C34" s="120"/>
      <c r="D34" s="120"/>
      <c r="E34" s="120"/>
      <c r="F34" s="120"/>
      <c r="G34" s="120"/>
      <c r="H34" s="120"/>
      <c r="I34" s="120"/>
      <c r="J34" s="120"/>
      <c r="K34" s="120"/>
    </row>
    <row r="35" spans="1:11">
      <c r="A35" s="120"/>
      <c r="B35" s="120"/>
      <c r="C35" s="120"/>
      <c r="D35" s="120"/>
      <c r="E35" s="120"/>
      <c r="F35" s="120"/>
      <c r="G35" s="120"/>
      <c r="H35" s="120"/>
      <c r="I35" s="120"/>
      <c r="J35" s="120"/>
      <c r="K35" s="120"/>
    </row>
    <row r="36" spans="1:11">
      <c r="A36" s="120"/>
      <c r="B36" s="120"/>
      <c r="C36" s="120"/>
      <c r="D36" s="120"/>
      <c r="E36" s="120"/>
      <c r="F36" s="120"/>
      <c r="G36" s="120"/>
      <c r="H36" s="120"/>
      <c r="I36" s="120"/>
      <c r="J36" s="120"/>
      <c r="K36" s="120"/>
    </row>
    <row r="37" spans="1:11">
      <c r="A37" s="120"/>
      <c r="B37" s="120"/>
      <c r="C37" s="120"/>
      <c r="D37" s="120"/>
      <c r="E37" s="120"/>
      <c r="F37" s="120"/>
      <c r="G37" s="120"/>
      <c r="H37" s="120"/>
      <c r="I37" s="120"/>
      <c r="J37" s="120"/>
      <c r="K37" s="120"/>
    </row>
    <row r="38" spans="1:11">
      <c r="A38" s="120"/>
      <c r="B38" s="120"/>
      <c r="C38" s="120"/>
      <c r="D38" s="120"/>
      <c r="E38" s="120"/>
      <c r="F38" s="120"/>
      <c r="G38" s="120"/>
      <c r="H38" s="120"/>
      <c r="I38" s="120"/>
      <c r="J38" s="120"/>
      <c r="K38" s="120"/>
    </row>
    <row r="39" spans="1:11">
      <c r="A39" s="120"/>
      <c r="B39" s="120"/>
      <c r="C39" s="120"/>
      <c r="D39" s="120"/>
      <c r="E39" s="120"/>
      <c r="F39" s="120"/>
      <c r="G39" s="120"/>
      <c r="H39" s="120"/>
      <c r="I39" s="120"/>
      <c r="J39" s="120"/>
      <c r="K39" s="120"/>
    </row>
    <row r="40" spans="1:11">
      <c r="A40" s="120"/>
      <c r="B40" s="120"/>
      <c r="C40" s="120"/>
      <c r="D40" s="120"/>
      <c r="E40" s="120"/>
      <c r="F40" s="120"/>
      <c r="G40" s="120"/>
      <c r="H40" s="120"/>
      <c r="I40" s="120"/>
      <c r="J40" s="120"/>
      <c r="K40" s="120"/>
    </row>
    <row r="41" spans="1:11">
      <c r="A41" s="120"/>
      <c r="B41" s="120"/>
      <c r="C41" s="120"/>
      <c r="D41" s="120"/>
      <c r="E41" s="120"/>
      <c r="F41" s="120"/>
      <c r="G41" s="120"/>
      <c r="H41" s="120"/>
      <c r="I41" s="120"/>
      <c r="J41" s="120"/>
      <c r="K41" s="120"/>
    </row>
    <row r="42" spans="1:11">
      <c r="A42" s="120"/>
      <c r="B42" s="120"/>
      <c r="C42" s="120"/>
      <c r="D42" s="120"/>
      <c r="E42" s="120"/>
      <c r="F42" s="120"/>
      <c r="G42" s="120"/>
      <c r="H42" s="120"/>
      <c r="I42" s="120"/>
      <c r="J42" s="120"/>
      <c r="K42" s="120"/>
    </row>
    <row r="43" spans="1:11">
      <c r="A43" s="120"/>
      <c r="B43" s="120"/>
      <c r="C43" s="120"/>
      <c r="D43" s="120"/>
      <c r="E43" s="120"/>
      <c r="F43" s="120"/>
      <c r="G43" s="120"/>
      <c r="H43" s="120"/>
      <c r="I43" s="120"/>
      <c r="J43" s="120"/>
      <c r="K43" s="120"/>
    </row>
    <row r="44" spans="1:11">
      <c r="A44" s="120"/>
      <c r="B44" s="120"/>
      <c r="C44" s="120"/>
      <c r="D44" s="120"/>
      <c r="E44" s="120"/>
      <c r="F44" s="120"/>
      <c r="G44" s="120"/>
      <c r="H44" s="120"/>
      <c r="I44" s="120"/>
      <c r="J44" s="120"/>
      <c r="K44" s="120"/>
    </row>
    <row r="45" spans="1:11" ht="192" customHeight="1">
      <c r="A45" s="120"/>
      <c r="B45" s="101" t="s">
        <v>389</v>
      </c>
      <c r="C45" s="102"/>
      <c r="D45" s="102"/>
      <c r="E45" s="102"/>
      <c r="F45" s="102"/>
      <c r="G45" s="102"/>
      <c r="H45" s="102"/>
      <c r="I45" s="102"/>
      <c r="J45" s="102"/>
      <c r="K45" s="102"/>
    </row>
    <row r="46" spans="1:11">
      <c r="A46" s="120"/>
      <c r="B46" s="120"/>
      <c r="C46" s="120"/>
      <c r="D46" s="120"/>
      <c r="E46" s="120"/>
      <c r="F46" s="120"/>
      <c r="G46" s="120"/>
      <c r="H46" s="120"/>
      <c r="I46" s="120"/>
      <c r="J46" s="120"/>
      <c r="K46" s="120"/>
    </row>
    <row r="47" spans="1:11" ht="355.8" customHeight="1">
      <c r="A47" s="120"/>
      <c r="B47" s="101" t="s">
        <v>390</v>
      </c>
      <c r="C47" s="102"/>
      <c r="D47" s="102"/>
      <c r="E47" s="102"/>
      <c r="F47" s="102"/>
      <c r="G47" s="102"/>
      <c r="H47" s="102"/>
      <c r="I47" s="102"/>
      <c r="J47" s="102"/>
      <c r="K47" s="102"/>
    </row>
    <row r="48" spans="1:11" ht="359.4" customHeight="1">
      <c r="A48" s="120"/>
      <c r="B48" s="101" t="s">
        <v>391</v>
      </c>
      <c r="C48" s="102"/>
      <c r="D48" s="102"/>
      <c r="E48" s="102"/>
      <c r="F48" s="102"/>
      <c r="G48" s="102"/>
      <c r="H48" s="102"/>
      <c r="I48" s="102"/>
      <c r="J48" s="102"/>
      <c r="K48" s="102"/>
    </row>
    <row r="49" spans="1:11" ht="73.8" customHeight="1">
      <c r="A49" s="120"/>
      <c r="B49" s="120"/>
      <c r="C49" s="120"/>
      <c r="D49" s="120"/>
      <c r="E49" s="120"/>
      <c r="F49" s="120"/>
      <c r="G49" s="120"/>
      <c r="H49" s="120"/>
      <c r="I49" s="120"/>
      <c r="J49" s="120"/>
      <c r="K49" s="120"/>
    </row>
    <row r="50" spans="1:11">
      <c r="A50" s="120"/>
      <c r="B50" s="120"/>
      <c r="C50" s="120"/>
      <c r="D50" s="120"/>
      <c r="E50" s="120"/>
      <c r="F50" s="120"/>
      <c r="G50" s="120"/>
      <c r="H50" s="120"/>
      <c r="I50" s="120"/>
      <c r="J50" s="120"/>
      <c r="K50" s="120"/>
    </row>
    <row r="51" spans="1:11">
      <c r="A51" s="120"/>
      <c r="B51" s="120"/>
      <c r="C51" s="120"/>
      <c r="D51" s="120"/>
      <c r="E51" s="120"/>
      <c r="F51" s="120"/>
      <c r="G51" s="120"/>
      <c r="H51" s="120"/>
      <c r="I51" s="120"/>
      <c r="J51" s="120"/>
      <c r="K51" s="120"/>
    </row>
    <row r="52" spans="1:11">
      <c r="A52" s="120"/>
      <c r="B52" s="120"/>
      <c r="C52" s="120"/>
      <c r="D52" s="120"/>
      <c r="E52" s="120"/>
      <c r="F52" s="120"/>
      <c r="G52" s="120"/>
      <c r="H52" s="120"/>
      <c r="I52" s="120"/>
      <c r="J52" s="120"/>
      <c r="K52" s="120"/>
    </row>
    <row r="53" spans="1:11">
      <c r="A53" s="120"/>
      <c r="B53" s="120"/>
      <c r="C53" s="120"/>
      <c r="D53" s="120"/>
      <c r="E53" s="120"/>
      <c r="F53" s="120"/>
      <c r="G53" s="120"/>
      <c r="H53" s="120"/>
      <c r="I53" s="120"/>
      <c r="J53" s="120"/>
      <c r="K53" s="120"/>
    </row>
    <row r="54" spans="1:11">
      <c r="A54" s="120"/>
      <c r="B54" s="120"/>
      <c r="C54" s="120"/>
      <c r="D54" s="120"/>
      <c r="E54" s="120"/>
      <c r="F54" s="120"/>
      <c r="G54" s="120"/>
      <c r="H54" s="120"/>
      <c r="I54" s="120"/>
      <c r="J54" s="120"/>
      <c r="K54" s="120"/>
    </row>
    <row r="55" spans="1:11">
      <c r="A55" s="120"/>
      <c r="B55" s="120"/>
      <c r="C55" s="120"/>
      <c r="D55" s="120"/>
      <c r="E55" s="120"/>
      <c r="F55" s="120"/>
      <c r="G55" s="120"/>
      <c r="H55" s="120"/>
      <c r="I55" s="120"/>
      <c r="J55" s="120"/>
      <c r="K55" s="120"/>
    </row>
    <row r="56" spans="1:11">
      <c r="A56" s="120"/>
      <c r="B56" s="120"/>
      <c r="C56" s="120"/>
      <c r="D56" s="120"/>
      <c r="E56" s="120"/>
      <c r="F56" s="120"/>
      <c r="G56" s="120"/>
      <c r="H56" s="120"/>
      <c r="I56" s="120"/>
      <c r="J56" s="120"/>
      <c r="K56" s="120"/>
    </row>
    <row r="57" spans="1:11" ht="409.2" customHeight="1">
      <c r="A57" s="120"/>
      <c r="B57" s="101" t="s">
        <v>392</v>
      </c>
      <c r="C57" s="102"/>
      <c r="D57" s="102"/>
      <c r="E57" s="102"/>
      <c r="F57" s="102"/>
      <c r="G57" s="102"/>
      <c r="H57" s="102"/>
      <c r="I57" s="102"/>
      <c r="J57" s="102"/>
      <c r="K57" s="102"/>
    </row>
    <row r="58" spans="1:11" ht="127.2" customHeight="1">
      <c r="A58" s="120"/>
      <c r="B58" s="101" t="s">
        <v>393</v>
      </c>
      <c r="C58" s="102"/>
      <c r="D58" s="102"/>
      <c r="E58" s="102"/>
      <c r="F58" s="102"/>
      <c r="G58" s="102"/>
      <c r="H58" s="102"/>
      <c r="I58" s="102"/>
      <c r="J58" s="102"/>
      <c r="K58" s="102"/>
    </row>
    <row r="59" spans="1:11">
      <c r="A59" s="120"/>
      <c r="B59" s="120"/>
      <c r="C59" s="120"/>
      <c r="D59" s="120"/>
      <c r="E59" s="120"/>
      <c r="F59" s="120"/>
      <c r="G59" s="120"/>
      <c r="H59" s="120"/>
      <c r="I59" s="120"/>
      <c r="J59" s="120"/>
      <c r="K59" s="120"/>
    </row>
    <row r="60" spans="1:11" ht="409.6" customHeight="1">
      <c r="A60" s="120"/>
      <c r="B60" s="101" t="s">
        <v>394</v>
      </c>
      <c r="C60" s="102"/>
      <c r="D60" s="102"/>
      <c r="E60" s="102"/>
      <c r="F60" s="102"/>
      <c r="G60" s="102"/>
      <c r="H60" s="102"/>
      <c r="I60" s="102"/>
      <c r="J60" s="102"/>
      <c r="K60" s="102"/>
    </row>
    <row r="61" spans="1:11" ht="115.8" customHeight="1">
      <c r="A61" s="120"/>
      <c r="B61" s="101" t="s">
        <v>395</v>
      </c>
      <c r="C61" s="102"/>
      <c r="D61" s="102"/>
      <c r="E61" s="102"/>
      <c r="F61" s="102"/>
      <c r="G61" s="102"/>
      <c r="H61" s="102"/>
      <c r="I61" s="102"/>
      <c r="J61" s="102"/>
      <c r="K61" s="102"/>
    </row>
    <row r="62" spans="1:11" ht="264" customHeight="1">
      <c r="A62" s="120"/>
      <c r="B62" s="101" t="s">
        <v>396</v>
      </c>
      <c r="C62" s="102"/>
      <c r="D62" s="102"/>
      <c r="E62" s="102"/>
      <c r="F62" s="102"/>
      <c r="G62" s="102"/>
      <c r="H62" s="102"/>
      <c r="I62" s="102"/>
      <c r="J62" s="102"/>
      <c r="K62" s="102"/>
    </row>
    <row r="63" spans="1:11" ht="246" customHeight="1">
      <c r="A63" s="120"/>
      <c r="B63" s="101" t="s">
        <v>397</v>
      </c>
      <c r="C63" s="102"/>
      <c r="D63" s="102"/>
      <c r="E63" s="102"/>
      <c r="F63" s="102"/>
      <c r="G63" s="102"/>
      <c r="H63" s="102"/>
      <c r="I63" s="102"/>
      <c r="J63" s="102"/>
      <c r="K63" s="102"/>
    </row>
    <row r="64" spans="1:11">
      <c r="A64" s="120"/>
      <c r="B64" s="103"/>
      <c r="C64" s="103"/>
      <c r="D64" s="103"/>
      <c r="E64" s="103"/>
      <c r="F64" s="103"/>
      <c r="G64" s="103"/>
      <c r="H64" s="103"/>
      <c r="I64" s="103"/>
      <c r="J64" s="103"/>
      <c r="K64" s="103"/>
    </row>
    <row r="65" spans="1:11">
      <c r="A65" s="120"/>
      <c r="B65" s="103"/>
      <c r="C65" s="103"/>
      <c r="D65" s="103"/>
      <c r="E65" s="103"/>
      <c r="F65" s="103"/>
      <c r="G65" s="103"/>
      <c r="H65" s="103"/>
      <c r="I65" s="103"/>
      <c r="J65" s="103"/>
      <c r="K65" s="103"/>
    </row>
    <row r="66" spans="1:11">
      <c r="A66" s="120"/>
      <c r="B66" s="103"/>
      <c r="C66" s="103"/>
      <c r="D66" s="103"/>
      <c r="E66" s="103"/>
      <c r="F66" s="103"/>
      <c r="G66" s="103"/>
      <c r="H66" s="103"/>
      <c r="I66" s="103"/>
      <c r="J66" s="103"/>
      <c r="K66" s="103"/>
    </row>
    <row r="67" spans="1:11">
      <c r="A67" s="120"/>
      <c r="B67" s="103"/>
      <c r="C67" s="103"/>
      <c r="D67" s="103"/>
      <c r="E67" s="103"/>
      <c r="F67" s="103"/>
      <c r="G67" s="103"/>
      <c r="H67" s="103"/>
      <c r="I67" s="103"/>
      <c r="J67" s="103"/>
      <c r="K67" s="103"/>
    </row>
    <row r="68" spans="1:11">
      <c r="A68" s="120"/>
      <c r="B68" s="103"/>
      <c r="C68" s="103"/>
      <c r="D68" s="103"/>
      <c r="E68" s="103"/>
      <c r="F68" s="103"/>
      <c r="G68" s="103"/>
      <c r="H68" s="103"/>
      <c r="I68" s="103"/>
      <c r="J68" s="103"/>
      <c r="K68" s="103"/>
    </row>
    <row r="69" spans="1:11">
      <c r="A69" s="120"/>
      <c r="B69" s="103"/>
      <c r="C69" s="103"/>
      <c r="D69" s="103"/>
      <c r="E69" s="103"/>
      <c r="F69" s="103"/>
      <c r="G69" s="103"/>
      <c r="H69" s="103"/>
      <c r="I69" s="103"/>
      <c r="J69" s="103"/>
      <c r="K69" s="103"/>
    </row>
  </sheetData>
  <mergeCells count="17">
    <mergeCell ref="B62:K62"/>
    <mergeCell ref="B68:K68"/>
    <mergeCell ref="B69:K69"/>
    <mergeCell ref="B63:K63"/>
    <mergeCell ref="B64:K64"/>
    <mergeCell ref="B65:K65"/>
    <mergeCell ref="B66:K66"/>
    <mergeCell ref="B67:K67"/>
    <mergeCell ref="B48:K48"/>
    <mergeCell ref="B57:K57"/>
    <mergeCell ref="B58:K58"/>
    <mergeCell ref="B60:K60"/>
    <mergeCell ref="B61:K61"/>
    <mergeCell ref="B2:K5"/>
    <mergeCell ref="B7:K7"/>
    <mergeCell ref="B45:K45"/>
    <mergeCell ref="B47:K4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topLeftCell="A2" zoomScale="70" zoomScaleNormal="70" workbookViewId="0">
      <selection activeCell="I13" sqref="I13"/>
    </sheetView>
  </sheetViews>
  <sheetFormatPr defaultColWidth="11.19921875" defaultRowHeight="15.6"/>
  <cols>
    <col min="1" max="1" width="4.19921875" style="1" customWidth="1"/>
    <col min="2" max="2" width="51.5" style="1" customWidth="1"/>
    <col min="3" max="22" width="29.19921875" style="1" customWidth="1"/>
    <col min="23" max="23" width="57.796875" style="1" customWidth="1"/>
  </cols>
  <sheetData>
    <row r="1" spans="2:23" ht="60" customHeight="1">
      <c r="B1" s="33" t="s">
        <v>247</v>
      </c>
    </row>
    <row r="2" spans="2:23" ht="60" customHeight="1">
      <c r="B2" s="63" t="s">
        <v>240</v>
      </c>
      <c r="C2" s="83" t="s">
        <v>242</v>
      </c>
      <c r="D2" s="83"/>
      <c r="E2" s="83"/>
      <c r="F2" s="83"/>
      <c r="G2" s="83" t="s">
        <v>243</v>
      </c>
      <c r="H2" s="83"/>
      <c r="I2" s="83"/>
      <c r="J2" s="83"/>
      <c r="K2" s="83"/>
      <c r="L2" s="83" t="s">
        <v>305</v>
      </c>
      <c r="M2" s="83"/>
      <c r="N2" s="83"/>
      <c r="O2" s="83"/>
      <c r="P2" s="83"/>
      <c r="Q2" s="83"/>
      <c r="R2" s="83"/>
      <c r="S2" s="83" t="s">
        <v>244</v>
      </c>
      <c r="T2" s="83"/>
      <c r="U2" s="83"/>
      <c r="V2" s="83"/>
    </row>
    <row r="3" spans="2:23" ht="60" customHeight="1">
      <c r="B3" s="16" t="s">
        <v>241</v>
      </c>
      <c r="C3" s="64" t="s">
        <v>245</v>
      </c>
      <c r="D3" s="64" t="s">
        <v>297</v>
      </c>
      <c r="E3" s="64" t="s">
        <v>235</v>
      </c>
      <c r="F3" s="64" t="s">
        <v>292</v>
      </c>
      <c r="G3" s="64" t="s">
        <v>41</v>
      </c>
      <c r="H3" s="64" t="s">
        <v>246</v>
      </c>
      <c r="I3" s="64" t="s">
        <v>236</v>
      </c>
      <c r="J3" s="64" t="s">
        <v>237</v>
      </c>
      <c r="K3" s="64" t="s">
        <v>289</v>
      </c>
      <c r="L3" s="64" t="s">
        <v>306</v>
      </c>
      <c r="M3" s="65" t="s">
        <v>312</v>
      </c>
      <c r="N3" s="64" t="s">
        <v>307</v>
      </c>
      <c r="O3" s="64" t="s">
        <v>311</v>
      </c>
      <c r="P3" s="64" t="s">
        <v>308</v>
      </c>
      <c r="Q3" s="64" t="s">
        <v>309</v>
      </c>
      <c r="R3" s="64" t="s">
        <v>310</v>
      </c>
      <c r="S3" s="64" t="s">
        <v>24</v>
      </c>
      <c r="T3" s="64" t="s">
        <v>238</v>
      </c>
      <c r="U3" s="64" t="s">
        <v>295</v>
      </c>
      <c r="V3" s="64" t="s">
        <v>239</v>
      </c>
      <c r="W3" s="16" t="s">
        <v>207</v>
      </c>
    </row>
    <row r="4" spans="2:23" ht="60" customHeight="1">
      <c r="B4" s="16" t="s">
        <v>254</v>
      </c>
      <c r="C4" s="122" t="s">
        <v>36</v>
      </c>
      <c r="D4" s="122" t="s">
        <v>36</v>
      </c>
      <c r="E4" s="122" t="s">
        <v>36</v>
      </c>
      <c r="F4" s="122" t="s">
        <v>36</v>
      </c>
      <c r="G4" s="122" t="s">
        <v>36</v>
      </c>
      <c r="H4" s="122" t="s">
        <v>36</v>
      </c>
      <c r="I4" s="122" t="s">
        <v>36</v>
      </c>
      <c r="J4" s="122" t="s">
        <v>36</v>
      </c>
      <c r="K4" s="122" t="s">
        <v>36</v>
      </c>
      <c r="L4" s="122"/>
      <c r="M4" s="122"/>
      <c r="N4" s="122" t="s">
        <v>36</v>
      </c>
      <c r="O4" s="38"/>
      <c r="P4" s="38"/>
      <c r="Q4" s="38"/>
      <c r="R4" s="38"/>
      <c r="S4" s="38"/>
      <c r="T4" s="38"/>
      <c r="U4" s="38"/>
      <c r="V4" s="38"/>
      <c r="W4" s="58"/>
    </row>
    <row r="5" spans="2:23" ht="60" customHeight="1">
      <c r="B5" s="35" t="s">
        <v>274</v>
      </c>
      <c r="C5" s="123" t="s">
        <v>383</v>
      </c>
      <c r="D5" s="123" t="s">
        <v>383</v>
      </c>
      <c r="E5" s="123" t="s">
        <v>383</v>
      </c>
      <c r="F5" s="123" t="s">
        <v>383</v>
      </c>
      <c r="G5" s="123" t="s">
        <v>382</v>
      </c>
      <c r="H5" s="123" t="s">
        <v>383</v>
      </c>
      <c r="I5" s="123" t="s">
        <v>382</v>
      </c>
      <c r="J5" s="123" t="s">
        <v>383</v>
      </c>
      <c r="K5" s="123" t="s">
        <v>383</v>
      </c>
      <c r="L5" s="38"/>
      <c r="M5" s="38"/>
      <c r="N5" s="38"/>
      <c r="O5" s="38"/>
      <c r="P5" s="38"/>
      <c r="Q5" s="38"/>
      <c r="R5" s="38"/>
      <c r="S5" s="38"/>
      <c r="T5" s="38"/>
      <c r="U5" s="38"/>
      <c r="V5" s="38"/>
      <c r="W5" s="58"/>
    </row>
    <row r="6" spans="2:23" ht="60" customHeight="1">
      <c r="B6" s="35" t="s">
        <v>255</v>
      </c>
      <c r="C6" s="124" t="s">
        <v>37</v>
      </c>
      <c r="D6" s="124" t="s">
        <v>37</v>
      </c>
      <c r="E6" s="124" t="s">
        <v>37</v>
      </c>
      <c r="F6" s="124" t="s">
        <v>37</v>
      </c>
      <c r="G6" s="124" t="s">
        <v>37</v>
      </c>
      <c r="H6" s="124" t="s">
        <v>37</v>
      </c>
      <c r="I6" s="124" t="s">
        <v>37</v>
      </c>
      <c r="J6" s="124" t="s">
        <v>37</v>
      </c>
      <c r="K6" s="124" t="s">
        <v>37</v>
      </c>
      <c r="L6" s="38"/>
      <c r="M6" s="38"/>
      <c r="N6" s="38"/>
      <c r="O6" s="38"/>
      <c r="P6" s="38"/>
      <c r="Q6" s="38"/>
      <c r="R6" s="38"/>
      <c r="S6" s="38"/>
      <c r="T6" s="38"/>
      <c r="U6" s="38"/>
      <c r="V6" s="38"/>
      <c r="W6" s="58"/>
    </row>
    <row r="7" spans="2:23" ht="60" customHeight="1">
      <c r="B7" s="35" t="s">
        <v>22</v>
      </c>
      <c r="C7" s="125" t="s">
        <v>398</v>
      </c>
      <c r="D7" s="125" t="s">
        <v>399</v>
      </c>
      <c r="E7" s="125" t="s">
        <v>400</v>
      </c>
      <c r="F7" s="125" t="s">
        <v>401</v>
      </c>
      <c r="G7" s="125" t="s">
        <v>412</v>
      </c>
      <c r="H7" s="125" t="s">
        <v>402</v>
      </c>
      <c r="I7" s="125" t="s">
        <v>403</v>
      </c>
      <c r="J7" s="125" t="s">
        <v>406</v>
      </c>
      <c r="K7" s="125" t="s">
        <v>407</v>
      </c>
      <c r="L7" s="38"/>
      <c r="M7" s="38"/>
      <c r="N7" s="38"/>
      <c r="O7" s="38"/>
      <c r="P7" s="38"/>
      <c r="Q7" s="38"/>
      <c r="R7" s="38"/>
      <c r="S7" s="38" t="s">
        <v>408</v>
      </c>
      <c r="T7" s="38"/>
      <c r="U7" s="38"/>
      <c r="V7" s="38" t="s">
        <v>409</v>
      </c>
      <c r="W7" s="58"/>
    </row>
    <row r="8" spans="2:23" ht="60" customHeight="1">
      <c r="B8" s="35" t="s">
        <v>273</v>
      </c>
      <c r="C8" s="38"/>
      <c r="D8" s="38"/>
      <c r="E8" s="38"/>
      <c r="F8" s="38"/>
      <c r="G8" s="38"/>
      <c r="H8" s="38"/>
      <c r="I8" s="38"/>
      <c r="J8" s="38"/>
      <c r="K8" s="38"/>
      <c r="L8" s="38"/>
      <c r="M8" s="38"/>
      <c r="N8" s="38"/>
      <c r="O8" s="38"/>
      <c r="P8" s="38"/>
      <c r="Q8" s="38"/>
      <c r="R8" s="38"/>
      <c r="S8" s="38"/>
      <c r="T8" s="38"/>
      <c r="U8" s="38"/>
      <c r="V8" s="38"/>
      <c r="W8" s="58"/>
    </row>
    <row r="9" spans="2:23" ht="60" customHeight="1">
      <c r="B9" s="35" t="s">
        <v>256</v>
      </c>
      <c r="C9" s="126" t="s">
        <v>405</v>
      </c>
      <c r="D9" s="126" t="s">
        <v>404</v>
      </c>
      <c r="E9" s="126" t="s">
        <v>411</v>
      </c>
      <c r="F9" s="38" t="s">
        <v>410</v>
      </c>
      <c r="G9" s="38" t="s">
        <v>36</v>
      </c>
      <c r="H9" s="38" t="s">
        <v>414</v>
      </c>
      <c r="I9" s="38"/>
      <c r="J9" s="38" t="s">
        <v>416</v>
      </c>
      <c r="K9" s="38"/>
      <c r="L9" s="38"/>
      <c r="M9" s="38"/>
      <c r="N9" s="38"/>
      <c r="O9" s="38"/>
      <c r="P9" s="38"/>
      <c r="Q9" s="38"/>
      <c r="R9" s="38"/>
      <c r="S9" s="38"/>
      <c r="T9" s="38"/>
      <c r="U9" s="38"/>
      <c r="V9" s="38"/>
      <c r="W9" s="58"/>
    </row>
    <row r="10" spans="2:23" ht="60" customHeight="1">
      <c r="B10" s="35" t="s">
        <v>304</v>
      </c>
      <c r="C10" s="38"/>
      <c r="D10" s="38"/>
      <c r="E10" s="38"/>
      <c r="F10" s="38"/>
      <c r="G10" s="38"/>
      <c r="H10" s="38"/>
      <c r="I10" s="38"/>
      <c r="J10" s="38"/>
      <c r="K10" s="38"/>
      <c r="L10" s="38"/>
      <c r="M10" s="38"/>
      <c r="N10" s="38"/>
      <c r="O10" s="38"/>
      <c r="P10" s="38"/>
      <c r="Q10" s="38"/>
      <c r="R10" s="38"/>
      <c r="S10" s="38"/>
      <c r="T10" s="38"/>
      <c r="U10" s="38"/>
      <c r="V10" s="38"/>
      <c r="W10" s="58"/>
    </row>
    <row r="11" spans="2:23" ht="60" customHeight="1">
      <c r="B11" s="35" t="s">
        <v>275</v>
      </c>
      <c r="C11" s="38" t="s">
        <v>415</v>
      </c>
      <c r="D11" s="38" t="s">
        <v>419</v>
      </c>
      <c r="E11" s="38" t="s">
        <v>418</v>
      </c>
      <c r="F11" s="38"/>
      <c r="G11" s="66"/>
      <c r="H11" s="38"/>
      <c r="I11" s="38"/>
      <c r="J11" s="38"/>
      <c r="K11" s="38"/>
      <c r="L11" s="38"/>
      <c r="M11" s="38"/>
      <c r="N11" s="38"/>
      <c r="O11" s="38"/>
      <c r="P11" s="38"/>
      <c r="Q11" s="38"/>
      <c r="R11" s="38"/>
      <c r="S11" s="38"/>
      <c r="T11" s="38"/>
      <c r="U11" s="38"/>
      <c r="V11" s="38"/>
      <c r="W11" s="58"/>
    </row>
    <row r="12" spans="2:23" ht="60" customHeight="1">
      <c r="B12" s="16" t="s">
        <v>257</v>
      </c>
      <c r="C12" s="38" t="s">
        <v>413</v>
      </c>
      <c r="D12" s="38" t="s">
        <v>417</v>
      </c>
      <c r="E12" s="38"/>
      <c r="F12" s="38"/>
      <c r="G12" s="38"/>
      <c r="H12" s="38"/>
      <c r="I12" s="38"/>
      <c r="J12" s="38"/>
      <c r="K12" s="38"/>
      <c r="L12" s="38"/>
      <c r="M12" s="38"/>
      <c r="N12" s="38"/>
      <c r="O12" s="38"/>
      <c r="P12" s="38"/>
      <c r="Q12" s="38"/>
      <c r="R12" s="38"/>
      <c r="S12" s="38"/>
      <c r="T12" s="38"/>
      <c r="U12" s="38"/>
      <c r="V12" s="38"/>
      <c r="W12" s="58"/>
    </row>
    <row r="13" spans="2:23" ht="60" customHeight="1">
      <c r="B13" s="35" t="s">
        <v>252</v>
      </c>
      <c r="C13" s="38" t="s">
        <v>420</v>
      </c>
      <c r="D13" s="38"/>
      <c r="E13" s="38"/>
      <c r="F13" s="38"/>
      <c r="G13" s="38"/>
      <c r="H13" s="38"/>
      <c r="I13" s="38"/>
      <c r="J13" s="38"/>
      <c r="K13" s="38"/>
      <c r="L13" s="38"/>
      <c r="M13" s="38"/>
      <c r="N13" s="38"/>
      <c r="O13" s="38"/>
      <c r="P13" s="38"/>
      <c r="Q13" s="38"/>
      <c r="R13" s="38"/>
      <c r="S13" s="38"/>
      <c r="T13" s="38"/>
      <c r="U13" s="38"/>
      <c r="V13" s="38"/>
      <c r="W13" s="58"/>
    </row>
    <row r="14" spans="2:23" ht="60" customHeight="1">
      <c r="B14" s="16" t="s">
        <v>248</v>
      </c>
      <c r="C14" s="38"/>
      <c r="D14" s="38"/>
      <c r="E14" s="38"/>
      <c r="F14" s="38"/>
      <c r="G14" s="38"/>
      <c r="H14" s="38"/>
      <c r="I14" s="38"/>
      <c r="J14" s="38"/>
      <c r="K14" s="38"/>
      <c r="L14" s="38"/>
      <c r="M14" s="38"/>
      <c r="N14" s="38"/>
      <c r="O14" s="38"/>
      <c r="P14" s="38"/>
      <c r="Q14" s="38"/>
      <c r="R14" s="38"/>
      <c r="S14" s="38"/>
      <c r="T14" s="38"/>
      <c r="U14" s="38"/>
      <c r="V14" s="38"/>
      <c r="W14" s="58"/>
    </row>
    <row r="15" spans="2:23" ht="60" customHeight="1">
      <c r="B15" s="16" t="s">
        <v>251</v>
      </c>
      <c r="C15" s="38"/>
      <c r="D15" s="38"/>
      <c r="E15" s="38"/>
      <c r="F15" s="38"/>
      <c r="G15" s="38"/>
      <c r="H15" s="38"/>
      <c r="I15" s="38"/>
      <c r="J15" s="38"/>
      <c r="K15" s="38"/>
      <c r="L15" s="38"/>
      <c r="M15" s="38"/>
      <c r="N15" s="38"/>
      <c r="O15" s="38"/>
      <c r="P15" s="38"/>
      <c r="Q15" s="38"/>
      <c r="R15" s="38"/>
      <c r="S15" s="38"/>
      <c r="T15" s="38"/>
      <c r="U15" s="38"/>
      <c r="V15" s="38"/>
      <c r="W15" s="58"/>
    </row>
    <row r="16" spans="2:23" ht="60" customHeight="1">
      <c r="B16" s="35" t="s">
        <v>253</v>
      </c>
      <c r="C16" s="38"/>
      <c r="D16" s="38"/>
      <c r="E16" s="38"/>
      <c r="F16" s="38"/>
      <c r="G16" s="38"/>
      <c r="H16" s="38"/>
      <c r="I16" s="38"/>
      <c r="J16" s="38"/>
      <c r="K16" s="38"/>
      <c r="L16" s="38"/>
      <c r="M16" s="38"/>
      <c r="N16" s="38"/>
      <c r="O16" s="38"/>
      <c r="P16" s="38"/>
      <c r="Q16" s="38"/>
      <c r="R16" s="38"/>
      <c r="S16" s="38"/>
      <c r="T16" s="38"/>
      <c r="U16" s="38"/>
      <c r="V16" s="38"/>
      <c r="W16" s="58"/>
    </row>
    <row r="17" spans="2:23" ht="60" customHeight="1">
      <c r="B17" s="16" t="s">
        <v>249</v>
      </c>
      <c r="C17" s="38"/>
      <c r="D17" s="38"/>
      <c r="E17" s="38"/>
      <c r="F17" s="38"/>
      <c r="G17" s="38"/>
      <c r="H17" s="38"/>
      <c r="I17" s="38"/>
      <c r="J17" s="38"/>
      <c r="K17" s="38"/>
      <c r="L17" s="38"/>
      <c r="M17" s="38"/>
      <c r="N17" s="38"/>
      <c r="O17" s="38"/>
      <c r="P17" s="38"/>
      <c r="Q17" s="38"/>
      <c r="R17" s="38"/>
      <c r="S17" s="38"/>
      <c r="T17" s="38"/>
      <c r="U17" s="38"/>
      <c r="V17" s="38"/>
      <c r="W17" s="58"/>
    </row>
    <row r="18" spans="2:23" ht="60" customHeight="1">
      <c r="B18" s="16" t="s">
        <v>250</v>
      </c>
      <c r="C18" s="38"/>
      <c r="D18" s="38"/>
      <c r="E18" s="38"/>
      <c r="F18" s="38"/>
      <c r="G18" s="38"/>
      <c r="H18" s="38"/>
      <c r="I18" s="38"/>
      <c r="J18" s="38"/>
      <c r="K18" s="38"/>
      <c r="L18" s="38"/>
      <c r="M18" s="38"/>
      <c r="N18" s="38"/>
      <c r="O18" s="38"/>
      <c r="P18" s="38"/>
      <c r="Q18" s="38"/>
      <c r="R18" s="38"/>
      <c r="S18" s="38"/>
      <c r="T18" s="38"/>
      <c r="U18" s="38"/>
      <c r="V18" s="38"/>
      <c r="W18" s="58"/>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workbookViewId="0">
      <selection activeCell="D18" sqref="D18"/>
    </sheetView>
  </sheetViews>
  <sheetFormatPr defaultColWidth="10.796875" defaultRowHeight="15.6"/>
  <cols>
    <col min="1" max="1" width="5.5" customWidth="1"/>
  </cols>
  <sheetData>
    <row r="3" spans="2:11" ht="34.049999999999997" customHeight="1">
      <c r="B3" s="82" t="s">
        <v>224</v>
      </c>
      <c r="C3" s="82"/>
      <c r="D3" s="82"/>
      <c r="E3" s="82"/>
      <c r="F3" s="82"/>
      <c r="G3" s="82"/>
      <c r="H3" s="82"/>
      <c r="I3" s="82"/>
      <c r="J3" s="82"/>
      <c r="K3" s="82"/>
    </row>
    <row r="4" spans="2:11" ht="34.049999999999997" customHeight="1">
      <c r="B4" s="82"/>
      <c r="C4" s="82"/>
      <c r="D4" s="82"/>
      <c r="E4" s="82"/>
      <c r="F4" s="82"/>
      <c r="G4" s="82"/>
      <c r="H4" s="82"/>
      <c r="I4" s="82"/>
      <c r="J4" s="82"/>
      <c r="K4" s="82"/>
    </row>
    <row r="5" spans="2:11" ht="34.049999999999997" customHeight="1">
      <c r="B5" s="82"/>
      <c r="C5" s="82"/>
      <c r="D5" s="82"/>
      <c r="E5" s="82"/>
      <c r="F5" s="82"/>
      <c r="G5" s="82"/>
      <c r="H5" s="82"/>
      <c r="I5" s="82"/>
      <c r="J5" s="82"/>
      <c r="K5" s="82"/>
    </row>
    <row r="6" spans="2:11" ht="34.049999999999997" customHeight="1">
      <c r="B6" s="82"/>
      <c r="C6" s="82"/>
      <c r="D6" s="82"/>
      <c r="E6" s="82"/>
      <c r="F6" s="82"/>
      <c r="G6" s="82"/>
      <c r="H6" s="82"/>
      <c r="I6" s="82"/>
      <c r="J6" s="82"/>
      <c r="K6" s="82"/>
    </row>
    <row r="8" spans="2:11">
      <c r="B8" s="127" t="s">
        <v>421</v>
      </c>
    </row>
    <row r="12" spans="2:11">
      <c r="B12" s="56"/>
    </row>
    <row r="15" spans="2:11">
      <c r="B15" s="56"/>
    </row>
    <row r="18" spans="2:2">
      <c r="B18" s="56"/>
    </row>
    <row r="21" spans="2:2">
      <c r="B21" s="56"/>
    </row>
    <row r="24" spans="2:2">
      <c r="B24" s="56"/>
    </row>
  </sheetData>
  <mergeCells count="1">
    <mergeCell ref="B3:K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topLeftCell="A20" zoomScale="80" zoomScaleNormal="80" workbookViewId="0">
      <selection activeCell="C35" sqref="C35"/>
    </sheetView>
  </sheetViews>
  <sheetFormatPr defaultColWidth="10.796875" defaultRowHeight="20.399999999999999"/>
  <cols>
    <col min="1" max="1" width="4.19921875" style="53" customWidth="1"/>
    <col min="2" max="2" width="200.796875" style="10" customWidth="1"/>
    <col min="3" max="3" width="67.5" style="13" customWidth="1"/>
    <col min="4" max="16384" width="10.796875" style="47"/>
  </cols>
  <sheetData>
    <row r="2" spans="2:4" ht="21">
      <c r="B2" s="8" t="s">
        <v>233</v>
      </c>
      <c r="C2" s="11"/>
    </row>
    <row r="3" spans="2:4" ht="21">
      <c r="B3" s="40" t="s">
        <v>231</v>
      </c>
      <c r="C3" s="55"/>
    </row>
    <row r="4" spans="2:4" ht="21">
      <c r="B4" s="54" t="s">
        <v>260</v>
      </c>
      <c r="C4" s="55"/>
    </row>
    <row r="5" spans="2:4" ht="81.599999999999994">
      <c r="B5" s="52" t="s">
        <v>282</v>
      </c>
      <c r="C5" s="46" t="s">
        <v>36</v>
      </c>
      <c r="D5" s="48" t="s">
        <v>283</v>
      </c>
    </row>
    <row r="6" spans="2:4" ht="21">
      <c r="B6" s="54" t="s">
        <v>259</v>
      </c>
      <c r="C6" s="55"/>
      <c r="D6" s="48"/>
    </row>
    <row r="7" spans="2:4" ht="61.2">
      <c r="B7" s="52" t="s">
        <v>221</v>
      </c>
      <c r="C7" s="128" t="s">
        <v>422</v>
      </c>
      <c r="D7" s="48" t="s">
        <v>276</v>
      </c>
    </row>
    <row r="8" spans="2:4" ht="21">
      <c r="B8" s="54" t="s">
        <v>258</v>
      </c>
      <c r="C8" s="55"/>
    </row>
    <row r="9" spans="2:4" ht="61.2">
      <c r="B9" s="52" t="s">
        <v>222</v>
      </c>
      <c r="C9" s="46" t="s">
        <v>36</v>
      </c>
    </row>
    <row r="10" spans="2:4" ht="21">
      <c r="B10" s="54" t="s">
        <v>279</v>
      </c>
      <c r="C10" s="55"/>
    </row>
    <row r="11" spans="2:4" ht="61.2">
      <c r="B11" s="52" t="s">
        <v>317</v>
      </c>
      <c r="C11" s="46" t="s">
        <v>36</v>
      </c>
    </row>
    <row r="12" spans="2:4" ht="21">
      <c r="B12" s="40" t="s">
        <v>230</v>
      </c>
      <c r="C12" s="55"/>
    </row>
    <row r="13" spans="2:4" ht="21">
      <c r="B13" s="54" t="s">
        <v>232</v>
      </c>
      <c r="C13" s="55"/>
    </row>
    <row r="14" spans="2:4" ht="61.2">
      <c r="B14" s="52" t="s">
        <v>219</v>
      </c>
      <c r="C14" s="46" t="s">
        <v>36</v>
      </c>
    </row>
    <row r="15" spans="2:4" ht="21">
      <c r="B15" s="54" t="s">
        <v>228</v>
      </c>
      <c r="C15" s="55"/>
    </row>
    <row r="16" spans="2:4" ht="61.2">
      <c r="B16" s="52" t="s">
        <v>220</v>
      </c>
      <c r="C16" s="46" t="s">
        <v>36</v>
      </c>
    </row>
    <row r="17" spans="2:3" ht="21">
      <c r="B17" s="54" t="s">
        <v>229</v>
      </c>
      <c r="C17" s="55"/>
    </row>
    <row r="18" spans="2:3" ht="61.2">
      <c r="B18" s="52" t="s">
        <v>223</v>
      </c>
      <c r="C18" s="46" t="s">
        <v>36</v>
      </c>
    </row>
    <row r="19" spans="2:3" ht="21">
      <c r="B19" s="54" t="s">
        <v>261</v>
      </c>
      <c r="C19" s="55"/>
    </row>
    <row r="20" spans="2:3" ht="61.2">
      <c r="B20" s="52" t="s">
        <v>281</v>
      </c>
      <c r="C20" s="46" t="s">
        <v>36</v>
      </c>
    </row>
    <row r="21" spans="2:3" ht="21">
      <c r="B21" s="54" t="s">
        <v>298</v>
      </c>
      <c r="C21" s="55"/>
    </row>
    <row r="22" spans="2:3" ht="81.599999999999994">
      <c r="B22" s="52" t="s">
        <v>300</v>
      </c>
      <c r="C22" s="46" t="s">
        <v>36</v>
      </c>
    </row>
    <row r="23" spans="2:3" ht="21">
      <c r="B23" s="54" t="s">
        <v>303</v>
      </c>
      <c r="C23" s="55"/>
    </row>
    <row r="24" spans="2:3" ht="102">
      <c r="B24" s="52" t="s">
        <v>301</v>
      </c>
      <c r="C24" s="46" t="s">
        <v>36</v>
      </c>
    </row>
    <row r="25" spans="2:3" ht="21">
      <c r="B25" s="54" t="s">
        <v>299</v>
      </c>
      <c r="C25" s="55"/>
    </row>
    <row r="26" spans="2:3" ht="81.599999999999994">
      <c r="B26" s="52" t="s">
        <v>302</v>
      </c>
      <c r="C26" s="46" t="s">
        <v>36</v>
      </c>
    </row>
    <row r="27" spans="2:3" ht="21">
      <c r="B27" s="54" t="s">
        <v>313</v>
      </c>
      <c r="C27" s="55"/>
    </row>
    <row r="28" spans="2:3" ht="81.599999999999994">
      <c r="B28" s="52" t="s">
        <v>315</v>
      </c>
      <c r="C28" s="46" t="s">
        <v>36</v>
      </c>
    </row>
  </sheetData>
  <sheetProtection algorithmName="SHA-512" hashValue="XeW6bUAKnm43j4meWYPApqpxgIUvkc+kiljCp7h71QUV2ZgishBBRb5NF7kP+72LnQELXBDhMs+rLegAjSnArA==" saltValue="2/ZNlC/KVpLBc1AR6Z48Dw==" spinCount="100000" sheet="1" objects="1" scenarios="1"/>
  <conditionalFormatting sqref="C5">
    <cfRule type="notContainsBlanks" dxfId="53" priority="72" stopIfTrue="1">
      <formula>LEN(TRIM(C5))&gt;0</formula>
    </cfRule>
    <cfRule type="containsText" dxfId="52" priority="70" operator="containsText" text="Yes">
      <formula>NOT(ISERROR(SEARCH("Yes",C5)))</formula>
    </cfRule>
    <cfRule type="containsText" dxfId="51" priority="71" operator="containsText" text="No">
      <formula>NOT(ISERROR(SEARCH("No",C5)))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containsText" dxfId="41" priority="44" operator="containsText" text="No">
      <formula>NOT(ISERROR(SEARCH("No",C12)))</formula>
    </cfRule>
    <cfRule type="containsText" dxfId="40" priority="43" operator="containsText" text="Yes">
      <formula>NOT(ISERROR(SEARCH("Yes",C12)))</formula>
    </cfRule>
    <cfRule type="notContainsBlanks" dxfId="39" priority="54" stopIfTrue="1">
      <formula>LEN(TRIM(C12))&gt;0</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containsText" dxfId="23" priority="37" operator="containsText" text="Yes">
      <formula>NOT(ISERROR(SEARCH("Yes",C16)))</formula>
    </cfRule>
    <cfRule type="containsText" dxfId="22" priority="38" operator="containsText" text="No">
      <formula>NOT(ISERROR(SEARCH("No",C16)))</formula>
    </cfRule>
    <cfRule type="notContainsBlanks" dxfId="21" priority="39" stopIfTrue="1">
      <formula>LEN(TRIM(C16))&gt;0</formula>
    </cfRule>
    <cfRule type="containsText" dxfId="20" priority="19" operator="containsText" text="Yes">
      <formula>NOT(ISERROR(SEARCH("Yes",C16)))</formula>
    </cfRule>
    <cfRule type="containsText" dxfId="19" priority="20" operator="containsText" text="No">
      <formula>NOT(ISERROR(SEARCH("No",C16)))</formula>
    </cfRule>
    <cfRule type="notContainsBlanks" dxfId="18" priority="21"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notContainsBlanks" dxfId="14" priority="15" stopIfTrue="1">
      <formula>LEN(TRIM(C20))&gt;0</formula>
    </cfRule>
    <cfRule type="containsText" dxfId="13" priority="14" operator="containsText" text="No">
      <formula>NOT(ISERROR(SEARCH("No",C20)))</formula>
    </cfRule>
    <cfRule type="containsText" dxfId="12" priority="13" operator="containsText" text="Yes">
      <formula>NOT(ISERROR(SEARCH("Yes",C20)))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containsText" dxfId="2" priority="1" operator="containsText" text="Yes">
      <formula>NOT(ISERROR(SEARCH("Yes",C28)))</formula>
    </cfRule>
    <cfRule type="notContainsBlanks" dxfId="1" priority="3" stopIfTrue="1">
      <formula>LEN(TRIM(C28))&gt;0</formula>
    </cfRule>
    <cfRule type="containsText" dxfId="0" priority="2" operator="containsText" text="No">
      <formula>NOT(ISERROR(SEARCH("No",C28)))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defaultColWidth="10.796875" defaultRowHeight="15"/>
  <cols>
    <col min="1" max="1" width="14.69921875" style="1" bestFit="1" customWidth="1"/>
    <col min="2" max="2" width="10.796875" style="1"/>
    <col min="3" max="3" width="60" style="1" bestFit="1" customWidth="1"/>
    <col min="4" max="4" width="10.796875" style="1"/>
    <col min="5" max="5" width="7.19921875" style="1" bestFit="1" customWidth="1"/>
    <col min="6" max="6" width="10.796875" style="1"/>
    <col min="7" max="7" width="17" style="1" bestFit="1" customWidth="1"/>
    <col min="8" max="8" width="21" style="1" customWidth="1"/>
    <col min="9" max="10" width="10.796875" style="1"/>
    <col min="11" max="11" width="12" style="1" customWidth="1"/>
    <col min="12" max="16384" width="10.796875" style="1"/>
  </cols>
  <sheetData>
    <row r="1" spans="1:7" ht="15.6">
      <c r="A1" s="1" t="s">
        <v>104</v>
      </c>
      <c r="C1" s="7" t="s">
        <v>23</v>
      </c>
      <c r="E1" s="5" t="s">
        <v>35</v>
      </c>
      <c r="G1" s="5" t="s">
        <v>47</v>
      </c>
    </row>
    <row r="2" spans="1:7">
      <c r="A2" s="1" t="s">
        <v>12</v>
      </c>
      <c r="C2" s="1" t="s">
        <v>26</v>
      </c>
      <c r="E2" s="1" t="s">
        <v>36</v>
      </c>
      <c r="G2" s="1" t="s">
        <v>48</v>
      </c>
    </row>
    <row r="3" spans="1:7">
      <c r="A3" s="1" t="s">
        <v>105</v>
      </c>
      <c r="C3" s="1" t="s">
        <v>24</v>
      </c>
      <c r="E3" s="1" t="s">
        <v>37</v>
      </c>
      <c r="G3" s="1" t="s">
        <v>49</v>
      </c>
    </row>
    <row r="4" spans="1:7">
      <c r="C4" s="1" t="s">
        <v>28</v>
      </c>
      <c r="G4" s="1" t="s">
        <v>50</v>
      </c>
    </row>
    <row r="5" spans="1:7">
      <c r="C5" s="1" t="s">
        <v>44</v>
      </c>
      <c r="G5" s="1" t="s">
        <v>51</v>
      </c>
    </row>
    <row r="6" spans="1:7">
      <c r="C6" s="1" t="s">
        <v>27</v>
      </c>
      <c r="G6" s="1" t="s">
        <v>52</v>
      </c>
    </row>
    <row r="7" spans="1:7">
      <c r="C7" s="1" t="s">
        <v>38</v>
      </c>
      <c r="G7" s="1" t="s">
        <v>53</v>
      </c>
    </row>
    <row r="8" spans="1:7">
      <c r="C8" s="1" t="s">
        <v>25</v>
      </c>
      <c r="G8" s="1" t="s">
        <v>54</v>
      </c>
    </row>
    <row r="9" spans="1:7">
      <c r="C9" s="1" t="s">
        <v>29</v>
      </c>
      <c r="G9" s="1" t="s">
        <v>55</v>
      </c>
    </row>
    <row r="10" spans="1:7">
      <c r="C10" s="1" t="s">
        <v>39</v>
      </c>
      <c r="G10" s="1" t="s">
        <v>56</v>
      </c>
    </row>
    <row r="11" spans="1:7">
      <c r="C11" s="1" t="s">
        <v>40</v>
      </c>
      <c r="G11" s="1" t="s">
        <v>57</v>
      </c>
    </row>
    <row r="12" spans="1:7">
      <c r="C12" s="1" t="s">
        <v>46</v>
      </c>
      <c r="G12" s="1" t="s">
        <v>58</v>
      </c>
    </row>
    <row r="13" spans="1:7">
      <c r="C13" s="1" t="s">
        <v>41</v>
      </c>
      <c r="G13" s="1" t="s">
        <v>59</v>
      </c>
    </row>
    <row r="14" spans="1:7">
      <c r="C14" s="1" t="s">
        <v>32</v>
      </c>
      <c r="G14" s="1" t="s">
        <v>60</v>
      </c>
    </row>
    <row r="15" spans="1:7">
      <c r="C15" s="1" t="s">
        <v>33</v>
      </c>
      <c r="G15" s="1" t="s">
        <v>61</v>
      </c>
    </row>
    <row r="16" spans="1:7">
      <c r="C16" s="1" t="s">
        <v>30</v>
      </c>
      <c r="G16" s="1" t="s">
        <v>62</v>
      </c>
    </row>
    <row r="17" spans="3:7">
      <c r="C17" s="1" t="s">
        <v>45</v>
      </c>
      <c r="G17" s="1" t="s">
        <v>63</v>
      </c>
    </row>
    <row r="18" spans="3:7">
      <c r="C18" s="1" t="s">
        <v>31</v>
      </c>
      <c r="G18" s="1" t="s">
        <v>64</v>
      </c>
    </row>
    <row r="19" spans="3:7">
      <c r="C19" s="1" t="s">
        <v>42</v>
      </c>
      <c r="G19" s="1" t="s">
        <v>65</v>
      </c>
    </row>
    <row r="20" spans="3:7">
      <c r="C20" s="1" t="s">
        <v>43</v>
      </c>
      <c r="G20" s="1" t="s">
        <v>66</v>
      </c>
    </row>
    <row r="21" spans="3:7">
      <c r="C21" s="1" t="s">
        <v>34</v>
      </c>
      <c r="G21" s="1" t="s">
        <v>67</v>
      </c>
    </row>
    <row r="22" spans="3:7">
      <c r="G22" s="1" t="s">
        <v>68</v>
      </c>
    </row>
    <row r="23" spans="3:7">
      <c r="G23" s="1" t="s">
        <v>69</v>
      </c>
    </row>
    <row r="24" spans="3:7">
      <c r="G24" s="1" t="s">
        <v>70</v>
      </c>
    </row>
    <row r="25" spans="3:7">
      <c r="G25" s="1" t="s">
        <v>71</v>
      </c>
    </row>
    <row r="26" spans="3:7">
      <c r="G26" s="1" t="s">
        <v>72</v>
      </c>
    </row>
    <row r="27" spans="3:7">
      <c r="G27" s="1" t="s">
        <v>73</v>
      </c>
    </row>
    <row r="28" spans="3:7">
      <c r="G28" s="1" t="s">
        <v>74</v>
      </c>
    </row>
    <row r="29" spans="3:7">
      <c r="G29" s="1" t="s">
        <v>75</v>
      </c>
    </row>
    <row r="30" spans="3:7">
      <c r="G30" s="1" t="s">
        <v>76</v>
      </c>
    </row>
    <row r="31" spans="3:7">
      <c r="G31" s="1" t="s">
        <v>77</v>
      </c>
    </row>
    <row r="32" spans="3:7">
      <c r="G32" s="1" t="s">
        <v>78</v>
      </c>
    </row>
    <row r="33" spans="7:7">
      <c r="G33" s="1" t="s">
        <v>79</v>
      </c>
    </row>
    <row r="34" spans="7:7">
      <c r="G34" s="1" t="s">
        <v>80</v>
      </c>
    </row>
    <row r="35" spans="7:7">
      <c r="G35" s="1" t="s">
        <v>81</v>
      </c>
    </row>
    <row r="36" spans="7:7">
      <c r="G36" s="1" t="s">
        <v>82</v>
      </c>
    </row>
    <row r="37" spans="7:7">
      <c r="G37" s="1" t="s">
        <v>83</v>
      </c>
    </row>
    <row r="38" spans="7:7">
      <c r="G38" s="1" t="s">
        <v>84</v>
      </c>
    </row>
    <row r="39" spans="7:7">
      <c r="G39" s="1" t="s">
        <v>85</v>
      </c>
    </row>
    <row r="40" spans="7:7">
      <c r="G40" s="1" t="s">
        <v>86</v>
      </c>
    </row>
    <row r="41" spans="7:7">
      <c r="G41" s="1" t="s">
        <v>87</v>
      </c>
    </row>
    <row r="42" spans="7:7">
      <c r="G42" s="1" t="s">
        <v>88</v>
      </c>
    </row>
    <row r="43" spans="7:7">
      <c r="G43" s="1" t="s">
        <v>89</v>
      </c>
    </row>
    <row r="44" spans="7:7">
      <c r="G44" s="1" t="s">
        <v>90</v>
      </c>
    </row>
    <row r="45" spans="7:7">
      <c r="G45" s="1" t="s">
        <v>91</v>
      </c>
    </row>
    <row r="46" spans="7:7">
      <c r="G46" s="1" t="s">
        <v>92</v>
      </c>
    </row>
    <row r="47" spans="7:7">
      <c r="G47" s="1" t="s">
        <v>93</v>
      </c>
    </row>
    <row r="48" spans="7:7">
      <c r="G48" s="1" t="s">
        <v>94</v>
      </c>
    </row>
    <row r="49" spans="7:7">
      <c r="G49" s="1" t="s">
        <v>95</v>
      </c>
    </row>
    <row r="50" spans="7:7">
      <c r="G50" s="1" t="s">
        <v>96</v>
      </c>
    </row>
    <row r="51" spans="7:7">
      <c r="G51" s="1" t="s">
        <v>97</v>
      </c>
    </row>
    <row r="52" spans="7:7">
      <c r="G52" s="1" t="s">
        <v>98</v>
      </c>
    </row>
    <row r="53" spans="7:7">
      <c r="G53" s="1" t="s">
        <v>99</v>
      </c>
    </row>
    <row r="54" spans="7:7">
      <c r="G54" s="1" t="s">
        <v>100</v>
      </c>
    </row>
    <row r="55" spans="7:7">
      <c r="G55" s="1" t="s">
        <v>101</v>
      </c>
    </row>
    <row r="56" spans="7:7">
      <c r="G56" s="1" t="s">
        <v>102</v>
      </c>
    </row>
    <row r="57" spans="7:7">
      <c r="G57" s="1"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Douglas, Sean</cp:lastModifiedBy>
  <cp:lastPrinted>2018-09-13T16:04:18Z</cp:lastPrinted>
  <dcterms:created xsi:type="dcterms:W3CDTF">2018-09-10T17:18:27Z</dcterms:created>
  <dcterms:modified xsi:type="dcterms:W3CDTF">2025-12-02T07:15:46Z</dcterms:modified>
</cp:coreProperties>
</file>