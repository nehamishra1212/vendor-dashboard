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wfritz-my.sharepoint.com/personal/jpence_dwfritz_com/Documents/Desktop/"/>
    </mc:Choice>
  </mc:AlternateContent>
  <xr:revisionPtr revIDLastSave="0" documentId="8_{5478EB53-3570-4A1B-9E87-A5D8657E6E35}" xr6:coauthVersionLast="47" xr6:coauthVersionMax="47" xr10:uidLastSave="{00000000-0000-0000-0000-000000000000}"/>
  <workbookProtection workbookAlgorithmName="SHA-512" workbookHashValue="RQH5Kx2dOBjDEqYj2TXipBbmUcoYWMLAdWE7C3q/46dzCrNjksss7Gqr5dWEtvMaqzG16old4r+CaVxzifhVUg==" workbookSaltValue="pZPxhzHsW4NsocMKqExkEg==" workbookSpinCount="100000" lockStructure="1"/>
  <bookViews>
    <workbookView xWindow="28680" yWindow="-120" windowWidth="29040" windowHeight="17520" firstSheet="6" activeTab="9"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<sst xmlns="http://schemas.openxmlformats.org/spreadsheetml/2006/main" count="451" uniqueCount="351">
  <si>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</si>
  <si>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</si>
  <si>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</si>
  <si>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</si>
  <si>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</si>
  <si>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</si>
  <si>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</si>
  <si>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</si>
  <si>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</si>
  <si>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</si>
  <si>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</si>
  <si>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</si>
  <si>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</si>
  <si>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</si>
  <si>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</si>
  <si>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</si>
  <si>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</si>
  <si>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</si>
  <si>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</si>
  <si>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</si>
  <si>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</si>
  <si>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</si>
  <si>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</si>
  <si>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</si>
  <si>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</si>
  <si>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</si>
  <si>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</si>
  <si>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</si>
  <si>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</si>
  <si>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</si>
  <si>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</si>
  <si>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</si>
  <si>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</si>
  <si>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</si>
  <si>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</si>
  <si>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</si>
  <si>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</si>
  <si>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</si>
  <si>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</si>
  <si>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</si>
  <si>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</si>
  <si>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</si>
  <si>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</si>
  <si>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</si>
  <si>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</si>
  <si>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Please fill in all fields to complete this section. If there are supplemental compnay overview slides, please attach to RFI response.</t>
  </si>
  <si>
    <t xml:space="preserve">RFI Submission Date </t>
  </si>
  <si>
    <t>Official Legal Name</t>
  </si>
  <si>
    <t>Parent Company Official Name</t>
  </si>
  <si>
    <t>HQ Location</t>
  </si>
  <si>
    <t>Website</t>
  </si>
  <si>
    <t>Public/Private</t>
  </si>
  <si>
    <t>Ticker Symbol (if Public)</t>
  </si>
  <si>
    <t>Type</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</si>
  <si>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</si>
  <si>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</si>
  <si>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</si>
  <si>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</si>
  <si>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</si>
  <si>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</si>
  <si>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</si>
  <si>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</si>
  <si>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</si>
  <si>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</si>
  <si>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Commercial DRI / Apple Executive Contact</t>
  </si>
  <si>
    <t>Operations Leader</t>
  </si>
  <si>
    <t xml:space="preserve">Finance </t>
  </si>
  <si>
    <t>Corey Mounteer</t>
  </si>
  <si>
    <t>VP Finance</t>
  </si>
  <si>
    <t>USA</t>
  </si>
  <si>
    <t>cmounteer@gmail.com</t>
  </si>
  <si>
    <t>Engineering</t>
  </si>
  <si>
    <t>Supply chain</t>
  </si>
  <si>
    <t>Project Management</t>
  </si>
  <si>
    <t>Production</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</si>
  <si>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</si>
  <si>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</si>
  <si>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</si>
  <si>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</si>
  <si>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</si>
  <si>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</si>
  <si>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</si>
  <si>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</si>
  <si>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</si>
  <si>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</si>
  <si>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</si>
  <si>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</si>
  <si>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</si>
  <si>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</si>
  <si>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</si>
  <si>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</si>
  <si>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</si>
  <si>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</si>
  <si>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</si>
  <si>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</si>
  <si>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</si>
  <si>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</si>
  <si>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</si>
  <si>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</si>
  <si>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</si>
  <si>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</si>
  <si>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</si>
  <si>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</si>
  <si>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</si>
  <si>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</si>
  <si>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</si>
  <si>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</si>
  <si>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</si>
  <si>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Enviroment &amp; Supply Supply Chain Innovation (ESCI) Facility Readiness Assessment (FRA) Approved?</t>
  </si>
  <si>
    <t>Customer Base served from this location
(City and Country of the customer)</t>
  </si>
  <si>
    <t>Are there any Global expansion plans in the future for Manufacturing? Please desrcibe in detail.</t>
  </si>
  <si>
    <t>What are all the key subcomponent vendors used and where are they located (city, country)? Please provide rough volume &amp; spend with key subcomponent vendors as well.</t>
  </si>
  <si>
    <t>Any previous issues faced in shipping to certain countries?</t>
  </si>
  <si>
    <t>What are the key supply chain tactics being followed?</t>
  </si>
  <si>
    <t>Are there any inhouse machining / job shop capabilities? If so, please explain in detail in terms of machine qty available (CNC, Mill, Lathe, EDM Weld, etc.), volume produced, &amp; available capacity.</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</si>
  <si>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</si>
  <si>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</si>
  <si>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What are the supply chain resiliency plans to ensure no distruption in supply?</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</si>
  <si>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</si>
  <si>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</si>
  <si>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</si>
  <si>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</si>
  <si>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</si>
  <si>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</si>
  <si>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</si>
  <si>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</si>
  <si>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</si>
  <si>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</si>
  <si>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Total Field Service Engineers - L1 (HC)</t>
  </si>
  <si>
    <t>Total Field Service Engineers - L2 (HC)</t>
  </si>
  <si>
    <t>Total Field Service Engineers - L3 (HC)</t>
  </si>
  <si>
    <t>Support Capabilities in Region - Total # of Units (QTY)</t>
  </si>
  <si>
    <t>Hiring Difficulty in Region (High/Medium/Low)</t>
  </si>
  <si>
    <t>Dispatch Difficulty from Region (High/Medium/Low)</t>
  </si>
  <si>
    <t>Regions Served (Countries &amp; QTY)</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</si>
  <si>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</si>
  <si>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</si>
  <si>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</si>
  <si>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</si>
  <si>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</si>
  <si>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</si>
  <si>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</si>
  <si>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</si>
  <si>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</si>
  <si>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</si>
  <si>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</si>
  <si>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</si>
  <si>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</si>
  <si>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</si>
  <si>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</si>
  <si>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</si>
  <si>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</si>
  <si>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</si>
  <si>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</si>
  <si>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</si>
  <si>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</si>
  <si>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</si>
  <si>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</si>
  <si>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US: 6
China: 7
India: 1</t>
  </si>
  <si>
    <t>Total Engineering (HC)
(Mechanical, Electircal, Software, etc.)</t>
  </si>
  <si>
    <t>US: 41
China: 12
India: 4</t>
  </si>
  <si>
    <t>Please add geographic breakdown of 2024/2025 Engineering resources by geography in the comments section
Suggested geogrpahies already incldued, feel free to edit/add/subtract geogrpahies as necessary</t>
  </si>
  <si>
    <t>Total Production (HC)</t>
  </si>
  <si>
    <t>US: 45
China: 17</t>
  </si>
  <si>
    <t>Total OSS (HC)</t>
  </si>
  <si>
    <t>US: 25 
China:
India: 3
*This includes 25 CPs as they are permanently assigned here.</t>
  </si>
  <si>
    <t>Exclude 3rd Party Agency Partners</t>
  </si>
  <si>
    <t>Supply Chain (HC)</t>
  </si>
  <si>
    <t>US: 13
China: 1</t>
  </si>
  <si>
    <t>Quality (HC)</t>
  </si>
  <si>
    <t>US: 3
China:</t>
  </si>
  <si>
    <t>Shipping &amp; Logistics (HC)</t>
  </si>
  <si>
    <t xml:space="preserve">US: 6
China: 1
India: </t>
  </si>
  <si>
    <t>R&amp;D (HC)
(Mechanical, Electircal, Software, etc.)</t>
  </si>
  <si>
    <t>US: 7
China:</t>
  </si>
  <si>
    <t>Sales &amp; Marketing (HC)</t>
  </si>
  <si>
    <t>US: 12
China: 2</t>
  </si>
  <si>
    <t>Executive (HC)</t>
  </si>
  <si>
    <t>US: 5
China: 0</t>
  </si>
  <si>
    <t>US: 
China:</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</si>
  <si>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</si>
  <si>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</si>
  <si>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</si>
  <si>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</si>
  <si>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</si>
  <si>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</si>
  <si>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</si>
  <si>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</si>
  <si>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</si>
  <si>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</si>
  <si>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</si>
  <si>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</si>
  <si>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</si>
  <si>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</si>
  <si>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</si>
  <si>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</si>
  <si>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</si>
  <si>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</si>
  <si>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</si>
  <si>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</si>
  <si>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</si>
  <si>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</si>
  <si>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</si>
  <si>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</si>
  <si>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</si>
  <si>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</si>
  <si>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</si>
  <si>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</si>
  <si>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</si>
  <si>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</si>
  <si>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</si>
  <si>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Outsourced?</t>
  </si>
  <si>
    <t>Core Competencies</t>
  </si>
  <si>
    <t>Dedicated Resourcing (HC)
(PM, Engineering, Production, OSS, etc.)</t>
  </si>
  <si>
    <t>Equipment Type &amp; Key Technologies</t>
  </si>
  <si>
    <t>Key Components &amp; Average Annual Spend ($M)
(Prefernce for off the shelf components)</t>
  </si>
  <si>
    <t xml:space="preserve">Typcical Development &amp; Equipment Lead Times
(RFP to DFM, KO to ETA, ETA to SAT, OEE, etc.) </t>
  </si>
  <si>
    <t>Competitive Advantage(s)</t>
  </si>
  <si>
    <t>Applicable Project Experience
(Year, Machine Description &amp; QTY, Spend, Timeline)</t>
  </si>
  <si>
    <t>Client / Reference</t>
  </si>
  <si>
    <t>Client / Reference Email</t>
  </si>
  <si>
    <t>Applicable Apple Experience
(Year, Machine Description &amp; QTY, Spend, Timeline)</t>
  </si>
  <si>
    <t>Apple DRI Name</t>
  </si>
  <si>
    <t>Apple DRI Email</t>
  </si>
  <si>
    <t>Use the blank page to detail your company's technical roadmap for apple or other customers</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</si>
  <si>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</si>
  <si>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</si>
  <si>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</si>
  <si>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</si>
  <si>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</si>
  <si>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</si>
  <si>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</si>
  <si>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</si>
  <si>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</si>
  <si>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</si>
  <si>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</si>
  <si>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</si>
  <si>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</si>
  <si>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</si>
  <si>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</si>
  <si>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</si>
  <si>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</si>
  <si>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</si>
  <si>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</si>
  <si>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</si>
  <si>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</si>
  <si>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</si>
  <si>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</si>
  <si>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</si>
  <si>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</si>
  <si>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</si>
  <si>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</si>
  <si>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</si>
  <si>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</si>
  <si>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</si>
  <si>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</si>
  <si>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</si>
  <si>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</si>
  <si>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</si>
  <si>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</si>
  <si>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Yes</t>
  </si>
  <si>
    <t>Albania</t>
  </si>
  <si>
    <t>Private</t>
  </si>
  <si>
    <t>No</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</si>
  <si>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</si>
  <si>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</si>
  <si>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</si>
  <si>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</si>
  <si>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</si>
  <si>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</si>
  <si>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</si>
  <si>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</si>
  <si>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</si>
  <si>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</si>
  <si>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</si>
  <si>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</si>
  <si>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</si>
  <si>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</si>
  <si>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</si>
  <si>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</si>
  <si>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</si>
  <si>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</si>
  <si>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</si>
  <si>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</si>
  <si>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</si>
  <si>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</si>
  <si>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</si>
  <si>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</si>
  <si>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</si>
  <si>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</si>
  <si>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</si>
  <si>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</si>
  <si>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</si>
  <si>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</si>
  <si>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</si>
  <si>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</si>
  <si>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</si>
  <si>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</si>
  <si>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</si>
  <si>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</si>
  <si>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</si>
  <si>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</si>
  <si>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</si>
  <si>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</si>
  <si>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</si>
  <si>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</si>
  <si>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</si>
  <si>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</si>
  <si>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</si>
  <si>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</si>
  <si>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</si>
  <si>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</si>
  <si>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</si>
  <si>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</si>
  <si>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</si>
  <si>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</si>
  <si>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</si>
  <si>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</si>
  <si>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</si>
  <si>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</si>
  <si>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</si>
  <si>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</si>
  <si>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</si>
  <si>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</si>
  <si>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</si>
  <si>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</si>
  <si>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</si>
  <si>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</si>
  <si>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</si>
  <si>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</si>
  <si>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</si>
  <si>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</si>
  <si>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</si>
  <si>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</si>
  <si>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Vietnam</t>
  </si>
  <si>
    <t>DWFritz Automation, LLC</t>
  </si>
  <si>
    <t>DWFritz Automation Inc.</t>
  </si>
  <si>
    <t>Wilsonville, OR</t>
  </si>
  <si>
    <t>www.dwfritz.com</t>
  </si>
  <si>
    <t>John Pence</t>
  </si>
  <si>
    <t>COO</t>
  </si>
  <si>
    <t>jpence@dwfritz.com</t>
  </si>
  <si>
    <t>Wilsonville</t>
  </si>
  <si>
    <t>Wilsonville, USA</t>
  </si>
  <si>
    <t>9600 Boeckman Road</t>
  </si>
  <si>
    <t>UMP, TPI, SGI, Superhub, Hoth</t>
  </si>
  <si>
    <t>Pick and place, assembly, inspection</t>
  </si>
  <si>
    <t>US, Europe, Mexico, Canada, China, India, Brazil, Vietnam</t>
  </si>
  <si>
    <t>Dispense, Pick and place, assembly, inspection, welding, conveyance, robots, gantries, laser processing, plasma clean, thermal processing</t>
  </si>
  <si>
    <t>High</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</si>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</sst>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1">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14"/>
      <color rgb="FF000000"/>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87">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1" fontId="30" fillId="9" borderId="1" xfId="0" applyNumberFormat="1" applyFont="1" applyFill="1" applyBorder="1" applyAlignment="1" applyProtection="1">
      <alignment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8" workbookViewId="0">
      <selection activeCell="B8" sqref="B8"/>
    </sheetView>
  </sheetViews>
  <sheetFormatPr defaultColWidth="10.875" defaultRowHeight="20.25"/>
  <cols>
    <col min="1" max="1" width="10.875" style="48"/>
    <col min="2" max="2" width="200.875" style="10" customWidth="1"/>
    <col min="3" max="16384" width="10.875" style="48"/>
  </cols>
  <sheetData>
    <row r="2" spans="2:2">
      <c r="B2" s="8" t="s">
        <v>0</v>
      </c>
    </row>
    <row r="3" spans="2:2">
      <c r="B3" s="41" t="s">
        <v>1</v>
      </c>
    </row>
    <row r="4" spans="2:2" ht="81">
      <c r="B4" s="9" t="s">
        <v>2</v>
      </c>
    </row>
    <row r="5" spans="2:2">
      <c r="B5" s="41" t="s">
        <v>3</v>
      </c>
    </row>
    <row r="6" spans="2:2" ht="40.5">
      <c r="B6" s="9" t="s">
        <v>4</v>
      </c>
    </row>
    <row r="7" spans="2:2">
      <c r="B7" s="41" t="s">
        <v>5</v>
      </c>
    </row>
    <row r="8" spans="2:2" ht="283.5">
      <c r="B8" s="9" t="s">
        <v>6</v>
      </c>
    </row>
    <row r="9" spans="2:2">
      <c r="B9" s="41" t="s">
        <v>7</v>
      </c>
    </row>
    <row r="10" spans="2:2">
      <c r="B10" s="9" t="s">
        <v>8</v>
      </c>
    </row>
    <row r="11" spans="2:2">
      <c r="B11" s="41" t="s">
        <v>9</v>
      </c>
    </row>
    <row r="12" spans="2:2" ht="40.5">
      <c r="B12" s="9" t="s">
        <v>10</v>
      </c>
    </row>
    <row r="13" spans="2:2">
      <c r="B13" s="41" t="s">
        <v>11</v>
      </c>
    </row>
    <row r="14" spans="2:2" ht="81">
      <c r="B14" s="69" t="s">
        <v>12</v>
      </c>
    </row>
  </sheetData>
  <sheetProtection algorithmName="SHA-512" hashValue="gNEeoSaHz0Uu18VdOcEyK/p84qeJJF8CIF0tFHmc4GF7IrTX01qVcEa1Hedm4DXyFCdELvLMAzKP0cDidCfi9w==" saltValue="a4PtLAARMg3VQpgqL3E1C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24" workbookViewId="0">
      <selection activeCell="B8" sqref="B8"/>
    </sheetView>
  </sheetViews>
  <sheetFormatPr defaultColWidth="10.875" defaultRowHeight="20.25"/>
  <cols>
    <col min="1" max="1" width="10.875" style="48"/>
    <col min="2" max="2" width="200.875" style="10" customWidth="1"/>
    <col min="3" max="16384" width="10.875" style="48"/>
  </cols>
  <sheetData>
    <row r="2" spans="2:2">
      <c r="B2" s="8" t="s">
        <v>13</v>
      </c>
    </row>
    <row r="3" spans="2:2">
      <c r="B3" s="40" t="s">
        <v>14</v>
      </c>
    </row>
    <row r="4" spans="2:2" ht="40.5">
      <c r="B4" s="9" t="s">
        <v>15</v>
      </c>
    </row>
    <row r="5" spans="2:2">
      <c r="B5" s="41" t="s">
        <v>16</v>
      </c>
    </row>
    <row r="6" spans="2:2" ht="40.5">
      <c r="B6" s="9" t="s">
        <v>17</v>
      </c>
    </row>
    <row r="7" spans="2:2">
      <c r="B7" s="41" t="s">
        <v>18</v>
      </c>
    </row>
    <row r="8" spans="2:2" ht="60.75">
      <c r="B8" s="9" t="s">
        <v>19</v>
      </c>
    </row>
    <row r="9" spans="2:2">
      <c r="B9" s="41" t="s">
        <v>20</v>
      </c>
    </row>
    <row r="10" spans="2:2" ht="40.5">
      <c r="B10" s="9" t="s">
        <v>21</v>
      </c>
    </row>
    <row r="11" spans="2:2">
      <c r="B11" s="41" t="s">
        <v>22</v>
      </c>
    </row>
    <row r="12" spans="2:2" ht="121.5">
      <c r="B12" s="9" t="s">
        <v>23</v>
      </c>
    </row>
    <row r="13" spans="2:2">
      <c r="B13" s="41" t="s">
        <v>24</v>
      </c>
    </row>
    <row r="14" spans="2:2" ht="81">
      <c r="B14" s="9" t="s">
        <v>25</v>
      </c>
    </row>
    <row r="15" spans="2:2">
      <c r="B15" s="41" t="s">
        <v>26</v>
      </c>
    </row>
    <row r="16" spans="2:2" ht="162">
      <c r="B16" s="9" t="s">
        <v>27</v>
      </c>
    </row>
    <row r="17" spans="2:2">
      <c r="B17" s="41" t="s">
        <v>28</v>
      </c>
    </row>
    <row r="18" spans="2:2" ht="60.75">
      <c r="B18" s="9" t="s">
        <v>29</v>
      </c>
    </row>
    <row r="19" spans="2:2">
      <c r="B19" s="41" t="s">
        <v>30</v>
      </c>
    </row>
    <row r="20" spans="2:2" ht="121.5">
      <c r="B20" s="9" t="s">
        <v>31</v>
      </c>
    </row>
    <row r="21" spans="2:2">
      <c r="B21" s="41" t="s">
        <v>32</v>
      </c>
    </row>
    <row r="22" spans="2:2" ht="60.75">
      <c r="B22" s="9" t="s">
        <v>33</v>
      </c>
    </row>
    <row r="23" spans="2:2">
      <c r="B23" s="41" t="s">
        <v>34</v>
      </c>
    </row>
    <row r="24" spans="2:2" ht="202.5">
      <c r="B24" s="9" t="s">
        <v>35</v>
      </c>
    </row>
    <row r="25" spans="2:2">
      <c r="B25" s="41" t="s">
        <v>36</v>
      </c>
    </row>
    <row r="26" spans="2:2" ht="162">
      <c r="B26" s="9" t="s">
        <v>37</v>
      </c>
    </row>
    <row r="27" spans="2:2">
      <c r="B27" s="41" t="s">
        <v>38</v>
      </c>
    </row>
    <row r="28" spans="2:2" ht="40.5">
      <c r="B28" s="9" t="s">
        <v>39</v>
      </c>
    </row>
    <row r="29" spans="2:2">
      <c r="B29" s="41" t="s">
        <v>40</v>
      </c>
    </row>
    <row r="30" spans="2:2" ht="40.5">
      <c r="B30" s="9" t="s">
        <v>41</v>
      </c>
    </row>
  </sheetData>
  <sheetProtection algorithmName="SHA-512" hashValue="oPI9W8iskSgpld/0BkjZBsYnh5Hq6dyz0CDPgqA1ni8GlsxmWoGR94CoqCdWi3PzbXEQ5SdtT3TX+p47CBhapQ==" saltValue="5jF/pdWWHs7i04RBnxdMf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4" sqref="C4"/>
    </sheetView>
  </sheetViews>
  <sheetFormatPr defaultColWidth="10.875" defaultRowHeight="20.25"/>
  <cols>
    <col min="1" max="1" width="10.875" style="48"/>
    <col min="2" max="2" width="141.5" style="10" customWidth="1"/>
    <col min="3" max="3" width="40.875" style="13" customWidth="1"/>
    <col min="4" max="16384" width="10.875" style="48"/>
  </cols>
  <sheetData>
    <row r="2" spans="2:3">
      <c r="B2" s="8" t="s">
        <v>42</v>
      </c>
      <c r="C2" s="11"/>
    </row>
    <row r="3" spans="2:3">
      <c r="B3" s="40" t="s">
        <v>43</v>
      </c>
      <c r="C3" s="11"/>
    </row>
    <row r="4" spans="2:3" ht="202.5">
      <c r="B4" s="12" t="s">
        <v>44</v>
      </c>
      <c r="C4" s="47" t="s">
        <v>260</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zoomScaleNormal="100" workbookViewId="0">
      <selection activeCell="C23" sqref="C23:F23"/>
    </sheetView>
  </sheetViews>
  <sheetFormatPr defaultColWidth="10.875" defaultRowHeight="18.75"/>
  <cols>
    <col min="1" max="1" width="3.5" style="15" customWidth="1"/>
    <col min="2" max="2" width="74.75" style="15" customWidth="1"/>
    <col min="3" max="4" width="29.25" style="15" customWidth="1"/>
    <col min="5" max="5" width="30.375" style="15" bestFit="1" customWidth="1"/>
    <col min="6" max="6" width="29.25" style="15" customWidth="1"/>
    <col min="7" max="7" width="38.375" style="15" customWidth="1"/>
    <col min="8" max="8" width="10.875" style="3" customWidth="1"/>
    <col min="9" max="16384" width="10.875" style="3"/>
  </cols>
  <sheetData>
    <row r="1" spans="1:7" ht="26.1" customHeight="1">
      <c r="B1" s="14" t="s">
        <v>45</v>
      </c>
    </row>
    <row r="2" spans="1:7" ht="26.1" customHeight="1">
      <c r="A2" s="15">
        <v>1</v>
      </c>
      <c r="B2" s="16" t="s">
        <v>46</v>
      </c>
      <c r="C2" s="17">
        <v>46002</v>
      </c>
    </row>
    <row r="3" spans="1:7" ht="26.1" customHeight="1">
      <c r="A3" s="15">
        <v>2</v>
      </c>
      <c r="B3" s="16" t="s">
        <v>47</v>
      </c>
      <c r="C3" s="18" t="s">
        <v>335</v>
      </c>
    </row>
    <row r="4" spans="1:7" ht="26.1" customHeight="1">
      <c r="A4" s="15">
        <v>3</v>
      </c>
      <c r="B4" s="16" t="s">
        <v>48</v>
      </c>
      <c r="C4" s="18" t="s">
        <v>336</v>
      </c>
      <c r="E4" s="19"/>
    </row>
    <row r="5" spans="1:7" ht="26.1" customHeight="1">
      <c r="A5" s="15">
        <v>4</v>
      </c>
      <c r="B5" s="16" t="s">
        <v>49</v>
      </c>
      <c r="C5" s="18" t="s">
        <v>337</v>
      </c>
      <c r="E5" s="19"/>
    </row>
    <row r="6" spans="1:7" ht="26.1" customHeight="1">
      <c r="A6" s="15">
        <v>5</v>
      </c>
      <c r="B6" s="16" t="s">
        <v>50</v>
      </c>
      <c r="C6" s="20" t="s">
        <v>338</v>
      </c>
      <c r="E6" s="19"/>
    </row>
    <row r="7" spans="1:7" ht="26.1" customHeight="1">
      <c r="A7" s="15">
        <v>6</v>
      </c>
      <c r="B7" s="16" t="s">
        <v>51</v>
      </c>
      <c r="C7" s="18" t="s">
        <v>262</v>
      </c>
      <c r="E7" s="19"/>
    </row>
    <row r="8" spans="1:7" ht="26.1" customHeight="1">
      <c r="A8" s="15">
        <v>7</v>
      </c>
      <c r="B8" s="16" t="s">
        <v>52</v>
      </c>
      <c r="C8" s="18"/>
    </row>
    <row r="9" spans="1:7" ht="26.1" customHeight="1">
      <c r="A9" s="15">
        <v>8</v>
      </c>
      <c r="B9" s="16" t="s">
        <v>53</v>
      </c>
      <c r="C9" s="18"/>
    </row>
    <row r="10" spans="1:7" ht="26.1" customHeight="1">
      <c r="A10" s="15">
        <v>9</v>
      </c>
      <c r="B10" s="16" t="s">
        <v>54</v>
      </c>
      <c r="C10" s="18">
        <v>200</v>
      </c>
    </row>
    <row r="11" spans="1:7">
      <c r="A11" s="15">
        <v>10</v>
      </c>
      <c r="B11" s="16" t="s">
        <v>55</v>
      </c>
      <c r="C11" s="18">
        <v>1973</v>
      </c>
    </row>
    <row r="12" spans="1:7">
      <c r="A12" s="15">
        <v>11</v>
      </c>
      <c r="B12" s="16" t="s">
        <v>56</v>
      </c>
      <c r="C12" s="18">
        <v>2008</v>
      </c>
      <c r="F12" s="21"/>
    </row>
    <row r="15" spans="1:7" ht="37.5">
      <c r="B15" s="24" t="s">
        <v>57</v>
      </c>
      <c r="C15" s="25" t="s">
        <v>58</v>
      </c>
      <c r="D15" s="25" t="s">
        <v>59</v>
      </c>
      <c r="E15" s="25" t="s">
        <v>60</v>
      </c>
      <c r="F15" s="25" t="s">
        <v>61</v>
      </c>
      <c r="G15" s="26" t="s">
        <v>62</v>
      </c>
    </row>
    <row r="16" spans="1:7">
      <c r="B16" s="27" t="s">
        <v>63</v>
      </c>
      <c r="C16" s="18" t="s">
        <v>339</v>
      </c>
      <c r="D16" s="18" t="s">
        <v>340</v>
      </c>
      <c r="E16" s="18" t="s">
        <v>69</v>
      </c>
      <c r="F16" s="20" t="s">
        <v>341</v>
      </c>
      <c r="G16" s="28"/>
    </row>
    <row r="17" spans="2:7">
      <c r="B17" s="27" t="s">
        <v>64</v>
      </c>
      <c r="C17" s="18" t="s">
        <v>339</v>
      </c>
      <c r="D17" s="18" t="s">
        <v>340</v>
      </c>
      <c r="E17" s="18" t="s">
        <v>69</v>
      </c>
      <c r="F17" s="20" t="s">
        <v>341</v>
      </c>
      <c r="G17" s="28"/>
    </row>
    <row r="18" spans="2:7">
      <c r="B18" s="27" t="s">
        <v>65</v>
      </c>
      <c r="C18" s="18" t="s">
        <v>339</v>
      </c>
      <c r="D18" s="18" t="s">
        <v>340</v>
      </c>
      <c r="E18" s="18" t="s">
        <v>69</v>
      </c>
      <c r="F18" s="20" t="s">
        <v>341</v>
      </c>
      <c r="G18" s="28"/>
    </row>
    <row r="19" spans="2:7">
      <c r="B19" s="27" t="s">
        <v>66</v>
      </c>
      <c r="C19" s="18" t="s">
        <v>67</v>
      </c>
      <c r="D19" s="18" t="s">
        <v>68</v>
      </c>
      <c r="E19" s="18" t="s">
        <v>69</v>
      </c>
      <c r="F19" s="20" t="s">
        <v>70</v>
      </c>
      <c r="G19" s="28"/>
    </row>
    <row r="20" spans="2:7">
      <c r="B20" s="29" t="s">
        <v>71</v>
      </c>
      <c r="C20" s="22" t="s">
        <v>339</v>
      </c>
      <c r="D20" s="22" t="s">
        <v>340</v>
      </c>
      <c r="E20" s="18" t="s">
        <v>69</v>
      </c>
      <c r="F20" s="23" t="s">
        <v>341</v>
      </c>
      <c r="G20" s="28"/>
    </row>
    <row r="21" spans="2:7">
      <c r="B21" s="27" t="s">
        <v>72</v>
      </c>
      <c r="C21" s="18" t="s">
        <v>339</v>
      </c>
      <c r="D21" s="18" t="s">
        <v>340</v>
      </c>
      <c r="E21" s="18" t="s">
        <v>69</v>
      </c>
      <c r="F21" s="20" t="s">
        <v>341</v>
      </c>
      <c r="G21" s="28"/>
    </row>
    <row r="22" spans="2:7">
      <c r="B22" s="27" t="s">
        <v>73</v>
      </c>
      <c r="C22" s="18" t="s">
        <v>339</v>
      </c>
      <c r="D22" s="22" t="s">
        <v>340</v>
      </c>
      <c r="E22" s="18" t="s">
        <v>69</v>
      </c>
      <c r="F22" s="20" t="s">
        <v>341</v>
      </c>
      <c r="G22" s="28"/>
    </row>
    <row r="23" spans="2:7">
      <c r="B23" s="27" t="s">
        <v>74</v>
      </c>
      <c r="C23" s="18" t="s">
        <v>339</v>
      </c>
      <c r="D23" s="22" t="s">
        <v>340</v>
      </c>
      <c r="E23" s="18" t="s">
        <v>69</v>
      </c>
      <c r="F23" s="20" t="s">
        <v>341</v>
      </c>
      <c r="G23" s="28"/>
    </row>
    <row r="24" spans="2:7">
      <c r="B24" s="27" t="s">
        <v>75</v>
      </c>
      <c r="C24" s="18"/>
      <c r="D24" s="18"/>
      <c r="E24" s="18"/>
      <c r="F24" s="20"/>
      <c r="G24" s="28"/>
    </row>
    <row r="25" spans="2:7">
      <c r="B25" s="27" t="s">
        <v>75</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disablePrompts="1"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Normal="100" workbookViewId="0">
      <selection activeCell="E22" sqref="E22"/>
    </sheetView>
  </sheetViews>
  <sheetFormatPr defaultColWidth="10.875" defaultRowHeight="15.75"/>
  <cols>
    <col min="1" max="1" width="4.875" customWidth="1"/>
    <col min="2" max="2" width="53.875" customWidth="1"/>
    <col min="3" max="8" width="28.25" customWidth="1"/>
    <col min="9" max="16384" width="10.875" style="1"/>
  </cols>
  <sheetData>
    <row r="1" spans="2:9" ht="51" customHeight="1">
      <c r="B1" s="14" t="s">
        <v>76</v>
      </c>
    </row>
    <row r="2" spans="2:9" ht="51" customHeight="1">
      <c r="B2" s="16" t="s">
        <v>77</v>
      </c>
      <c r="C2" s="16">
        <v>2022</v>
      </c>
      <c r="D2" s="16">
        <v>2023</v>
      </c>
      <c r="E2" s="16">
        <v>2024</v>
      </c>
      <c r="F2" s="16" t="s">
        <v>78</v>
      </c>
      <c r="G2" s="16" t="s">
        <v>79</v>
      </c>
      <c r="H2" s="16" t="s">
        <v>80</v>
      </c>
    </row>
    <row r="3" spans="2:9" ht="51" customHeight="1">
      <c r="B3" s="33" t="s">
        <v>81</v>
      </c>
      <c r="C3" s="58"/>
      <c r="D3" s="58"/>
      <c r="E3" s="58"/>
      <c r="F3" s="58"/>
      <c r="G3" s="58"/>
      <c r="H3" s="58"/>
    </row>
    <row r="4" spans="2:9" ht="51" customHeight="1">
      <c r="B4" s="33" t="s">
        <v>82</v>
      </c>
      <c r="C4" s="58"/>
      <c r="D4" s="58"/>
      <c r="E4" s="58">
        <v>48.18</v>
      </c>
      <c r="F4" s="58"/>
      <c r="G4" s="58"/>
      <c r="H4" s="58"/>
      <c r="I4" s="4"/>
    </row>
    <row r="5" spans="2:9" ht="51" customHeight="1">
      <c r="B5" s="33" t="s">
        <v>83</v>
      </c>
      <c r="C5" s="58"/>
      <c r="D5" s="58"/>
      <c r="E5" s="58">
        <v>7.64</v>
      </c>
      <c r="F5" s="58"/>
      <c r="G5" s="58"/>
      <c r="H5" s="58"/>
      <c r="I5" s="4" t="s">
        <v>84</v>
      </c>
    </row>
    <row r="6" spans="2:9" ht="51" customHeight="1">
      <c r="B6" s="33" t="s">
        <v>85</v>
      </c>
      <c r="C6" s="58"/>
      <c r="D6" s="58"/>
      <c r="E6" s="58"/>
      <c r="F6" s="58"/>
      <c r="G6" s="58"/>
      <c r="H6" s="58"/>
      <c r="I6" s="2" t="s">
        <v>86</v>
      </c>
    </row>
    <row r="8" spans="2:9" ht="18.75">
      <c r="B8" s="16" t="s">
        <v>77</v>
      </c>
      <c r="C8" s="16">
        <v>2023</v>
      </c>
      <c r="D8" s="16">
        <v>2023</v>
      </c>
      <c r="E8" s="16">
        <v>2024</v>
      </c>
      <c r="F8" s="16" t="s">
        <v>78</v>
      </c>
      <c r="G8" s="16" t="s">
        <v>79</v>
      </c>
      <c r="H8" s="16" t="s">
        <v>80</v>
      </c>
    </row>
    <row r="9" spans="2:9" ht="18.75">
      <c r="B9" s="33" t="s">
        <v>87</v>
      </c>
      <c r="C9" s="59"/>
      <c r="D9" s="59"/>
      <c r="E9" s="59"/>
      <c r="F9" s="59"/>
      <c r="G9" s="59"/>
      <c r="H9" s="59"/>
    </row>
    <row r="10" spans="2:9" ht="18.75">
      <c r="B10" s="33" t="s">
        <v>88</v>
      </c>
      <c r="C10" s="59"/>
      <c r="D10" s="59"/>
      <c r="E10" s="59"/>
      <c r="F10" s="59"/>
      <c r="G10" s="59"/>
      <c r="H10" s="59"/>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3" zoomScale="70" zoomScaleNormal="70" workbookViewId="0">
      <selection activeCell="C9" sqref="C9"/>
    </sheetView>
  </sheetViews>
  <sheetFormatPr defaultColWidth="10.875" defaultRowHeight="26.1" customHeight="1"/>
  <cols>
    <col min="1" max="1" width="6.25" style="63" customWidth="1"/>
    <col min="2" max="2" width="59" style="35" customWidth="1"/>
    <col min="3" max="3" width="38.5" style="3" customWidth="1"/>
    <col min="4" max="8" width="38.5" style="6" customWidth="1"/>
    <col min="9" max="11" width="29.25" style="3" customWidth="1"/>
    <col min="12" max="16384" width="10.875" style="3"/>
  </cols>
  <sheetData>
    <row r="1" spans="1:8" s="15" customFormat="1" ht="51" customHeight="1">
      <c r="A1" s="61"/>
      <c r="B1" s="34" t="s">
        <v>89</v>
      </c>
    </row>
    <row r="2" spans="1:8" s="35" customFormat="1" ht="56.1" customHeight="1">
      <c r="A2" s="62"/>
      <c r="B2" s="16"/>
      <c r="C2" s="16" t="s">
        <v>90</v>
      </c>
      <c r="D2" s="36" t="s">
        <v>91</v>
      </c>
      <c r="E2" s="36" t="s">
        <v>92</v>
      </c>
      <c r="F2" s="36" t="s">
        <v>93</v>
      </c>
      <c r="G2" s="36" t="s">
        <v>94</v>
      </c>
      <c r="H2" s="36" t="s">
        <v>95</v>
      </c>
    </row>
    <row r="3" spans="1:8" ht="60" customHeight="1">
      <c r="A3" s="63">
        <v>1</v>
      </c>
      <c r="B3" s="16" t="s">
        <v>96</v>
      </c>
      <c r="C3" s="37" t="s">
        <v>342</v>
      </c>
      <c r="D3" s="37"/>
      <c r="E3" s="37"/>
      <c r="F3" s="18"/>
      <c r="G3" s="18"/>
      <c r="H3" s="18"/>
    </row>
    <row r="4" spans="1:8" ht="60" customHeight="1">
      <c r="A4" s="63">
        <v>2</v>
      </c>
      <c r="B4" s="16" t="s">
        <v>97</v>
      </c>
      <c r="C4" s="18" t="s">
        <v>343</v>
      </c>
      <c r="D4" s="18"/>
      <c r="E4" s="18"/>
      <c r="F4" s="18"/>
      <c r="G4" s="50"/>
      <c r="H4" s="18"/>
    </row>
    <row r="5" spans="1:8" ht="60" customHeight="1">
      <c r="A5" s="63">
        <v>3</v>
      </c>
      <c r="B5" s="16" t="s">
        <v>98</v>
      </c>
      <c r="C5" s="18" t="s">
        <v>344</v>
      </c>
      <c r="D5" s="18"/>
      <c r="E5" s="18"/>
      <c r="F5" s="18"/>
      <c r="G5" s="18"/>
      <c r="H5" s="18"/>
    </row>
    <row r="6" spans="1:8" ht="60" customHeight="1">
      <c r="A6" s="63">
        <v>4</v>
      </c>
      <c r="B6" s="36" t="s">
        <v>99</v>
      </c>
      <c r="C6" s="18" t="s">
        <v>345</v>
      </c>
      <c r="D6" s="18"/>
      <c r="E6" s="18"/>
      <c r="F6" s="18"/>
      <c r="G6" s="18"/>
      <c r="H6" s="18"/>
    </row>
    <row r="7" spans="1:8" ht="86.1" customHeight="1">
      <c r="A7" s="63">
        <v>5</v>
      </c>
      <c r="B7" s="36" t="s">
        <v>100</v>
      </c>
      <c r="C7" s="18" t="s">
        <v>346</v>
      </c>
      <c r="D7" s="18"/>
      <c r="E7" s="18"/>
      <c r="F7" s="18"/>
      <c r="G7" s="18"/>
      <c r="H7" s="18"/>
    </row>
    <row r="8" spans="1:8" ht="86.1" customHeight="1">
      <c r="A8" s="63">
        <v>6</v>
      </c>
      <c r="B8" s="36" t="s">
        <v>101</v>
      </c>
      <c r="C8" s="18" t="s">
        <v>348</v>
      </c>
      <c r="D8" s="18"/>
      <c r="E8" s="18"/>
      <c r="F8" s="18"/>
      <c r="G8" s="18"/>
      <c r="H8" s="18"/>
    </row>
    <row r="9" spans="1:8" ht="60" customHeight="1">
      <c r="A9" s="63">
        <v>7</v>
      </c>
      <c r="B9" s="16" t="s">
        <v>102</v>
      </c>
      <c r="C9" s="38">
        <v>23000</v>
      </c>
      <c r="D9" s="38"/>
      <c r="E9" s="39"/>
      <c r="F9" s="39"/>
      <c r="G9" s="39"/>
      <c r="H9" s="39"/>
    </row>
    <row r="10" spans="1:8" ht="60" customHeight="1">
      <c r="A10" s="63">
        <v>8</v>
      </c>
      <c r="B10" s="36" t="s">
        <v>103</v>
      </c>
      <c r="C10" s="38">
        <v>211</v>
      </c>
      <c r="D10" s="38"/>
      <c r="E10" s="39"/>
      <c r="F10" s="39"/>
      <c r="G10" s="39"/>
      <c r="H10" s="39"/>
    </row>
    <row r="11" spans="1:8" ht="60" customHeight="1">
      <c r="A11" s="63">
        <v>9</v>
      </c>
      <c r="B11" s="36" t="s">
        <v>104</v>
      </c>
      <c r="C11" s="18">
        <v>20</v>
      </c>
      <c r="D11" s="18"/>
      <c r="E11" s="18"/>
      <c r="F11" s="18"/>
      <c r="G11" s="18"/>
      <c r="H11" s="18"/>
    </row>
    <row r="12" spans="1:8" ht="60" customHeight="1">
      <c r="A12" s="63">
        <v>10</v>
      </c>
      <c r="B12" s="36" t="s">
        <v>105</v>
      </c>
      <c r="C12" s="18">
        <v>80</v>
      </c>
      <c r="D12" s="18"/>
      <c r="E12" s="18"/>
      <c r="F12" s="18"/>
      <c r="G12" s="18"/>
      <c r="H12" s="18"/>
    </row>
    <row r="13" spans="1:8" ht="60" customHeight="1">
      <c r="A13" s="63">
        <v>11</v>
      </c>
      <c r="B13" s="36" t="s">
        <v>106</v>
      </c>
      <c r="C13" s="18">
        <v>50</v>
      </c>
      <c r="D13" s="18"/>
      <c r="E13" s="18"/>
      <c r="F13" s="18"/>
      <c r="G13" s="18"/>
      <c r="H13" s="18"/>
    </row>
    <row r="14" spans="1:8" ht="60" customHeight="1">
      <c r="A14" s="63">
        <v>12</v>
      </c>
      <c r="B14" s="36" t="s">
        <v>107</v>
      </c>
      <c r="C14" s="18" t="s">
        <v>260</v>
      </c>
      <c r="D14" s="18"/>
      <c r="E14" s="18"/>
      <c r="F14" s="18"/>
      <c r="G14" s="18"/>
      <c r="H14" s="18"/>
    </row>
    <row r="15" spans="1:8" ht="60" customHeight="1">
      <c r="A15" s="63">
        <v>13</v>
      </c>
      <c r="B15" s="36" t="s">
        <v>108</v>
      </c>
      <c r="C15" s="18" t="s">
        <v>263</v>
      </c>
      <c r="D15" s="18"/>
      <c r="E15" s="18"/>
      <c r="F15" s="18"/>
      <c r="G15" s="18"/>
      <c r="H15" s="18"/>
    </row>
    <row r="16" spans="1:8" ht="60" customHeight="1">
      <c r="A16" s="63">
        <v>14</v>
      </c>
      <c r="B16" s="36" t="s">
        <v>109</v>
      </c>
      <c r="C16" s="18" t="s">
        <v>347</v>
      </c>
      <c r="D16" s="18"/>
      <c r="E16" s="18"/>
      <c r="F16" s="18"/>
      <c r="G16" s="18"/>
      <c r="H16" s="18"/>
    </row>
    <row r="18" spans="1:8" ht="61.15" customHeight="1">
      <c r="A18" s="63">
        <v>15</v>
      </c>
      <c r="B18" s="76" t="s">
        <v>110</v>
      </c>
      <c r="C18" s="76"/>
      <c r="D18" s="77"/>
      <c r="E18" s="78"/>
      <c r="F18" s="78"/>
      <c r="G18" s="78"/>
      <c r="H18" s="79"/>
    </row>
    <row r="19" spans="1:8" ht="61.15" customHeight="1">
      <c r="A19" s="63">
        <v>16</v>
      </c>
      <c r="B19" s="76" t="s">
        <v>111</v>
      </c>
      <c r="C19" s="76"/>
      <c r="D19" s="77"/>
      <c r="E19" s="78"/>
      <c r="F19" s="78"/>
      <c r="G19" s="78"/>
      <c r="H19" s="79"/>
    </row>
    <row r="20" spans="1:8" ht="61.15" customHeight="1">
      <c r="A20" s="63">
        <v>17</v>
      </c>
      <c r="B20" s="76" t="s">
        <v>112</v>
      </c>
      <c r="C20" s="76"/>
      <c r="D20" s="77"/>
      <c r="E20" s="78"/>
      <c r="F20" s="78"/>
      <c r="G20" s="78"/>
      <c r="H20" s="79"/>
    </row>
    <row r="21" spans="1:8" ht="61.15" customHeight="1">
      <c r="A21" s="63">
        <v>18</v>
      </c>
      <c r="B21" s="76" t="s">
        <v>113</v>
      </c>
      <c r="C21" s="76"/>
      <c r="D21" s="77"/>
      <c r="E21" s="78"/>
      <c r="F21" s="78"/>
      <c r="G21" s="78"/>
      <c r="H21" s="79"/>
    </row>
    <row r="22" spans="1:8" ht="61.15" customHeight="1">
      <c r="A22" s="63">
        <v>19</v>
      </c>
      <c r="B22" s="76" t="s">
        <v>114</v>
      </c>
      <c r="C22" s="76"/>
      <c r="D22" s="77"/>
      <c r="E22" s="78"/>
      <c r="F22" s="78"/>
      <c r="G22" s="78"/>
      <c r="H22" s="79"/>
    </row>
    <row r="23" spans="1:8" ht="61.15" customHeight="1">
      <c r="A23" s="63">
        <v>20</v>
      </c>
      <c r="B23" s="80" t="s">
        <v>115</v>
      </c>
      <c r="C23" s="81"/>
      <c r="D23" s="77"/>
      <c r="E23" s="78"/>
      <c r="F23" s="78"/>
      <c r="G23" s="78"/>
      <c r="H23" s="79"/>
    </row>
    <row r="24" spans="1:8" ht="61.15" customHeight="1">
      <c r="A24" s="63">
        <v>21</v>
      </c>
      <c r="B24" s="80" t="s">
        <v>116</v>
      </c>
      <c r="C24" s="81"/>
      <c r="D24" s="77"/>
      <c r="E24" s="78"/>
      <c r="F24" s="78"/>
      <c r="G24" s="78"/>
      <c r="H24" s="79"/>
    </row>
    <row r="25" spans="1:8" ht="187.9" customHeight="1">
      <c r="A25" s="63">
        <v>22</v>
      </c>
      <c r="B25" s="76" t="s">
        <v>117</v>
      </c>
      <c r="C25" s="76"/>
      <c r="D25" s="77"/>
      <c r="E25" s="78"/>
      <c r="F25" s="78"/>
      <c r="G25" s="78"/>
      <c r="H25" s="79"/>
    </row>
    <row r="26" spans="1:8" ht="61.15" customHeight="1"/>
    <row r="27" spans="1:8" ht="61.15" customHeight="1"/>
    <row r="28" spans="1:8" ht="61.15" customHeight="1"/>
    <row r="29" spans="1:8" ht="61.15" customHeight="1"/>
  </sheetData>
  <sheetProtection algorithmName="SHA-512" hashValue="zQUmRTblo7NwmNDoVbXM0yjst7rVPj5/m4axI2ivAgmUPwHZYj2vbWzF/lmehodxi4GZXwtagu0UzxPO76uzxg==" saltValue="p9e4rdm25WVOlVQ/gvBS1w==" spinCount="100000" sheet="1" selectLockedCells="1"/>
  <mergeCells count="16">
    <mergeCell ref="B21:C21"/>
    <mergeCell ref="D21:H21"/>
    <mergeCell ref="B22:C22"/>
    <mergeCell ref="D22:H22"/>
    <mergeCell ref="B25:C25"/>
    <mergeCell ref="D25:H25"/>
    <mergeCell ref="B24:C24"/>
    <mergeCell ref="B23:C23"/>
    <mergeCell ref="D23:H23"/>
    <mergeCell ref="D24:H24"/>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A4" zoomScaleNormal="100" workbookViewId="0">
      <selection activeCell="C4" sqref="C4"/>
    </sheetView>
  </sheetViews>
  <sheetFormatPr defaultColWidth="10.875" defaultRowHeight="50.1" customHeight="1"/>
  <cols>
    <col min="1" max="1" width="5.25" style="3" customWidth="1"/>
    <col min="2" max="2" width="53.25" style="3" customWidth="1"/>
    <col min="3" max="10" width="32.75" style="3" customWidth="1"/>
    <col min="11" max="16384" width="10.875" style="3"/>
  </cols>
  <sheetData>
    <row r="1" spans="2:10" ht="50.1" customHeight="1">
      <c r="B1" s="42" t="s">
        <v>118</v>
      </c>
    </row>
    <row r="2" spans="2:10" ht="50.1" customHeight="1">
      <c r="B2" s="43"/>
      <c r="C2" s="44" t="s">
        <v>119</v>
      </c>
      <c r="D2" s="44" t="s">
        <v>120</v>
      </c>
      <c r="E2" s="44" t="s">
        <v>121</v>
      </c>
      <c r="F2" s="44" t="s">
        <v>122</v>
      </c>
      <c r="G2" s="44" t="s">
        <v>123</v>
      </c>
      <c r="H2" s="44" t="s">
        <v>124</v>
      </c>
      <c r="I2" s="44" t="s">
        <v>125</v>
      </c>
      <c r="J2" s="44" t="s">
        <v>126</v>
      </c>
    </row>
    <row r="3" spans="2:10" ht="50.1" customHeight="1">
      <c r="B3" s="44" t="s">
        <v>127</v>
      </c>
      <c r="C3" s="70"/>
      <c r="D3" s="70"/>
      <c r="E3" s="70"/>
      <c r="F3" s="70"/>
      <c r="G3" s="70"/>
      <c r="H3" s="70"/>
      <c r="I3" s="70"/>
      <c r="J3" s="70"/>
    </row>
    <row r="4" spans="2:10" ht="50.1" customHeight="1">
      <c r="B4" s="45" t="s">
        <v>128</v>
      </c>
      <c r="C4" s="70"/>
      <c r="D4" s="70"/>
      <c r="E4" s="70"/>
      <c r="F4" s="70"/>
      <c r="G4" s="70"/>
      <c r="H4" s="70"/>
      <c r="I4" s="70"/>
      <c r="J4" s="70"/>
    </row>
    <row r="5" spans="2:10" ht="50.1" customHeight="1">
      <c r="B5" s="45" t="s">
        <v>129</v>
      </c>
      <c r="C5" s="70"/>
      <c r="D5" s="70"/>
      <c r="E5" s="70"/>
      <c r="F5" s="70"/>
      <c r="G5" s="70"/>
      <c r="H5" s="70"/>
      <c r="I5" s="70"/>
      <c r="J5" s="70"/>
    </row>
    <row r="6" spans="2:10" ht="50.1" customHeight="1">
      <c r="B6" s="45" t="s">
        <v>130</v>
      </c>
      <c r="C6" s="70"/>
      <c r="D6" s="70"/>
      <c r="E6" s="70"/>
      <c r="F6" s="70"/>
      <c r="G6" s="70"/>
      <c r="H6" s="70"/>
      <c r="I6" s="70"/>
      <c r="J6" s="70"/>
    </row>
    <row r="7" spans="2:10" ht="50.1" customHeight="1">
      <c r="B7" s="45" t="s">
        <v>131</v>
      </c>
      <c r="C7" s="70"/>
      <c r="D7" s="70"/>
      <c r="E7" s="70"/>
      <c r="F7" s="70"/>
      <c r="G7" s="70"/>
      <c r="H7" s="70"/>
      <c r="I7" s="70"/>
      <c r="J7" s="70"/>
    </row>
    <row r="8" spans="2:10" ht="50.1" customHeight="1">
      <c r="B8" s="45" t="s">
        <v>132</v>
      </c>
      <c r="C8" s="70"/>
      <c r="D8" s="70"/>
      <c r="E8" s="70"/>
      <c r="F8" s="70"/>
      <c r="G8" s="70"/>
      <c r="H8" s="70"/>
      <c r="I8" s="70"/>
      <c r="J8" s="70"/>
    </row>
    <row r="9" spans="2:10" ht="50.1" customHeight="1">
      <c r="B9" s="45" t="s">
        <v>133</v>
      </c>
      <c r="C9" s="70"/>
      <c r="D9" s="70"/>
      <c r="E9" s="70"/>
      <c r="F9" s="70"/>
      <c r="G9" s="70"/>
      <c r="H9" s="70"/>
      <c r="I9" s="70"/>
      <c r="J9" s="70"/>
    </row>
    <row r="10" spans="2:10" ht="50.1" customHeight="1">
      <c r="B10" s="64" t="s">
        <v>134</v>
      </c>
      <c r="C10" s="70"/>
      <c r="D10" s="70"/>
      <c r="E10" s="70"/>
      <c r="F10" s="70"/>
      <c r="G10" s="70"/>
      <c r="H10" s="70"/>
      <c r="I10" s="70"/>
      <c r="J10" s="70"/>
    </row>
    <row r="11" spans="2:10" ht="50.1" customHeight="1">
      <c r="B11" s="45" t="s">
        <v>135</v>
      </c>
      <c r="C11" s="71"/>
      <c r="D11" s="71"/>
      <c r="E11" s="71"/>
      <c r="F11" s="70"/>
      <c r="G11" s="70"/>
      <c r="H11" s="70"/>
      <c r="I11" s="70"/>
      <c r="J11" s="70"/>
    </row>
    <row r="12" spans="2:10" ht="50.1" customHeight="1">
      <c r="B12" s="45" t="s">
        <v>136</v>
      </c>
      <c r="C12" s="72"/>
      <c r="D12" s="73"/>
      <c r="E12" s="73"/>
      <c r="F12" s="73"/>
      <c r="G12" s="73"/>
      <c r="H12" s="73"/>
      <c r="I12" s="73"/>
      <c r="J12" s="73"/>
    </row>
    <row r="14" spans="2:10" ht="50.1" customHeight="1">
      <c r="B14" s="82" t="s">
        <v>137</v>
      </c>
      <c r="C14" s="82"/>
      <c r="D14" s="82"/>
    </row>
    <row r="15" spans="2:10" ht="50.1" customHeight="1">
      <c r="B15" s="16" t="s">
        <v>138</v>
      </c>
      <c r="C15" s="82" t="s">
        <v>139</v>
      </c>
      <c r="D15" s="82"/>
    </row>
    <row r="16" spans="2:10" ht="50.1" customHeight="1">
      <c r="B16" s="46" t="s">
        <v>140</v>
      </c>
      <c r="C16" s="83" t="s">
        <v>141</v>
      </c>
      <c r="D16" s="83"/>
    </row>
    <row r="17" spans="2:4" ht="50.1" customHeight="1">
      <c r="B17" s="84" t="s">
        <v>142</v>
      </c>
      <c r="C17" s="84" t="s">
        <v>143</v>
      </c>
      <c r="D17" s="84"/>
    </row>
    <row r="18" spans="2:4" ht="50.1" customHeight="1">
      <c r="B18" s="84"/>
      <c r="C18" s="84" t="s">
        <v>144</v>
      </c>
      <c r="D18" s="84"/>
    </row>
    <row r="19" spans="2:4" ht="50.1" customHeight="1">
      <c r="B19" s="84"/>
      <c r="C19" s="84" t="s">
        <v>145</v>
      </c>
      <c r="D19" s="84"/>
    </row>
    <row r="20" spans="2:4" ht="50.1" customHeight="1">
      <c r="B20" s="84"/>
      <c r="C20" s="84" t="s">
        <v>146</v>
      </c>
      <c r="D20" s="84"/>
    </row>
    <row r="21" spans="2:4" ht="50.1" customHeight="1">
      <c r="B21" s="84" t="s">
        <v>147</v>
      </c>
      <c r="C21" s="84" t="s">
        <v>148</v>
      </c>
      <c r="D21" s="84"/>
    </row>
    <row r="22" spans="2:4" ht="50.1" customHeight="1">
      <c r="B22" s="84"/>
      <c r="C22" s="84" t="s">
        <v>149</v>
      </c>
      <c r="D22" s="84"/>
    </row>
    <row r="23" spans="2:4" ht="50.1" customHeight="1">
      <c r="B23" s="84"/>
      <c r="C23" s="84" t="s">
        <v>150</v>
      </c>
      <c r="D23" s="84"/>
    </row>
    <row r="24" spans="2:4" ht="50.1" customHeight="1">
      <c r="B24" s="84" t="s">
        <v>151</v>
      </c>
      <c r="C24" s="84" t="s">
        <v>152</v>
      </c>
      <c r="D24" s="84"/>
    </row>
    <row r="25" spans="2:4" ht="50.1" customHeight="1">
      <c r="B25" s="84"/>
      <c r="C25" s="84" t="s">
        <v>153</v>
      </c>
      <c r="D25" s="84"/>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7" zoomScaleNormal="100" workbookViewId="0">
      <selection activeCell="E3" sqref="E3"/>
    </sheetView>
  </sheetViews>
  <sheetFormatPr defaultColWidth="10.875" defaultRowHeight="15"/>
  <cols>
    <col min="1" max="1" width="4.25" style="1" customWidth="1"/>
    <col min="2" max="2" width="51.5" style="1" customWidth="1"/>
    <col min="3" max="9" width="29.25" style="1" customWidth="1"/>
    <col min="10" max="10" width="57.875" style="1" customWidth="1"/>
    <col min="11" max="11" width="102.75" style="1" bestFit="1" customWidth="1"/>
    <col min="12" max="15" width="29.25" style="1" customWidth="1"/>
    <col min="16" max="16384" width="10.875" style="1"/>
  </cols>
  <sheetData>
    <row r="1" spans="2:11" ht="67.150000000000006" customHeight="1">
      <c r="B1" s="34" t="s">
        <v>154</v>
      </c>
    </row>
    <row r="2" spans="2:11" ht="67.150000000000006" customHeight="1">
      <c r="B2" s="33"/>
      <c r="C2" s="16">
        <v>2022</v>
      </c>
      <c r="D2" s="16">
        <v>2023</v>
      </c>
      <c r="E2" s="16">
        <v>2024</v>
      </c>
      <c r="F2" s="16" t="s">
        <v>78</v>
      </c>
      <c r="G2" s="16" t="s">
        <v>79</v>
      </c>
      <c r="H2" s="16" t="s">
        <v>80</v>
      </c>
      <c r="I2" s="16" t="s">
        <v>155</v>
      </c>
      <c r="J2" s="16" t="s">
        <v>156</v>
      </c>
    </row>
    <row r="3" spans="2:11" ht="67.150000000000006" customHeight="1">
      <c r="B3" s="16" t="s">
        <v>157</v>
      </c>
      <c r="C3" s="39"/>
      <c r="D3" s="39"/>
      <c r="E3" s="39">
        <v>14</v>
      </c>
      <c r="F3" s="39"/>
      <c r="G3" s="39"/>
      <c r="H3" s="39"/>
      <c r="I3" s="39"/>
      <c r="J3" s="60" t="s">
        <v>158</v>
      </c>
    </row>
    <row r="4" spans="2:11" ht="56.25">
      <c r="B4" s="36" t="s">
        <v>159</v>
      </c>
      <c r="C4" s="39"/>
      <c r="D4" s="39"/>
      <c r="E4" s="39">
        <v>57</v>
      </c>
      <c r="F4" s="39"/>
      <c r="G4" s="39"/>
      <c r="H4" s="39"/>
      <c r="I4" s="39"/>
      <c r="J4" s="60" t="s">
        <v>160</v>
      </c>
      <c r="K4" s="74" t="s">
        <v>161</v>
      </c>
    </row>
    <row r="5" spans="2:11" ht="67.150000000000006" customHeight="1">
      <c r="B5" s="16" t="s">
        <v>162</v>
      </c>
      <c r="C5" s="39"/>
      <c r="D5" s="39"/>
      <c r="E5" s="39">
        <v>62</v>
      </c>
      <c r="F5" s="39"/>
      <c r="G5" s="39"/>
      <c r="H5" s="39"/>
      <c r="I5" s="39"/>
      <c r="J5" s="60" t="s">
        <v>163</v>
      </c>
    </row>
    <row r="6" spans="2:11" ht="67.150000000000006" customHeight="1">
      <c r="B6" s="16" t="s">
        <v>164</v>
      </c>
      <c r="C6" s="39"/>
      <c r="D6" s="39"/>
      <c r="E6" s="39">
        <v>28</v>
      </c>
      <c r="F6" s="39"/>
      <c r="G6" s="39"/>
      <c r="H6" s="39"/>
      <c r="I6" s="39"/>
      <c r="J6" s="60" t="s">
        <v>165</v>
      </c>
      <c r="K6" s="4" t="s">
        <v>166</v>
      </c>
    </row>
    <row r="7" spans="2:11" ht="67.150000000000006" customHeight="1">
      <c r="B7" s="16" t="s">
        <v>167</v>
      </c>
      <c r="C7" s="39"/>
      <c r="D7" s="39"/>
      <c r="E7" s="39">
        <v>14</v>
      </c>
      <c r="F7" s="39"/>
      <c r="G7" s="39"/>
      <c r="H7" s="39"/>
      <c r="I7" s="39"/>
      <c r="J7" s="60" t="s">
        <v>168</v>
      </c>
    </row>
    <row r="8" spans="2:11" ht="67.150000000000006" customHeight="1">
      <c r="B8" s="16" t="s">
        <v>169</v>
      </c>
      <c r="C8" s="39"/>
      <c r="D8" s="39"/>
      <c r="E8" s="39">
        <v>3</v>
      </c>
      <c r="F8" s="39"/>
      <c r="G8" s="39"/>
      <c r="H8" s="39"/>
      <c r="I8" s="39"/>
      <c r="J8" s="60" t="s">
        <v>170</v>
      </c>
    </row>
    <row r="9" spans="2:11" ht="67.150000000000006" customHeight="1">
      <c r="B9" s="16" t="s">
        <v>171</v>
      </c>
      <c r="C9" s="39"/>
      <c r="D9" s="39"/>
      <c r="E9" s="39">
        <v>7</v>
      </c>
      <c r="F9" s="39"/>
      <c r="G9" s="39"/>
      <c r="H9" s="39"/>
      <c r="I9" s="39"/>
      <c r="J9" s="60" t="s">
        <v>172</v>
      </c>
    </row>
    <row r="10" spans="2:11" ht="67.150000000000006" customHeight="1">
      <c r="B10" s="36" t="s">
        <v>173</v>
      </c>
      <c r="C10" s="39"/>
      <c r="D10" s="39"/>
      <c r="E10" s="39">
        <v>7</v>
      </c>
      <c r="F10" s="39"/>
      <c r="G10" s="39"/>
      <c r="H10" s="39"/>
      <c r="I10" s="39"/>
      <c r="J10" s="60" t="s">
        <v>174</v>
      </c>
    </row>
    <row r="11" spans="2:11" ht="67.150000000000006" customHeight="1">
      <c r="B11" s="16" t="s">
        <v>175</v>
      </c>
      <c r="C11" s="39"/>
      <c r="D11" s="39"/>
      <c r="E11" s="39">
        <v>14</v>
      </c>
      <c r="F11" s="39"/>
      <c r="G11" s="39"/>
      <c r="H11" s="39"/>
      <c r="I11" s="39"/>
      <c r="J11" s="60" t="s">
        <v>176</v>
      </c>
    </row>
    <row r="12" spans="2:11" ht="67.150000000000006" customHeight="1">
      <c r="B12" s="16" t="s">
        <v>177</v>
      </c>
      <c r="C12" s="39"/>
      <c r="D12" s="39"/>
      <c r="E12" s="39">
        <v>5</v>
      </c>
      <c r="F12" s="39"/>
      <c r="G12" s="39"/>
      <c r="H12" s="39"/>
      <c r="I12" s="39"/>
      <c r="J12" s="75" t="s">
        <v>178</v>
      </c>
    </row>
    <row r="13" spans="2:11" ht="67.150000000000006" customHeight="1">
      <c r="B13" s="16" t="s">
        <v>75</v>
      </c>
      <c r="C13" s="39"/>
      <c r="D13" s="39"/>
      <c r="E13" s="39"/>
      <c r="F13" s="39"/>
      <c r="G13" s="39"/>
      <c r="H13" s="39"/>
      <c r="I13" s="39"/>
      <c r="J13" s="75" t="s">
        <v>179</v>
      </c>
    </row>
    <row r="14" spans="2:11" ht="67.150000000000006" customHeight="1">
      <c r="B14" s="16" t="s">
        <v>75</v>
      </c>
      <c r="C14" s="39"/>
      <c r="D14" s="39"/>
      <c r="E14" s="39"/>
      <c r="F14" s="39"/>
      <c r="G14" s="39"/>
      <c r="H14" s="39"/>
      <c r="I14" s="39"/>
      <c r="J14" s="60" t="s">
        <v>179</v>
      </c>
    </row>
    <row r="15" spans="2:11" ht="67.150000000000006" customHeight="1">
      <c r="B15" s="16" t="s">
        <v>75</v>
      </c>
      <c r="C15" s="39"/>
      <c r="D15" s="39"/>
      <c r="E15" s="39"/>
      <c r="F15" s="39"/>
      <c r="G15" s="39"/>
      <c r="H15" s="39"/>
      <c r="I15" s="39"/>
      <c r="J15" s="60" t="s">
        <v>179</v>
      </c>
    </row>
    <row r="16" spans="2:11" ht="18.75">
      <c r="B16" s="51" t="s">
        <v>180</v>
      </c>
      <c r="C16" s="52">
        <f t="shared" ref="C16:I16" si="0">SUM(C3:C15)</f>
        <v>0</v>
      </c>
      <c r="D16" s="52">
        <f t="shared" si="0"/>
        <v>0</v>
      </c>
      <c r="E16" s="52">
        <f t="shared" si="0"/>
        <v>211</v>
      </c>
      <c r="F16" s="52">
        <f t="shared" si="0"/>
        <v>0</v>
      </c>
      <c r="G16" s="52">
        <f t="shared" si="0"/>
        <v>0</v>
      </c>
      <c r="H16" s="52">
        <f t="shared" si="0"/>
        <v>0</v>
      </c>
      <c r="I16" s="52">
        <f t="shared" si="0"/>
        <v>0</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topLeftCell="A4" workbookViewId="0">
      <selection activeCell="P11" sqref="P11"/>
    </sheetView>
  </sheetViews>
  <sheetFormatPr defaultColWidth="10.875" defaultRowHeight="15.75"/>
  <cols>
    <col min="1" max="1" width="5.375" customWidth="1"/>
    <col min="2" max="2" width="34.5" customWidth="1"/>
  </cols>
  <sheetData>
    <row r="2" spans="2:11" ht="47.1" customHeight="1">
      <c r="B2" s="85" t="s">
        <v>181</v>
      </c>
      <c r="C2" s="85"/>
      <c r="D2" s="85"/>
      <c r="E2" s="85"/>
      <c r="F2" s="85"/>
      <c r="G2" s="85"/>
      <c r="H2" s="85"/>
      <c r="I2" s="85"/>
      <c r="J2" s="85"/>
      <c r="K2" s="85"/>
    </row>
    <row r="3" spans="2:11" ht="47.1" customHeight="1">
      <c r="B3" s="85"/>
      <c r="C3" s="85"/>
      <c r="D3" s="85"/>
      <c r="E3" s="85"/>
      <c r="F3" s="85"/>
      <c r="G3" s="85"/>
      <c r="H3" s="85"/>
      <c r="I3" s="85"/>
      <c r="J3" s="85"/>
      <c r="K3" s="85"/>
    </row>
    <row r="4" spans="2:11" ht="47.1" customHeight="1">
      <c r="B4" s="85"/>
      <c r="C4" s="85"/>
      <c r="D4" s="85"/>
      <c r="E4" s="85"/>
      <c r="F4" s="85"/>
      <c r="G4" s="85"/>
      <c r="H4" s="85"/>
      <c r="I4" s="85"/>
      <c r="J4" s="85"/>
      <c r="K4" s="85"/>
    </row>
    <row r="5" spans="2:11" ht="47.1" customHeight="1">
      <c r="B5" s="85"/>
      <c r="C5" s="85"/>
      <c r="D5" s="85"/>
      <c r="E5" s="85"/>
      <c r="F5" s="85"/>
      <c r="G5" s="85"/>
      <c r="H5" s="85"/>
      <c r="I5" s="85"/>
      <c r="J5" s="85"/>
      <c r="K5" s="85"/>
    </row>
  </sheetData>
  <mergeCells count="1">
    <mergeCell ref="B2:K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abSelected="1" zoomScale="70" zoomScaleNormal="70" workbookViewId="0">
      <selection activeCell="V6" sqref="V6"/>
    </sheetView>
  </sheetViews>
  <sheetFormatPr defaultColWidth="11" defaultRowHeight="15.75"/>
  <cols>
    <col min="1" max="1" width="4.25" style="1" customWidth="1"/>
    <col min="2" max="2" width="51.5" style="1" customWidth="1"/>
    <col min="3" max="22" width="29.25" style="1" customWidth="1"/>
    <col min="23" max="23" width="57.875" style="1" customWidth="1"/>
  </cols>
  <sheetData>
    <row r="1" spans="2:23" ht="60" customHeight="1">
      <c r="B1" s="34" t="s">
        <v>182</v>
      </c>
    </row>
    <row r="2" spans="2:23" ht="60" customHeight="1">
      <c r="B2" s="65" t="s">
        <v>183</v>
      </c>
      <c r="C2" s="86" t="s">
        <v>184</v>
      </c>
      <c r="D2" s="86"/>
      <c r="E2" s="86"/>
      <c r="F2" s="86"/>
      <c r="G2" s="86" t="s">
        <v>185</v>
      </c>
      <c r="H2" s="86"/>
      <c r="I2" s="86"/>
      <c r="J2" s="86"/>
      <c r="K2" s="86"/>
      <c r="L2" s="86" t="s">
        <v>186</v>
      </c>
      <c r="M2" s="86"/>
      <c r="N2" s="86"/>
      <c r="O2" s="86"/>
      <c r="P2" s="86"/>
      <c r="Q2" s="86"/>
      <c r="R2" s="86"/>
      <c r="S2" s="86" t="s">
        <v>187</v>
      </c>
      <c r="T2" s="86"/>
      <c r="U2" s="86"/>
      <c r="V2" s="86"/>
    </row>
    <row r="3" spans="2:23" ht="60" customHeight="1">
      <c r="B3" s="16" t="s">
        <v>188</v>
      </c>
      <c r="C3" s="66" t="s">
        <v>189</v>
      </c>
      <c r="D3" s="66" t="s">
        <v>190</v>
      </c>
      <c r="E3" s="66" t="s">
        <v>191</v>
      </c>
      <c r="F3" s="66" t="s">
        <v>192</v>
      </c>
      <c r="G3" s="66" t="s">
        <v>193</v>
      </c>
      <c r="H3" s="66" t="s">
        <v>194</v>
      </c>
      <c r="I3" s="66" t="s">
        <v>195</v>
      </c>
      <c r="J3" s="66" t="s">
        <v>196</v>
      </c>
      <c r="K3" s="66" t="s">
        <v>197</v>
      </c>
      <c r="L3" s="66" t="s">
        <v>198</v>
      </c>
      <c r="M3" s="67" t="s">
        <v>199</v>
      </c>
      <c r="N3" s="66" t="s">
        <v>200</v>
      </c>
      <c r="O3" s="66" t="s">
        <v>201</v>
      </c>
      <c r="P3" s="66" t="s">
        <v>202</v>
      </c>
      <c r="Q3" s="66" t="s">
        <v>203</v>
      </c>
      <c r="R3" s="66" t="s">
        <v>204</v>
      </c>
      <c r="S3" s="66" t="s">
        <v>205</v>
      </c>
      <c r="T3" s="66" t="s">
        <v>206</v>
      </c>
      <c r="U3" s="66" t="s">
        <v>207</v>
      </c>
      <c r="V3" s="66" t="s">
        <v>208</v>
      </c>
      <c r="W3" s="16" t="s">
        <v>156</v>
      </c>
    </row>
    <row r="4" spans="2:23" ht="60" customHeight="1">
      <c r="B4" s="16" t="s">
        <v>209</v>
      </c>
      <c r="C4" s="39" t="s">
        <v>260</v>
      </c>
      <c r="D4" s="39" t="s">
        <v>260</v>
      </c>
      <c r="E4" s="39" t="s">
        <v>260</v>
      </c>
      <c r="F4" s="39" t="s">
        <v>260</v>
      </c>
      <c r="G4" s="39" t="s">
        <v>260</v>
      </c>
      <c r="H4" s="39" t="s">
        <v>260</v>
      </c>
      <c r="I4" s="39" t="s">
        <v>260</v>
      </c>
      <c r="J4" s="39" t="s">
        <v>260</v>
      </c>
      <c r="K4" s="39" t="s">
        <v>260</v>
      </c>
      <c r="L4" s="39" t="s">
        <v>260</v>
      </c>
      <c r="M4" s="39" t="s">
        <v>260</v>
      </c>
      <c r="N4" s="39" t="s">
        <v>263</v>
      </c>
      <c r="O4" s="39" t="s">
        <v>260</v>
      </c>
      <c r="P4" s="39" t="s">
        <v>260</v>
      </c>
      <c r="Q4" s="39" t="s">
        <v>260</v>
      </c>
      <c r="R4" s="39" t="s">
        <v>263</v>
      </c>
      <c r="S4" s="39" t="s">
        <v>260</v>
      </c>
      <c r="T4" s="39" t="s">
        <v>260</v>
      </c>
      <c r="U4" s="39" t="s">
        <v>260</v>
      </c>
      <c r="V4" s="39" t="s">
        <v>260</v>
      </c>
      <c r="W4" s="60"/>
    </row>
    <row r="5" spans="2:23" ht="60" customHeight="1">
      <c r="B5" s="36" t="s">
        <v>210</v>
      </c>
      <c r="C5" s="39" t="s">
        <v>349</v>
      </c>
      <c r="D5" s="39" t="s">
        <v>349</v>
      </c>
      <c r="E5" s="39" t="s">
        <v>349</v>
      </c>
      <c r="F5" s="39" t="s">
        <v>349</v>
      </c>
      <c r="G5" s="39" t="s">
        <v>349</v>
      </c>
      <c r="H5" s="39" t="s">
        <v>349</v>
      </c>
      <c r="I5" s="39" t="s">
        <v>350</v>
      </c>
      <c r="J5" s="39" t="s">
        <v>349</v>
      </c>
      <c r="K5" s="39" t="s">
        <v>349</v>
      </c>
      <c r="L5" s="39" t="s">
        <v>350</v>
      </c>
      <c r="M5" s="39" t="s">
        <v>350</v>
      </c>
      <c r="N5" s="39"/>
      <c r="O5" s="39" t="s">
        <v>350</v>
      </c>
      <c r="P5" s="39" t="s">
        <v>349</v>
      </c>
      <c r="Q5" s="39" t="s">
        <v>350</v>
      </c>
      <c r="R5" s="39"/>
      <c r="S5" s="39" t="s">
        <v>349</v>
      </c>
      <c r="T5" s="39" t="s">
        <v>349</v>
      </c>
      <c r="U5" s="39" t="s">
        <v>349</v>
      </c>
      <c r="V5" s="39" t="s">
        <v>349</v>
      </c>
      <c r="W5" s="60"/>
    </row>
    <row r="6" spans="2:23" ht="60" customHeight="1">
      <c r="B6" s="36" t="s">
        <v>211</v>
      </c>
      <c r="C6" s="39" t="s">
        <v>263</v>
      </c>
      <c r="D6" s="39" t="s">
        <v>263</v>
      </c>
      <c r="E6" s="39" t="s">
        <v>263</v>
      </c>
      <c r="F6" s="39" t="s">
        <v>263</v>
      </c>
      <c r="G6" s="39" t="s">
        <v>263</v>
      </c>
      <c r="H6" s="39" t="s">
        <v>263</v>
      </c>
      <c r="I6" s="39" t="s">
        <v>263</v>
      </c>
      <c r="J6" s="39" t="s">
        <v>263</v>
      </c>
      <c r="K6" s="39" t="s">
        <v>263</v>
      </c>
      <c r="L6" s="39" t="s">
        <v>263</v>
      </c>
      <c r="M6" s="39" t="s">
        <v>263</v>
      </c>
      <c r="N6" s="39"/>
      <c r="O6" s="39" t="s">
        <v>263</v>
      </c>
      <c r="P6" s="39" t="s">
        <v>263</v>
      </c>
      <c r="Q6" s="39" t="s">
        <v>263</v>
      </c>
      <c r="R6" s="39"/>
      <c r="S6" s="39" t="s">
        <v>263</v>
      </c>
      <c r="T6" s="39" t="s">
        <v>263</v>
      </c>
      <c r="U6" s="39" t="s">
        <v>263</v>
      </c>
      <c r="V6" s="39" t="s">
        <v>263</v>
      </c>
      <c r="W6" s="60"/>
    </row>
    <row r="7" spans="2:23" ht="60" customHeight="1">
      <c r="B7" s="36" t="s">
        <v>212</v>
      </c>
      <c r="C7" s="39"/>
      <c r="D7" s="39"/>
      <c r="E7" s="39"/>
      <c r="F7" s="39"/>
      <c r="G7" s="39"/>
      <c r="H7" s="39"/>
      <c r="I7" s="39"/>
      <c r="J7" s="39"/>
      <c r="K7" s="39"/>
      <c r="L7" s="39"/>
      <c r="M7" s="39"/>
      <c r="N7" s="39"/>
      <c r="O7" s="39"/>
      <c r="P7" s="39"/>
      <c r="Q7" s="39"/>
      <c r="R7" s="39"/>
      <c r="S7" s="39"/>
      <c r="T7" s="39"/>
      <c r="U7" s="39"/>
      <c r="V7" s="39"/>
      <c r="W7" s="60"/>
    </row>
    <row r="8" spans="2:23" ht="60" customHeight="1">
      <c r="B8" s="36" t="s">
        <v>213</v>
      </c>
      <c r="C8" s="39"/>
      <c r="D8" s="39"/>
      <c r="E8" s="39"/>
      <c r="F8" s="39"/>
      <c r="G8" s="39"/>
      <c r="H8" s="39"/>
      <c r="I8" s="39"/>
      <c r="J8" s="39"/>
      <c r="K8" s="39"/>
      <c r="L8" s="39"/>
      <c r="M8" s="39"/>
      <c r="N8" s="39"/>
      <c r="O8" s="39"/>
      <c r="P8" s="39"/>
      <c r="Q8" s="39"/>
      <c r="R8" s="39"/>
      <c r="S8" s="39"/>
      <c r="T8" s="39"/>
      <c r="U8" s="39"/>
      <c r="V8" s="39"/>
      <c r="W8" s="60"/>
    </row>
    <row r="9" spans="2:23" ht="60" customHeight="1">
      <c r="B9" s="36" t="s">
        <v>214</v>
      </c>
      <c r="C9" s="39"/>
      <c r="D9" s="39"/>
      <c r="E9" s="39"/>
      <c r="F9" s="39"/>
      <c r="G9" s="39"/>
      <c r="H9" s="39"/>
      <c r="I9" s="39"/>
      <c r="J9" s="39"/>
      <c r="K9" s="39"/>
      <c r="L9" s="39"/>
      <c r="M9" s="39"/>
      <c r="N9" s="39"/>
      <c r="O9" s="39"/>
      <c r="P9" s="39"/>
      <c r="Q9" s="39"/>
      <c r="R9" s="39"/>
      <c r="S9" s="39"/>
      <c r="T9" s="39"/>
      <c r="U9" s="39"/>
      <c r="V9" s="39"/>
      <c r="W9" s="60"/>
    </row>
    <row r="10" spans="2:23" ht="60" customHeight="1">
      <c r="B10" s="36" t="s">
        <v>215</v>
      </c>
      <c r="C10" s="39"/>
      <c r="D10" s="39"/>
      <c r="E10" s="39"/>
      <c r="F10" s="39"/>
      <c r="G10" s="39"/>
      <c r="H10" s="39"/>
      <c r="I10" s="39"/>
      <c r="J10" s="39"/>
      <c r="K10" s="39"/>
      <c r="L10" s="39"/>
      <c r="M10" s="39"/>
      <c r="N10" s="39"/>
      <c r="O10" s="39"/>
      <c r="P10" s="39"/>
      <c r="Q10" s="39"/>
      <c r="R10" s="39"/>
      <c r="S10" s="39"/>
      <c r="T10" s="39"/>
      <c r="U10" s="39"/>
      <c r="V10" s="39"/>
      <c r="W10" s="60"/>
    </row>
    <row r="11" spans="2:23" ht="60" customHeight="1">
      <c r="B11" s="36" t="s">
        <v>216</v>
      </c>
      <c r="C11" s="39"/>
      <c r="D11" s="39"/>
      <c r="E11" s="39"/>
      <c r="F11" s="39"/>
      <c r="G11" s="68"/>
      <c r="H11" s="39"/>
      <c r="I11" s="39"/>
      <c r="J11" s="39"/>
      <c r="K11" s="39"/>
      <c r="L11" s="39"/>
      <c r="M11" s="39"/>
      <c r="N11" s="39"/>
      <c r="O11" s="39"/>
      <c r="P11" s="39"/>
      <c r="Q11" s="39"/>
      <c r="R11" s="39"/>
      <c r="S11" s="39"/>
      <c r="T11" s="39"/>
      <c r="U11" s="39"/>
      <c r="V11" s="39"/>
      <c r="W11" s="60"/>
    </row>
    <row r="12" spans="2:23" ht="60" customHeight="1">
      <c r="B12" s="16" t="s">
        <v>217</v>
      </c>
      <c r="C12" s="39"/>
      <c r="D12" s="39"/>
      <c r="E12" s="39"/>
      <c r="F12" s="39"/>
      <c r="G12" s="39"/>
      <c r="H12" s="39"/>
      <c r="I12" s="39"/>
      <c r="J12" s="39"/>
      <c r="K12" s="39"/>
      <c r="L12" s="39"/>
      <c r="M12" s="39"/>
      <c r="N12" s="39"/>
      <c r="O12" s="39"/>
      <c r="P12" s="39"/>
      <c r="Q12" s="39"/>
      <c r="R12" s="39"/>
      <c r="S12" s="39"/>
      <c r="T12" s="39"/>
      <c r="U12" s="39"/>
      <c r="V12" s="39"/>
      <c r="W12" s="60"/>
    </row>
    <row r="13" spans="2:23" ht="60" customHeight="1">
      <c r="B13" s="36" t="s">
        <v>218</v>
      </c>
      <c r="C13" s="39"/>
      <c r="D13" s="39"/>
      <c r="E13" s="39"/>
      <c r="F13" s="39"/>
      <c r="G13" s="39"/>
      <c r="H13" s="39"/>
      <c r="I13" s="39"/>
      <c r="J13" s="39"/>
      <c r="K13" s="39"/>
      <c r="L13" s="39"/>
      <c r="M13" s="39"/>
      <c r="N13" s="39"/>
      <c r="O13" s="39"/>
      <c r="P13" s="39"/>
      <c r="Q13" s="39"/>
      <c r="R13" s="39"/>
      <c r="S13" s="39"/>
      <c r="T13" s="39"/>
      <c r="U13" s="39"/>
      <c r="V13" s="39"/>
      <c r="W13" s="60"/>
    </row>
    <row r="14" spans="2:23" ht="60" customHeight="1">
      <c r="B14" s="16" t="s">
        <v>219</v>
      </c>
      <c r="C14" s="39"/>
      <c r="D14" s="39"/>
      <c r="E14" s="39"/>
      <c r="F14" s="39"/>
      <c r="G14" s="39"/>
      <c r="H14" s="39"/>
      <c r="I14" s="39"/>
      <c r="J14" s="39"/>
      <c r="K14" s="39"/>
      <c r="L14" s="39"/>
      <c r="M14" s="39"/>
      <c r="N14" s="39"/>
      <c r="O14" s="39"/>
      <c r="P14" s="39"/>
      <c r="Q14" s="39"/>
      <c r="R14" s="39"/>
      <c r="S14" s="39"/>
      <c r="T14" s="39"/>
      <c r="U14" s="39"/>
      <c r="V14" s="39"/>
      <c r="W14" s="60"/>
    </row>
    <row r="15" spans="2:23" ht="60" customHeight="1">
      <c r="B15" s="16" t="s">
        <v>220</v>
      </c>
      <c r="C15" s="39"/>
      <c r="D15" s="39"/>
      <c r="E15" s="39"/>
      <c r="F15" s="39"/>
      <c r="G15" s="39"/>
      <c r="H15" s="39"/>
      <c r="I15" s="39"/>
      <c r="J15" s="39"/>
      <c r="K15" s="39"/>
      <c r="L15" s="39"/>
      <c r="M15" s="39"/>
      <c r="N15" s="39"/>
      <c r="O15" s="39"/>
      <c r="P15" s="39"/>
      <c r="Q15" s="39"/>
      <c r="R15" s="39"/>
      <c r="S15" s="39"/>
      <c r="T15" s="39"/>
      <c r="U15" s="39"/>
      <c r="V15" s="39"/>
      <c r="W15" s="60"/>
    </row>
    <row r="16" spans="2:23" ht="60" customHeight="1">
      <c r="B16" s="36" t="s">
        <v>221</v>
      </c>
      <c r="C16" s="39"/>
      <c r="D16" s="39"/>
      <c r="E16" s="39"/>
      <c r="F16" s="39"/>
      <c r="G16" s="39"/>
      <c r="H16" s="39"/>
      <c r="I16" s="39"/>
      <c r="J16" s="39"/>
      <c r="K16" s="39"/>
      <c r="L16" s="39"/>
      <c r="M16" s="39"/>
      <c r="N16" s="39"/>
      <c r="O16" s="39"/>
      <c r="P16" s="39"/>
      <c r="Q16" s="39"/>
      <c r="R16" s="39"/>
      <c r="S16" s="39"/>
      <c r="T16" s="39"/>
      <c r="U16" s="39"/>
      <c r="V16" s="39"/>
      <c r="W16" s="60"/>
    </row>
    <row r="17" spans="2:23" ht="60" customHeight="1">
      <c r="B17" s="16" t="s">
        <v>222</v>
      </c>
      <c r="C17" s="39"/>
      <c r="D17" s="39"/>
      <c r="E17" s="39"/>
      <c r="F17" s="39"/>
      <c r="G17" s="39"/>
      <c r="H17" s="39"/>
      <c r="I17" s="39"/>
      <c r="J17" s="39"/>
      <c r="K17" s="39"/>
      <c r="L17" s="39"/>
      <c r="M17" s="39"/>
      <c r="N17" s="39"/>
      <c r="O17" s="39"/>
      <c r="P17" s="39"/>
      <c r="Q17" s="39"/>
      <c r="R17" s="39"/>
      <c r="S17" s="39"/>
      <c r="T17" s="39"/>
      <c r="U17" s="39"/>
      <c r="V17" s="39"/>
      <c r="W17" s="60"/>
    </row>
    <row r="18" spans="2:23" ht="60" customHeight="1">
      <c r="B18" s="16" t="s">
        <v>223</v>
      </c>
      <c r="C18" s="39"/>
      <c r="D18" s="39"/>
      <c r="E18" s="39"/>
      <c r="F18" s="39"/>
      <c r="G18" s="39"/>
      <c r="H18" s="39"/>
      <c r="I18" s="39"/>
      <c r="J18" s="39"/>
      <c r="K18" s="39"/>
      <c r="L18" s="39"/>
      <c r="M18" s="39"/>
      <c r="N18" s="39"/>
      <c r="O18" s="39"/>
      <c r="P18" s="39"/>
      <c r="Q18" s="39"/>
      <c r="R18" s="39"/>
      <c r="S18" s="39"/>
      <c r="T18" s="39"/>
      <c r="U18" s="39"/>
      <c r="V18" s="39"/>
      <c r="W18" s="60"/>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workbookViewId="0">
      <selection activeCell="B3" sqref="B3:K6"/>
    </sheetView>
  </sheetViews>
  <sheetFormatPr defaultColWidth="10.875" defaultRowHeight="15.75"/>
  <cols>
    <col min="1" max="1" width="5.5" customWidth="1"/>
  </cols>
  <sheetData>
    <row r="3" spans="2:11" ht="34.15" customHeight="1">
      <c r="B3" s="85" t="s">
        <v>224</v>
      </c>
      <c r="C3" s="85"/>
      <c r="D3" s="85"/>
      <c r="E3" s="85"/>
      <c r="F3" s="85"/>
      <c r="G3" s="85"/>
      <c r="H3" s="85"/>
      <c r="I3" s="85"/>
      <c r="J3" s="85"/>
      <c r="K3" s="85"/>
    </row>
    <row r="4" spans="2:11" ht="34.15" customHeight="1">
      <c r="B4" s="85"/>
      <c r="C4" s="85"/>
      <c r="D4" s="85"/>
      <c r="E4" s="85"/>
      <c r="F4" s="85"/>
      <c r="G4" s="85"/>
      <c r="H4" s="85"/>
      <c r="I4" s="85"/>
      <c r="J4" s="85"/>
      <c r="K4" s="85"/>
    </row>
    <row r="5" spans="2:11" ht="34.15" customHeight="1">
      <c r="B5" s="85"/>
      <c r="C5" s="85"/>
      <c r="D5" s="85"/>
      <c r="E5" s="85"/>
      <c r="F5" s="85"/>
      <c r="G5" s="85"/>
      <c r="H5" s="85"/>
      <c r="I5" s="85"/>
      <c r="J5" s="85"/>
      <c r="K5" s="85"/>
    </row>
    <row r="6" spans="2:11" ht="34.15" customHeight="1">
      <c r="B6" s="85"/>
      <c r="C6" s="85"/>
      <c r="D6" s="85"/>
      <c r="E6" s="85"/>
      <c r="F6" s="85"/>
      <c r="G6" s="85"/>
      <c r="H6" s="85"/>
      <c r="I6" s="85"/>
      <c r="J6" s="85"/>
      <c r="K6" s="85"/>
    </row>
    <row r="12" spans="2:11">
      <c r="B12" s="57"/>
    </row>
    <row r="15" spans="2:11">
      <c r="B15" s="57"/>
    </row>
    <row r="18" spans="2:2">
      <c r="B18" s="57"/>
    </row>
    <row r="21" spans="2:2">
      <c r="B21" s="57"/>
    </row>
    <row r="24" spans="2:2">
      <c r="B24" s="57"/>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C28" activeCellId="11" sqref="C5 C7 C9 C11 C14 C16 C18 C20 C22 C24 C26 C28"/>
    </sheetView>
  </sheetViews>
  <sheetFormatPr defaultColWidth="10.875" defaultRowHeight="20.25"/>
  <cols>
    <col min="1" max="1" width="4.25" style="54" customWidth="1"/>
    <col min="2" max="2" width="200.875" style="10" customWidth="1"/>
    <col min="3" max="3" width="67.5" style="13" customWidth="1"/>
    <col min="4" max="16384" width="10.875" style="48"/>
  </cols>
  <sheetData>
    <row r="2" spans="2:4">
      <c r="B2" s="8" t="s">
        <v>225</v>
      </c>
      <c r="C2" s="11"/>
    </row>
    <row r="3" spans="2:4">
      <c r="B3" s="41" t="s">
        <v>226</v>
      </c>
      <c r="C3" s="56"/>
    </row>
    <row r="4" spans="2:4">
      <c r="B4" s="55" t="s">
        <v>227</v>
      </c>
      <c r="C4" s="56"/>
    </row>
    <row r="5" spans="2:4" ht="60.75">
      <c r="B5" s="53" t="s">
        <v>228</v>
      </c>
      <c r="C5" s="47"/>
      <c r="D5" s="49" t="s">
        <v>229</v>
      </c>
    </row>
    <row r="6" spans="2:4">
      <c r="B6" s="55" t="s">
        <v>230</v>
      </c>
      <c r="C6" s="56"/>
      <c r="D6" s="49"/>
    </row>
    <row r="7" spans="2:4" ht="60.75">
      <c r="B7" s="53" t="s">
        <v>231</v>
      </c>
      <c r="C7" s="47"/>
      <c r="D7" s="49" t="s">
        <v>232</v>
      </c>
    </row>
    <row r="8" spans="2:4">
      <c r="B8" s="55" t="s">
        <v>233</v>
      </c>
      <c r="C8" s="56"/>
    </row>
    <row r="9" spans="2:4" ht="60.75">
      <c r="B9" s="53" t="s">
        <v>234</v>
      </c>
      <c r="C9" s="47"/>
    </row>
    <row r="10" spans="2:4">
      <c r="B10" s="55" t="s">
        <v>235</v>
      </c>
      <c r="C10" s="56"/>
    </row>
    <row r="11" spans="2:4" ht="60.75">
      <c r="B11" s="53" t="s">
        <v>236</v>
      </c>
      <c r="C11" s="47"/>
    </row>
    <row r="12" spans="2:4">
      <c r="B12" s="41" t="s">
        <v>237</v>
      </c>
      <c r="C12" s="56"/>
    </row>
    <row r="13" spans="2:4">
      <c r="B13" s="55" t="s">
        <v>238</v>
      </c>
      <c r="C13" s="56"/>
    </row>
    <row r="14" spans="2:4" ht="60.75">
      <c r="B14" s="53" t="s">
        <v>239</v>
      </c>
      <c r="C14" s="47"/>
    </row>
    <row r="15" spans="2:4">
      <c r="B15" s="55" t="s">
        <v>240</v>
      </c>
      <c r="C15" s="56"/>
    </row>
    <row r="16" spans="2:4" ht="60.75">
      <c r="B16" s="53" t="s">
        <v>241</v>
      </c>
      <c r="C16" s="47"/>
    </row>
    <row r="17" spans="2:3">
      <c r="B17" s="55" t="s">
        <v>242</v>
      </c>
      <c r="C17" s="56"/>
    </row>
    <row r="18" spans="2:3" ht="60.75">
      <c r="B18" s="53" t="s">
        <v>243</v>
      </c>
      <c r="C18" s="47"/>
    </row>
    <row r="19" spans="2:3">
      <c r="B19" s="55" t="s">
        <v>244</v>
      </c>
      <c r="C19" s="56"/>
    </row>
    <row r="20" spans="2:3" ht="60.75">
      <c r="B20" s="53" t="s">
        <v>245</v>
      </c>
      <c r="C20" s="47"/>
    </row>
    <row r="21" spans="2:3">
      <c r="B21" s="55" t="s">
        <v>246</v>
      </c>
      <c r="C21" s="56"/>
    </row>
    <row r="22" spans="2:3" ht="81">
      <c r="B22" s="53" t="s">
        <v>247</v>
      </c>
      <c r="C22" s="47"/>
    </row>
    <row r="23" spans="2:3">
      <c r="B23" s="55" t="s">
        <v>248</v>
      </c>
      <c r="C23" s="56"/>
    </row>
    <row r="24" spans="2:3" ht="81">
      <c r="B24" s="53" t="s">
        <v>249</v>
      </c>
      <c r="C24" s="47"/>
    </row>
    <row r="25" spans="2:3">
      <c r="B25" s="55" t="s">
        <v>250</v>
      </c>
      <c r="C25" s="56"/>
    </row>
    <row r="26" spans="2:3" ht="81">
      <c r="B26" s="53" t="s">
        <v>251</v>
      </c>
      <c r="C26" s="47"/>
    </row>
    <row r="27" spans="2:3">
      <c r="B27" s="55" t="s">
        <v>252</v>
      </c>
      <c r="C27" s="56"/>
    </row>
    <row r="28" spans="2:3" ht="81">
      <c r="B28" s="53" t="s">
        <v>253</v>
      </c>
      <c r="C28" s="47"/>
    </row>
  </sheetData>
  <sheetProtection algorithmName="SHA-512" hashValue="XeW6bUAKnm43j4meWYPApqpxgIUvkc+kiljCp7h71QUV2ZgishBBRb5NF7kP+72LnQELXBDhMs+rLegAjSnArA==" saltValue="2/ZNlC/KVpLBc1AR6Z48Dw=="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
  <cols>
    <col min="1" max="1" width="14.75" style="1" bestFit="1" customWidth="1"/>
    <col min="2" max="2" width="10.875" style="1"/>
    <col min="3" max="3" width="60" style="1" bestFit="1" customWidth="1"/>
    <col min="4" max="4" width="10.875" style="1"/>
    <col min="5" max="5" width="7.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ht="15.75">
      <c r="A1" s="1" t="s">
        <v>254</v>
      </c>
      <c r="C1" s="7" t="s">
        <v>255</v>
      </c>
      <c r="E1" s="5" t="s">
        <v>256</v>
      </c>
      <c r="G1" s="5" t="s">
        <v>257</v>
      </c>
    </row>
    <row r="2" spans="1:7">
      <c r="A2" s="1" t="s">
        <v>258</v>
      </c>
      <c r="C2" s="1" t="s">
        <v>259</v>
      </c>
      <c r="E2" s="1" t="s">
        <v>260</v>
      </c>
      <c r="G2" s="1" t="s">
        <v>261</v>
      </c>
    </row>
    <row r="3" spans="1:7">
      <c r="A3" s="1" t="s">
        <v>262</v>
      </c>
      <c r="C3" s="1" t="s">
        <v>205</v>
      </c>
      <c r="E3" s="1" t="s">
        <v>263</v>
      </c>
      <c r="G3" s="1" t="s">
        <v>264</v>
      </c>
    </row>
    <row r="4" spans="1:7">
      <c r="C4" s="1" t="s">
        <v>265</v>
      </c>
      <c r="G4" s="1" t="s">
        <v>266</v>
      </c>
    </row>
    <row r="5" spans="1:7">
      <c r="C5" s="1" t="s">
        <v>267</v>
      </c>
      <c r="G5" s="1" t="s">
        <v>268</v>
      </c>
    </row>
    <row r="6" spans="1:7">
      <c r="C6" s="1" t="s">
        <v>269</v>
      </c>
      <c r="G6" s="1" t="s">
        <v>270</v>
      </c>
    </row>
    <row r="7" spans="1:7">
      <c r="C7" s="1" t="s">
        <v>271</v>
      </c>
      <c r="G7" s="1" t="s">
        <v>272</v>
      </c>
    </row>
    <row r="8" spans="1:7">
      <c r="C8" s="1" t="s">
        <v>273</v>
      </c>
      <c r="G8" s="1" t="s">
        <v>274</v>
      </c>
    </row>
    <row r="9" spans="1:7">
      <c r="C9" s="1" t="s">
        <v>275</v>
      </c>
      <c r="G9" s="1" t="s">
        <v>276</v>
      </c>
    </row>
    <row r="10" spans="1:7">
      <c r="C10" s="1" t="s">
        <v>277</v>
      </c>
      <c r="G10" s="1" t="s">
        <v>278</v>
      </c>
    </row>
    <row r="11" spans="1:7">
      <c r="C11" s="1" t="s">
        <v>279</v>
      </c>
      <c r="G11" s="1" t="s">
        <v>280</v>
      </c>
    </row>
    <row r="12" spans="1:7">
      <c r="C12" s="1" t="s">
        <v>281</v>
      </c>
      <c r="G12" s="1" t="s">
        <v>282</v>
      </c>
    </row>
    <row r="13" spans="1:7">
      <c r="C13" s="1" t="s">
        <v>193</v>
      </c>
      <c r="G13" s="1" t="s">
        <v>283</v>
      </c>
    </row>
    <row r="14" spans="1:7">
      <c r="C14" s="1" t="s">
        <v>284</v>
      </c>
      <c r="G14" s="1" t="s">
        <v>285</v>
      </c>
    </row>
    <row r="15" spans="1:7">
      <c r="C15" s="1" t="s">
        <v>286</v>
      </c>
      <c r="G15" s="1" t="s">
        <v>287</v>
      </c>
    </row>
    <row r="16" spans="1:7">
      <c r="C16" s="1" t="s">
        <v>288</v>
      </c>
      <c r="G16" s="1" t="s">
        <v>289</v>
      </c>
    </row>
    <row r="17" spans="3:7">
      <c r="C17" s="1" t="s">
        <v>290</v>
      </c>
      <c r="G17" s="1" t="s">
        <v>291</v>
      </c>
    </row>
    <row r="18" spans="3:7">
      <c r="C18" s="1" t="s">
        <v>292</v>
      </c>
      <c r="G18" s="1" t="s">
        <v>293</v>
      </c>
    </row>
    <row r="19" spans="3:7">
      <c r="C19" s="1" t="s">
        <v>294</v>
      </c>
      <c r="G19" s="1" t="s">
        <v>295</v>
      </c>
    </row>
    <row r="20" spans="3:7">
      <c r="C20" s="1" t="s">
        <v>296</v>
      </c>
      <c r="G20" s="1" t="s">
        <v>297</v>
      </c>
    </row>
    <row r="21" spans="3:7">
      <c r="C21" s="1" t="s">
        <v>298</v>
      </c>
      <c r="G21" s="1" t="s">
        <v>299</v>
      </c>
    </row>
    <row r="22" spans="3:7">
      <c r="G22" s="1" t="s">
        <v>300</v>
      </c>
    </row>
    <row r="23" spans="3:7">
      <c r="G23" s="1" t="s">
        <v>301</v>
      </c>
    </row>
    <row r="24" spans="3:7">
      <c r="G24" s="1" t="s">
        <v>302</v>
      </c>
    </row>
    <row r="25" spans="3:7">
      <c r="G25" s="1" t="s">
        <v>303</v>
      </c>
    </row>
    <row r="26" spans="3:7">
      <c r="G26" s="1" t="s">
        <v>304</v>
      </c>
    </row>
    <row r="27" spans="3:7">
      <c r="G27" s="1" t="s">
        <v>305</v>
      </c>
    </row>
    <row r="28" spans="3:7">
      <c r="G28" s="1" t="s">
        <v>306</v>
      </c>
    </row>
    <row r="29" spans="3:7">
      <c r="G29" s="1" t="s">
        <v>307</v>
      </c>
    </row>
    <row r="30" spans="3:7">
      <c r="G30" s="1" t="s">
        <v>308</v>
      </c>
    </row>
    <row r="31" spans="3:7">
      <c r="G31" s="1" t="s">
        <v>309</v>
      </c>
    </row>
    <row r="32" spans="3:7">
      <c r="G32" s="1" t="s">
        <v>310</v>
      </c>
    </row>
    <row r="33" spans="7:7">
      <c r="G33" s="1" t="s">
        <v>311</v>
      </c>
    </row>
    <row r="34" spans="7:7">
      <c r="G34" s="1" t="s">
        <v>312</v>
      </c>
    </row>
    <row r="35" spans="7:7">
      <c r="G35" s="1" t="s">
        <v>313</v>
      </c>
    </row>
    <row r="36" spans="7:7">
      <c r="G36" s="1" t="s">
        <v>314</v>
      </c>
    </row>
    <row r="37" spans="7:7">
      <c r="G37" s="1" t="s">
        <v>315</v>
      </c>
    </row>
    <row r="38" spans="7:7">
      <c r="G38" s="1" t="s">
        <v>316</v>
      </c>
    </row>
    <row r="39" spans="7:7">
      <c r="G39" s="1" t="s">
        <v>317</v>
      </c>
    </row>
    <row r="40" spans="7:7">
      <c r="G40" s="1" t="s">
        <v>318</v>
      </c>
    </row>
    <row r="41" spans="7:7">
      <c r="G41" s="1" t="s">
        <v>319</v>
      </c>
    </row>
    <row r="42" spans="7:7">
      <c r="G42" s="1" t="s">
        <v>320</v>
      </c>
    </row>
    <row r="43" spans="7:7">
      <c r="G43" s="1" t="s">
        <v>321</v>
      </c>
    </row>
    <row r="44" spans="7:7">
      <c r="G44" s="1" t="s">
        <v>322</v>
      </c>
    </row>
    <row r="45" spans="7:7">
      <c r="G45" s="1" t="s">
        <v>323</v>
      </c>
    </row>
    <row r="46" spans="7:7">
      <c r="G46" s="1" t="s">
        <v>324</v>
      </c>
    </row>
    <row r="47" spans="7:7">
      <c r="G47" s="1" t="s">
        <v>325</v>
      </c>
    </row>
    <row r="48" spans="7:7">
      <c r="G48" s="1" t="s">
        <v>326</v>
      </c>
    </row>
    <row r="49" spans="7:7">
      <c r="G49" s="1" t="s">
        <v>327</v>
      </c>
    </row>
    <row r="50" spans="7:7">
      <c r="G50" s="1" t="s">
        <v>328</v>
      </c>
    </row>
    <row r="51" spans="7:7">
      <c r="G51" s="1" t="s">
        <v>329</v>
      </c>
    </row>
    <row r="52" spans="7:7">
      <c r="G52" s="1" t="s">
        <v>330</v>
      </c>
    </row>
    <row r="53" spans="7:7">
      <c r="G53" s="1" t="s">
        <v>331</v>
      </c>
    </row>
    <row r="54" spans="7:7">
      <c r="G54" s="1" t="s">
        <v>332</v>
      </c>
    </row>
    <row r="55" spans="7:7">
      <c r="G55" s="1" t="s">
        <v>333</v>
      </c>
    </row>
    <row r="56" spans="7:7">
      <c r="G56" s="1" t="s">
        <v>69</v>
      </c>
    </row>
    <row r="57" spans="7:7">
      <c r="G57" s="1" t="s">
        <v>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John Pence</cp:lastModifiedBy>
  <cp:revision/>
  <dcterms:created xsi:type="dcterms:W3CDTF">2018-09-10T17:18:27Z</dcterms:created>
  <dcterms:modified xsi:type="dcterms:W3CDTF">2025-12-12T00:22:58Z</dcterms:modified>
  <cp:category/>
  <cp:contentStatus/>
</cp:coreProperties>
</file>