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Users/fernandoleite/Library/CloudStorage/Dropbox/Mac (2)/Documents/CPT/Comercial/2025/Apple/RFI 12122025/"/>
    </mc:Choice>
  </mc:AlternateContent>
  <xr:revisionPtr revIDLastSave="481" documentId="13_ncr:1_{6C45376E-25D3-F844-A4C8-5C0A5512A900}" xr6:coauthVersionLast="47" xr6:coauthVersionMax="47" xr10:uidLastSave="{9709F687-8BBE-45D2-B54E-71CD818DBA3D}"/>
  <workbookProtection workbookAlgorithmName="SHA-512" workbookHashValue="RQH5Kx2dOBjDEqYj2TXipBbmUcoYWMLAdWE7C3q/46dzCrNjksss7Gqr5dWEtvMaqzG16old4r+CaVxzifhVUg==" workbookSaltValue="pZPxhzHsW4NsocMKqExkEg==" workbookSpinCount="100000" lockStructure="1"/>
  <bookViews>
    <workbookView xWindow="30280" yWindow="500" windowWidth="38360" windowHeight="20580" firstSheet="6" activeTab="11"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tc={E0D324DC-0A87-47C1-AC3B-5AA8DC7BC5EC}</author>
  </authors>
  <commentList>
    <comment ref="B3" authorId="0" shapeId="0" xr:uid="{E0D324DC-0A87-47C1-AC3B-5AA8DC7BC5EC}">
      <text>
        <t>[Threaded comment]
Your version of Excel allows you to read this threaded comment; however, any edits to it will get removed if the file is opened in a newer version of Excel. Learn more: https://go.microsoft.com/fwlink/?linkid=870924
Comment:
    The company is not a publicly listed company.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tc={BC0025B6-4942-40A2-8E4D-42C36DD48A8B}</author>
  </authors>
  <commentList>
    <comment ref="C11" authorId="0" shapeId="0" xr:uid="{BC0025B6-4942-40A2-8E4D-42C36DD48A8B}">
      <text>
        <t>[Threaded comment]
Your version of Excel allows you to read this threaded comment; however, any edits to it will get removed if the file is opened in a newer version of Excel. Learn more: https://go.microsoft.com/fwlink/?linkid=870924
Comment:
    We don't have mass production</t>
      </text>
    </comment>
  </commentList>
</comments>
</file>

<file path=xl/sharedStrings.xml><?xml version="1.0" encoding="utf-8"?>
<sst xmlns="http://schemas.openxmlformats.org/spreadsheetml/2006/main" count="744" uniqueCount="510">
  <si>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</si>
  <si>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</si>
  <si>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</si>
  <si>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</si>
  <si>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</si>
  <si>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</si>
  <si>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</si>
  <si>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</si>
  <si>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</si>
  <si>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</si>
  <si>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</si>
  <si>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</si>
  <si>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</si>
  <si>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</si>
  <si>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</si>
  <si>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</si>
  <si>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</si>
  <si>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</si>
  <si>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</si>
  <si>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</si>
  <si>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</si>
  <si>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</si>
  <si>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</si>
  <si>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</si>
  <si>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</si>
  <si>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</si>
  <si>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</si>
  <si>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</si>
  <si>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</si>
  <si>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</si>
  <si>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</si>
  <si>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</si>
  <si>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</si>
  <si>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</si>
  <si>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</si>
  <si>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</si>
  <si>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</si>
  <si>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</si>
  <si>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</si>
  <si>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</si>
  <si>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</si>
  <si>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</si>
  <si>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</si>
  <si>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</si>
  <si>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</si>
  <si>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</si>
  <si>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</si>
  <si>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</si>
  <si>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12/19/2025</t>
  </si>
  <si>
    <t>Official Legal Name</t>
  </si>
  <si>
    <t>Controlar Electronica Industrial e Sistemas S.A.</t>
  </si>
  <si>
    <t>Parent Company Official Name</t>
  </si>
  <si>
    <t>Controlar</t>
  </si>
  <si>
    <t>HQ Location</t>
  </si>
  <si>
    <t>Alfena, Portugal</t>
  </si>
  <si>
    <t>Website</t>
  </si>
  <si>
    <t>www.controlar.com</t>
  </si>
  <si>
    <t>Public/Private</t>
  </si>
  <si>
    <t>Private</t>
  </si>
  <si>
    <t>Ticker Symbol (if Public)</t>
  </si>
  <si>
    <t>Type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</si>
  <si>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</si>
  <si>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</si>
  <si>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</si>
  <si>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</si>
  <si>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</si>
  <si>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</si>
  <si>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</si>
  <si>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</si>
  <si>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</si>
  <si>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</si>
  <si>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Fernando, Leite</t>
  </si>
  <si>
    <t>CEO / Global Business Manager</t>
  </si>
  <si>
    <t>México</t>
  </si>
  <si>
    <t>fernando.leite@controlar.com</t>
  </si>
  <si>
    <t>+351 919 498 330</t>
  </si>
  <si>
    <t>Commercial DRI / Apple Executive Contact</t>
  </si>
  <si>
    <t>Arsénio, Sanches</t>
  </si>
  <si>
    <t>CCO / Global Sales Manager</t>
  </si>
  <si>
    <t>Portugal</t>
  </si>
  <si>
    <t>ArsenioLuis.Sanches@pt.controlar.com</t>
  </si>
  <si>
    <t>+351 910 543 021</t>
  </si>
  <si>
    <t>Operations Leader</t>
  </si>
  <si>
    <t>Pedro, Torres</t>
  </si>
  <si>
    <t>CEO</t>
  </si>
  <si>
    <t>pedro.torres@pt.controlar.com</t>
  </si>
  <si>
    <t>+351 919 477 245</t>
  </si>
  <si>
    <t xml:space="preserve">Finance </t>
  </si>
  <si>
    <t>Angelica, Miranda</t>
  </si>
  <si>
    <t>CFO / Global Financial Manager</t>
  </si>
  <si>
    <t>angelica.miranda@pt.controlar.com</t>
  </si>
  <si>
    <t>+351 910 544 799</t>
  </si>
  <si>
    <t>Engineering</t>
  </si>
  <si>
    <t>Henrique, Costa</t>
  </si>
  <si>
    <t>CTO / Engineering Solutions</t>
  </si>
  <si>
    <t>Henrique.Costa@pt.controlar.com</t>
  </si>
  <si>
    <t>+351 911 727 617</t>
  </si>
  <si>
    <t>Supply chain</t>
  </si>
  <si>
    <t>Nuno, Azevedo</t>
  </si>
  <si>
    <t>Warehouse and Logistics Manager</t>
  </si>
  <si>
    <t>nunoazevedo@pt.controlar.com</t>
  </si>
  <si>
    <t>+351 915 230 324</t>
  </si>
  <si>
    <t>Project Management</t>
  </si>
  <si>
    <t>Tiago, Meneses</t>
  </si>
  <si>
    <t>PMO</t>
  </si>
  <si>
    <t>Tiago.Meneses@pt.controlar.com</t>
  </si>
  <si>
    <t>+351 917 999 729</t>
  </si>
  <si>
    <t>Production</t>
  </si>
  <si>
    <t>Miguel, Gonçalves</t>
  </si>
  <si>
    <t>Production Manager</t>
  </si>
  <si>
    <t>miguelgoncalves@pt.controlar.com</t>
  </si>
  <si>
    <t>+351 916 247 913</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</si>
  <si>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</si>
  <si>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</si>
  <si>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</si>
  <si>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</si>
  <si>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</si>
  <si>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</si>
  <si>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</si>
  <si>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</si>
  <si>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 xml:space="preserve"> 34 558 764 </t>
  </si>
  <si>
    <t xml:space="preserve"> 46 529 260 </t>
  </si>
  <si>
    <t xml:space="preserve"> 38 849 292 </t>
  </si>
  <si>
    <t xml:space="preserve"> 52 700 609 </t>
  </si>
  <si>
    <t>64 294 743</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</si>
  <si>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</si>
  <si>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</si>
  <si>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</si>
  <si>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</si>
  <si>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</si>
  <si>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</si>
  <si>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</si>
  <si>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</si>
  <si>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</si>
  <si>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</si>
  <si>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</si>
  <si>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</si>
  <si>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</si>
  <si>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</si>
  <si>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Controlar S.A.</t>
  </si>
  <si>
    <t>CPT</t>
  </si>
  <si>
    <t>Electronica, Informatica, instrumentación y Telecomuniaciones, SAU</t>
  </si>
  <si>
    <t>Maxim Precision Technologies  Pvt Ltd</t>
  </si>
  <si>
    <t>Controlar North America S.A. de C.V.</t>
  </si>
  <si>
    <t>Controlar Innovating Industry Malaysia SDN. BHD.</t>
  </si>
  <si>
    <t xml:space="preserve">City and Country </t>
  </si>
  <si>
    <t xml:space="preserve">Portugal </t>
  </si>
  <si>
    <t>Spain</t>
  </si>
  <si>
    <t>India</t>
  </si>
  <si>
    <t>Mexico</t>
  </si>
  <si>
    <t>Malaysia</t>
  </si>
  <si>
    <t>Full Address</t>
  </si>
  <si>
    <t xml:space="preserve">Rua Caulino 314, 4445-259 Alfena </t>
  </si>
  <si>
    <t>Camino Robledo de Chavela, 9B, Puertas 1-8, Valdemorillo, Madrid, España</t>
  </si>
  <si>
    <t>Plot No. PAP-K-27, Phase II, MIDC Chakan, Industrial Area Savardari Taluka Khed Pune - 410501 Maharastra, INDIA</t>
  </si>
  <si>
    <t>Oxford 30, Col. Juárez, Cuauhtémoc 06600, Mexico City</t>
  </si>
  <si>
    <t>3, R-01-26, Setia Triangle, Persiaran Kelicap, 11900 Bayan Lepas Palau Pinang</t>
  </si>
  <si>
    <t>Current Apple Programs Supported
 (List Program Name or N/A)</t>
  </si>
  <si>
    <t>N/A</t>
  </si>
  <si>
    <t>EQ Type manufactured in above location for Apple
(Dispense, Pick and place, Assembly, Die Attach, Wire Bond, Test, etc)</t>
  </si>
  <si>
    <t>EQ Type manufactured in above location for other customers
(Dispense, Pick and place, Assembly, Die Attach, Wire Bond, Test, etc)</t>
  </si>
  <si>
    <t xml:space="preserve">PCB Testing (in-line and off-line), In-Circuit Test (ICT), Boundary Scan, ICT/Flash and Functional Test (FCT), Fixtures (bed-of-nails, consoles, etc.), Customized PCB Solutions, Product Testing (Flash, Functional Test, Troubleshooting), Vision Calibration &amp; Validation,  Automated Optical Inspection, Camera Calibration, Quality Control, Highly Accelerated Life Test (HALT), Vibration test, Exercisers' testing, Assembly machines and full automatic lines with different tecnologies (screwdriving, gluing dispensing, vision inspection 2D/3D, robots)
</t>
  </si>
  <si>
    <t>Reflow Pallets (using High Temperature Aluminium and Glass Epoxy sheets), Routing Pallets, Panel Assembly Screw Jigs, Under Fill Pallets, Wave Solder Pallets, Printing Carrier Pallets, X Ray Pallets, Conformal Coating Pallets, SMT Laser Cut Stencils, Step up and Step Down Stencils, BGA Reballing Stencils, 3D Stencils, Pump Print Stencils, Screen Printing Supporting Tools, PCB Supporting Magetic Pillar and custom jigs to EMS industry.</t>
  </si>
  <si>
    <t>Local Support</t>
  </si>
  <si>
    <t>Facility Floor Space (Square Meters)</t>
    <phoneticPr fontId="0" type="noConversion"/>
  </si>
  <si>
    <t>6000 m2</t>
  </si>
  <si>
    <t>Facility Headcount (HC)
(PM, Engineering, Production, OSS, Supply Chain, Quality, Shipping &amp; Logistics, R&amp;D, Sales &amp; Marketing, Executive)</t>
  </si>
  <si>
    <t>Average Weekly Manufacturing Capacity
(by volume of units shipped)</t>
  </si>
  <si>
    <t> </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</si>
  <si>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</si>
  <si>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</si>
  <si>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</si>
  <si>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</si>
  <si>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</si>
  <si>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</si>
  <si>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worldwide support</t>
  </si>
  <si>
    <t>All India Customers covering Automotive, Consumer Electronics, EMS Companies</t>
  </si>
  <si>
    <t>Mexico, United States, Brasil, Canada</t>
  </si>
  <si>
    <t>Are there any Global expansion plans in the future for Manufacturing? Please desrcibe in detail.</t>
  </si>
  <si>
    <t>What are all the key subcomponent vendors used and where are they located (city, country)? Please provide rough volume &amp; spend with key subcomponent vendors as well.</t>
  </si>
  <si>
    <t>Portugal	62,85%
Alemanha	14,82%
Espanha	9,90%
E. Unidos da América	5,28%
Holanda	1,10%</t>
  </si>
  <si>
    <t>Any previous issues faced in shipping to certain countries?</t>
  </si>
  <si>
    <t>no</t>
  </si>
  <si>
    <t>What are the key supply chain tactics being followed?</t>
  </si>
  <si>
    <t>Are there any inhouse machining / job shop capabilities? If so, please explain in detail in terms of machine qty available (CNC, Mill, Lathe, EDM Weld, etc.), volume produced, &amp; available capacity.</t>
  </si>
  <si>
    <t xml:space="preserve">4 CNC, 2 Router CNC, 1 EDm Weld.
80% in use but can be added more 30% capacity in few weeks. </t>
  </si>
  <si>
    <t>What are the incoming (IQC), in process (IPQC), and outgoing (OQC) quality control systems and/or processes? Please desrcibe in detail.</t>
  </si>
  <si>
    <t>Our quality control system covers Incoming (IQC), In-Process (IPQC), and Outgoing (OQC) stages to ensure product conformity, safety, and regulatory compliance.
IQC: Qualified suppliers and partners are selected based on defined technical, quality, and regulatory criteria. Incoming materials and components are subject to reception inspection, including specification verification and documentation review. Non-conforming items are identified and controlled.
IPQC: In-process quality control is applied through inspections and validations at key process stages. Critical parameters are monitored according to control plans and work instructions, ensuring process stability, industrial safety, and product conformity.
OQC: Final inspections and functional checks are performed prior to shipment to confirm compliance with technical requirements and applicable standards. CE conformity and related documentation are verified before product release.</t>
  </si>
  <si>
    <t>Are there ERP system and processes, including any automation or integration functionality across EQ manufacturing supply chain? Please desrcibe in detail.</t>
  </si>
  <si>
    <t>Yes, we have an ERP system implemented that covers processes such as purchasing, sales, project management, human resources, accounting, and finance. The system includes automated workflows for purchase orders and inventory updates, and it is integrated with our VMPlan, Power BI, CUBO, and Supply Manager systems to ensure real-time data exchange across the entire manufacturing supply chain. This integration ensures full traceability, improves efficiency, and supports proactive decision-making</t>
  </si>
  <si>
    <t>What are the supply chain resiliency plans to ensure no distruption in supply?</t>
  </si>
  <si>
    <t>Our supply chain resiliency plans focus on minimizing risks and ensuring continuity of supply through several key strategies:
Diversification of Suppliers: We work with multiple suppliers across different regions to reduce dependency on a single source.
Inventory Management: We maintain safety stock levels .
Risk Assessment and Monitoring: We continuously monitor geopolitical, environmental, and market risks to take proactive measures.
Contingency Planning: We have alternative sourcing options to respond quickly to emergencies.
Collaboration and Communication: We maintain strong relationships with suppliers and partners to ensure transparency and rapid response during unexpected events..</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</si>
  <si>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</si>
  <si>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</si>
  <si>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</si>
  <si>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</si>
  <si>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</si>
  <si>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</si>
  <si>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</si>
  <si>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</si>
  <si>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</si>
  <si>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</si>
  <si>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Germany</t>
  </si>
  <si>
    <t>USA</t>
  </si>
  <si>
    <t>INDIA</t>
  </si>
  <si>
    <t>Total Field Service Engineers - L1 (HC)</t>
  </si>
  <si>
    <t>Total Field Service Engineers - L2 (HC)</t>
  </si>
  <si>
    <t>Total Field Service Engineers - L3 (HC)</t>
  </si>
  <si>
    <t>Support Capabilities in Region - Total # of Units (QTY)</t>
  </si>
  <si>
    <t>Hiring Difficulty in Region (High/Medium/Low)</t>
  </si>
  <si>
    <t>Medium</t>
  </si>
  <si>
    <t>Low</t>
  </si>
  <si>
    <t>Dispatch Difficulty from Region (High/Medium/Low)</t>
  </si>
  <si>
    <t>Regions Served (Countries &amp; QTY)</t>
  </si>
  <si>
    <t>Global</t>
  </si>
  <si>
    <t>Germany, France, Poland</t>
  </si>
  <si>
    <t>USA, Canada</t>
  </si>
  <si>
    <t>Malaysia, Vietname, Thailand, China</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</si>
  <si>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</si>
  <si>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</si>
  <si>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</si>
  <si>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</si>
  <si>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</si>
  <si>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</si>
  <si>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</si>
  <si>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</si>
  <si>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</si>
  <si>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</si>
  <si>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</si>
  <si>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</si>
  <si>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</si>
  <si>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</si>
  <si>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</si>
  <si>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</si>
  <si>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</si>
  <si>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</si>
  <si>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</si>
  <si>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</si>
  <si>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</si>
  <si>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</si>
  <si>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</si>
  <si>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</si>
  <si>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US:
China:
India:
Vietnam:
Thailand:
Brazil:
ETC:</t>
  </si>
  <si>
    <t>Please add geographic breakdown of 2024/2025 Engineering resources by geography in the comments section
Suggested geogrpahies already incldued, feel free to edit/add/subtract geogrpahies as necessary</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</si>
  <si>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</si>
  <si>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</si>
  <si>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</si>
  <si>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</si>
  <si>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</si>
  <si>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</si>
  <si>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</si>
  <si>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</si>
  <si>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</si>
  <si>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</si>
  <si>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</si>
  <si>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Project Management Process</t>
  </si>
  <si>
    <r>
      <t xml:space="preserve">The project execution process begins with the </t>
    </r>
    <r>
      <rPr>
        <b/>
        <sz val="12"/>
        <color theme="1"/>
        <rFont val="Calibri"/>
        <family val="2"/>
        <scheme val="minor"/>
      </rPr>
      <t>assignment of a Project Manager (PM)</t>
    </r>
    <r>
      <rPr>
        <sz val="12"/>
        <color theme="1"/>
        <rFont val="Calibri"/>
        <family val="2"/>
        <scheme val="minor"/>
      </rPr>
      <t xml:space="preserve"> by the </t>
    </r>
    <r>
      <rPr>
        <b/>
        <sz val="12"/>
        <color theme="1"/>
        <rFont val="Calibri"/>
        <family val="2"/>
        <scheme val="minor"/>
      </rPr>
      <t>Project Management Office (PMO)</t>
    </r>
    <r>
      <rPr>
        <sz val="12"/>
        <color theme="1"/>
        <rFont val="Calibri"/>
        <family val="2"/>
        <scheme val="minor"/>
      </rPr>
      <t>.</t>
    </r>
  </si>
  <si>
    <r>
      <t xml:space="preserve">The </t>
    </r>
    <r>
      <rPr>
        <b/>
        <sz val="12"/>
        <color theme="1"/>
        <rFont val="Calibri"/>
        <family val="2"/>
        <scheme val="minor"/>
      </rPr>
      <t>PM assignment</t>
    </r>
    <r>
      <rPr>
        <sz val="12"/>
        <color theme="1"/>
        <rFont val="Calibri"/>
        <family val="2"/>
        <scheme val="minor"/>
      </rPr>
      <t xml:space="preserve"> is carefully determined based on, proven experience in the relevant project domain, </t>
    </r>
  </si>
  <si>
    <t>in-depth knowledge of the customer and industry, project complexity, delivery requirements and stratefic objectives</t>
  </si>
  <si>
    <r>
      <t xml:space="preserve">The appointed </t>
    </r>
    <r>
      <rPr>
        <b/>
        <sz val="12"/>
        <color theme="1"/>
        <rFont val="Calibri"/>
        <family val="2"/>
        <scheme val="minor"/>
      </rPr>
      <t>Project Manager</t>
    </r>
    <r>
      <rPr>
        <sz val="12"/>
        <color theme="1"/>
        <rFont val="Calibri"/>
        <family val="2"/>
        <scheme val="minor"/>
      </rPr>
      <t xml:space="preserve"> assumes end-to-end responsibility for the project, including:</t>
    </r>
  </si>
  <si>
    <r>
      <t xml:space="preserve">- Coordinating and aligning with </t>
    </r>
    <r>
      <rPr>
        <b/>
        <sz val="11"/>
        <color theme="1"/>
        <rFont val="Calibri"/>
        <family val="2"/>
        <scheme val="minor"/>
      </rPr>
      <t>internal technical and engineering teams</t>
    </r>
    <r>
      <rPr>
        <sz val="11"/>
        <color theme="1"/>
        <rFont val="Calibri"/>
        <family val="2"/>
        <scheme val="minor"/>
      </rPr>
      <t xml:space="preserve"> to define and develop the optimal solution</t>
    </r>
  </si>
  <si>
    <r>
      <t xml:space="preserve">- Leading </t>
    </r>
    <r>
      <rPr>
        <b/>
        <sz val="11"/>
        <color theme="1"/>
        <rFont val="Calibri"/>
        <family val="2"/>
        <scheme val="minor"/>
      </rPr>
      <t>solution validation, alignment, and approval</t>
    </r>
    <r>
      <rPr>
        <sz val="11"/>
        <color theme="1"/>
        <rFont val="Calibri"/>
        <family val="2"/>
        <scheme val="minor"/>
      </rPr>
      <t xml:space="preserve"> with the customer</t>
    </r>
  </si>
  <si>
    <r>
      <t xml:space="preserve">- Establishing and managing the </t>
    </r>
    <r>
      <rPr>
        <b/>
        <sz val="11"/>
        <color theme="1"/>
        <rFont val="Calibri"/>
        <family val="2"/>
        <scheme val="minor"/>
      </rPr>
      <t>project plan</t>
    </r>
    <r>
      <rPr>
        <sz val="11"/>
        <color theme="1"/>
        <rFont val="Calibri"/>
        <family val="2"/>
        <scheme val="minor"/>
      </rPr>
      <t>, scope, timeline, and resources</t>
    </r>
  </si>
  <si>
    <r>
      <t xml:space="preserve">- Monitoring and controlling </t>
    </r>
    <r>
      <rPr>
        <b/>
        <sz val="11"/>
        <color theme="1"/>
        <rFont val="Calibri"/>
        <family val="2"/>
        <scheme val="minor"/>
      </rPr>
      <t>key milestones, deliverables, and risks</t>
    </r>
  </si>
  <si>
    <r>
      <t xml:space="preserve">- Ensuring </t>
    </r>
    <r>
      <rPr>
        <b/>
        <sz val="11"/>
        <color theme="1"/>
        <rFont val="Calibri"/>
        <family val="2"/>
        <scheme val="minor"/>
      </rPr>
      <t>transparent and structured communication</t>
    </r>
    <r>
      <rPr>
        <sz val="11"/>
        <color theme="1"/>
        <rFont val="Calibri"/>
        <family val="2"/>
        <scheme val="minor"/>
      </rPr>
      <t xml:space="preserve"> with the customer through regular status and governance meetings</t>
    </r>
  </si>
  <si>
    <r>
      <t xml:space="preserve">The project management lifecycle is supported by </t>
    </r>
    <r>
      <rPr>
        <b/>
        <sz val="12"/>
        <color theme="1"/>
        <rFont val="Calibri"/>
        <family val="2"/>
        <scheme val="minor"/>
      </rPr>
      <t>internal software platforms</t>
    </r>
    <r>
      <rPr>
        <sz val="12"/>
        <color theme="1"/>
        <rFont val="Calibri"/>
        <family val="2"/>
        <scheme val="minor"/>
      </rPr>
      <t>, providing:</t>
    </r>
  </si>
  <si>
    <r>
      <t xml:space="preserve">- Full visibility of </t>
    </r>
    <r>
      <rPr>
        <b/>
        <sz val="11"/>
        <color theme="1"/>
        <rFont val="Calibri"/>
        <family val="2"/>
        <scheme val="minor"/>
      </rPr>
      <t>order and project status</t>
    </r>
  </si>
  <si>
    <r>
      <t xml:space="preserve">- Real-time tracking of </t>
    </r>
    <r>
      <rPr>
        <b/>
        <sz val="11"/>
        <color theme="1"/>
        <rFont val="Calibri"/>
        <family val="2"/>
        <scheme val="minor"/>
      </rPr>
      <t>tasks and activities</t>
    </r>
  </si>
  <si>
    <r>
      <t xml:space="preserve">- Monitoring of </t>
    </r>
    <r>
      <rPr>
        <b/>
        <sz val="11"/>
        <color theme="1"/>
        <rFont val="Calibri"/>
        <family val="2"/>
        <scheme val="minor"/>
      </rPr>
      <t>key performance indicators (KPIs)</t>
    </r>
    <r>
      <rPr>
        <sz val="11"/>
        <color theme="1"/>
        <rFont val="Calibri"/>
        <family val="2"/>
        <scheme val="minor"/>
      </rPr>
      <t xml:space="preserve"> to ensure delivery excellence and continuous improvement</t>
    </r>
  </si>
  <si>
    <t>The project phases and milestones are listed on the following table for easy understanding:</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</si>
  <si>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</si>
  <si>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</si>
  <si>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</si>
  <si>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</si>
  <si>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</si>
  <si>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</si>
  <si>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</si>
  <si>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</si>
  <si>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</si>
  <si>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</si>
  <si>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</si>
  <si>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</si>
  <si>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</si>
  <si>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</si>
  <si>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</si>
  <si>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</si>
  <si>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</si>
  <si>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</si>
  <si>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</si>
  <si>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</si>
  <si>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</si>
  <si>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</si>
  <si>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</si>
  <si>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</si>
  <si>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</si>
  <si>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</si>
  <si>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</si>
  <si>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</si>
  <si>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</si>
  <si>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High</t>
  </si>
  <si>
    <t>Outsourced?</t>
  </si>
  <si>
    <t>Core Competencies</t>
  </si>
  <si>
    <t>Integration of mechanical, electrical, and software systems for automated production lines.</t>
  </si>
  <si>
    <t>Development and integration of industrial software with PLCs, Robots and HMIs for process control, including creation of automated test sequences for functional validation</t>
  </si>
  <si>
    <t>Design of tailored automation solutions combining robotics, vision, and control architectures.</t>
  </si>
  <si>
    <t>Designing and manufacturing of fixtures for assembly and testing with precision</t>
  </si>
  <si>
    <t>Controlled application of adhesives or sealants</t>
  </si>
  <si>
    <t>Laser-based operations such as marking, engraving, or cutting integrated with automation.</t>
  </si>
  <si>
    <t>Surface activation and thermal curing processes for bonding or stabilization.</t>
  </si>
  <si>
    <t>Automated component handling and attachment using robotic systems and precision alignment.</t>
  </si>
  <si>
    <t>Automated or semi-automated assembly of modules with traceability and quality control.</t>
  </si>
  <si>
    <t>NA</t>
  </si>
  <si>
    <t>Measurement of luminance, contrast, color uniformity, and detection of visual defects such as flicker and MURA</t>
  </si>
  <si>
    <t>Validation of button actuation force</t>
  </si>
  <si>
    <t>Measurement of force or torque during assembly or functional validation.</t>
  </si>
  <si>
    <t xml:space="preserve">Capability on designing and building the machine with optical targets and fixtures, ensuring alignment and mechanical precision. </t>
  </si>
  <si>
    <t>Design and integration of vision systems for inspection, guidance, and code reading</t>
  </si>
  <si>
    <t>Controlled lighting systems for vision inspection and optical measurements or sensor Calibration</t>
  </si>
  <si>
    <t>Precision measurement and calibration of components</t>
  </si>
  <si>
    <t>Application of AI/ML for defect detection, vision algorithms, and data analytics</t>
  </si>
  <si>
    <t>Dedicated Resourcing (HC)
(PM, Engineering, Production, OSS, etc.)</t>
  </si>
  <si>
    <t>Resources distributed on different categories with more than 1 competences</t>
  </si>
  <si>
    <t>Equipment Type &amp; Key Technologies</t>
  </si>
  <si>
    <t xml:space="preserve">Complete automated lines, automated test benches.
PLCs, Robots, Vision Systems, Process Equipments, Testing Equipments, industrial networking </t>
  </si>
  <si>
    <t>C# / Python / Lbaview / Teststand /Nexeed
Siemens / Beckhoff / Allen Bradley / Omron</t>
  </si>
  <si>
    <t>Tailored robotic cells, multi-axis automation platforms.
Robotics (KUKA, ABB, FANUC), motion control, custom software frameworks.</t>
  </si>
  <si>
    <t>Mechanical fixtures, pneumatic/electrical jigs.
CAD/CAM design, CNC machining, quick-change over</t>
  </si>
  <si>
    <t xml:space="preserve"> Adhesive dispensing stations.
 Precision pumps, vision-guided bead inspection, curing systems.</t>
  </si>
  <si>
    <t>Laser marking/engraving stations</t>
  </si>
  <si>
    <t>Plasma surface activation units, curing ovens.
Plasma generators, thermal control systems, bonding process monitoring.</t>
  </si>
  <si>
    <t>Robotic pick-and-place cells.
Multi-axis robots, vacuum grippers, vision guidance.</t>
  </si>
  <si>
    <t>Semi/fully automated assembly lines.
Robotics, torque tools, traceability systems, screwdriving, adhesive application, welding, and curing processes.</t>
  </si>
  <si>
    <t>Optical test stations for displays.
Luminance meters, colorimeters, flicker and MURA. LMK/Cognex/NI/Konica Minolta/Admesy</t>
  </si>
  <si>
    <t>Button actuation rigs.
Force sensors</t>
  </si>
  <si>
    <t>Force/torque test benches.
Load cells, servo actuators, data acquisition systems</t>
  </si>
  <si>
    <t>Vision inspection cells.
NI Vision, Cognex, Halcon, lighting control.</t>
  </si>
  <si>
    <t>Lighting modules for vision systems or sensor calibration.
 LED arrays, diffusers, backlight panels.</t>
  </si>
  <si>
    <t>Data analytics and vision-based AI systems.
ML algorithms for defect detection, predictive analytics.</t>
  </si>
  <si>
    <t>Key Components &amp; Average Annual Spend ($M)
(Prefernce for off the shelf components)</t>
  </si>
  <si>
    <t>This section is not applicable to our operations as we primarily design and manufacture custom automation solutions tailored to specific customer requirements. We do not maintain standardized off-the-shelf components with tracked annual spend, as each project involves unique specifications and bespoke engineering.</t>
  </si>
  <si>
    <t xml:space="preserve">Typcical Development &amp; Equipment Lead Times
(RFP to DFM, KO to ETA, ETA to SAT, OEE, etc.) </t>
  </si>
  <si>
    <t>RFP-DFM: 1-10 weeks
KO-ETA: 10-30 weeks
ETA-SAT: 1-4 weeks</t>
  </si>
  <si>
    <t xml:space="preserve">Time planning of the project depends on the type of project and complexity. Based on this, the time needed was given in a range </t>
  </si>
  <si>
    <t>Competitive Advantage(s)</t>
  </si>
  <si>
    <t>Deep expertise in integrating mechanical, electrical, and software systems with MES/OEE and traceability.
Proven track record with complex automotive assembly lines.</t>
  </si>
  <si>
    <t>Ability to develop custom PLC logic and automated test sequences.
Experience with multiple platforms (Siemens, Beckhoff, Rockwell, Omron).</t>
  </si>
  <si>
    <t>Tailored solutions for unique customer requirements.
Strong capability in combining robotics, vision, and advanced control.</t>
  </si>
  <si>
    <t>In-house design and manufacturing for precision fixtures.
Rapid prototyping and customization for diverse applications.</t>
  </si>
  <si>
    <t>Integration of vision-guided dispensing for quality assurance.
Expertise in adhesive process control and curing (Delo, Scheugenpflug, BD Tronic, Graco)</t>
  </si>
  <si>
    <t>Advanced laser marking with traceability integration.
Compliance with safety standards and robust interlock systems (Macsa, Videojet)</t>
  </si>
  <si>
    <t>Specialized surface activation for bonding reliability.
Controlled thermal curing for high-quality stabilization (Plasmathreat)</t>
  </si>
  <si>
    <t>High-precision robotic handling with vision alignment.
Flexible solutions for multiple component types.</t>
  </si>
  <si>
    <t>Full integration of screwdriving, welding, adhesive, and curing processes.
Scalable semi/fully automated lines with traceability.</t>
  </si>
  <si>
    <t>Compliance with automotive display standards.</t>
  </si>
  <si>
    <t>Accurate force with durability cycles.</t>
  </si>
  <si>
    <t>High-precision load cells and servo systems for torque validation.</t>
  </si>
  <si>
    <t>Expertise in building mechanical test rigs with optical targets.</t>
  </si>
  <si>
    <t>Strong partnership with Halcon/Cognex for advanced vision solutions.
Proven experience in automotive inspection and code reading.</t>
  </si>
  <si>
    <t>Custom lighting setups for vision and optical tests.</t>
  </si>
  <si>
    <t>Application of AI/ML for defect detection</t>
  </si>
  <si>
    <t>Applicable Project Experience
(Year, Machine Description &amp; QTY, Spend, Timeline)</t>
  </si>
  <si>
    <t>Year: 2022
Machine Description: Porsche CMC Assembly and Testing Line
QTY: 1 line
Spend: 1.5-2M€
Timeline: 12 months</t>
  </si>
  <si>
    <t>Year: 2022–2024
Machine Description: GM BMS automated testing line
QTY: 8 lines
Spend: 1-1,5M€
Timeline: 8 Months per line</t>
  </si>
  <si>
    <t>Year: 2020-2026
Machine Description: Mercedes CMTS Machine for Central Computer Infotainment Product
QTY: &gt;40 machines
Spend: 0,7-1.1M€
Timeline: 22 weeks/machine</t>
  </si>
  <si>
    <t>Year: 2023
Machine Description: Fixture Board Level with approx. 2,500 test points for ICT PCB testing
QTY: 8 fixtures
Spend: 20-30K€
Timeline: 8 weeks per fixture</t>
  </si>
  <si>
    <t>Year: 2022
Machine Description:  MINI Cooper Round Display Assembly Line
QTY: 1 line
Spend: 2-2,5M€
Timeline: 14 months</t>
  </si>
  <si>
    <t>Year: 2023–2024
Machine Description: E-bike sensor laser marking integrated in a testing line
QTY: 2 lines
Spend: 400K€
Timeline: 8 months</t>
  </si>
  <si>
    <t>Year: 2024
Machine Description:  Medical component assembly
QTY: 1 line
Spend: 400-600K€
Timeline: 12 months</t>
  </si>
  <si>
    <t>Year: 2022
Machine Description: Scania Trucks Square Display Assembly Line
QTY: 1 line
Spend: 2,5-3M€
Timeline: 12 months</t>
  </si>
  <si>
    <t>Year: 2019–2022
Machine Description: VW Display, WPC Calibration and Verification Lines
QTY: 4 lines
Spend: 1,5-2M€
Timeline: 10 months per line</t>
  </si>
  <si>
    <t>Year: 2021
Machine Description: BMW CLAR funcional test SOS button  
QTY: 2 line
Spend: 400-500K€
Timeline: 6-7 months per line</t>
  </si>
  <si>
    <t>Year: 2020–2024
Machine Description: Monitoring system for air vent wheel movement force
QTY: 2 machines
Spend: 250-300K€
Timeline: 6 months per machine</t>
  </si>
  <si>
    <t>Year: 2023–2025
Machine Description: DMS (Driver Monitoring System) camera calibration with targets
QTY: 8 machines
Spend: 200-300K€
Timeline: 6 months per machine</t>
  </si>
  <si>
    <t>Year: 2023
Machine Description: Stellantis BMS pin check integrated into a test line
QTY: 1 line
Spend: 20-50K€
Timeline: 10 weeks</t>
  </si>
  <si>
    <t>Year: 2023
Machine Description: Piston rings defects analysis using machine learning in an IDI project
QTY: 1 machine
Spend: 300-400K€
Timeline: 8 weeks</t>
  </si>
  <si>
    <t>Client / Reference</t>
  </si>
  <si>
    <t>Bosch, Continental, Visteon, Aptiv, Ficosa, Borgwarner, Fagor, AirBus, Clemessy, BHTC, Antolin, Valeo, SEG Automotive, ZF, Preh, Socomec</t>
  </si>
  <si>
    <t>Bosch, Visteon, BHTC</t>
  </si>
  <si>
    <t>Bosch, Visteon, Borgwarner, BHTC</t>
  </si>
  <si>
    <t>BHTC</t>
  </si>
  <si>
    <t>Bosch, Visteon, Borgwarner, Fagor, BHTC, Socomec</t>
  </si>
  <si>
    <t>Bosch, Visteon, Borgwarner, BHTC,   ZF, Preh</t>
  </si>
  <si>
    <t>Visteon</t>
  </si>
  <si>
    <t>Bosch, Visteon, BHTC, APTIV</t>
  </si>
  <si>
    <t>APTIV</t>
  </si>
  <si>
    <t>Bosch, Visteon, Aptiv, Borgwarner, BHTC, Socomec</t>
  </si>
  <si>
    <t>Mahle</t>
  </si>
  <si>
    <t>Client / Reference Email</t>
  </si>
  <si>
    <t>Applicable Apple Experience
(Year, Machine Description &amp; QTY, Spend, Timeline)</t>
  </si>
  <si>
    <t>Apple DRI Name</t>
  </si>
  <si>
    <t>Apple DRI Email</t>
  </si>
  <si>
    <t>Use the blank page to detail your company's technical roadmap for apple or other customers</t>
  </si>
  <si>
    <t>On Execution</t>
  </si>
  <si>
    <t>Create centralized databases to collect operational data from all machines.</t>
  </si>
  <si>
    <t>Develop dashboards for visualization of machine performance, cycle times, and KPIs.</t>
  </si>
  <si>
    <t>Standardize communication protocols (OPC UA, MQTT) for interoperability.</t>
  </si>
  <si>
    <t>Establish cybersecurity measures (data encryption, secure access policies).</t>
  </si>
  <si>
    <t>Fase 1</t>
  </si>
  <si>
    <t>Introduce smart alerts and dashboards with predictive indicators based on thresholds.</t>
  </si>
  <si>
    <t>Perform efficiency analysis, integrated into dashboards.</t>
  </si>
  <si>
    <t>Begin basic data correlation models to identify patterns between failures and operating conditions.</t>
  </si>
  <si>
    <t>Fase 2</t>
  </si>
  <si>
    <t>Develop machine learning models for predictive maintenance using historical and real-time data.</t>
  </si>
  <si>
    <t>Apply anomaly detection for quality and process parameters.</t>
  </si>
  <si>
    <t>Integrate analytics with MES/OEE where customer systems allow.</t>
  </si>
  <si>
    <t>Fase 3</t>
  </si>
  <si>
    <t>Deploy predictive maintenance models across critical equipment.</t>
  </si>
  <si>
    <t>Implement prescriptive analytics to recommend corrective actions.</t>
  </si>
  <si>
    <t>Expand dashboards to include actionable insights for maintenance and process optimization.</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</si>
  <si>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</si>
  <si>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</si>
  <si>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</si>
  <si>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</si>
  <si>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</si>
  <si>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</si>
  <si>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</si>
  <si>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</si>
  <si>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</si>
  <si>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</si>
  <si>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</si>
  <si>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</si>
  <si>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</si>
  <si>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</si>
  <si>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</si>
  <si>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</si>
  <si>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</si>
  <si>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</si>
  <si>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</si>
  <si>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</si>
  <si>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</si>
  <si>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</si>
  <si>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</si>
  <si>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</si>
  <si>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</si>
  <si>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</si>
  <si>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</si>
  <si>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</si>
  <si>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</si>
  <si>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</si>
  <si>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</si>
  <si>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</si>
  <si>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</si>
  <si>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</si>
  <si>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</si>
  <si>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</si>
  <si>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</si>
  <si>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</si>
  <si>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</si>
  <si>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</si>
  <si>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</si>
  <si>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</si>
  <si>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</si>
  <si>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</si>
  <si>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</si>
  <si>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</si>
  <si>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</si>
  <si>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</si>
  <si>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</si>
  <si>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</si>
  <si>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</si>
  <si>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</si>
  <si>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</si>
  <si>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</si>
  <si>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</si>
  <si>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</si>
  <si>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</si>
  <si>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</si>
  <si>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</si>
  <si>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</si>
  <si>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</si>
  <si>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</si>
  <si>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</si>
  <si>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</si>
  <si>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</si>
  <si>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</si>
  <si>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</si>
  <si>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Consumables</t>
  </si>
  <si>
    <t>Greece</t>
  </si>
  <si>
    <t>Other</t>
  </si>
  <si>
    <t>Hungary</t>
  </si>
  <si>
    <t>Indonesia</t>
  </si>
  <si>
    <t>Ireland</t>
  </si>
  <si>
    <t>Israel</t>
  </si>
  <si>
    <t>Italy</t>
  </si>
  <si>
    <t>Japan</t>
  </si>
  <si>
    <t>Korea</t>
  </si>
  <si>
    <t>Latvia</t>
  </si>
  <si>
    <t>Luxembourg</t>
  </si>
  <si>
    <t>Malta</t>
  </si>
  <si>
    <t>Mauritius</t>
  </si>
  <si>
    <t>Morocco</t>
  </si>
  <si>
    <t>Netherlands</t>
  </si>
  <si>
    <t>New Zealand</t>
  </si>
  <si>
    <t>Nicaragua</t>
  </si>
  <si>
    <t>Norway</t>
  </si>
  <si>
    <t>Philippines</t>
  </si>
  <si>
    <t>Poland</t>
  </si>
  <si>
    <t>Puerto Rico</t>
  </si>
  <si>
    <t>Russia</t>
  </si>
  <si>
    <t>Singapore</t>
  </si>
  <si>
    <t>South Africa</t>
  </si>
  <si>
    <t>Sweden</t>
  </si>
  <si>
    <t>Switzerland</t>
  </si>
  <si>
    <t>Taiwan</t>
  </si>
  <si>
    <t>Thailand</t>
  </si>
  <si>
    <t>Tunis</t>
  </si>
  <si>
    <t>Turkey</t>
  </si>
  <si>
    <t>UAE</t>
  </si>
  <si>
    <t>United Kingdom</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</si>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</sst>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42">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sz val="14"/>
      <name val="Helvetica Neue"/>
      <family val="2"/>
    </font>
    <font>
      <sz val="12"/>
      <name val="Helvetica Neue"/>
      <family val="2"/>
    </font>
    <font>
      <b/>
      <u/>
      <sz val="14"/>
      <color theme="1"/>
      <name val="Helvetica Neue"/>
      <family val="2"/>
    </font>
    <font>
      <sz val="14"/>
      <color rgb="FF000000"/>
      <name val="Calibri"/>
      <charset val="1"/>
    </font>
    <font>
      <b/>
      <sz val="12"/>
      <color theme="1"/>
      <name val="Calibri"/>
      <family val="2"/>
      <scheme val="minor"/>
    </font>
    <font>
      <b/>
      <sz val="13.5"/>
      <color theme="1"/>
      <name val="Calibri"/>
      <family val="2"/>
      <scheme val="minor"/>
    </font>
    <font>
      <b/>
      <sz val="11"/>
      <color theme="1"/>
      <name val="Calibri"/>
      <family val="2"/>
      <scheme val="minor"/>
    </font>
    <font>
      <sz val="11"/>
      <color theme="1"/>
      <name val="Calibri"/>
      <family val="2"/>
      <scheme val="minor"/>
    </font>
    <font>
      <b/>
      <sz val="12"/>
      <color rgb="FF000000"/>
      <name val="Segoe UI"/>
    </font>
    <font>
      <sz val="12"/>
      <color rgb="FF000000"/>
      <name val="Calibri"/>
    </font>
    <font>
      <sz val="11"/>
      <color rgb="FF000000"/>
      <name val="Segoe UI"/>
    </font>
    <font>
      <sz val="14"/>
      <color rgb="FF000000"/>
      <name val="Calibri"/>
    </font>
    <font>
      <sz val="14"/>
      <name val="Calibri"/>
    </font>
    <font>
      <sz val="11"/>
      <color rgb="FF000000"/>
      <name val="Calibri"/>
      <family val="2"/>
      <charset val="1"/>
    </font>
    <font>
      <sz val="14"/>
      <color rgb="FF000000"/>
      <name val="Calibri"/>
      <family val="2"/>
    </font>
    <font>
      <sz val="12"/>
      <color rgb="FF000000"/>
      <name val="Helvetica Neue"/>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D9E1F2"/>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105">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3" fontId="12" fillId="5" borderId="9" xfId="0" quotePrefix="1" applyNumberFormat="1" applyFont="1" applyFill="1" applyBorder="1" applyAlignment="1" applyProtection="1">
      <alignment horizontal="center" vertical="center" wrapText="1"/>
      <protection locked="0"/>
    </xf>
    <xf numFmtId="0" fontId="29" fillId="5" borderId="1" xfId="0" applyFont="1" applyFill="1" applyBorder="1" applyAlignment="1" applyProtection="1">
      <alignment horizontal="center" vertical="center" wrapText="1"/>
      <protection locked="0"/>
    </xf>
    <xf numFmtId="0" fontId="31" fillId="0" borderId="0" xfId="0" applyFont="1" applyAlignment="1">
      <alignment vertical="center"/>
    </xf>
    <xf numFmtId="0" fontId="0" fillId="0" borderId="0" xfId="0" applyAlignment="1">
      <alignment horizontal="left" vertical="center" indent="1"/>
    </xf>
    <xf numFmtId="0" fontId="33" fillId="0" borderId="0" xfId="0" applyFont="1" applyAlignment="1">
      <alignment horizontal="left" vertical="center" indent="2"/>
    </xf>
    <xf numFmtId="0" fontId="33" fillId="0" borderId="0" xfId="0" applyFont="1" applyAlignment="1">
      <alignment horizontal="left" vertical="center" indent="1"/>
    </xf>
    <xf numFmtId="0" fontId="33" fillId="0" borderId="0" xfId="0" quotePrefix="1" applyFont="1" applyAlignment="1">
      <alignment horizontal="left" vertical="center" indent="2"/>
    </xf>
    <xf numFmtId="0" fontId="34" fillId="0" borderId="0" xfId="0" applyFont="1"/>
    <xf numFmtId="0" fontId="35" fillId="0" borderId="0" xfId="0" applyFont="1"/>
    <xf numFmtId="0" fontId="36" fillId="0" borderId="0" xfId="0" applyFont="1"/>
    <xf numFmtId="1" fontId="37" fillId="9" borderId="1" xfId="0" applyNumberFormat="1" applyFont="1" applyFill="1" applyBorder="1" applyAlignment="1" applyProtection="1">
      <alignment horizontal="center" vertical="center" wrapText="1"/>
      <protection locked="0"/>
    </xf>
    <xf numFmtId="1" fontId="38" fillId="10" borderId="15" xfId="0" applyNumberFormat="1" applyFont="1" applyFill="1" applyBorder="1" applyAlignment="1" applyProtection="1">
      <alignment horizontal="center" vertical="center" wrapText="1"/>
      <protection locked="0"/>
    </xf>
    <xf numFmtId="1" fontId="38" fillId="10" borderId="16" xfId="0" applyNumberFormat="1" applyFont="1" applyFill="1" applyBorder="1" applyAlignment="1" applyProtection="1">
      <alignment horizontal="center" vertical="center" wrapText="1"/>
      <protection locked="0"/>
    </xf>
    <xf numFmtId="1" fontId="39" fillId="5" borderId="1" xfId="0" applyNumberFormat="1" applyFont="1" applyFill="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0" fontId="40" fillId="9" borderId="1" xfId="0" applyFont="1" applyFill="1" applyBorder="1" applyAlignment="1" applyProtection="1">
      <alignment horizontal="center" vertical="center" wrapText="1"/>
      <protection locked="0"/>
    </xf>
    <xf numFmtId="1" fontId="40" fillId="9" borderId="1" xfId="0" applyNumberFormat="1" applyFont="1" applyFill="1" applyBorder="1" applyAlignment="1" applyProtection="1">
      <alignment horizontal="center" vertical="center" wrapText="1"/>
      <protection locked="0"/>
    </xf>
    <xf numFmtId="0" fontId="12" fillId="10" borderId="15" xfId="0" applyFont="1" applyFill="1" applyBorder="1" applyAlignment="1" applyProtection="1">
      <alignment horizontal="center" vertical="center" wrapText="1"/>
      <protection locked="0"/>
    </xf>
    <xf numFmtId="0" fontId="41" fillId="0" borderId="1" xfId="0" applyFont="1" applyFill="1" applyBorder="1" applyAlignment="1" applyProtection="1">
      <alignment horizontal="center" vertical="center"/>
      <protection locked="0"/>
    </xf>
    <xf numFmtId="0" fontId="41" fillId="0" borderId="15" xfId="0" applyFont="1" applyFill="1" applyBorder="1" applyAlignment="1" applyProtection="1">
      <alignment horizontal="center" vertical="center"/>
      <protection locked="0"/>
    </xf>
    <xf numFmtId="0" fontId="41" fillId="10" borderId="1" xfId="0" applyFont="1" applyFill="1" applyBorder="1" applyAlignment="1" applyProtection="1">
      <alignment horizontal="center" vertical="center"/>
      <protection locked="0"/>
    </xf>
    <xf numFmtId="9" fontId="41" fillId="0" borderId="15" xfId="1" applyFont="1" applyFill="1" applyBorder="1" applyAlignment="1" applyProtection="1">
      <alignment horizontal="center" vertical="center"/>
      <protection locked="0"/>
    </xf>
  </cellXfs>
  <cellStyles count="5">
    <cellStyle name="Comma [0] 2" xfId="4" xr:uid="{286E3D10-827B-F54C-817D-B29004B17F97}"/>
    <cellStyle name="Hipervínculo" xfId="3" builtinId="8"/>
    <cellStyle name="Normal" xfId="0" builtinId="0"/>
    <cellStyle name="Normal 2" xfId="2" xr:uid="{C3243E13-6EF8-E042-BC12-751DCDBFECFE}"/>
    <cellStyle name="Porcentaje" xfId="1" builtinId="5"/>
  </cellStyles>
  <dxfs count="66">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24</xdr:row>
      <xdr:rowOff>28575</xdr:rowOff>
    </xdr:from>
    <xdr:to>
      <xdr:col>13</xdr:col>
      <xdr:colOff>93796</xdr:colOff>
      <xdr:row>52</xdr:row>
      <xdr:rowOff>8827</xdr:rowOff>
    </xdr:to>
    <xdr:pic>
      <xdr:nvPicPr>
        <xdr:cNvPr id="32" name="Imagem 1">
          <a:extLst>
            <a:ext uri="{FF2B5EF4-FFF2-40B4-BE49-F238E27FC236}">
              <a16:creationId xmlns:a16="http://schemas.microsoft.com/office/drawing/2014/main" id="{4E531889-47B2-36E4-CB71-9AD6B27124CC}"/>
            </a:ext>
          </a:extLst>
        </xdr:cNvPr>
        <xdr:cNvPicPr>
          <a:picLocks noChangeAspect="1"/>
        </xdr:cNvPicPr>
      </xdr:nvPicPr>
      <xdr:blipFill>
        <a:blip xmlns:r="http://schemas.openxmlformats.org/officeDocument/2006/relationships" r:embed="rId1"/>
        <a:stretch>
          <a:fillRect/>
        </a:stretch>
      </xdr:blipFill>
      <xdr:spPr>
        <a:xfrm>
          <a:off x="619125" y="6419850"/>
          <a:ext cx="11628571" cy="5580952"/>
        </a:xfrm>
        <a:prstGeom prst="rect">
          <a:avLst/>
        </a:prstGeom>
      </xdr:spPr>
    </xdr:pic>
    <xdr:clientData/>
  </xdr:twoCellAnchor>
  <xdr:twoCellAnchor editAs="oneCell">
    <xdr:from>
      <xdr:col>1</xdr:col>
      <xdr:colOff>57149</xdr:colOff>
      <xdr:row>52</xdr:row>
      <xdr:rowOff>178097</xdr:rowOff>
    </xdr:from>
    <xdr:to>
      <xdr:col>13</xdr:col>
      <xdr:colOff>178925</xdr:colOff>
      <xdr:row>80</xdr:row>
      <xdr:rowOff>65727</xdr:rowOff>
    </xdr:to>
    <xdr:pic>
      <xdr:nvPicPr>
        <xdr:cNvPr id="16" name="Imagem 3">
          <a:extLst>
            <a:ext uri="{FF2B5EF4-FFF2-40B4-BE49-F238E27FC236}">
              <a16:creationId xmlns:a16="http://schemas.microsoft.com/office/drawing/2014/main" id="{083C6837-9B91-113D-D6D6-483983E65DC3}"/>
            </a:ext>
          </a:extLst>
        </xdr:cNvPr>
        <xdr:cNvPicPr>
          <a:picLocks noChangeAspect="1"/>
        </xdr:cNvPicPr>
      </xdr:nvPicPr>
      <xdr:blipFill>
        <a:blip xmlns:r="http://schemas.openxmlformats.org/officeDocument/2006/relationships" r:embed="rId2"/>
        <a:stretch>
          <a:fillRect/>
        </a:stretch>
      </xdr:blipFill>
      <xdr:spPr>
        <a:xfrm>
          <a:off x="466724" y="12170072"/>
          <a:ext cx="11866101" cy="5488330"/>
        </a:xfrm>
        <a:prstGeom prst="rect">
          <a:avLst/>
        </a:prstGeom>
      </xdr:spPr>
    </xdr:pic>
    <xdr:clientData/>
  </xdr:twoCellAnchor>
  <xdr:twoCellAnchor editAs="oneCell">
    <xdr:from>
      <xdr:col>1</xdr:col>
      <xdr:colOff>38099</xdr:colOff>
      <xdr:row>81</xdr:row>
      <xdr:rowOff>104776</xdr:rowOff>
    </xdr:from>
    <xdr:to>
      <xdr:col>13</xdr:col>
      <xdr:colOff>178793</xdr:colOff>
      <xdr:row>104</xdr:row>
      <xdr:rowOff>122963</xdr:rowOff>
    </xdr:to>
    <xdr:pic>
      <xdr:nvPicPr>
        <xdr:cNvPr id="29" name="Imagem 5">
          <a:extLst>
            <a:ext uri="{FF2B5EF4-FFF2-40B4-BE49-F238E27FC236}">
              <a16:creationId xmlns:a16="http://schemas.microsoft.com/office/drawing/2014/main" id="{2C957043-B3DD-DFD6-185A-8ADD8D8883DC}"/>
            </a:ext>
          </a:extLst>
        </xdr:cNvPr>
        <xdr:cNvPicPr>
          <a:picLocks noChangeAspect="1"/>
        </xdr:cNvPicPr>
      </xdr:nvPicPr>
      <xdr:blipFill>
        <a:blip xmlns:r="http://schemas.openxmlformats.org/officeDocument/2006/relationships" r:embed="rId3"/>
        <a:stretch>
          <a:fillRect/>
        </a:stretch>
      </xdr:blipFill>
      <xdr:spPr>
        <a:xfrm>
          <a:off x="447674" y="17897476"/>
          <a:ext cx="11885019" cy="461876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Fernando Leite" id="{2C79B934-3521-4D19-9108-4929A71FB209}" userId="S::fernandoleite@pt.controlar.com::68560949-2895-4026-b196-df43bb8f5c9c" providerId="AD"/>
  <person displayName="Angelica Miranda" id="{B6B498D3-8783-4709-9081-E7CD65B8F3C4}" userId="S::angelicamiranda@pt.controlar.com::2c2745d3-b01c-49af-9772-f890b78358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5-12-17T18:35:10.63" personId="{B6B498D3-8783-4709-9081-E7CD65B8F3C4}" id="{E0D324DC-0A87-47C1-AC3B-5AA8DC7BC5EC}">
    <text>The company is not a publicly listed company.</text>
  </threadedComment>
</ThreadedComments>
</file>

<file path=xl/threadedComments/threadedComment2.xml><?xml version="1.0" encoding="utf-8"?>
<ThreadedComments xmlns="http://schemas.microsoft.com/office/spreadsheetml/2018/threadedcomments" xmlns:x="http://schemas.openxmlformats.org/spreadsheetml/2006/main">
  <threadedComment ref="C11" dT="2025-12-18T14:03:41.88" personId="{2C79B934-3521-4D19-9108-4929A71FB209}" id="{BC0025B6-4942-40A2-8E4D-42C36DD48A8B}">
    <text>We don't have mass production</text>
  </threadedComment>
</ThreadedComment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8" sqref="B8"/>
    </sheetView>
  </sheetViews>
  <sheetFormatPr defaultColWidth="10.875" defaultRowHeight="20.100000000000001"/>
  <cols>
    <col min="1" max="1" width="10.875" style="48"/>
    <col min="2" max="2" width="200.875" style="10" customWidth="1"/>
    <col min="3" max="16384" width="10.875" style="48"/>
  </cols>
  <sheetData>
    <row r="2" spans="2:2" ht="21.95">
      <c r="B2" s="8" t="s">
        <v>0</v>
      </c>
    </row>
    <row r="3" spans="2:2" ht="21.95">
      <c r="B3" s="41" t="s">
        <v>1</v>
      </c>
    </row>
    <row r="4" spans="2:2" ht="84">
      <c r="B4" s="9" t="s">
        <v>2</v>
      </c>
    </row>
    <row r="5" spans="2:2" ht="21.95">
      <c r="B5" s="41" t="s">
        <v>3</v>
      </c>
    </row>
    <row r="6" spans="2:2" ht="42">
      <c r="B6" s="9" t="s">
        <v>4</v>
      </c>
    </row>
    <row r="7" spans="2:2" ht="21.95">
      <c r="B7" s="41" t="s">
        <v>5</v>
      </c>
    </row>
    <row r="8" spans="2:2" ht="294">
      <c r="B8" s="9" t="s">
        <v>6</v>
      </c>
    </row>
    <row r="9" spans="2:2" ht="21.95">
      <c r="B9" s="41" t="s">
        <v>7</v>
      </c>
    </row>
    <row r="10" spans="2:2" ht="21.95">
      <c r="B10" s="9" t="s">
        <v>8</v>
      </c>
    </row>
    <row r="11" spans="2:2" ht="21.95">
      <c r="B11" s="41" t="s">
        <v>9</v>
      </c>
    </row>
    <row r="12" spans="2:2" ht="42">
      <c r="B12" s="9" t="s">
        <v>10</v>
      </c>
    </row>
    <row r="13" spans="2:2" ht="21.95">
      <c r="B13" s="41" t="s">
        <v>11</v>
      </c>
    </row>
    <row r="14" spans="2:2" ht="84">
      <c r="B14" s="67" t="s">
        <v>12</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2" workbookViewId="0">
      <selection activeCell="B8" sqref="B8"/>
    </sheetView>
  </sheetViews>
  <sheetFormatPr defaultColWidth="10.875" defaultRowHeight="20.100000000000001"/>
  <cols>
    <col min="1" max="1" width="10.875" style="48"/>
    <col min="2" max="2" width="200.875" style="10" customWidth="1"/>
    <col min="3" max="16384" width="10.875" style="48"/>
  </cols>
  <sheetData>
    <row r="2" spans="2:2" ht="21.95">
      <c r="B2" s="8" t="s">
        <v>13</v>
      </c>
    </row>
    <row r="3" spans="2:2" ht="21.95">
      <c r="B3" s="40" t="s">
        <v>14</v>
      </c>
    </row>
    <row r="4" spans="2:2" ht="42">
      <c r="B4" s="9" t="s">
        <v>15</v>
      </c>
    </row>
    <row r="5" spans="2:2" ht="21.95">
      <c r="B5" s="41" t="s">
        <v>16</v>
      </c>
    </row>
    <row r="6" spans="2:2" ht="42">
      <c r="B6" s="9" t="s">
        <v>17</v>
      </c>
    </row>
    <row r="7" spans="2:2" ht="21.95">
      <c r="B7" s="41" t="s">
        <v>18</v>
      </c>
    </row>
    <row r="8" spans="2:2" ht="63.95">
      <c r="B8" s="9" t="s">
        <v>19</v>
      </c>
    </row>
    <row r="9" spans="2:2" ht="21.95">
      <c r="B9" s="41" t="s">
        <v>20</v>
      </c>
    </row>
    <row r="10" spans="2:2" ht="42">
      <c r="B10" s="9" t="s">
        <v>21</v>
      </c>
    </row>
    <row r="11" spans="2:2" ht="21.95">
      <c r="B11" s="41" t="s">
        <v>22</v>
      </c>
    </row>
    <row r="12" spans="2:2" ht="105">
      <c r="B12" s="9" t="s">
        <v>23</v>
      </c>
    </row>
    <row r="13" spans="2:2" ht="21.95">
      <c r="B13" s="41" t="s">
        <v>24</v>
      </c>
    </row>
    <row r="14" spans="2:2" ht="84">
      <c r="B14" s="9" t="s">
        <v>25</v>
      </c>
    </row>
    <row r="15" spans="2:2" ht="21.95">
      <c r="B15" s="41" t="s">
        <v>26</v>
      </c>
    </row>
    <row r="16" spans="2:2" ht="168">
      <c r="B16" s="9" t="s">
        <v>27</v>
      </c>
    </row>
    <row r="17" spans="2:2" ht="21.95">
      <c r="B17" s="41" t="s">
        <v>28</v>
      </c>
    </row>
    <row r="18" spans="2:2" ht="42">
      <c r="B18" s="9" t="s">
        <v>29</v>
      </c>
    </row>
    <row r="19" spans="2:2" ht="21.95">
      <c r="B19" s="41" t="s">
        <v>30</v>
      </c>
    </row>
    <row r="20" spans="2:2" ht="105">
      <c r="B20" s="9" t="s">
        <v>31</v>
      </c>
    </row>
    <row r="21" spans="2:2" ht="21.95">
      <c r="B21" s="41" t="s">
        <v>32</v>
      </c>
    </row>
    <row r="22" spans="2:2" ht="63">
      <c r="B22" s="9" t="s">
        <v>33</v>
      </c>
    </row>
    <row r="23" spans="2:2" ht="21.95">
      <c r="B23" s="41" t="s">
        <v>34</v>
      </c>
    </row>
    <row r="24" spans="2:2" ht="210">
      <c r="B24" s="9" t="s">
        <v>35</v>
      </c>
    </row>
    <row r="25" spans="2:2" ht="21.95">
      <c r="B25" s="41" t="s">
        <v>36</v>
      </c>
    </row>
    <row r="26" spans="2:2" ht="147">
      <c r="B26" s="9" t="s">
        <v>37</v>
      </c>
    </row>
    <row r="27" spans="2:2" ht="21.95">
      <c r="B27" s="41" t="s">
        <v>38</v>
      </c>
    </row>
    <row r="28" spans="2:2" ht="42">
      <c r="B28" s="9" t="s">
        <v>39</v>
      </c>
    </row>
    <row r="29" spans="2:2" ht="21.95">
      <c r="B29" s="41" t="s">
        <v>40</v>
      </c>
    </row>
    <row r="30" spans="2:2" ht="42">
      <c r="B30" s="9" t="s">
        <v>41</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defaultColWidth="10.875" defaultRowHeight="20.100000000000001"/>
  <cols>
    <col min="1" max="1" width="10.875" style="48"/>
    <col min="2" max="2" width="141.5" style="10" customWidth="1"/>
    <col min="3" max="3" width="40.875" style="13" customWidth="1"/>
    <col min="4" max="16384" width="10.875" style="48"/>
  </cols>
  <sheetData>
    <row r="2" spans="2:3" ht="21.95">
      <c r="B2" s="8" t="s">
        <v>42</v>
      </c>
      <c r="C2" s="11"/>
    </row>
    <row r="3" spans="2:3" ht="21.95">
      <c r="B3" s="40" t="s">
        <v>43</v>
      </c>
      <c r="C3" s="11"/>
    </row>
    <row r="4" spans="2:3" ht="235.5">
      <c r="B4" s="12" t="s">
        <v>44</v>
      </c>
      <c r="C4" s="47"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B15" zoomScaleNormal="100" workbookViewId="0">
      <selection activeCell="C5" sqref="C5"/>
    </sheetView>
  </sheetViews>
  <sheetFormatPr defaultColWidth="10.875" defaultRowHeight="18.9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46</v>
      </c>
    </row>
    <row r="2" spans="1:7" ht="26.1" customHeight="1">
      <c r="A2" s="15">
        <v>1</v>
      </c>
      <c r="B2" s="16" t="s">
        <v>47</v>
      </c>
      <c r="C2" s="17" t="s">
        <v>48</v>
      </c>
    </row>
    <row r="3" spans="1:7" ht="26.1" customHeight="1">
      <c r="A3" s="15">
        <v>2</v>
      </c>
      <c r="B3" s="16" t="s">
        <v>49</v>
      </c>
      <c r="C3" s="18" t="s">
        <v>50</v>
      </c>
    </row>
    <row r="4" spans="1:7" ht="26.1" customHeight="1">
      <c r="A4" s="15">
        <v>3</v>
      </c>
      <c r="B4" s="16" t="s">
        <v>51</v>
      </c>
      <c r="C4" s="18" t="s">
        <v>52</v>
      </c>
      <c r="E4" s="19"/>
    </row>
    <row r="5" spans="1:7" ht="26.1" customHeight="1">
      <c r="A5" s="15">
        <v>4</v>
      </c>
      <c r="B5" s="16" t="s">
        <v>53</v>
      </c>
      <c r="C5" s="18" t="s">
        <v>54</v>
      </c>
      <c r="E5" s="19"/>
    </row>
    <row r="6" spans="1:7" ht="26.1" customHeight="1">
      <c r="A6" s="15">
        <v>5</v>
      </c>
      <c r="B6" s="16" t="s">
        <v>55</v>
      </c>
      <c r="C6" s="20" t="s">
        <v>56</v>
      </c>
      <c r="E6" s="19"/>
    </row>
    <row r="7" spans="1:7" ht="26.1" customHeight="1">
      <c r="A7" s="15">
        <v>6</v>
      </c>
      <c r="B7" s="16" t="s">
        <v>57</v>
      </c>
      <c r="C7" s="18" t="s">
        <v>58</v>
      </c>
      <c r="E7" s="19"/>
    </row>
    <row r="8" spans="1:7" ht="26.1" customHeight="1">
      <c r="A8" s="15">
        <v>7</v>
      </c>
      <c r="B8" s="16" t="s">
        <v>59</v>
      </c>
      <c r="C8" s="18"/>
    </row>
    <row r="9" spans="1:7" ht="26.1" customHeight="1">
      <c r="A9" s="15">
        <v>8</v>
      </c>
      <c r="B9" s="16" t="s">
        <v>60</v>
      </c>
      <c r="C9" s="18"/>
    </row>
    <row r="10" spans="1:7" ht="26.1" customHeight="1">
      <c r="A10" s="15">
        <v>9</v>
      </c>
      <c r="B10" s="16" t="s">
        <v>61</v>
      </c>
      <c r="C10" s="18">
        <v>361</v>
      </c>
    </row>
    <row r="11" spans="1:7">
      <c r="A11" s="15">
        <v>10</v>
      </c>
      <c r="B11" s="16" t="s">
        <v>62</v>
      </c>
      <c r="C11" s="18">
        <v>1995</v>
      </c>
    </row>
    <row r="12" spans="1:7">
      <c r="A12" s="15">
        <v>11</v>
      </c>
      <c r="B12" s="16" t="s">
        <v>63</v>
      </c>
      <c r="C12" s="18">
        <v>2025</v>
      </c>
      <c r="F12" s="21"/>
    </row>
    <row r="15" spans="1:7" ht="39.950000000000003">
      <c r="B15" s="24" t="s">
        <v>64</v>
      </c>
      <c r="C15" s="25" t="s">
        <v>65</v>
      </c>
      <c r="D15" s="25" t="s">
        <v>66</v>
      </c>
      <c r="E15" s="25" t="s">
        <v>67</v>
      </c>
      <c r="F15" s="25" t="s">
        <v>68</v>
      </c>
      <c r="G15" s="26" t="s">
        <v>69</v>
      </c>
    </row>
    <row r="16" spans="1:7" ht="39.950000000000003">
      <c r="B16" s="27" t="s">
        <v>70</v>
      </c>
      <c r="C16" s="18" t="s">
        <v>71</v>
      </c>
      <c r="D16" s="18" t="s">
        <v>72</v>
      </c>
      <c r="E16" s="18" t="s">
        <v>73</v>
      </c>
      <c r="F16" s="20" t="s">
        <v>74</v>
      </c>
      <c r="G16" s="28" t="s">
        <v>75</v>
      </c>
    </row>
    <row r="17" spans="2:7" ht="33.950000000000003">
      <c r="B17" s="27" t="s">
        <v>76</v>
      </c>
      <c r="C17" s="18" t="s">
        <v>77</v>
      </c>
      <c r="D17" s="18" t="s">
        <v>78</v>
      </c>
      <c r="E17" s="18" t="s">
        <v>79</v>
      </c>
      <c r="F17" s="20" t="s">
        <v>80</v>
      </c>
      <c r="G17" s="73" t="s">
        <v>81</v>
      </c>
    </row>
    <row r="18" spans="2:7" ht="20.100000000000001">
      <c r="B18" s="27" t="s">
        <v>82</v>
      </c>
      <c r="C18" s="18" t="s">
        <v>83</v>
      </c>
      <c r="D18" s="18" t="s">
        <v>84</v>
      </c>
      <c r="E18" s="18" t="s">
        <v>79</v>
      </c>
      <c r="F18" s="20" t="s">
        <v>85</v>
      </c>
      <c r="G18" s="28" t="s">
        <v>86</v>
      </c>
    </row>
    <row r="19" spans="2:7" ht="39.950000000000003">
      <c r="B19" s="27" t="s">
        <v>87</v>
      </c>
      <c r="C19" s="18" t="s">
        <v>88</v>
      </c>
      <c r="D19" s="18" t="s">
        <v>89</v>
      </c>
      <c r="E19" s="18" t="s">
        <v>79</v>
      </c>
      <c r="F19" s="20" t="s">
        <v>90</v>
      </c>
      <c r="G19" s="28" t="s">
        <v>91</v>
      </c>
    </row>
    <row r="20" spans="2:7" ht="33.950000000000003">
      <c r="B20" s="29" t="s">
        <v>92</v>
      </c>
      <c r="C20" s="22" t="s">
        <v>93</v>
      </c>
      <c r="D20" s="22" t="s">
        <v>94</v>
      </c>
      <c r="E20" s="18" t="s">
        <v>79</v>
      </c>
      <c r="F20" s="23" t="s">
        <v>95</v>
      </c>
      <c r="G20" s="28" t="s">
        <v>96</v>
      </c>
    </row>
    <row r="21" spans="2:7" ht="39.950000000000003">
      <c r="B21" s="27" t="s">
        <v>97</v>
      </c>
      <c r="C21" s="18" t="s">
        <v>98</v>
      </c>
      <c r="D21" s="18" t="s">
        <v>99</v>
      </c>
      <c r="E21" s="18" t="s">
        <v>79</v>
      </c>
      <c r="F21" s="20" t="s">
        <v>100</v>
      </c>
      <c r="G21" s="73" t="s">
        <v>101</v>
      </c>
    </row>
    <row r="22" spans="2:7" ht="33.950000000000003">
      <c r="B22" s="27" t="s">
        <v>102</v>
      </c>
      <c r="C22" s="18" t="s">
        <v>103</v>
      </c>
      <c r="D22" s="22" t="s">
        <v>104</v>
      </c>
      <c r="E22" s="18" t="s">
        <v>79</v>
      </c>
      <c r="F22" s="20" t="s">
        <v>105</v>
      </c>
      <c r="G22" s="28" t="s">
        <v>106</v>
      </c>
    </row>
    <row r="23" spans="2:7" ht="33.950000000000003">
      <c r="B23" s="27" t="s">
        <v>107</v>
      </c>
      <c r="C23" s="18" t="s">
        <v>108</v>
      </c>
      <c r="D23" s="22" t="s">
        <v>109</v>
      </c>
      <c r="E23" s="18" t="s">
        <v>79</v>
      </c>
      <c r="F23" s="20" t="s">
        <v>110</v>
      </c>
      <c r="G23" s="28" t="s">
        <v>111</v>
      </c>
    </row>
    <row r="24" spans="2:7">
      <c r="B24" s="27" t="s">
        <v>112</v>
      </c>
      <c r="C24" s="18"/>
      <c r="D24" s="18"/>
      <c r="E24" s="18"/>
      <c r="F24" s="20"/>
      <c r="G24" s="28"/>
    </row>
    <row r="25" spans="2:7">
      <c r="B25" s="27" t="s">
        <v>112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C5" sqref="C5"/>
    </sheetView>
  </sheetViews>
  <sheetFormatPr defaultColWidth="10.875" defaultRowHeight="15.95"/>
  <cols>
    <col min="1" max="1" width="4.875" customWidth="1"/>
    <col min="2" max="2" width="53.875" customWidth="1"/>
    <col min="3" max="8" width="28.125" customWidth="1"/>
    <col min="9" max="16384" width="10.875" style="1"/>
  </cols>
  <sheetData>
    <row r="1" spans="2:9" ht="51" customHeight="1">
      <c r="B1" s="14" t="s">
        <v>113</v>
      </c>
    </row>
    <row r="2" spans="2:9" ht="51" customHeight="1">
      <c r="B2" s="16" t="s">
        <v>114</v>
      </c>
      <c r="C2" s="16">
        <v>2022</v>
      </c>
      <c r="D2" s="16">
        <v>2023</v>
      </c>
      <c r="E2" s="16">
        <v>2024</v>
      </c>
      <c r="F2" s="16" t="s">
        <v>115</v>
      </c>
      <c r="G2" s="16" t="s">
        <v>116</v>
      </c>
      <c r="H2" s="16" t="s">
        <v>117</v>
      </c>
    </row>
    <row r="3" spans="2:9" ht="51" customHeight="1">
      <c r="B3" s="33" t="s">
        <v>118</v>
      </c>
      <c r="C3" s="57"/>
      <c r="D3" s="57"/>
      <c r="E3" s="57"/>
      <c r="F3" s="57"/>
      <c r="G3" s="57"/>
      <c r="H3" s="57"/>
    </row>
    <row r="4" spans="2:9" ht="51" customHeight="1">
      <c r="B4" s="33" t="s">
        <v>119</v>
      </c>
      <c r="C4" s="57" t="s">
        <v>120</v>
      </c>
      <c r="D4" s="57" t="s">
        <v>121</v>
      </c>
      <c r="E4" s="57">
        <v>45620609</v>
      </c>
      <c r="F4" s="57" t="s">
        <v>122</v>
      </c>
      <c r="G4" s="57" t="s">
        <v>123</v>
      </c>
      <c r="H4" s="57" t="s">
        <v>124</v>
      </c>
      <c r="I4" s="4"/>
    </row>
    <row r="5" spans="2:9" ht="51" customHeight="1">
      <c r="B5" s="33" t="s">
        <v>125</v>
      </c>
      <c r="C5" s="57"/>
      <c r="D5" s="57"/>
      <c r="E5" s="57"/>
      <c r="F5" s="57"/>
      <c r="G5" s="57"/>
      <c r="H5" s="57"/>
      <c r="I5" s="4" t="s">
        <v>126</v>
      </c>
    </row>
    <row r="6" spans="2:9" ht="51" customHeight="1">
      <c r="B6" s="33" t="s">
        <v>127</v>
      </c>
      <c r="C6" s="57"/>
      <c r="D6" s="57"/>
      <c r="E6" s="57"/>
      <c r="F6" s="57"/>
      <c r="G6" s="57"/>
      <c r="H6" s="57"/>
      <c r="I6" s="2" t="s">
        <v>128</v>
      </c>
    </row>
    <row r="8" spans="2:9" ht="18.95">
      <c r="B8" s="16" t="s">
        <v>114</v>
      </c>
      <c r="C8" s="16">
        <v>2023</v>
      </c>
      <c r="D8" s="16">
        <v>2023</v>
      </c>
      <c r="E8" s="16">
        <v>2024</v>
      </c>
      <c r="F8" s="16" t="s">
        <v>115</v>
      </c>
      <c r="G8" s="16" t="s">
        <v>116</v>
      </c>
      <c r="H8" s="16" t="s">
        <v>117</v>
      </c>
    </row>
    <row r="9" spans="2:9" ht="18.75">
      <c r="B9" s="33" t="s">
        <v>129</v>
      </c>
      <c r="C9" s="58">
        <v>2.73</v>
      </c>
      <c r="D9" s="58">
        <v>4.53</v>
      </c>
      <c r="E9" s="58">
        <v>3.73</v>
      </c>
      <c r="F9" s="58">
        <v>1.47</v>
      </c>
      <c r="G9" s="58">
        <v>3.8</v>
      </c>
      <c r="H9" s="58">
        <v>5.4</v>
      </c>
    </row>
    <row r="10" spans="2:9" ht="18.75">
      <c r="B10" s="33" t="s">
        <v>130</v>
      </c>
      <c r="C10" s="58">
        <v>2.9</v>
      </c>
      <c r="D10" s="58">
        <v>5.42</v>
      </c>
      <c r="E10" s="58">
        <v>4.97</v>
      </c>
      <c r="F10" s="58">
        <v>2.27</v>
      </c>
      <c r="G10" s="58">
        <v>3.37</v>
      </c>
      <c r="H10" s="58">
        <v>5.12</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Normal="100" workbookViewId="0">
      <selection activeCell="F15" sqref="F15"/>
    </sheetView>
  </sheetViews>
  <sheetFormatPr defaultColWidth="10.875" defaultRowHeight="26.1" customHeight="1"/>
  <cols>
    <col min="1" max="1" width="6.125" style="62"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0"/>
      <c r="B1" s="34" t="s">
        <v>131</v>
      </c>
    </row>
    <row r="2" spans="1:8" s="35" customFormat="1" ht="56.1" customHeight="1">
      <c r="A2" s="61"/>
      <c r="B2" s="16"/>
      <c r="C2" s="16" t="s">
        <v>132</v>
      </c>
      <c r="D2" s="36" t="s">
        <v>133</v>
      </c>
      <c r="E2" s="36" t="s">
        <v>134</v>
      </c>
      <c r="F2" s="36" t="s">
        <v>135</v>
      </c>
      <c r="G2" s="36" t="s">
        <v>136</v>
      </c>
      <c r="H2" s="36" t="s">
        <v>137</v>
      </c>
    </row>
    <row r="3" spans="1:8" ht="60" customHeight="1">
      <c r="A3" s="62">
        <v>1</v>
      </c>
      <c r="B3" s="16" t="s">
        <v>138</v>
      </c>
      <c r="C3" s="37" t="s">
        <v>139</v>
      </c>
      <c r="D3" s="37" t="s">
        <v>140</v>
      </c>
      <c r="E3" s="37" t="s">
        <v>141</v>
      </c>
      <c r="F3" s="98" t="s">
        <v>142</v>
      </c>
      <c r="G3" s="18" t="s">
        <v>143</v>
      </c>
      <c r="H3" s="18" t="s">
        <v>144</v>
      </c>
    </row>
    <row r="4" spans="1:8" ht="60" customHeight="1">
      <c r="A4" s="62">
        <v>2</v>
      </c>
      <c r="B4" s="16" t="s">
        <v>145</v>
      </c>
      <c r="C4" s="18" t="s">
        <v>79</v>
      </c>
      <c r="D4" s="18" t="s">
        <v>146</v>
      </c>
      <c r="E4" s="18" t="s">
        <v>147</v>
      </c>
      <c r="F4" s="98" t="s">
        <v>148</v>
      </c>
      <c r="G4" s="50" t="s">
        <v>149</v>
      </c>
      <c r="H4" s="18" t="s">
        <v>150</v>
      </c>
    </row>
    <row r="5" spans="1:8" ht="60" customHeight="1">
      <c r="A5" s="62">
        <v>3</v>
      </c>
      <c r="B5" s="16" t="s">
        <v>151</v>
      </c>
      <c r="C5" s="18" t="s">
        <v>152</v>
      </c>
      <c r="D5" s="18" t="s">
        <v>152</v>
      </c>
      <c r="E5" s="18" t="s">
        <v>153</v>
      </c>
      <c r="F5" s="98" t="s">
        <v>154</v>
      </c>
      <c r="G5" s="18" t="s">
        <v>155</v>
      </c>
      <c r="H5" s="18" t="s">
        <v>156</v>
      </c>
    </row>
    <row r="6" spans="1:8" ht="60" customHeight="1">
      <c r="A6" s="62">
        <v>4</v>
      </c>
      <c r="B6" s="36" t="s">
        <v>157</v>
      </c>
      <c r="C6" s="18" t="s">
        <v>158</v>
      </c>
      <c r="D6" s="18" t="s">
        <v>158</v>
      </c>
      <c r="E6" s="18" t="s">
        <v>158</v>
      </c>
      <c r="F6" s="98" t="s">
        <v>158</v>
      </c>
      <c r="G6" s="18" t="s">
        <v>158</v>
      </c>
      <c r="H6" s="18" t="s">
        <v>158</v>
      </c>
    </row>
    <row r="7" spans="1:8" ht="86.1" customHeight="1">
      <c r="A7" s="62">
        <v>5</v>
      </c>
      <c r="B7" s="36" t="s">
        <v>159</v>
      </c>
      <c r="C7" s="18" t="s">
        <v>158</v>
      </c>
      <c r="D7" s="18" t="s">
        <v>158</v>
      </c>
      <c r="E7" s="18" t="s">
        <v>158</v>
      </c>
      <c r="F7" s="98" t="s">
        <v>158</v>
      </c>
      <c r="G7" s="18" t="s">
        <v>158</v>
      </c>
      <c r="H7" s="18" t="s">
        <v>158</v>
      </c>
    </row>
    <row r="8" spans="1:8" ht="86.1" customHeight="1">
      <c r="A8" s="62">
        <v>6</v>
      </c>
      <c r="B8" s="36" t="s">
        <v>160</v>
      </c>
      <c r="C8" s="18" t="s">
        <v>161</v>
      </c>
      <c r="D8" s="18" t="s">
        <v>161</v>
      </c>
      <c r="E8" s="18" t="s">
        <v>161</v>
      </c>
      <c r="F8" s="98" t="s">
        <v>162</v>
      </c>
      <c r="G8" s="18" t="s">
        <v>163</v>
      </c>
      <c r="H8" s="18"/>
    </row>
    <row r="9" spans="1:8" ht="60" customHeight="1">
      <c r="A9" s="62">
        <v>7</v>
      </c>
      <c r="B9" s="16" t="s">
        <v>164</v>
      </c>
      <c r="C9" s="38" t="s">
        <v>165</v>
      </c>
      <c r="D9" s="38" t="s">
        <v>165</v>
      </c>
      <c r="E9" s="39">
        <v>4750</v>
      </c>
      <c r="F9" s="99">
        <v>1394</v>
      </c>
      <c r="G9" s="39">
        <v>600</v>
      </c>
      <c r="H9" s="39">
        <v>130</v>
      </c>
    </row>
    <row r="10" spans="1:8" ht="60" customHeight="1">
      <c r="A10" s="62">
        <v>8</v>
      </c>
      <c r="B10" s="36" t="s">
        <v>166</v>
      </c>
      <c r="C10" s="38">
        <v>198</v>
      </c>
      <c r="D10" s="38">
        <v>198</v>
      </c>
      <c r="E10" s="39">
        <v>155</v>
      </c>
      <c r="F10" s="99">
        <v>36</v>
      </c>
      <c r="G10" s="39">
        <v>4</v>
      </c>
      <c r="H10" s="39">
        <v>8</v>
      </c>
    </row>
    <row r="11" spans="1:8" ht="60" customHeight="1">
      <c r="A11" s="62">
        <v>9</v>
      </c>
      <c r="B11" s="36" t="s">
        <v>167</v>
      </c>
      <c r="C11" s="18">
        <v>1</v>
      </c>
      <c r="D11" s="18"/>
      <c r="E11" s="18"/>
      <c r="F11" s="100" t="s">
        <v>168</v>
      </c>
      <c r="G11" s="18"/>
      <c r="H11" s="18"/>
    </row>
    <row r="12" spans="1:8" ht="60" customHeight="1">
      <c r="A12" s="62">
        <v>10</v>
      </c>
      <c r="B12" s="36" t="s">
        <v>169</v>
      </c>
      <c r="C12" s="18"/>
      <c r="D12" s="18"/>
      <c r="E12" s="18"/>
      <c r="F12" s="100" t="s">
        <v>168</v>
      </c>
      <c r="G12" s="18"/>
      <c r="H12" s="18"/>
    </row>
    <row r="13" spans="1:8" ht="60" customHeight="1">
      <c r="A13" s="62">
        <v>11</v>
      </c>
      <c r="B13" s="36" t="s">
        <v>170</v>
      </c>
      <c r="C13" s="18"/>
      <c r="D13" s="18"/>
      <c r="E13" s="18"/>
      <c r="F13" s="100" t="s">
        <v>168</v>
      </c>
      <c r="G13" s="18"/>
      <c r="H13" s="18"/>
    </row>
    <row r="14" spans="1:8" ht="60" customHeight="1">
      <c r="A14" s="62">
        <v>12</v>
      </c>
      <c r="B14" s="36" t="s">
        <v>171</v>
      </c>
      <c r="C14" s="18" t="s">
        <v>45</v>
      </c>
      <c r="D14" s="18" t="s">
        <v>45</v>
      </c>
      <c r="E14" s="18" t="s">
        <v>45</v>
      </c>
      <c r="F14" s="98" t="s">
        <v>172</v>
      </c>
      <c r="G14" s="18" t="s">
        <v>45</v>
      </c>
      <c r="H14" s="18"/>
    </row>
    <row r="15" spans="1:8" ht="60" customHeight="1">
      <c r="A15" s="62">
        <v>13</v>
      </c>
      <c r="B15" s="36" t="s">
        <v>173</v>
      </c>
      <c r="C15" s="18" t="s">
        <v>45</v>
      </c>
      <c r="D15" s="18" t="s">
        <v>45</v>
      </c>
      <c r="E15" s="18" t="s">
        <v>45</v>
      </c>
      <c r="F15" s="98" t="s">
        <v>172</v>
      </c>
      <c r="G15" s="18" t="s">
        <v>45</v>
      </c>
      <c r="H15" s="18"/>
    </row>
    <row r="16" spans="1:8" ht="60" customHeight="1">
      <c r="A16" s="62">
        <v>14</v>
      </c>
      <c r="B16" s="36" t="s">
        <v>174</v>
      </c>
      <c r="C16" s="18" t="s">
        <v>175</v>
      </c>
      <c r="D16" s="74" t="s">
        <v>175</v>
      </c>
      <c r="E16" s="18" t="s">
        <v>175</v>
      </c>
      <c r="F16" s="98" t="s">
        <v>176</v>
      </c>
      <c r="G16" s="18" t="s">
        <v>177</v>
      </c>
      <c r="H16" s="18"/>
    </row>
    <row r="18" spans="1:8" ht="60.95" customHeight="1">
      <c r="A18" s="62">
        <v>15</v>
      </c>
      <c r="B18" s="87" t="s">
        <v>178</v>
      </c>
      <c r="C18" s="87"/>
      <c r="D18" s="88"/>
      <c r="E18" s="89"/>
      <c r="F18" s="89"/>
      <c r="G18" s="89"/>
      <c r="H18" s="90"/>
    </row>
    <row r="19" spans="1:8" ht="60.95" customHeight="1">
      <c r="A19" s="62">
        <v>16</v>
      </c>
      <c r="B19" s="87" t="s">
        <v>179</v>
      </c>
      <c r="C19" s="87"/>
      <c r="D19" s="88" t="s">
        <v>180</v>
      </c>
      <c r="E19" s="89"/>
      <c r="F19" s="89"/>
      <c r="G19" s="89"/>
      <c r="H19" s="90"/>
    </row>
    <row r="20" spans="1:8" ht="60.95" customHeight="1">
      <c r="A20" s="62">
        <v>17</v>
      </c>
      <c r="B20" s="87" t="s">
        <v>181</v>
      </c>
      <c r="C20" s="87"/>
      <c r="D20" s="88" t="s">
        <v>182</v>
      </c>
      <c r="E20" s="89"/>
      <c r="F20" s="89"/>
      <c r="G20" s="89"/>
      <c r="H20" s="90"/>
    </row>
    <row r="21" spans="1:8" ht="60.95" customHeight="1">
      <c r="A21" s="62">
        <v>18</v>
      </c>
      <c r="B21" s="87" t="s">
        <v>183</v>
      </c>
      <c r="C21" s="87"/>
      <c r="D21" s="88"/>
      <c r="E21" s="89"/>
      <c r="F21" s="89"/>
      <c r="G21" s="89"/>
      <c r="H21" s="90"/>
    </row>
    <row r="22" spans="1:8" ht="60.95" customHeight="1">
      <c r="A22" s="62">
        <v>19</v>
      </c>
      <c r="B22" s="87" t="s">
        <v>184</v>
      </c>
      <c r="C22" s="87"/>
      <c r="D22" s="88" t="s">
        <v>185</v>
      </c>
      <c r="E22" s="89"/>
      <c r="F22" s="89"/>
      <c r="G22" s="89"/>
      <c r="H22" s="90"/>
    </row>
    <row r="23" spans="1:8" ht="60.95" customHeight="1">
      <c r="A23" s="62">
        <v>20</v>
      </c>
      <c r="B23" s="91" t="s">
        <v>186</v>
      </c>
      <c r="C23" s="92"/>
      <c r="D23" s="88" t="s">
        <v>187</v>
      </c>
      <c r="E23" s="89"/>
      <c r="F23" s="89"/>
      <c r="G23" s="89"/>
      <c r="H23" s="90"/>
    </row>
    <row r="24" spans="1:8" ht="60.95" customHeight="1">
      <c r="A24" s="62">
        <v>21</v>
      </c>
      <c r="B24" s="91" t="s">
        <v>188</v>
      </c>
      <c r="C24" s="92"/>
      <c r="D24" s="88" t="s">
        <v>189</v>
      </c>
      <c r="E24" s="89"/>
      <c r="F24" s="89"/>
      <c r="G24" s="89"/>
      <c r="H24" s="90"/>
    </row>
    <row r="25" spans="1:8" ht="187.7" customHeight="1">
      <c r="A25" s="62">
        <v>22</v>
      </c>
      <c r="B25" s="87" t="s">
        <v>190</v>
      </c>
      <c r="C25" s="87"/>
      <c r="D25" s="88" t="s">
        <v>191</v>
      </c>
      <c r="E25" s="89"/>
      <c r="F25" s="89"/>
      <c r="G25" s="89"/>
      <c r="H25" s="90"/>
    </row>
    <row r="26" spans="1:8" ht="60.95" customHeight="1"/>
    <row r="27" spans="1:8" ht="60.95" customHeight="1"/>
    <row r="28" spans="1:8" ht="60.95" customHeight="1"/>
    <row r="29" spans="1:8" ht="60.95"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E10 G9:H10" xr:uid="{729C1851-60B4-2548-B527-9EB9AF6842FF}">
      <formula1>0</formula1>
    </dataValidation>
    <dataValidation type="list" allowBlank="1" showInputMessage="1" showErrorMessage="1" sqref="C14:E15 G14:H15" xr:uid="{BED30279-6FF8-9540-B9F0-66107877420E}">
      <formula1>"Yes,No"</formula1>
    </dataValidation>
    <dataValidation type="whole" operator="greaterThan" allowBlank="1" showInputMessage="1" showErrorMessage="1" sqref="C11:E13 G11:H13" xr:uid="{3BD27C0B-8095-D04C-8C74-BA6999DA2B14}">
      <formula1>0</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I11" sqref="I11"/>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2" t="s">
        <v>192</v>
      </c>
    </row>
    <row r="2" spans="2:10" ht="50.1" customHeight="1">
      <c r="B2" s="43"/>
      <c r="C2" s="44" t="s">
        <v>193</v>
      </c>
      <c r="D2" s="44" t="s">
        <v>194</v>
      </c>
      <c r="E2" s="44" t="s">
        <v>195</v>
      </c>
      <c r="F2" s="44" t="s">
        <v>196</v>
      </c>
      <c r="G2" s="44" t="s">
        <v>197</v>
      </c>
      <c r="H2" s="44" t="s">
        <v>198</v>
      </c>
      <c r="I2" s="44" t="s">
        <v>199</v>
      </c>
      <c r="J2" s="44" t="s">
        <v>200</v>
      </c>
    </row>
    <row r="3" spans="2:10" ht="50.1" customHeight="1">
      <c r="B3" s="44" t="s">
        <v>201</v>
      </c>
      <c r="C3" s="68" t="s">
        <v>79</v>
      </c>
      <c r="D3" s="68" t="s">
        <v>147</v>
      </c>
      <c r="E3" s="68" t="s">
        <v>202</v>
      </c>
      <c r="F3" s="68" t="s">
        <v>149</v>
      </c>
      <c r="G3" s="68" t="s">
        <v>203</v>
      </c>
      <c r="H3" s="68" t="s">
        <v>150</v>
      </c>
      <c r="I3" s="101" t="s">
        <v>204</v>
      </c>
      <c r="J3" s="68"/>
    </row>
    <row r="4" spans="2:10" ht="50.1" customHeight="1">
      <c r="B4" s="45" t="s">
        <v>205</v>
      </c>
      <c r="C4" s="68">
        <v>1</v>
      </c>
      <c r="D4" s="68">
        <v>1</v>
      </c>
      <c r="E4" s="68"/>
      <c r="F4" s="68"/>
      <c r="G4" s="68"/>
      <c r="H4" s="68">
        <v>1</v>
      </c>
      <c r="I4" s="102">
        <v>3</v>
      </c>
      <c r="J4" s="68"/>
    </row>
    <row r="5" spans="2:10" ht="50.1" customHeight="1">
      <c r="B5" s="45" t="s">
        <v>206</v>
      </c>
      <c r="C5" s="68">
        <v>2</v>
      </c>
      <c r="D5" s="68">
        <v>2</v>
      </c>
      <c r="E5" s="68"/>
      <c r="F5" s="68">
        <v>1</v>
      </c>
      <c r="G5" s="68">
        <v>1</v>
      </c>
      <c r="H5" s="68">
        <v>2</v>
      </c>
      <c r="I5" s="102">
        <v>1</v>
      </c>
      <c r="J5" s="68"/>
    </row>
    <row r="6" spans="2:10" ht="50.1" customHeight="1">
      <c r="B6" s="45" t="s">
        <v>207</v>
      </c>
      <c r="C6" s="68">
        <v>2</v>
      </c>
      <c r="D6" s="68">
        <v>2</v>
      </c>
      <c r="E6" s="68">
        <v>1</v>
      </c>
      <c r="F6" s="68">
        <v>1</v>
      </c>
      <c r="G6" s="68"/>
      <c r="H6" s="68">
        <v>2</v>
      </c>
      <c r="I6" s="102">
        <v>1</v>
      </c>
      <c r="J6" s="68"/>
    </row>
    <row r="7" spans="2:10" ht="50.1" customHeight="1">
      <c r="B7" s="45" t="s">
        <v>208</v>
      </c>
      <c r="C7" s="68">
        <v>5</v>
      </c>
      <c r="D7" s="68">
        <v>5</v>
      </c>
      <c r="E7" s="68">
        <v>1</v>
      </c>
      <c r="F7" s="68">
        <v>2</v>
      </c>
      <c r="G7" s="68">
        <v>1</v>
      </c>
      <c r="H7" s="68">
        <v>5</v>
      </c>
      <c r="I7" s="102">
        <v>5</v>
      </c>
      <c r="J7" s="68"/>
    </row>
    <row r="8" spans="2:10" ht="50.1" customHeight="1">
      <c r="B8" s="45" t="s">
        <v>209</v>
      </c>
      <c r="C8" s="68" t="s">
        <v>210</v>
      </c>
      <c r="D8" s="68" t="s">
        <v>210</v>
      </c>
      <c r="E8" s="68" t="s">
        <v>210</v>
      </c>
      <c r="F8" s="68" t="s">
        <v>211</v>
      </c>
      <c r="G8" s="68" t="s">
        <v>210</v>
      </c>
      <c r="H8" s="68" t="s">
        <v>210</v>
      </c>
      <c r="I8" s="102" t="s">
        <v>210</v>
      </c>
      <c r="J8" s="68"/>
    </row>
    <row r="9" spans="2:10" ht="50.1" customHeight="1">
      <c r="B9" s="45" t="s">
        <v>212</v>
      </c>
      <c r="C9" s="68" t="s">
        <v>211</v>
      </c>
      <c r="D9" s="68" t="s">
        <v>211</v>
      </c>
      <c r="E9" s="68" t="s">
        <v>211</v>
      </c>
      <c r="F9" s="68" t="s">
        <v>211</v>
      </c>
      <c r="G9" s="68" t="s">
        <v>210</v>
      </c>
      <c r="H9" s="68" t="s">
        <v>211</v>
      </c>
      <c r="I9" s="102" t="s">
        <v>211</v>
      </c>
      <c r="J9" s="68"/>
    </row>
    <row r="10" spans="2:10" ht="50.1" customHeight="1">
      <c r="B10" s="63" t="s">
        <v>213</v>
      </c>
      <c r="C10" s="68" t="s">
        <v>214</v>
      </c>
      <c r="D10" s="68" t="s">
        <v>214</v>
      </c>
      <c r="E10" s="68" t="s">
        <v>215</v>
      </c>
      <c r="F10" s="68" t="s">
        <v>149</v>
      </c>
      <c r="G10" s="68" t="s">
        <v>216</v>
      </c>
      <c r="H10" s="68" t="s">
        <v>217</v>
      </c>
      <c r="I10" s="102" t="s">
        <v>148</v>
      </c>
      <c r="J10" s="68"/>
    </row>
    <row r="11" spans="2:10" ht="50.1" customHeight="1">
      <c r="B11" s="45" t="s">
        <v>218</v>
      </c>
      <c r="C11" s="69"/>
      <c r="D11" s="69"/>
      <c r="E11" s="69"/>
      <c r="F11" s="68"/>
      <c r="G11" s="68"/>
      <c r="H11" s="68"/>
      <c r="I11" s="103" t="s">
        <v>168</v>
      </c>
      <c r="J11" s="68"/>
    </row>
    <row r="12" spans="2:10" ht="50.1" customHeight="1">
      <c r="B12" s="45" t="s">
        <v>219</v>
      </c>
      <c r="C12" s="70"/>
      <c r="D12" s="71"/>
      <c r="E12" s="71">
        <v>1E-3</v>
      </c>
      <c r="F12" s="71"/>
      <c r="G12" s="71">
        <v>1E-3</v>
      </c>
      <c r="H12" s="71">
        <v>1E-4</v>
      </c>
      <c r="I12" s="104">
        <v>0.1</v>
      </c>
      <c r="J12" s="71"/>
    </row>
    <row r="14" spans="2:10" ht="50.1" customHeight="1">
      <c r="B14" s="94" t="s">
        <v>220</v>
      </c>
      <c r="C14" s="94"/>
      <c r="D14" s="94"/>
    </row>
    <row r="15" spans="2:10" ht="50.1" customHeight="1">
      <c r="B15" s="16" t="s">
        <v>221</v>
      </c>
      <c r="C15" s="94" t="s">
        <v>222</v>
      </c>
      <c r="D15" s="94"/>
    </row>
    <row r="16" spans="2:10" ht="50.1" customHeight="1">
      <c r="B16" s="46" t="s">
        <v>223</v>
      </c>
      <c r="C16" s="95" t="s">
        <v>224</v>
      </c>
      <c r="D16" s="95"/>
    </row>
    <row r="17" spans="2:4" ht="50.1" customHeight="1">
      <c r="B17" s="93" t="s">
        <v>225</v>
      </c>
      <c r="C17" s="93" t="s">
        <v>226</v>
      </c>
      <c r="D17" s="93"/>
    </row>
    <row r="18" spans="2:4" ht="50.1" customHeight="1">
      <c r="B18" s="93"/>
      <c r="C18" s="93" t="s">
        <v>227</v>
      </c>
      <c r="D18" s="93"/>
    </row>
    <row r="19" spans="2:4" ht="50.1" customHeight="1">
      <c r="B19" s="93"/>
      <c r="C19" s="93" t="s">
        <v>228</v>
      </c>
      <c r="D19" s="93"/>
    </row>
    <row r="20" spans="2:4" ht="50.1" customHeight="1">
      <c r="B20" s="93"/>
      <c r="C20" s="93" t="s">
        <v>229</v>
      </c>
      <c r="D20" s="93"/>
    </row>
    <row r="21" spans="2:4" ht="50.1" customHeight="1">
      <c r="B21" s="93" t="s">
        <v>230</v>
      </c>
      <c r="C21" s="93" t="s">
        <v>231</v>
      </c>
      <c r="D21" s="93"/>
    </row>
    <row r="22" spans="2:4" ht="50.1" customHeight="1">
      <c r="B22" s="93"/>
      <c r="C22" s="93" t="s">
        <v>232</v>
      </c>
      <c r="D22" s="93"/>
    </row>
    <row r="23" spans="2:4" ht="50.1" customHeight="1">
      <c r="B23" s="93"/>
      <c r="C23" s="93" t="s">
        <v>233</v>
      </c>
      <c r="D23" s="93"/>
    </row>
    <row r="24" spans="2:4" ht="50.1" customHeight="1">
      <c r="B24" s="93" t="s">
        <v>234</v>
      </c>
      <c r="C24" s="93" t="s">
        <v>235</v>
      </c>
      <c r="D24" s="93"/>
    </row>
    <row r="25" spans="2:4" ht="50.1" customHeight="1">
      <c r="B25" s="93"/>
      <c r="C25" s="93" t="s">
        <v>236</v>
      </c>
      <c r="D25" s="93"/>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H9 J8:J9" xr:uid="{26019721-06B4-C344-8224-CB676EC62513}">
      <formula1>"High,Medium,Low"</formula1>
    </dataValidation>
    <dataValidation type="decimal" operator="greaterThan" allowBlank="1" showInputMessage="1" showErrorMessage="1" sqref="J11:J12 C11:H12 C4:H7 J4:J7"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B9" zoomScaleNormal="100" workbookViewId="0">
      <selection activeCell="F12" sqref="F12"/>
    </sheetView>
  </sheetViews>
  <sheetFormatPr defaultColWidth="10.875" defaultRowHeight="15.95"/>
  <cols>
    <col min="1" max="1" width="4.125" style="1" customWidth="1"/>
    <col min="2" max="2" width="51.5" style="1" customWidth="1"/>
    <col min="3" max="9" width="29.125" style="1" customWidth="1"/>
    <col min="10" max="10" width="57.875" style="1" customWidth="1"/>
    <col min="11" max="11" width="102.625" style="1" bestFit="1" customWidth="1"/>
    <col min="12" max="15" width="29.125" style="1" customWidth="1"/>
    <col min="16" max="16384" width="10.875" style="1"/>
  </cols>
  <sheetData>
    <row r="1" spans="2:11" ht="66.95" customHeight="1">
      <c r="B1" s="34" t="s">
        <v>237</v>
      </c>
    </row>
    <row r="2" spans="2:11" ht="66.95" customHeight="1">
      <c r="B2" s="33"/>
      <c r="C2" s="16">
        <v>2022</v>
      </c>
      <c r="D2" s="16">
        <v>2023</v>
      </c>
      <c r="E2" s="16">
        <v>2024</v>
      </c>
      <c r="F2" s="16" t="s">
        <v>115</v>
      </c>
      <c r="G2" s="16" t="s">
        <v>116</v>
      </c>
      <c r="H2" s="16" t="s">
        <v>117</v>
      </c>
      <c r="I2" s="16" t="s">
        <v>238</v>
      </c>
      <c r="J2" s="16" t="s">
        <v>239</v>
      </c>
    </row>
    <row r="3" spans="2:11" ht="66.95" customHeight="1">
      <c r="B3" s="16" t="s">
        <v>240</v>
      </c>
      <c r="C3" s="86">
        <v>29</v>
      </c>
      <c r="D3" s="86">
        <v>36</v>
      </c>
      <c r="E3" s="86">
        <v>35</v>
      </c>
      <c r="F3" s="86">
        <v>37</v>
      </c>
      <c r="G3" s="86">
        <v>40</v>
      </c>
      <c r="H3" s="39"/>
      <c r="I3" s="39"/>
      <c r="J3" s="59"/>
    </row>
    <row r="4" spans="2:11" ht="132">
      <c r="B4" s="36" t="s">
        <v>241</v>
      </c>
      <c r="C4" s="86">
        <v>78</v>
      </c>
      <c r="D4" s="86">
        <v>93</v>
      </c>
      <c r="E4" s="86">
        <v>96</v>
      </c>
      <c r="F4" s="86">
        <v>98</v>
      </c>
      <c r="G4" s="86">
        <v>102</v>
      </c>
      <c r="H4" s="39"/>
      <c r="I4" s="39"/>
      <c r="J4" s="59" t="s">
        <v>242</v>
      </c>
      <c r="K4" s="72" t="s">
        <v>243</v>
      </c>
    </row>
    <row r="5" spans="2:11" ht="66.95" customHeight="1">
      <c r="B5" s="16" t="s">
        <v>244</v>
      </c>
      <c r="C5" s="86">
        <v>128</v>
      </c>
      <c r="D5" s="86">
        <v>148</v>
      </c>
      <c r="E5" s="86">
        <v>140</v>
      </c>
      <c r="F5" s="86">
        <v>122</v>
      </c>
      <c r="G5" s="86">
        <v>142</v>
      </c>
      <c r="H5" s="39"/>
      <c r="I5" s="39"/>
      <c r="J5" s="59"/>
    </row>
    <row r="6" spans="2:11" ht="66.95" customHeight="1">
      <c r="B6" s="16" t="s">
        <v>245</v>
      </c>
      <c r="C6" s="86">
        <v>6</v>
      </c>
      <c r="D6" s="86">
        <v>6</v>
      </c>
      <c r="E6" s="86">
        <v>5</v>
      </c>
      <c r="F6" s="86">
        <v>6</v>
      </c>
      <c r="G6" s="86">
        <v>7</v>
      </c>
      <c r="H6" s="39"/>
      <c r="I6" s="39"/>
      <c r="J6" s="59"/>
      <c r="K6" s="4" t="s">
        <v>246</v>
      </c>
    </row>
    <row r="7" spans="2:11" ht="66.95" customHeight="1">
      <c r="B7" s="16" t="s">
        <v>247</v>
      </c>
      <c r="C7" s="86">
        <v>19</v>
      </c>
      <c r="D7" s="86">
        <v>23</v>
      </c>
      <c r="E7" s="86">
        <v>22</v>
      </c>
      <c r="F7" s="86">
        <v>18</v>
      </c>
      <c r="G7" s="86">
        <v>20</v>
      </c>
      <c r="H7" s="39"/>
      <c r="I7" s="39"/>
      <c r="J7" s="59"/>
    </row>
    <row r="8" spans="2:11" ht="66.95" customHeight="1">
      <c r="B8" s="16" t="s">
        <v>248</v>
      </c>
      <c r="C8" s="86">
        <v>7</v>
      </c>
      <c r="D8" s="86">
        <v>9</v>
      </c>
      <c r="E8" s="86">
        <v>9</v>
      </c>
      <c r="F8" s="86">
        <v>9</v>
      </c>
      <c r="G8" s="86">
        <v>9</v>
      </c>
      <c r="H8" s="39"/>
      <c r="I8" s="39"/>
      <c r="J8" s="59"/>
    </row>
    <row r="9" spans="2:11" ht="66.95" customHeight="1">
      <c r="B9" s="16" t="s">
        <v>249</v>
      </c>
      <c r="C9" s="86">
        <v>16</v>
      </c>
      <c r="D9" s="86">
        <v>18</v>
      </c>
      <c r="E9" s="86">
        <v>14</v>
      </c>
      <c r="F9" s="86">
        <v>16</v>
      </c>
      <c r="G9" s="86">
        <v>17</v>
      </c>
      <c r="H9" s="39"/>
      <c r="I9" s="39"/>
      <c r="J9" s="59"/>
    </row>
    <row r="10" spans="2:11" ht="66.95" customHeight="1">
      <c r="B10" s="36" t="s">
        <v>250</v>
      </c>
      <c r="C10" s="86">
        <v>5</v>
      </c>
      <c r="D10" s="86">
        <v>8</v>
      </c>
      <c r="E10" s="86">
        <v>9</v>
      </c>
      <c r="F10" s="86">
        <v>9</v>
      </c>
      <c r="G10" s="86">
        <v>9</v>
      </c>
      <c r="H10" s="39"/>
      <c r="I10" s="39"/>
      <c r="J10" s="59"/>
    </row>
    <row r="11" spans="2:11" ht="66.95" customHeight="1">
      <c r="B11" s="16" t="s">
        <v>251</v>
      </c>
      <c r="C11" s="86">
        <v>14</v>
      </c>
      <c r="D11" s="86">
        <v>15</v>
      </c>
      <c r="E11" s="86">
        <v>14</v>
      </c>
      <c r="F11" s="86">
        <v>14</v>
      </c>
      <c r="G11" s="86">
        <v>16</v>
      </c>
      <c r="H11" s="39"/>
      <c r="I11" s="39"/>
      <c r="J11" s="59"/>
    </row>
    <row r="12" spans="2:11" ht="66.95" customHeight="1">
      <c r="B12" s="16" t="s">
        <v>252</v>
      </c>
      <c r="C12" s="86">
        <v>7</v>
      </c>
      <c r="D12" s="86">
        <v>8</v>
      </c>
      <c r="E12" s="86">
        <v>8</v>
      </c>
      <c r="F12" s="86">
        <v>8</v>
      </c>
      <c r="G12" s="86">
        <v>8</v>
      </c>
      <c r="H12" s="39"/>
      <c r="I12" s="39"/>
      <c r="J12" s="59"/>
    </row>
    <row r="13" spans="2:11" ht="66.95" customHeight="1">
      <c r="B13" s="16" t="s">
        <v>112</v>
      </c>
      <c r="C13" s="86">
        <v>30</v>
      </c>
      <c r="D13" s="86">
        <v>32</v>
      </c>
      <c r="E13" s="86">
        <v>28</v>
      </c>
      <c r="F13" s="86">
        <v>21</v>
      </c>
      <c r="G13" s="86">
        <v>24</v>
      </c>
      <c r="H13" s="39"/>
      <c r="I13" s="39"/>
      <c r="J13" s="59"/>
    </row>
    <row r="14" spans="2:11" ht="66.95" customHeight="1">
      <c r="B14" s="16" t="s">
        <v>112</v>
      </c>
      <c r="C14" s="86"/>
      <c r="D14" s="86"/>
      <c r="E14" s="86"/>
      <c r="F14" s="86"/>
      <c r="G14" s="86"/>
      <c r="H14" s="39"/>
      <c r="I14" s="39"/>
      <c r="J14" s="59"/>
    </row>
    <row r="15" spans="2:11" ht="66.95" customHeight="1">
      <c r="B15" s="16" t="s">
        <v>112</v>
      </c>
      <c r="C15" s="39"/>
      <c r="D15" s="39"/>
      <c r="E15" s="39"/>
      <c r="F15" s="39"/>
      <c r="G15" s="39"/>
      <c r="H15" s="39"/>
      <c r="I15" s="39"/>
      <c r="J15" s="59"/>
    </row>
    <row r="16" spans="2:11" ht="18.95">
      <c r="B16" s="51" t="s">
        <v>253</v>
      </c>
      <c r="C16" s="52">
        <f t="shared" ref="C16:I16" si="0">SUM(C3:C15)</f>
        <v>339</v>
      </c>
      <c r="D16" s="52">
        <f t="shared" si="0"/>
        <v>396</v>
      </c>
      <c r="E16" s="52">
        <f t="shared" si="0"/>
        <v>380</v>
      </c>
      <c r="F16" s="52">
        <f t="shared" si="0"/>
        <v>358</v>
      </c>
      <c r="G16" s="52">
        <f t="shared" si="0"/>
        <v>394</v>
      </c>
      <c r="H16" s="52">
        <f t="shared" si="0"/>
        <v>0</v>
      </c>
      <c r="I16" s="52">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H3:I15 C15:G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A2:K44"/>
  <sheetViews>
    <sheetView showGridLines="0" topLeftCell="B112" workbookViewId="0">
      <selection activeCell="B2" sqref="B2"/>
    </sheetView>
  </sheetViews>
  <sheetFormatPr defaultColWidth="10.875" defaultRowHeight="15.95"/>
  <cols>
    <col min="1" max="1" width="5.375" customWidth="1"/>
    <col min="2" max="2" width="34.5" customWidth="1"/>
  </cols>
  <sheetData>
    <row r="2" spans="1:11" ht="47.1" customHeight="1">
      <c r="B2" s="96" t="s">
        <v>254</v>
      </c>
      <c r="C2" s="96"/>
      <c r="D2" s="96"/>
      <c r="E2" s="96"/>
      <c r="F2" s="96"/>
      <c r="G2" s="96"/>
      <c r="H2" s="96"/>
      <c r="I2" s="96"/>
      <c r="J2" s="96"/>
      <c r="K2" s="96"/>
    </row>
    <row r="3" spans="1:11" ht="47.1" customHeight="1">
      <c r="B3" s="96"/>
      <c r="C3" s="96"/>
      <c r="D3" s="96"/>
      <c r="E3" s="96"/>
      <c r="F3" s="96"/>
      <c r="G3" s="96"/>
      <c r="H3" s="96"/>
      <c r="I3" s="96"/>
      <c r="J3" s="96"/>
      <c r="K3" s="96"/>
    </row>
    <row r="4" spans="1:11" ht="47.1" customHeight="1">
      <c r="B4" s="96"/>
      <c r="C4" s="96"/>
      <c r="D4" s="96"/>
      <c r="E4" s="96"/>
      <c r="F4" s="96"/>
      <c r="G4" s="96"/>
      <c r="H4" s="96"/>
      <c r="I4" s="96"/>
      <c r="J4" s="96"/>
      <c r="K4" s="96"/>
    </row>
    <row r="5" spans="1:11" ht="47.1" customHeight="1">
      <c r="B5" s="96"/>
      <c r="C5" s="96"/>
      <c r="D5" s="96"/>
      <c r="E5" s="96"/>
      <c r="F5" s="96"/>
      <c r="G5" s="96"/>
      <c r="H5" s="96"/>
      <c r="I5" s="96"/>
      <c r="J5" s="96"/>
      <c r="K5" s="96"/>
    </row>
    <row r="8" spans="1:11" ht="18">
      <c r="B8" s="75" t="s">
        <v>255</v>
      </c>
    </row>
    <row r="9" spans="1:11" ht="15.75">
      <c r="B9" s="76"/>
    </row>
    <row r="10" spans="1:11" ht="15.75">
      <c r="A10">
        <v>1</v>
      </c>
      <c r="B10" s="76" t="s">
        <v>256</v>
      </c>
    </row>
    <row r="11" spans="1:11" ht="15.75">
      <c r="A11">
        <v>2</v>
      </c>
      <c r="B11" s="76" t="s">
        <v>257</v>
      </c>
    </row>
    <row r="12" spans="1:11" ht="15.75">
      <c r="B12" s="78" t="s">
        <v>258</v>
      </c>
    </row>
    <row r="13" spans="1:11" ht="15.75">
      <c r="A13">
        <v>3</v>
      </c>
      <c r="B13" s="76" t="s">
        <v>259</v>
      </c>
    </row>
    <row r="14" spans="1:11" ht="15.75">
      <c r="B14" s="79" t="s">
        <v>260</v>
      </c>
    </row>
    <row r="15" spans="1:11" ht="15.75">
      <c r="B15" s="79" t="s">
        <v>261</v>
      </c>
    </row>
    <row r="16" spans="1:11" ht="15.75">
      <c r="B16" s="79" t="s">
        <v>262</v>
      </c>
    </row>
    <row r="17" spans="1:2" ht="15.75">
      <c r="B17" s="79" t="s">
        <v>263</v>
      </c>
    </row>
    <row r="18" spans="1:2" ht="15.75">
      <c r="B18" s="79" t="s">
        <v>264</v>
      </c>
    </row>
    <row r="19" spans="1:2" ht="15.75">
      <c r="A19">
        <v>4</v>
      </c>
      <c r="B19" s="76" t="s">
        <v>265</v>
      </c>
    </row>
    <row r="20" spans="1:2" ht="15.75">
      <c r="B20" s="79" t="s">
        <v>266</v>
      </c>
    </row>
    <row r="21" spans="1:2" ht="15.75">
      <c r="B21" s="79" t="s">
        <v>267</v>
      </c>
    </row>
    <row r="22" spans="1:2" ht="15.75">
      <c r="B22" s="79" t="s">
        <v>268</v>
      </c>
    </row>
    <row r="23" spans="1:2" ht="15.75">
      <c r="A23">
        <v>5</v>
      </c>
      <c r="B23" s="77" t="s">
        <v>269</v>
      </c>
    </row>
    <row r="24" spans="1:2" ht="15.75"/>
    <row r="25" spans="1:2" ht="15.75"/>
    <row r="26" spans="1:2" ht="15.75"/>
    <row r="27" spans="1:2" ht="15.75"/>
    <row r="28" spans="1:2" ht="15.75"/>
    <row r="29" spans="1:2" ht="15.75"/>
    <row r="30" spans="1:2" ht="15.75"/>
    <row r="31" spans="1:2" ht="15.75"/>
    <row r="32" spans="1:2" ht="15.75"/>
    <row r="33" ht="15.75"/>
    <row r="34" ht="15.75"/>
    <row r="35" ht="15.75"/>
    <row r="36" ht="15.75"/>
    <row r="37" ht="15.75"/>
    <row r="38" ht="15.75"/>
    <row r="39" ht="15.75"/>
    <row r="40" ht="15.75"/>
    <row r="41" ht="15.75"/>
    <row r="44" ht="15.75"/>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P5" zoomScale="70" zoomScaleNormal="70" workbookViewId="0">
      <selection activeCell="Y10" sqref="Y10"/>
    </sheetView>
  </sheetViews>
  <sheetFormatPr defaultColWidth="11" defaultRowHeight="15.95"/>
  <cols>
    <col min="1" max="1" width="4.125" style="1" customWidth="1"/>
    <col min="2" max="2" width="51.5" style="1" customWidth="1"/>
    <col min="3" max="22" width="29.125" style="1" customWidth="1"/>
    <col min="23" max="23" width="57.875" style="1" customWidth="1"/>
  </cols>
  <sheetData>
    <row r="1" spans="2:23" ht="60" customHeight="1">
      <c r="B1" s="34" t="s">
        <v>270</v>
      </c>
    </row>
    <row r="2" spans="2:23" ht="60" customHeight="1">
      <c r="B2" s="64" t="s">
        <v>271</v>
      </c>
      <c r="C2" s="97" t="s">
        <v>272</v>
      </c>
      <c r="D2" s="97"/>
      <c r="E2" s="97"/>
      <c r="F2" s="97"/>
      <c r="G2" s="97" t="s">
        <v>273</v>
      </c>
      <c r="H2" s="97"/>
      <c r="I2" s="97"/>
      <c r="J2" s="97"/>
      <c r="K2" s="97"/>
      <c r="L2" s="97" t="s">
        <v>274</v>
      </c>
      <c r="M2" s="97"/>
      <c r="N2" s="97"/>
      <c r="O2" s="97"/>
      <c r="P2" s="97"/>
      <c r="Q2" s="97"/>
      <c r="R2" s="97"/>
      <c r="S2" s="97" t="s">
        <v>275</v>
      </c>
      <c r="T2" s="97"/>
      <c r="U2" s="97"/>
      <c r="V2" s="97"/>
    </row>
    <row r="3" spans="2:23" ht="60" customHeight="1">
      <c r="B3" s="16" t="s">
        <v>276</v>
      </c>
      <c r="C3" s="65" t="s">
        <v>277</v>
      </c>
      <c r="D3" s="65" t="s">
        <v>278</v>
      </c>
      <c r="E3" s="65" t="s">
        <v>279</v>
      </c>
      <c r="F3" s="65" t="s">
        <v>280</v>
      </c>
      <c r="G3" s="65" t="s">
        <v>281</v>
      </c>
      <c r="H3" s="65" t="s">
        <v>282</v>
      </c>
      <c r="I3" s="65" t="s">
        <v>283</v>
      </c>
      <c r="J3" s="65" t="s">
        <v>284</v>
      </c>
      <c r="K3" s="65" t="s">
        <v>285</v>
      </c>
      <c r="L3" s="65" t="s">
        <v>286</v>
      </c>
      <c r="M3" s="66" t="s">
        <v>287</v>
      </c>
      <c r="N3" s="65" t="s">
        <v>288</v>
      </c>
      <c r="O3" s="65" t="s">
        <v>289</v>
      </c>
      <c r="P3" s="65" t="s">
        <v>290</v>
      </c>
      <c r="Q3" s="65" t="s">
        <v>291</v>
      </c>
      <c r="R3" s="65" t="s">
        <v>292</v>
      </c>
      <c r="S3" s="65" t="s">
        <v>293</v>
      </c>
      <c r="T3" s="65" t="s">
        <v>294</v>
      </c>
      <c r="U3" s="65" t="s">
        <v>295</v>
      </c>
      <c r="V3" s="65" t="s">
        <v>296</v>
      </c>
      <c r="W3" s="16" t="s">
        <v>239</v>
      </c>
    </row>
    <row r="4" spans="2:23" ht="60" customHeight="1">
      <c r="B4" s="16" t="s">
        <v>297</v>
      </c>
      <c r="C4" s="83" t="s">
        <v>45</v>
      </c>
      <c r="D4" s="83" t="s">
        <v>45</v>
      </c>
      <c r="E4" s="83" t="s">
        <v>45</v>
      </c>
      <c r="F4" s="83" t="s">
        <v>45</v>
      </c>
      <c r="G4" s="83" t="s">
        <v>45</v>
      </c>
      <c r="H4" s="83" t="s">
        <v>45</v>
      </c>
      <c r="I4" s="83" t="s">
        <v>45</v>
      </c>
      <c r="J4" s="83" t="s">
        <v>45</v>
      </c>
      <c r="K4" s="83" t="s">
        <v>45</v>
      </c>
      <c r="L4" s="83" t="s">
        <v>172</v>
      </c>
      <c r="M4" s="83" t="s">
        <v>45</v>
      </c>
      <c r="N4" s="83" t="s">
        <v>45</v>
      </c>
      <c r="O4" s="83" t="s">
        <v>45</v>
      </c>
      <c r="P4" s="83" t="s">
        <v>45</v>
      </c>
      <c r="Q4" s="83" t="s">
        <v>172</v>
      </c>
      <c r="R4" s="83" t="s">
        <v>172</v>
      </c>
      <c r="S4" s="83" t="s">
        <v>45</v>
      </c>
      <c r="T4" s="83" t="s">
        <v>45</v>
      </c>
      <c r="U4" s="83" t="s">
        <v>172</v>
      </c>
      <c r="V4" s="83" t="s">
        <v>45</v>
      </c>
      <c r="W4" s="59"/>
    </row>
    <row r="5" spans="2:23" ht="60" customHeight="1">
      <c r="B5" s="36" t="s">
        <v>298</v>
      </c>
      <c r="C5" s="83" t="s">
        <v>299</v>
      </c>
      <c r="D5" s="83" t="s">
        <v>299</v>
      </c>
      <c r="E5" s="83" t="s">
        <v>299</v>
      </c>
      <c r="F5" s="83" t="s">
        <v>299</v>
      </c>
      <c r="G5" s="83" t="s">
        <v>210</v>
      </c>
      <c r="H5" s="83" t="s">
        <v>299</v>
      </c>
      <c r="I5" s="83" t="s">
        <v>210</v>
      </c>
      <c r="J5" s="83" t="s">
        <v>210</v>
      </c>
      <c r="K5" s="83" t="s">
        <v>210</v>
      </c>
      <c r="L5" s="83" t="s">
        <v>158</v>
      </c>
      <c r="M5" s="83" t="s">
        <v>299</v>
      </c>
      <c r="N5" s="83" t="s">
        <v>299</v>
      </c>
      <c r="O5" s="83" t="s">
        <v>299</v>
      </c>
      <c r="P5" s="83" t="s">
        <v>211</v>
      </c>
      <c r="Q5" s="83" t="s">
        <v>158</v>
      </c>
      <c r="R5" s="83" t="s">
        <v>158</v>
      </c>
      <c r="S5" s="83" t="s">
        <v>210</v>
      </c>
      <c r="T5" s="83" t="s">
        <v>210</v>
      </c>
      <c r="U5" s="83" t="s">
        <v>158</v>
      </c>
      <c r="V5" s="83" t="s">
        <v>211</v>
      </c>
      <c r="W5" s="59"/>
    </row>
    <row r="6" spans="2:23" ht="60" customHeight="1">
      <c r="B6" s="36" t="s">
        <v>300</v>
      </c>
      <c r="C6" s="83" t="s">
        <v>172</v>
      </c>
      <c r="D6" s="83" t="s">
        <v>172</v>
      </c>
      <c r="E6" s="83" t="s">
        <v>172</v>
      </c>
      <c r="F6" s="83" t="s">
        <v>172</v>
      </c>
      <c r="G6" s="83" t="s">
        <v>45</v>
      </c>
      <c r="H6" s="83" t="s">
        <v>172</v>
      </c>
      <c r="I6" s="83" t="s">
        <v>172</v>
      </c>
      <c r="J6" s="83" t="s">
        <v>172</v>
      </c>
      <c r="K6" s="83" t="s">
        <v>172</v>
      </c>
      <c r="L6" s="83" t="s">
        <v>172</v>
      </c>
      <c r="M6" s="83" t="s">
        <v>172</v>
      </c>
      <c r="N6" s="83" t="s">
        <v>172</v>
      </c>
      <c r="O6" s="83" t="s">
        <v>172</v>
      </c>
      <c r="P6" s="83" t="s">
        <v>172</v>
      </c>
      <c r="Q6" s="83" t="s">
        <v>172</v>
      </c>
      <c r="R6" s="83" t="s">
        <v>172</v>
      </c>
      <c r="S6" s="83" t="s">
        <v>172</v>
      </c>
      <c r="T6" s="83" t="s">
        <v>172</v>
      </c>
      <c r="U6" s="83" t="s">
        <v>45</v>
      </c>
      <c r="V6" s="83" t="s">
        <v>172</v>
      </c>
      <c r="W6" s="59"/>
    </row>
    <row r="7" spans="2:23" ht="60" customHeight="1">
      <c r="B7" s="36" t="s">
        <v>301</v>
      </c>
      <c r="C7" s="83" t="s">
        <v>302</v>
      </c>
      <c r="D7" s="83" t="s">
        <v>303</v>
      </c>
      <c r="E7" s="83" t="s">
        <v>304</v>
      </c>
      <c r="F7" s="83" t="s">
        <v>305</v>
      </c>
      <c r="G7" s="83" t="s">
        <v>306</v>
      </c>
      <c r="H7" s="83" t="s">
        <v>307</v>
      </c>
      <c r="I7" s="83" t="s">
        <v>308</v>
      </c>
      <c r="J7" s="83" t="s">
        <v>309</v>
      </c>
      <c r="K7" s="83" t="s">
        <v>310</v>
      </c>
      <c r="L7" s="83" t="s">
        <v>311</v>
      </c>
      <c r="M7" s="83" t="s">
        <v>312</v>
      </c>
      <c r="N7" s="83" t="s">
        <v>313</v>
      </c>
      <c r="O7" s="83" t="s">
        <v>314</v>
      </c>
      <c r="P7" s="83" t="s">
        <v>315</v>
      </c>
      <c r="Q7" s="83" t="s">
        <v>311</v>
      </c>
      <c r="R7" s="83" t="s">
        <v>311</v>
      </c>
      <c r="S7" s="83" t="s">
        <v>316</v>
      </c>
      <c r="T7" s="83" t="s">
        <v>317</v>
      </c>
      <c r="U7" s="83" t="s">
        <v>318</v>
      </c>
      <c r="V7" s="83" t="s">
        <v>319</v>
      </c>
      <c r="W7" s="59"/>
    </row>
    <row r="8" spans="2:23" ht="60" customHeight="1">
      <c r="B8" s="36" t="s">
        <v>320</v>
      </c>
      <c r="C8" s="84" t="s">
        <v>321</v>
      </c>
      <c r="D8" s="85" t="s">
        <v>321</v>
      </c>
      <c r="E8" s="85" t="s">
        <v>321</v>
      </c>
      <c r="F8" s="85" t="s">
        <v>321</v>
      </c>
      <c r="G8" s="85" t="s">
        <v>321</v>
      </c>
      <c r="H8" s="85" t="s">
        <v>321</v>
      </c>
      <c r="I8" s="85" t="s">
        <v>321</v>
      </c>
      <c r="J8" s="85" t="s">
        <v>321</v>
      </c>
      <c r="K8" s="85" t="s">
        <v>321</v>
      </c>
      <c r="L8" s="85" t="s">
        <v>311</v>
      </c>
      <c r="M8" s="85" t="s">
        <v>321</v>
      </c>
      <c r="N8" s="85" t="s">
        <v>321</v>
      </c>
      <c r="O8" s="85" t="s">
        <v>321</v>
      </c>
      <c r="P8" s="85" t="s">
        <v>321</v>
      </c>
      <c r="Q8" s="85" t="s">
        <v>321</v>
      </c>
      <c r="R8" s="85" t="s">
        <v>321</v>
      </c>
      <c r="S8" s="85" t="s">
        <v>321</v>
      </c>
      <c r="T8" s="85" t="s">
        <v>321</v>
      </c>
      <c r="U8" s="85" t="s">
        <v>321</v>
      </c>
      <c r="V8" s="85" t="s">
        <v>321</v>
      </c>
      <c r="W8" s="59"/>
    </row>
    <row r="9" spans="2:23" ht="60" customHeight="1">
      <c r="B9" s="36" t="s">
        <v>322</v>
      </c>
      <c r="C9" s="83" t="s">
        <v>323</v>
      </c>
      <c r="D9" s="83" t="s">
        <v>324</v>
      </c>
      <c r="E9" s="83" t="s">
        <v>325</v>
      </c>
      <c r="F9" s="83" t="s">
        <v>326</v>
      </c>
      <c r="G9" s="83" t="s">
        <v>327</v>
      </c>
      <c r="H9" s="83" t="s">
        <v>328</v>
      </c>
      <c r="I9" s="83" t="s">
        <v>329</v>
      </c>
      <c r="J9" s="83" t="s">
        <v>330</v>
      </c>
      <c r="K9" s="83" t="s">
        <v>331</v>
      </c>
      <c r="L9" s="83" t="s">
        <v>311</v>
      </c>
      <c r="M9" s="83" t="s">
        <v>332</v>
      </c>
      <c r="N9" s="83" t="s">
        <v>333</v>
      </c>
      <c r="O9" s="83" t="s">
        <v>334</v>
      </c>
      <c r="P9" s="83" t="s">
        <v>311</v>
      </c>
      <c r="Q9" s="83" t="s">
        <v>311</v>
      </c>
      <c r="R9" s="83" t="s">
        <v>311</v>
      </c>
      <c r="S9" s="83" t="s">
        <v>335</v>
      </c>
      <c r="T9" s="83" t="s">
        <v>336</v>
      </c>
      <c r="U9" s="83" t="s">
        <v>311</v>
      </c>
      <c r="V9" s="83" t="s">
        <v>337</v>
      </c>
      <c r="W9" s="59"/>
    </row>
    <row r="10" spans="2:23" ht="60" customHeight="1">
      <c r="B10" s="36" t="s">
        <v>338</v>
      </c>
      <c r="C10" s="84" t="s">
        <v>168</v>
      </c>
      <c r="D10" s="85" t="s">
        <v>168</v>
      </c>
      <c r="E10" s="85" t="s">
        <v>168</v>
      </c>
      <c r="F10" s="85" t="s">
        <v>168</v>
      </c>
      <c r="G10" s="85" t="s">
        <v>168</v>
      </c>
      <c r="H10" s="85" t="s">
        <v>168</v>
      </c>
      <c r="I10" s="85" t="s">
        <v>168</v>
      </c>
      <c r="J10" s="85" t="s">
        <v>168</v>
      </c>
      <c r="K10" s="85" t="s">
        <v>168</v>
      </c>
      <c r="L10" s="85" t="s">
        <v>168</v>
      </c>
      <c r="M10" s="85" t="s">
        <v>168</v>
      </c>
      <c r="N10" s="85" t="s">
        <v>168</v>
      </c>
      <c r="O10" s="85" t="s">
        <v>168</v>
      </c>
      <c r="P10" s="85" t="s">
        <v>168</v>
      </c>
      <c r="Q10" s="85" t="s">
        <v>168</v>
      </c>
      <c r="R10" s="85" t="s">
        <v>168</v>
      </c>
      <c r="S10" s="85" t="s">
        <v>168</v>
      </c>
      <c r="T10" s="85" t="s">
        <v>168</v>
      </c>
      <c r="U10" s="85" t="s">
        <v>168</v>
      </c>
      <c r="V10" s="85" t="s">
        <v>168</v>
      </c>
      <c r="W10" s="59" t="s">
        <v>339</v>
      </c>
    </row>
    <row r="11" spans="2:23" ht="60" customHeight="1">
      <c r="B11" s="36" t="s">
        <v>340</v>
      </c>
      <c r="C11" s="84" t="s">
        <v>341</v>
      </c>
      <c r="D11" s="85" t="s">
        <v>341</v>
      </c>
      <c r="E11" s="85" t="s">
        <v>341</v>
      </c>
      <c r="F11" s="85" t="s">
        <v>341</v>
      </c>
      <c r="G11" s="85" t="s">
        <v>341</v>
      </c>
      <c r="H11" s="85" t="s">
        <v>341</v>
      </c>
      <c r="I11" s="85" t="s">
        <v>341</v>
      </c>
      <c r="J11" s="85" t="s">
        <v>341</v>
      </c>
      <c r="K11" s="85" t="s">
        <v>341</v>
      </c>
      <c r="L11" s="85" t="s">
        <v>311</v>
      </c>
      <c r="M11" s="85" t="s">
        <v>341</v>
      </c>
      <c r="N11" s="85" t="s">
        <v>341</v>
      </c>
      <c r="O11" s="85" t="s">
        <v>341</v>
      </c>
      <c r="P11" s="85" t="s">
        <v>341</v>
      </c>
      <c r="Q11" s="85" t="s">
        <v>341</v>
      </c>
      <c r="R11" s="85" t="s">
        <v>341</v>
      </c>
      <c r="S11" s="85" t="s">
        <v>341</v>
      </c>
      <c r="T11" s="85" t="s">
        <v>341</v>
      </c>
      <c r="U11" s="85" t="s">
        <v>341</v>
      </c>
      <c r="V11" s="85" t="s">
        <v>341</v>
      </c>
      <c r="W11" s="59" t="s">
        <v>342</v>
      </c>
    </row>
    <row r="12" spans="2:23" ht="60" customHeight="1">
      <c r="B12" s="16" t="s">
        <v>343</v>
      </c>
      <c r="C12" s="83" t="s">
        <v>344</v>
      </c>
      <c r="D12" s="83" t="s">
        <v>345</v>
      </c>
      <c r="E12" s="83" t="s">
        <v>346</v>
      </c>
      <c r="F12" s="83" t="s">
        <v>347</v>
      </c>
      <c r="G12" s="83" t="s">
        <v>348</v>
      </c>
      <c r="H12" s="83" t="s">
        <v>349</v>
      </c>
      <c r="I12" s="83" t="s">
        <v>350</v>
      </c>
      <c r="J12" s="83" t="s">
        <v>351</v>
      </c>
      <c r="K12" s="83" t="s">
        <v>352</v>
      </c>
      <c r="L12" s="83" t="s">
        <v>311</v>
      </c>
      <c r="M12" s="83" t="s">
        <v>353</v>
      </c>
      <c r="N12" s="83" t="s">
        <v>354</v>
      </c>
      <c r="O12" s="83" t="s">
        <v>355</v>
      </c>
      <c r="P12" s="83" t="s">
        <v>356</v>
      </c>
      <c r="Q12" s="83" t="s">
        <v>311</v>
      </c>
      <c r="R12" s="83" t="s">
        <v>311</v>
      </c>
      <c r="S12" s="83" t="s">
        <v>357</v>
      </c>
      <c r="T12" s="83" t="s">
        <v>358</v>
      </c>
      <c r="U12" s="83" t="s">
        <v>311</v>
      </c>
      <c r="V12" s="83" t="s">
        <v>359</v>
      </c>
      <c r="W12" s="59"/>
    </row>
    <row r="13" spans="2:23" ht="60" customHeight="1">
      <c r="B13" s="36" t="s">
        <v>360</v>
      </c>
      <c r="C13" s="83" t="s">
        <v>361</v>
      </c>
      <c r="D13" s="83" t="s">
        <v>362</v>
      </c>
      <c r="E13" s="83" t="s">
        <v>363</v>
      </c>
      <c r="F13" s="83" t="s">
        <v>364</v>
      </c>
      <c r="G13" s="83" t="s">
        <v>365</v>
      </c>
      <c r="H13" s="83" t="s">
        <v>366</v>
      </c>
      <c r="I13" s="83" t="s">
        <v>365</v>
      </c>
      <c r="J13" s="85" t="s">
        <v>367</v>
      </c>
      <c r="K13" s="83" t="s">
        <v>368</v>
      </c>
      <c r="L13" s="83" t="s">
        <v>311</v>
      </c>
      <c r="M13" s="83" t="s">
        <v>369</v>
      </c>
      <c r="N13" s="85" t="s">
        <v>370</v>
      </c>
      <c r="O13" s="83" t="s">
        <v>371</v>
      </c>
      <c r="P13" s="83" t="s">
        <v>372</v>
      </c>
      <c r="Q13" s="83" t="s">
        <v>311</v>
      </c>
      <c r="R13" s="83" t="s">
        <v>311</v>
      </c>
      <c r="S13" s="83" t="s">
        <v>373</v>
      </c>
      <c r="T13" s="83" t="s">
        <v>374</v>
      </c>
      <c r="U13" s="83" t="s">
        <v>311</v>
      </c>
      <c r="V13" s="83" t="s">
        <v>374</v>
      </c>
      <c r="W13" s="59"/>
    </row>
    <row r="14" spans="2:23" ht="60" customHeight="1">
      <c r="B14" s="16" t="s">
        <v>375</v>
      </c>
      <c r="C14" s="83" t="s">
        <v>376</v>
      </c>
      <c r="D14" s="83" t="s">
        <v>376</v>
      </c>
      <c r="E14" s="83" t="s">
        <v>376</v>
      </c>
      <c r="F14" s="83" t="s">
        <v>376</v>
      </c>
      <c r="G14" s="83" t="s">
        <v>377</v>
      </c>
      <c r="H14" s="83" t="s">
        <v>378</v>
      </c>
      <c r="I14" s="83" t="s">
        <v>379</v>
      </c>
      <c r="J14" s="83" t="s">
        <v>380</v>
      </c>
      <c r="K14" s="83" t="s">
        <v>381</v>
      </c>
      <c r="L14" s="83" t="s">
        <v>311</v>
      </c>
      <c r="M14" s="83" t="s">
        <v>382</v>
      </c>
      <c r="N14" s="83" t="s">
        <v>383</v>
      </c>
      <c r="O14" s="83" t="s">
        <v>377</v>
      </c>
      <c r="P14" s="83" t="s">
        <v>384</v>
      </c>
      <c r="Q14" s="83" t="s">
        <v>311</v>
      </c>
      <c r="R14" s="83" t="s">
        <v>311</v>
      </c>
      <c r="S14" s="83" t="s">
        <v>385</v>
      </c>
      <c r="T14" s="83" t="s">
        <v>385</v>
      </c>
      <c r="U14" s="83" t="s">
        <v>311</v>
      </c>
      <c r="V14" s="83" t="s">
        <v>386</v>
      </c>
      <c r="W14" s="59"/>
    </row>
    <row r="15" spans="2:23" ht="60" customHeight="1">
      <c r="B15" s="16" t="s">
        <v>387</v>
      </c>
      <c r="C15" s="39"/>
      <c r="D15" s="39"/>
      <c r="E15" s="39"/>
      <c r="F15" s="39"/>
      <c r="G15" s="39"/>
      <c r="H15" s="39"/>
      <c r="I15" s="39"/>
      <c r="J15" s="39"/>
      <c r="K15" s="39"/>
      <c r="L15" s="39"/>
      <c r="M15" s="39"/>
      <c r="N15" s="39"/>
      <c r="O15" s="39"/>
      <c r="P15" s="39"/>
      <c r="Q15" s="39"/>
      <c r="R15" s="39"/>
      <c r="S15" s="39"/>
      <c r="T15" s="39"/>
      <c r="U15" s="39"/>
      <c r="V15" s="39"/>
      <c r="W15" s="59"/>
    </row>
    <row r="16" spans="2:23" ht="60" customHeight="1">
      <c r="B16" s="36" t="s">
        <v>388</v>
      </c>
      <c r="C16" s="39"/>
      <c r="D16" s="39"/>
      <c r="E16" s="39"/>
      <c r="F16" s="39"/>
      <c r="G16" s="39"/>
      <c r="H16" s="39"/>
      <c r="I16" s="39"/>
      <c r="J16" s="39"/>
      <c r="K16" s="39"/>
      <c r="L16" s="39"/>
      <c r="M16" s="39"/>
      <c r="N16" s="39"/>
      <c r="O16" s="39"/>
      <c r="P16" s="39"/>
      <c r="Q16" s="39"/>
      <c r="R16" s="39"/>
      <c r="S16" s="39"/>
      <c r="T16" s="39"/>
      <c r="U16" s="39"/>
      <c r="V16" s="39"/>
      <c r="W16" s="59"/>
    </row>
    <row r="17" spans="2:23" ht="60" customHeight="1">
      <c r="B17" s="16" t="s">
        <v>389</v>
      </c>
      <c r="C17" s="39"/>
      <c r="D17" s="39"/>
      <c r="E17" s="39"/>
      <c r="F17" s="39"/>
      <c r="G17" s="39"/>
      <c r="H17" s="39"/>
      <c r="I17" s="39"/>
      <c r="J17" s="39"/>
      <c r="K17" s="39"/>
      <c r="L17" s="39"/>
      <c r="M17" s="39"/>
      <c r="N17" s="39"/>
      <c r="O17" s="39"/>
      <c r="P17" s="39"/>
      <c r="Q17" s="39"/>
      <c r="R17" s="39"/>
      <c r="S17" s="39"/>
      <c r="T17" s="39"/>
      <c r="U17" s="39"/>
      <c r="V17" s="39"/>
      <c r="W17" s="59"/>
    </row>
    <row r="18" spans="2:23" ht="60" customHeight="1">
      <c r="B18" s="16" t="s">
        <v>390</v>
      </c>
      <c r="C18" s="39"/>
      <c r="D18" s="39"/>
      <c r="E18" s="39"/>
      <c r="F18" s="39"/>
      <c r="G18" s="39"/>
      <c r="H18" s="39"/>
      <c r="I18" s="39"/>
      <c r="J18" s="39"/>
      <c r="K18" s="39"/>
      <c r="L18" s="39"/>
      <c r="M18" s="39"/>
      <c r="N18" s="39"/>
      <c r="O18" s="39"/>
      <c r="P18" s="39"/>
      <c r="Q18" s="39"/>
      <c r="R18" s="39"/>
      <c r="S18" s="39"/>
      <c r="T18" s="39"/>
      <c r="U18" s="39"/>
      <c r="V18" s="39"/>
      <c r="W18" s="59"/>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30"/>
  <sheetViews>
    <sheetView showGridLines="0" topLeftCell="A21" workbookViewId="0">
      <selection activeCell="H23" sqref="H23"/>
    </sheetView>
  </sheetViews>
  <sheetFormatPr defaultColWidth="10.875" defaultRowHeight="15.95"/>
  <cols>
    <col min="1" max="1" width="5.5" customWidth="1"/>
  </cols>
  <sheetData>
    <row r="3" spans="2:11" ht="33.950000000000003" customHeight="1">
      <c r="B3" s="96" t="s">
        <v>391</v>
      </c>
      <c r="C3" s="96"/>
      <c r="D3" s="96"/>
      <c r="E3" s="96"/>
      <c r="F3" s="96"/>
      <c r="G3" s="96"/>
      <c r="H3" s="96"/>
      <c r="I3" s="96"/>
      <c r="J3" s="96"/>
      <c r="K3" s="96"/>
    </row>
    <row r="4" spans="2:11" ht="33.950000000000003" customHeight="1">
      <c r="B4" s="96"/>
      <c r="C4" s="96"/>
      <c r="D4" s="96"/>
      <c r="E4" s="96"/>
      <c r="F4" s="96"/>
      <c r="G4" s="96"/>
      <c r="H4" s="96"/>
      <c r="I4" s="96"/>
      <c r="J4" s="96"/>
      <c r="K4" s="96"/>
    </row>
    <row r="5" spans="2:11" ht="33.950000000000003" customHeight="1">
      <c r="B5" s="96"/>
      <c r="C5" s="96"/>
      <c r="D5" s="96"/>
      <c r="E5" s="96"/>
      <c r="F5" s="96"/>
      <c r="G5" s="96"/>
      <c r="H5" s="96"/>
      <c r="I5" s="96"/>
      <c r="J5" s="96"/>
      <c r="K5" s="96"/>
    </row>
    <row r="6" spans="2:11" ht="33.950000000000003" customHeight="1">
      <c r="B6" s="96"/>
      <c r="C6" s="96"/>
      <c r="D6" s="96"/>
      <c r="E6" s="96"/>
      <c r="F6" s="96"/>
      <c r="G6" s="96"/>
      <c r="H6" s="96"/>
      <c r="I6" s="96"/>
      <c r="J6" s="96"/>
      <c r="K6" s="96"/>
    </row>
    <row r="7" spans="2:11" ht="17.25">
      <c r="B7" s="80" t="s">
        <v>392</v>
      </c>
    </row>
    <row r="8" spans="2:11" ht="15.75">
      <c r="B8" s="81"/>
    </row>
    <row r="9" spans="2:11" ht="16.5">
      <c r="B9" s="82" t="s">
        <v>393</v>
      </c>
    </row>
    <row r="10" spans="2:11" ht="16.5">
      <c r="B10" s="82" t="s">
        <v>394</v>
      </c>
    </row>
    <row r="11" spans="2:11" ht="16.5">
      <c r="B11" s="82" t="s">
        <v>395</v>
      </c>
    </row>
    <row r="12" spans="2:11" ht="16.5">
      <c r="B12" s="82" t="s">
        <v>396</v>
      </c>
    </row>
    <row r="13" spans="2:11" ht="15.75">
      <c r="B13" s="81"/>
    </row>
    <row r="14" spans="2:11" ht="17.25">
      <c r="B14" s="80" t="s">
        <v>397</v>
      </c>
    </row>
    <row r="15" spans="2:11" ht="15.75">
      <c r="B15" s="81"/>
    </row>
    <row r="16" spans="2:11" ht="16.5">
      <c r="B16" s="82" t="s">
        <v>398</v>
      </c>
    </row>
    <row r="17" spans="2:2" ht="16.5">
      <c r="B17" s="82" t="s">
        <v>399</v>
      </c>
    </row>
    <row r="18" spans="2:2" ht="16.5">
      <c r="B18" s="82" t="s">
        <v>400</v>
      </c>
    </row>
    <row r="19" spans="2:2" ht="15.75">
      <c r="B19" s="81"/>
    </row>
    <row r="20" spans="2:2" ht="17.25">
      <c r="B20" s="80" t="s">
        <v>401</v>
      </c>
    </row>
    <row r="21" spans="2:2" ht="15.75">
      <c r="B21" s="81"/>
    </row>
    <row r="22" spans="2:2" ht="16.5">
      <c r="B22" s="82" t="s">
        <v>402</v>
      </c>
    </row>
    <row r="23" spans="2:2" ht="16.5">
      <c r="B23" s="82" t="s">
        <v>403</v>
      </c>
    </row>
    <row r="24" spans="2:2" ht="16.5">
      <c r="B24" s="82" t="s">
        <v>404</v>
      </c>
    </row>
    <row r="25" spans="2:2" ht="15.75">
      <c r="B25" s="81"/>
    </row>
    <row r="26" spans="2:2" ht="17.25">
      <c r="B26" s="80" t="s">
        <v>405</v>
      </c>
    </row>
    <row r="27" spans="2:2" ht="15.75">
      <c r="B27" s="81"/>
    </row>
    <row r="28" spans="2:2" ht="16.5">
      <c r="B28" s="82" t="s">
        <v>406</v>
      </c>
    </row>
    <row r="29" spans="2:2" ht="16.5">
      <c r="B29" s="82" t="s">
        <v>407</v>
      </c>
    </row>
    <row r="30" spans="2:2" ht="16.5">
      <c r="B30" s="82" t="s">
        <v>408</v>
      </c>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abSelected="1" zoomScaleNormal="100" workbookViewId="0">
      <selection activeCell="C28" sqref="C28"/>
    </sheetView>
  </sheetViews>
  <sheetFormatPr defaultColWidth="10.875" defaultRowHeight="20.100000000000001"/>
  <cols>
    <col min="1" max="1" width="4.125" style="54" customWidth="1"/>
    <col min="2" max="2" width="200.875" style="10" customWidth="1"/>
    <col min="3" max="3" width="67.5" style="13" customWidth="1"/>
    <col min="4" max="16384" width="10.875" style="48"/>
  </cols>
  <sheetData>
    <row r="2" spans="2:4" ht="21.95">
      <c r="B2" s="8" t="s">
        <v>409</v>
      </c>
      <c r="C2" s="11"/>
    </row>
    <row r="3" spans="2:4" ht="21.95">
      <c r="B3" s="41" t="s">
        <v>410</v>
      </c>
      <c r="C3" s="56"/>
    </row>
    <row r="4" spans="2:4" ht="21.95">
      <c r="B4" s="55" t="s">
        <v>411</v>
      </c>
      <c r="C4" s="56"/>
    </row>
    <row r="5" spans="2:4" ht="71.25">
      <c r="B5" s="53" t="s">
        <v>412</v>
      </c>
      <c r="C5" s="47" t="s">
        <v>45</v>
      </c>
      <c r="D5" s="49" t="s">
        <v>413</v>
      </c>
    </row>
    <row r="6" spans="2:4" ht="21.95">
      <c r="B6" s="55" t="s">
        <v>414</v>
      </c>
      <c r="C6" s="56"/>
      <c r="D6" s="49"/>
    </row>
    <row r="7" spans="2:4" ht="71.25">
      <c r="B7" s="53" t="s">
        <v>415</v>
      </c>
      <c r="C7" s="47" t="s">
        <v>45</v>
      </c>
      <c r="D7" s="49" t="s">
        <v>416</v>
      </c>
    </row>
    <row r="8" spans="2:4" ht="21.95">
      <c r="B8" s="55" t="s">
        <v>417</v>
      </c>
      <c r="C8" s="56"/>
    </row>
    <row r="9" spans="2:4" ht="71.25">
      <c r="B9" s="53" t="s">
        <v>418</v>
      </c>
      <c r="C9" s="47" t="s">
        <v>45</v>
      </c>
    </row>
    <row r="10" spans="2:4" ht="21.95">
      <c r="B10" s="55" t="s">
        <v>419</v>
      </c>
      <c r="C10" s="56"/>
    </row>
    <row r="11" spans="2:4" ht="71.25">
      <c r="B11" s="53" t="s">
        <v>420</v>
      </c>
      <c r="C11" s="47" t="s">
        <v>45</v>
      </c>
    </row>
    <row r="12" spans="2:4" ht="21.95">
      <c r="B12" s="41" t="s">
        <v>421</v>
      </c>
      <c r="C12" s="56"/>
    </row>
    <row r="13" spans="2:4" ht="21.95">
      <c r="B13" s="55" t="s">
        <v>422</v>
      </c>
      <c r="C13" s="56"/>
    </row>
    <row r="14" spans="2:4" ht="47.25">
      <c r="B14" s="53" t="s">
        <v>423</v>
      </c>
      <c r="C14" s="47" t="s">
        <v>45</v>
      </c>
    </row>
    <row r="15" spans="2:4" ht="21.95">
      <c r="B15" s="55" t="s">
        <v>424</v>
      </c>
      <c r="C15" s="56"/>
    </row>
    <row r="16" spans="2:4" ht="47.25">
      <c r="B16" s="53" t="s">
        <v>425</v>
      </c>
      <c r="C16" s="47" t="s">
        <v>45</v>
      </c>
    </row>
    <row r="17" spans="2:3" ht="21.95">
      <c r="B17" s="55" t="s">
        <v>426</v>
      </c>
      <c r="C17" s="56"/>
    </row>
    <row r="18" spans="2:3" ht="47.25">
      <c r="B18" s="53" t="s">
        <v>427</v>
      </c>
      <c r="C18" s="47" t="s">
        <v>45</v>
      </c>
    </row>
    <row r="19" spans="2:3" ht="21.95">
      <c r="B19" s="55" t="s">
        <v>428</v>
      </c>
      <c r="C19" s="56"/>
    </row>
    <row r="20" spans="2:3" ht="71.25">
      <c r="B20" s="53" t="s">
        <v>429</v>
      </c>
      <c r="C20" s="47" t="s">
        <v>45</v>
      </c>
    </row>
    <row r="21" spans="2:3" ht="21.95">
      <c r="B21" s="55" t="s">
        <v>430</v>
      </c>
      <c r="C21" s="56"/>
    </row>
    <row r="22" spans="2:3" ht="71.25">
      <c r="B22" s="53" t="s">
        <v>431</v>
      </c>
      <c r="C22" s="47" t="s">
        <v>45</v>
      </c>
    </row>
    <row r="23" spans="2:3" ht="21.95">
      <c r="B23" s="55" t="s">
        <v>432</v>
      </c>
      <c r="C23" s="56"/>
    </row>
    <row r="24" spans="2:3" ht="94.5">
      <c r="B24" s="53" t="s">
        <v>433</v>
      </c>
      <c r="C24" s="47" t="s">
        <v>45</v>
      </c>
    </row>
    <row r="25" spans="2:3" ht="21.95">
      <c r="B25" s="55" t="s">
        <v>434</v>
      </c>
      <c r="C25" s="56"/>
    </row>
    <row r="26" spans="2:3" ht="94.5">
      <c r="B26" s="53" t="s">
        <v>435</v>
      </c>
      <c r="C26" s="47" t="s">
        <v>45</v>
      </c>
    </row>
    <row r="27" spans="2:3" ht="21.95">
      <c r="B27" s="55" t="s">
        <v>436</v>
      </c>
      <c r="C27" s="56"/>
    </row>
    <row r="28" spans="2:3" ht="94.5">
      <c r="B28" s="53" t="s">
        <v>437</v>
      </c>
      <c r="C28" s="47" t="s">
        <v>45</v>
      </c>
    </row>
  </sheetData>
  <sheetProtection algorithmName="SHA-512" hashValue="XeW6bUAKnm43j4meWYPApqpxgIUvkc+kiljCp7h71QUV2ZgishBBRb5NF7kP+72LnQELXBDhMs+rLegAjSnArA==" saltValue="2/ZNlC/KVpLBc1AR6Z48Dw=="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9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c r="A1" s="1" t="s">
        <v>438</v>
      </c>
      <c r="C1" s="7" t="s">
        <v>439</v>
      </c>
      <c r="E1" s="5" t="s">
        <v>440</v>
      </c>
      <c r="G1" s="5" t="s">
        <v>441</v>
      </c>
    </row>
    <row r="2" spans="1:7">
      <c r="A2" s="1" t="s">
        <v>442</v>
      </c>
      <c r="C2" s="1" t="s">
        <v>443</v>
      </c>
      <c r="E2" s="1" t="s">
        <v>45</v>
      </c>
      <c r="G2" s="1" t="s">
        <v>444</v>
      </c>
    </row>
    <row r="3" spans="1:7">
      <c r="A3" s="1" t="s">
        <v>58</v>
      </c>
      <c r="C3" s="1" t="s">
        <v>293</v>
      </c>
      <c r="E3" s="1" t="s">
        <v>172</v>
      </c>
      <c r="G3" s="1" t="s">
        <v>445</v>
      </c>
    </row>
    <row r="4" spans="1:7">
      <c r="C4" s="1" t="s">
        <v>446</v>
      </c>
      <c r="G4" s="1" t="s">
        <v>447</v>
      </c>
    </row>
    <row r="5" spans="1:7">
      <c r="C5" s="1" t="s">
        <v>448</v>
      </c>
      <c r="G5" s="1" t="s">
        <v>449</v>
      </c>
    </row>
    <row r="6" spans="1:7">
      <c r="C6" s="1" t="s">
        <v>450</v>
      </c>
      <c r="G6" s="1" t="s">
        <v>451</v>
      </c>
    </row>
    <row r="7" spans="1:7">
      <c r="C7" s="1" t="s">
        <v>452</v>
      </c>
      <c r="G7" s="1" t="s">
        <v>453</v>
      </c>
    </row>
    <row r="8" spans="1:7">
      <c r="C8" s="1" t="s">
        <v>454</v>
      </c>
      <c r="G8" s="1" t="s">
        <v>455</v>
      </c>
    </row>
    <row r="9" spans="1:7">
      <c r="C9" s="1" t="s">
        <v>456</v>
      </c>
      <c r="G9" s="1" t="s">
        <v>457</v>
      </c>
    </row>
    <row r="10" spans="1:7">
      <c r="C10" s="1" t="s">
        <v>458</v>
      </c>
      <c r="G10" s="1" t="s">
        <v>459</v>
      </c>
    </row>
    <row r="11" spans="1:7">
      <c r="C11" s="1" t="s">
        <v>460</v>
      </c>
      <c r="G11" s="1" t="s">
        <v>461</v>
      </c>
    </row>
    <row r="12" spans="1:7">
      <c r="C12" s="1" t="s">
        <v>462</v>
      </c>
      <c r="G12" s="1" t="s">
        <v>463</v>
      </c>
    </row>
    <row r="13" spans="1:7">
      <c r="C13" s="1" t="s">
        <v>281</v>
      </c>
      <c r="G13" s="1" t="s">
        <v>464</v>
      </c>
    </row>
    <row r="14" spans="1:7">
      <c r="C14" s="1" t="s">
        <v>465</v>
      </c>
      <c r="G14" s="1" t="s">
        <v>466</v>
      </c>
    </row>
    <row r="15" spans="1:7">
      <c r="C15" s="1" t="s">
        <v>467</v>
      </c>
      <c r="G15" s="1" t="s">
        <v>468</v>
      </c>
    </row>
    <row r="16" spans="1:7">
      <c r="C16" s="1" t="s">
        <v>469</v>
      </c>
      <c r="G16" s="1" t="s">
        <v>470</v>
      </c>
    </row>
    <row r="17" spans="3:7">
      <c r="C17" s="1" t="s">
        <v>471</v>
      </c>
      <c r="G17" s="1" t="s">
        <v>472</v>
      </c>
    </row>
    <row r="18" spans="3:7">
      <c r="C18" s="1" t="s">
        <v>473</v>
      </c>
      <c r="G18" s="1" t="s">
        <v>474</v>
      </c>
    </row>
    <row r="19" spans="3:7">
      <c r="C19" s="1" t="s">
        <v>475</v>
      </c>
      <c r="G19" s="1" t="s">
        <v>202</v>
      </c>
    </row>
    <row r="20" spans="3:7">
      <c r="C20" s="1" t="s">
        <v>476</v>
      </c>
      <c r="G20" s="1" t="s">
        <v>477</v>
      </c>
    </row>
    <row r="21" spans="3:7">
      <c r="C21" s="1" t="s">
        <v>478</v>
      </c>
      <c r="G21" s="1" t="s">
        <v>479</v>
      </c>
    </row>
    <row r="22" spans="3:7">
      <c r="G22" s="1" t="s">
        <v>148</v>
      </c>
    </row>
    <row r="23" spans="3:7">
      <c r="G23" s="1" t="s">
        <v>480</v>
      </c>
    </row>
    <row r="24" spans="3:7">
      <c r="G24" s="1" t="s">
        <v>481</v>
      </c>
    </row>
    <row r="25" spans="3:7">
      <c r="G25" s="1" t="s">
        <v>482</v>
      </c>
    </row>
    <row r="26" spans="3:7">
      <c r="G26" s="1" t="s">
        <v>483</v>
      </c>
    </row>
    <row r="27" spans="3:7">
      <c r="G27" s="1" t="s">
        <v>484</v>
      </c>
    </row>
    <row r="28" spans="3:7">
      <c r="G28" s="1" t="s">
        <v>485</v>
      </c>
    </row>
    <row r="29" spans="3:7">
      <c r="G29" s="1" t="s">
        <v>486</v>
      </c>
    </row>
    <row r="30" spans="3:7">
      <c r="G30" s="1" t="s">
        <v>487</v>
      </c>
    </row>
    <row r="31" spans="3:7">
      <c r="G31" s="1" t="s">
        <v>150</v>
      </c>
    </row>
    <row r="32" spans="3:7">
      <c r="G32" s="1" t="s">
        <v>488</v>
      </c>
    </row>
    <row r="33" spans="7:7">
      <c r="G33" s="1" t="s">
        <v>489</v>
      </c>
    </row>
    <row r="34" spans="7:7">
      <c r="G34" s="1" t="s">
        <v>149</v>
      </c>
    </row>
    <row r="35" spans="7:7">
      <c r="G35" s="1" t="s">
        <v>490</v>
      </c>
    </row>
    <row r="36" spans="7:7">
      <c r="G36" s="1" t="s">
        <v>491</v>
      </c>
    </row>
    <row r="37" spans="7:7">
      <c r="G37" s="1" t="s">
        <v>492</v>
      </c>
    </row>
    <row r="38" spans="7:7">
      <c r="G38" s="1" t="s">
        <v>493</v>
      </c>
    </row>
    <row r="39" spans="7:7">
      <c r="G39" s="1" t="s">
        <v>494</v>
      </c>
    </row>
    <row r="40" spans="7:7">
      <c r="G40" s="1" t="s">
        <v>495</v>
      </c>
    </row>
    <row r="41" spans="7:7">
      <c r="G41" s="1" t="s">
        <v>496</v>
      </c>
    </row>
    <row r="42" spans="7:7">
      <c r="G42" s="1" t="s">
        <v>79</v>
      </c>
    </row>
    <row r="43" spans="7:7">
      <c r="G43" s="1" t="s">
        <v>497</v>
      </c>
    </row>
    <row r="44" spans="7:7">
      <c r="G44" s="1" t="s">
        <v>498</v>
      </c>
    </row>
    <row r="45" spans="7:7">
      <c r="G45" s="1" t="s">
        <v>499</v>
      </c>
    </row>
    <row r="46" spans="7:7">
      <c r="G46" s="1" t="s">
        <v>500</v>
      </c>
    </row>
    <row r="47" spans="7:7">
      <c r="G47" s="1" t="s">
        <v>147</v>
      </c>
    </row>
    <row r="48" spans="7:7">
      <c r="G48" s="1" t="s">
        <v>501</v>
      </c>
    </row>
    <row r="49" spans="7:7">
      <c r="G49" s="1" t="s">
        <v>502</v>
      </c>
    </row>
    <row r="50" spans="7:7">
      <c r="G50" s="1" t="s">
        <v>503</v>
      </c>
    </row>
    <row r="51" spans="7:7">
      <c r="G51" s="1" t="s">
        <v>504</v>
      </c>
    </row>
    <row r="52" spans="7:7">
      <c r="G52" s="1" t="s">
        <v>505</v>
      </c>
    </row>
    <row r="53" spans="7:7">
      <c r="G53" s="1" t="s">
        <v>506</v>
      </c>
    </row>
    <row r="54" spans="7:7">
      <c r="G54" s="1" t="s">
        <v>507</v>
      </c>
    </row>
    <row r="55" spans="7:7">
      <c r="G55" s="1" t="s">
        <v>508</v>
      </c>
    </row>
    <row r="56" spans="7:7">
      <c r="G56" s="1" t="s">
        <v>203</v>
      </c>
    </row>
    <row r="57" spans="7:7">
      <c r="G57" s="1" t="s">
        <v>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Fernando Leite</cp:lastModifiedBy>
  <cp:revision/>
  <dcterms:created xsi:type="dcterms:W3CDTF">2018-09-10T17:18:27Z</dcterms:created>
  <dcterms:modified xsi:type="dcterms:W3CDTF">2025-12-24T15:20:50Z</dcterms:modified>
  <cp:category/>
  <cp:contentStatus/>
</cp:coreProperties>
</file>