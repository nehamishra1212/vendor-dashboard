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166925"/>
  <mc:AlternateContent xmlns:mc="http://schemas.openxmlformats.org/markup-compatibility/2006">
    <mc:Choice Requires="x15">
      <x15ac:absPath xmlns:x15ac="http://schemas.microsoft.com/office/spreadsheetml/2010/11/ac" url="/Users/Prashantakundi/Documents/PIE RFI/Final Files/"/>
    </mc:Choice>
  </mc:AlternateContent>
  <xr:revisionPtr revIDLastSave="0" documentId="13_ncr:1_{1BC89213-3290-8140-AA2C-77B9230FD41D}" xr6:coauthVersionLast="47" xr6:coauthVersionMax="47" xr10:uidLastSave="{00000000-0000-0000-0000-000000000000}"/>
  <workbookProtection workbookAlgorithmName="SHA-512" workbookHashValue="RQH5Kx2dOBjDEqYj2TXipBbmUcoYWMLAdWE7C3q/46dzCrNjksss7Gqr5dWEtvMaqzG16old4r+CaVxzifhVUg==" workbookSaltValue="pZPxhzHsW4NsocMKqExkEg==" workbookSpinCount="100000" lockStructure="1"/>
  <bookViews>
    <workbookView xWindow="0" yWindow="760" windowWidth="30240" windowHeight="17740" firstSheet="5" activeTab="7"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<sst xmlns="http://schemas.openxmlformats.org/spreadsheetml/2006/main" count="611" uniqueCount="459">
  <si>
    <t>Website</t>
  </si>
  <si>
    <t>Public/Private</t>
  </si>
  <si>
    <t>Ticker Symbol (if Public)</t>
  </si>
  <si>
    <t>Year Founded</t>
  </si>
  <si>
    <t>First Year of Engagement with Apple</t>
  </si>
  <si>
    <t>Total # of Employees</t>
  </si>
  <si>
    <t>Region 1</t>
  </si>
  <si>
    <t>Region 2</t>
  </si>
  <si>
    <t>Region 3</t>
  </si>
  <si>
    <t>Market Cap (USD)</t>
  </si>
  <si>
    <t>Company Total Revenue (USD)</t>
  </si>
  <si>
    <t>Apple Direct Generated Revenue (USD)</t>
  </si>
  <si>
    <t>Public</t>
  </si>
  <si>
    <t>Parent Company Official Name</t>
  </si>
  <si>
    <t>Official Legal Name</t>
  </si>
  <si>
    <t>Company HQ</t>
  </si>
  <si>
    <t>Region 4</t>
  </si>
  <si>
    <t>Region 5</t>
  </si>
  <si>
    <t>*Apple issued a PO to you for this spend</t>
  </si>
  <si>
    <t>Title</t>
  </si>
  <si>
    <t>Email</t>
  </si>
  <si>
    <t>CEO or President</t>
  </si>
  <si>
    <t>Core Competencies</t>
  </si>
  <si>
    <t>Component Category</t>
  </si>
  <si>
    <t>Machine Vision</t>
  </si>
  <si>
    <t>Robotics</t>
  </si>
  <si>
    <t>Motors/Drives</t>
  </si>
  <si>
    <t>Pneumatics</t>
  </si>
  <si>
    <t>Optics</t>
  </si>
  <si>
    <t>Mechanical Linear Motion</t>
  </si>
  <si>
    <t>Conveyor System</t>
  </si>
  <si>
    <t>Feeder System</t>
  </si>
  <si>
    <t>Machined Part/Bracket</t>
  </si>
  <si>
    <t>Nest/Holder/Pallet</t>
  </si>
  <si>
    <t>Other</t>
  </si>
  <si>
    <t>Binary</t>
  </si>
  <si>
    <t>Yes</t>
  </si>
  <si>
    <t>No</t>
  </si>
  <si>
    <t>Safety/Electrical/Wiring</t>
  </si>
  <si>
    <t>Gantry Systems/Linear Motors/Stages</t>
  </si>
  <si>
    <t>Frame/Baseplate/Indexing Table</t>
  </si>
  <si>
    <t>Dispensing</t>
  </si>
  <si>
    <t>Screwdriving</t>
  </si>
  <si>
    <t>Consumables</t>
  </si>
  <si>
    <t>IPC/PLC/Motion Controller</t>
  </si>
  <si>
    <t>Fan Filtration Unit/Ionizer/HEPA Filter</t>
  </si>
  <si>
    <t>Force Measurement/Load Cells/Pressure Sensors/Accelerometers</t>
  </si>
  <si>
    <t>Countries</t>
  </si>
  <si>
    <t>Albania</t>
  </si>
  <si>
    <t>American Samoa</t>
  </si>
  <si>
    <t>Australia</t>
  </si>
  <si>
    <t>Austria</t>
  </si>
  <si>
    <t>Belgium</t>
  </si>
  <si>
    <t>Brazil</t>
  </si>
  <si>
    <t>British West Indie</t>
  </si>
  <si>
    <t>Cambodia</t>
  </si>
  <si>
    <t>Canada</t>
  </si>
  <si>
    <t>Cayman Islands</t>
  </si>
  <si>
    <t>China</t>
  </si>
  <si>
    <t>Costa Rica</t>
  </si>
  <si>
    <t>Czech Republic</t>
  </si>
  <si>
    <t>Denmark</t>
  </si>
  <si>
    <t>Estonia</t>
  </si>
  <si>
    <t>Finland</t>
  </si>
  <si>
    <t>France</t>
  </si>
  <si>
    <t>Germany</t>
  </si>
  <si>
    <t>Greece</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</si>
  <si>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</si>
  <si>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</si>
  <si>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</si>
  <si>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</si>
  <si>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</si>
  <si>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</si>
  <si>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</si>
  <si>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</si>
  <si>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</si>
  <si>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</si>
  <si>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</si>
  <si>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</si>
  <si>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</si>
  <si>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</si>
  <si>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</si>
  <si>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</si>
  <si>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</si>
  <si>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</si>
  <si>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</si>
  <si>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</si>
  <si>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</si>
  <si>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</si>
  <si>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</si>
  <si>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</si>
  <si>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</si>
  <si>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</si>
  <si>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</si>
  <si>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</si>
  <si>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</si>
  <si>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</si>
  <si>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</si>
  <si>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</si>
  <si>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</si>
  <si>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</si>
  <si>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</si>
  <si>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</si>
  <si>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</si>
  <si>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Company Type</t>
  </si>
  <si>
    <t>Private</t>
  </si>
  <si>
    <t>Training Time (wks)</t>
  </si>
  <si>
    <t>Manufacturing Location 1</t>
  </si>
  <si>
    <t>Manufacturing Location 2</t>
  </si>
  <si>
    <t>Manufacturing Location 3</t>
  </si>
  <si>
    <t>Manufacturing Location 4</t>
  </si>
  <si>
    <t>Manufacturing Location 5</t>
  </si>
  <si>
    <t>Country of Residence</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</si>
  <si>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</si>
  <si>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</si>
  <si>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xml:space="preserve">All sections requiring Participant's response are denoted by a highlighted cell. All responses shall be submitted, in writing, in the associated cell or attached via email response, where requested. </t>
  </si>
  <si>
    <t xml:space="preserve">2   RFI Rules of Engagement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</si>
  <si>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</si>
  <si>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</si>
  <si>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</si>
  <si>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</si>
  <si>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</si>
  <si>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</si>
  <si>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</si>
  <si>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</si>
  <si>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</si>
  <si>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</si>
  <si>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</si>
  <si>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Participant’s Proposal must identify and describe the Goods and/or Services to be provided by each subcontractor, if any, which Participant intends to use in providing any Goods and/or Services to Apple.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</si>
  <si>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</si>
  <si>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</si>
  <si>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</si>
  <si>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 xml:space="preserve">RFI Submission Date </t>
  </si>
  <si>
    <t>HQ Location</t>
  </si>
  <si>
    <t>Type</t>
  </si>
  <si>
    <t>Key Area Leaders (Example : CEO, COO, CFO etc)</t>
  </si>
  <si>
    <t>Name (First, Last)</t>
  </si>
  <si>
    <t xml:space="preserve">Contact Number (include country code - e.g. USA +1) </t>
  </si>
  <si>
    <t>Commercial DRI / Apple Executive Contact</t>
  </si>
  <si>
    <t>Operations Leader</t>
  </si>
  <si>
    <t xml:space="preserve">Finance </t>
  </si>
  <si>
    <t>Engineering</t>
  </si>
  <si>
    <t>Supply chain</t>
  </si>
  <si>
    <t>Project Management</t>
  </si>
  <si>
    <t>Production</t>
  </si>
  <si>
    <t>*Enter Data in USD in millions</t>
  </si>
  <si>
    <t>2026 (expected)</t>
  </si>
  <si>
    <t>2027 (expected)</t>
  </si>
  <si>
    <t>Gross Profit</t>
  </si>
  <si>
    <t>Operating Profit</t>
  </si>
  <si>
    <t>*CMs and Module Integrators issued a PO to you for this spend</t>
  </si>
  <si>
    <r>
      <t>     3.1  </t>
    </r>
    <r>
      <rPr>
        <b/>
        <sz val="16"/>
        <color theme="0"/>
        <rFont val="SF Hello Regular"/>
      </rPr>
      <t xml:space="preserve"> Participant Acknowledgment</t>
    </r>
  </si>
  <si>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</si>
  <si>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</si>
  <si>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</si>
  <si>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</si>
  <si>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</si>
  <si>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</si>
  <si>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</si>
  <si>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What are the key supply chain tactics being followed?</t>
  </si>
  <si>
    <r>
      <t xml:space="preserve">     2.1   </t>
    </r>
    <r>
      <rPr>
        <b/>
        <sz val="16"/>
        <color theme="0"/>
        <rFont val="SF Hello Regular"/>
      </rPr>
      <t xml:space="preserve">Communications </t>
    </r>
  </si>
  <si>
    <r>
      <t xml:space="preserve">     2.2   </t>
    </r>
    <r>
      <rPr>
        <b/>
        <sz val="16"/>
        <color theme="0"/>
        <rFont val="SF Hello Regular"/>
      </rPr>
      <t xml:space="preserve">Proposal </t>
    </r>
  </si>
  <si>
    <r>
      <t xml:space="preserve">     2.3   </t>
    </r>
    <r>
      <rPr>
        <b/>
        <sz val="16"/>
        <color theme="0"/>
        <rFont val="SF Hello Regular"/>
      </rPr>
      <t xml:space="preserve">RFI Submission </t>
    </r>
  </si>
  <si>
    <r>
      <t xml:space="preserve">     2.4   </t>
    </r>
    <r>
      <rPr>
        <b/>
        <sz val="16"/>
        <color theme="0"/>
        <rFont val="SF Hello Regular"/>
      </rPr>
      <t xml:space="preserve">Proposal Decision </t>
    </r>
  </si>
  <si>
    <r>
      <t xml:space="preserve">     2.5   </t>
    </r>
    <r>
      <rPr>
        <b/>
        <sz val="16"/>
        <color theme="0"/>
        <rFont val="SF Hello Regular"/>
      </rPr>
      <t xml:space="preserve">No Obligation </t>
    </r>
  </si>
  <si>
    <r>
      <t xml:space="preserve">     2.6   </t>
    </r>
    <r>
      <rPr>
        <b/>
        <sz val="16"/>
        <color theme="0"/>
        <rFont val="SF Hello Regular"/>
      </rPr>
      <t xml:space="preserve">Purchase Orders </t>
    </r>
  </si>
  <si>
    <r>
      <t xml:space="preserve">     2.7   </t>
    </r>
    <r>
      <rPr>
        <b/>
        <sz val="16"/>
        <color theme="0"/>
        <rFont val="SF Hello Regular"/>
      </rPr>
      <t xml:space="preserve">Confidentiality; Publicity; Marks </t>
    </r>
  </si>
  <si>
    <r>
      <t xml:space="preserve">     2.8   </t>
    </r>
    <r>
      <rPr>
        <b/>
        <sz val="16"/>
        <color theme="0"/>
        <rFont val="SF Hello Regular"/>
      </rPr>
      <t xml:space="preserve">Risk of Loss, Damage or Delay </t>
    </r>
  </si>
  <si>
    <r>
      <t xml:space="preserve">     2.9   </t>
    </r>
    <r>
      <rPr>
        <b/>
        <sz val="16"/>
        <color theme="0"/>
        <rFont val="SF Hello Regular"/>
      </rPr>
      <t xml:space="preserve">No Gift Policy </t>
    </r>
  </si>
  <si>
    <r>
      <t xml:space="preserve">     2.10   </t>
    </r>
    <r>
      <rPr>
        <b/>
        <sz val="16"/>
        <color theme="0"/>
        <rFont val="SF Hello Regular"/>
      </rPr>
      <t xml:space="preserve">Participant Information </t>
    </r>
  </si>
  <si>
    <r>
      <t xml:space="preserve">     2.11   </t>
    </r>
    <r>
      <rPr>
        <b/>
        <sz val="16"/>
        <color theme="0"/>
        <rFont val="SF Hello Regular"/>
      </rPr>
      <t xml:space="preserve">Collusive Bidding </t>
    </r>
  </si>
  <si>
    <r>
      <t xml:space="preserve">     2.12   </t>
    </r>
    <r>
      <rPr>
        <b/>
        <sz val="16"/>
        <color theme="0"/>
        <rFont val="SF Hello Regular"/>
      </rPr>
      <t xml:space="preserve">Personnel </t>
    </r>
  </si>
  <si>
    <r>
      <t xml:space="preserve">     2.13   </t>
    </r>
    <r>
      <rPr>
        <b/>
        <sz val="16"/>
        <color theme="0"/>
        <rFont val="SF Hello Regular"/>
      </rPr>
      <t xml:space="preserve">Subcontractors </t>
    </r>
  </si>
  <si>
    <r>
      <t xml:space="preserve">     2.14   </t>
    </r>
    <r>
      <rPr>
        <b/>
        <sz val="16"/>
        <color theme="0"/>
        <rFont val="SF Hello Regular"/>
      </rPr>
      <t xml:space="preserve">Errors and Omissions </t>
    </r>
  </si>
  <si>
    <r>
      <t xml:space="preserve">     1.1   </t>
    </r>
    <r>
      <rPr>
        <b/>
        <sz val="16"/>
        <color theme="0"/>
        <rFont val="SF Hello Regular"/>
      </rPr>
      <t xml:space="preserve">About Apple </t>
    </r>
  </si>
  <si>
    <r>
      <t xml:space="preserve">     1.2  </t>
    </r>
    <r>
      <rPr>
        <b/>
        <sz val="16"/>
        <color theme="0"/>
        <rFont val="SF Hello Regular"/>
      </rPr>
      <t xml:space="preserve">Project Overview and Purpose </t>
    </r>
  </si>
  <si>
    <r>
      <t xml:space="preserve">     1.3  </t>
    </r>
    <r>
      <rPr>
        <b/>
        <sz val="16"/>
        <color theme="0"/>
        <rFont val="SF Hello Regular"/>
      </rPr>
      <t>RFI Content &amp; Sections</t>
    </r>
  </si>
  <si>
    <r>
      <t xml:space="preserve">     1.4  </t>
    </r>
    <r>
      <rPr>
        <b/>
        <sz val="16"/>
        <color theme="0"/>
        <rFont val="SF Hello Regular"/>
      </rPr>
      <t>RFI Due Date</t>
    </r>
  </si>
  <si>
    <r>
      <t xml:space="preserve">     1.5  </t>
    </r>
    <r>
      <rPr>
        <b/>
        <sz val="16"/>
        <color theme="0"/>
        <rFont val="SF Hello Regular"/>
      </rPr>
      <t>RFI Response Requested</t>
    </r>
  </si>
  <si>
    <r>
      <t>     1.6  </t>
    </r>
    <r>
      <rPr>
        <b/>
        <sz val="16"/>
        <color theme="0"/>
        <rFont val="SF Hello Regular"/>
      </rPr>
      <t xml:space="preserve">Procurement Contact </t>
    </r>
  </si>
  <si>
    <t>Region 6</t>
  </si>
  <si>
    <t>Region Country</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</si>
  <si>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</si>
  <si>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</si>
  <si>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</si>
  <si>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</si>
  <si>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</si>
  <si>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</si>
  <si>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</si>
  <si>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</si>
  <si>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</si>
  <si>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</si>
  <si>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</si>
  <si>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</si>
  <si>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</si>
  <si>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</si>
  <si>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</si>
  <si>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</si>
  <si>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</si>
  <si>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Attrition Rate (%)</t>
  </si>
  <si>
    <t>Any previous issues faced in shipping to certain countries?</t>
  </si>
  <si>
    <t>Are there any inhouse machining / job shop capabilities? If so, please explain in detail in terms of machine qty available (CNC, Mill, Lathe, EDM Weld, etc.), volume produced, &amp; available capacity.</t>
  </si>
  <si>
    <t>What are the supply chain resiliency plans to ensure no distruption in supply?</t>
  </si>
  <si>
    <t>Facility New Product Security (NPS) Approved?</t>
  </si>
  <si>
    <t>Customer Base served from this location
(City and Country of the customer)</t>
  </si>
  <si>
    <t>Max Weekly Manufacturing Capacity
(by volume of units shipped)</t>
  </si>
  <si>
    <t>Average Weekly Manufacturing Capacity
(by volume of units shipped)</t>
  </si>
  <si>
    <t>Comments</t>
  </si>
  <si>
    <t>2025 (expected)</t>
  </si>
  <si>
    <t>2028 (expected)</t>
  </si>
  <si>
    <t>If any other, please add …</t>
  </si>
  <si>
    <t>Please fill in all fields with year end numbers to complete this section. Only numbers are allowed to be input.</t>
  </si>
  <si>
    <t xml:space="preserve">1   Introduction </t>
  </si>
  <si>
    <t>What are all the key subcomponent vendors used and where are they located (city, country)? Please provide rough volume &amp; spend with key subcomponent vendors as well.</t>
  </si>
  <si>
    <t>Hiring Difficulty in Region (High/Medium/Low)</t>
  </si>
  <si>
    <t>Region 7</t>
  </si>
  <si>
    <t>Region 8</t>
  </si>
  <si>
    <t>Exclude 3rd Party Agency Partners</t>
  </si>
  <si>
    <t>TOTAL</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</si>
  <si>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</si>
  <si>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</si>
  <si>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</si>
  <si>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</si>
  <si>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</si>
  <si>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Use the blank page to detail your company's technical roadmap for apple or other customers</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</si>
  <si>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</si>
  <si>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</si>
  <si>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Are there any Global expansion plans in the future for Manufacturing? Please desrcibe in detail.</t>
  </si>
  <si>
    <r>
      <t>     10.2.2</t>
    </r>
    <r>
      <rPr>
        <b/>
        <sz val="16"/>
        <color theme="0"/>
        <rFont val="SF Hello Regular"/>
      </rPr>
      <t>   Development Resources</t>
    </r>
  </si>
  <si>
    <r>
      <t>     10.2.3</t>
    </r>
    <r>
      <rPr>
        <b/>
        <sz val="16"/>
        <color theme="0"/>
        <rFont val="SF Hello Regular"/>
      </rPr>
      <t>   Price / Equipment Breakdown Transparency</t>
    </r>
  </si>
  <si>
    <r>
      <t xml:space="preserve">     10.2   </t>
    </r>
    <r>
      <rPr>
        <b/>
        <sz val="16"/>
        <color theme="0"/>
        <rFont val="SF Hello Regular"/>
      </rPr>
      <t>Commercial Standards</t>
    </r>
  </si>
  <si>
    <r>
      <t xml:space="preserve">     10.1   </t>
    </r>
    <r>
      <rPr>
        <b/>
        <sz val="16"/>
        <color theme="0"/>
        <rFont val="SF Hello Regular"/>
      </rPr>
      <t>Contractual Standards</t>
    </r>
  </si>
  <si>
    <r>
      <t xml:space="preserve">     10.2.1 </t>
    </r>
    <r>
      <rPr>
        <b/>
        <sz val="16"/>
        <color theme="0"/>
        <rFont val="SF Hello Regular"/>
      </rPr>
      <t>   Demo EQ</t>
    </r>
  </si>
  <si>
    <t>10   Commercial Expectations</t>
  </si>
  <si>
    <t>Please fill in all fields to complete this section. If there are supplemental compnay overview slides, please attach to RFI response.</t>
  </si>
  <si>
    <t>Custom Automation</t>
  </si>
  <si>
    <t>Plasma/Oven</t>
  </si>
  <si>
    <t>P&amp;P / Attach</t>
  </si>
  <si>
    <t>Lighting</t>
  </si>
  <si>
    <t>AI/ML</t>
  </si>
  <si>
    <t>Categories</t>
  </si>
  <si>
    <t>Sub-Categories</t>
  </si>
  <si>
    <t>Core Tech</t>
  </si>
  <si>
    <t>Process Equipment Tech</t>
  </si>
  <si>
    <t>Inspection Equipment Tech</t>
  </si>
  <si>
    <t>System Integtation</t>
  </si>
  <si>
    <t>Laser</t>
  </si>
  <si>
    <t>Please fill in Technical Capabilties information by Category and Sub-Category.</t>
  </si>
  <si>
    <t>Client / Reference</t>
  </si>
  <si>
    <t>Apple DRI Name</t>
  </si>
  <si>
    <t>Apple DRI Email</t>
  </si>
  <si>
    <t>Client / Reference Email</t>
  </si>
  <si>
    <t>Applicable Project Experience
(Year, Machine Description &amp; QTY, Spend, Timeline)</t>
  </si>
  <si>
    <t>Applicable Apple Experience
(Year, Machine Description &amp; QTY, Spend, Timeline)</t>
  </si>
  <si>
    <t>In House Capability?</t>
  </si>
  <si>
    <t>Outsourced?</t>
  </si>
  <si>
    <t>Equipment Type &amp; Key Technologies</t>
  </si>
  <si>
    <t>Competitive Advantage(s)</t>
  </si>
  <si>
    <r>
      <t>     10.1.3</t>
    </r>
    <r>
      <rPr>
        <b/>
        <sz val="16"/>
        <color theme="0"/>
        <rFont val="SF Hello Regular"/>
      </rPr>
      <t xml:space="preserve">  New Product Security (NPS) Audit</t>
    </r>
  </si>
  <si>
    <r>
      <t>     10.1.2</t>
    </r>
    <r>
      <rPr>
        <b/>
        <sz val="16"/>
        <color theme="0"/>
        <rFont val="SF Hello Regular"/>
      </rPr>
      <t xml:space="preserve">  NDA, ARPA, &amp; EDPA</t>
    </r>
  </si>
  <si>
    <r>
      <t xml:space="preserve">     10.1.1 </t>
    </r>
    <r>
      <rPr>
        <b/>
        <sz val="16"/>
        <color theme="0"/>
        <rFont val="SF Hello Regular"/>
      </rPr>
      <t>  Company Organizational Structure &amp; Entities</t>
    </r>
  </si>
  <si>
    <r>
      <t>     10.2.4</t>
    </r>
    <r>
      <rPr>
        <b/>
        <sz val="16"/>
        <color theme="0"/>
        <rFont val="SF Hello Regular"/>
      </rPr>
      <t>   Distribution Model &amp; Authorized Purchasers</t>
    </r>
  </si>
  <si>
    <t>Total Field Service Engineers - L2 (HC)</t>
  </si>
  <si>
    <t>Total Field Service Engineers - L1 (HC)</t>
  </si>
  <si>
    <t>Total Field Service Engineers - L3 (HC)</t>
  </si>
  <si>
    <t>Support Capabilities in Region - Total # of Units (QTY)</t>
  </si>
  <si>
    <t>Total Project Management (HC)</t>
  </si>
  <si>
    <t>Total Engineering (HC)
(Mechanical, Electircal, Software, etc.)</t>
  </si>
  <si>
    <t>Total Production (HC)</t>
  </si>
  <si>
    <t>Total OSS (HC)</t>
  </si>
  <si>
    <t>Supply Chain (HC)</t>
  </si>
  <si>
    <t>Quality (HC)</t>
  </si>
  <si>
    <t>Shipping &amp; Logistics (HC)</t>
  </si>
  <si>
    <t>Dedicated Resourcing (HC)
(PM, Engineering, Production, OSS, etc.)</t>
  </si>
  <si>
    <t>Proficiency</t>
  </si>
  <si>
    <t xml:space="preserve">Typcical Development &amp; Equipment Lead Times
(RFP to DFM, KO to ETA, ETA to SAT, OEE, etc.) </t>
  </si>
  <si>
    <t>*If there are existing NDA, ARPA, and EDPA, please attach in response to RFI.</t>
  </si>
  <si>
    <t>Facility Headcount (HC)
(PM, Engineering, Production, OSS, Supply Chain, Quality, Shipping &amp; Logistics, R&amp;D, Sales &amp; Marketing, Executive)</t>
  </si>
  <si>
    <t xml:space="preserve">Average Total Annual Revenue from Units Produced </t>
  </si>
  <si>
    <r>
      <t>     10.1.4</t>
    </r>
    <r>
      <rPr>
        <b/>
        <sz val="16"/>
        <color theme="0"/>
        <rFont val="SF Hello Regular"/>
      </rPr>
      <t xml:space="preserve">  Enviroment &amp; Supply Supply Chain Innovation (ESCI) Facility Readiness Assessment (FRA)</t>
    </r>
  </si>
  <si>
    <t>Enviroment &amp; Supply Supply Chain Innovation (ESCI) Facility Readiness Assessment (FRA) Approved?</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</si>
  <si>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</si>
  <si>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</si>
  <si>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</si>
  <si>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Apple Indirect Generated Revenue (USD)</t>
  </si>
  <si>
    <t>R&amp;D (HC)
(Mechanical, Electircal, Software, etc.)</t>
  </si>
  <si>
    <t>Sales &amp; Marketing (HC)</t>
  </si>
  <si>
    <t>Executive (HC)</t>
  </si>
  <si>
    <t>Please fill in Headcount (HC) information. Only numbers are allowed to be input.</t>
  </si>
  <si>
    <t>Assembly</t>
  </si>
  <si>
    <t>Regions Served (Countries &amp; QTY)</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</si>
  <si>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</si>
  <si>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Fixture Design &amp; Fabrication</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</si>
  <si>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</si>
  <si>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</si>
  <si>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Metrology</t>
  </si>
  <si>
    <t>Dispatch Difficulty from Region (High/Medium/Low)</t>
  </si>
  <si>
    <t>SW/PLC Integration</t>
  </si>
  <si>
    <r>
      <t>     10.2.5</t>
    </r>
    <r>
      <rPr>
        <b/>
        <sz val="16"/>
        <color theme="0"/>
        <rFont val="SF Hello Regular"/>
      </rPr>
      <t>   Equipment Design &amp; Retrofitability</t>
    </r>
  </si>
  <si>
    <r>
      <t>     10.2.7</t>
    </r>
    <r>
      <rPr>
        <b/>
        <sz val="16"/>
        <color theme="0"/>
        <rFont val="SF Hello Regular"/>
      </rPr>
      <t>   Equipment Component Selection</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</si>
  <si>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</si>
  <si>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</si>
  <si>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</si>
  <si>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10.2.6</t>
    </r>
    <r>
      <rPr>
        <b/>
        <sz val="16"/>
        <color theme="0"/>
        <rFont val="SF Hello Regular"/>
      </rPr>
      <t>   OSS Requirements &amp; Necessity</t>
    </r>
  </si>
  <si>
    <t>Key Components &amp; Average Annual Spend ($M)
(Prefernce for off the shelf components)</t>
  </si>
  <si>
    <t>Test Equipment Tech</t>
  </si>
  <si>
    <t>Laser Compliance Test</t>
  </si>
  <si>
    <t>Button Test</t>
  </si>
  <si>
    <t>Camera Test</t>
  </si>
  <si>
    <t>Optical Test</t>
  </si>
  <si>
    <t>Acoustic Test</t>
  </si>
  <si>
    <t>Force Test</t>
  </si>
  <si>
    <t>Display Sensing/L
uminance Test</t>
  </si>
  <si>
    <r>
      <t>     10.2.8</t>
    </r>
    <r>
      <rPr>
        <b/>
        <sz val="16"/>
        <color theme="0"/>
        <rFont val="SF Hello Regular"/>
      </rPr>
      <t>   Equipment Software &amp; Training Materials</t>
    </r>
  </si>
  <si>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</si>
  <si>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</si>
  <si>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 xml:space="preserve">Kyle Boutin
Global Sourcing &amp; Supply Management
+1-415-352-9000
kboutin@apple.com   </t>
  </si>
  <si>
    <t>Participant acknowledges and agrees to an on-site Facility Readiness Assessment (FRA) of workshop and facilities by Apple Environment &amp;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</si>
  <si>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Please add geographic breakdown of 2024/2025 Engineering resources by geography in the comments section
Suggested geogrpahies already incldued, feel free to edit/add/subtract geogrpahies as necessary</t>
  </si>
  <si>
    <r>
      <t xml:space="preserve">Participant's Proposal to this Request for Information (“RFI”) shall be sent via email by no later than </t>
    </r>
    <r>
      <rPr>
        <b/>
        <sz val="16"/>
        <color rgb="FFFF0000"/>
        <rFont val="SF Hello Regular"/>
      </rPr>
      <t>Monday, December 1, 2025 by 11:00PM Asia time.</t>
    </r>
    <r>
      <rPr>
        <b/>
        <sz val="16"/>
        <color theme="1"/>
        <rFont val="SF Hello Regular"/>
      </rPr>
      <t xml:space="preserve"> </t>
    </r>
  </si>
  <si>
    <r>
      <t xml:space="preserve">All Proposals shall be submitted via email to Procurement Contact no later than </t>
    </r>
    <r>
      <rPr>
        <b/>
        <sz val="16"/>
        <color rgb="FFFF0000"/>
        <rFont val="SF Hello Regular"/>
      </rPr>
      <t>Monday, December 1,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</si>
  <si>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t>Nest Advanced Technology Development Center</t>
  </si>
  <si>
    <t>Kochi, India</t>
  </si>
  <si>
    <t>High</t>
  </si>
  <si>
    <t>Low</t>
  </si>
  <si>
    <t>India (4 Regions) 
(Bangalore, Chennai, Hosur and Hyderabad)</t>
  </si>
  <si>
    <t>NATDC- Kochi</t>
  </si>
  <si>
    <t xml:space="preserve">NeST Hi-Tek Park, Plot 2E, HMT Colony, North Kalamassery, Kalamassery, Kochi, Kerala 683503, India </t>
  </si>
  <si>
    <t>V53, V54, V57, D23, V62, V63, V64, V67, V69, B868</t>
  </si>
  <si>
    <t>NATDC- Bangalore</t>
  </si>
  <si>
    <t>Bangalore, India</t>
  </si>
  <si>
    <t>118A, Bommasandra Industrial Area, Bengaluru, Bommasandra, Karnataka 560099</t>
  </si>
  <si>
    <t>Semi Auto, HWTE, HWTE- Aub Assembly</t>
  </si>
  <si>
    <t>Automation Equipment</t>
  </si>
  <si>
    <t>ICT Fixtures, ATEs</t>
  </si>
  <si>
    <t>N/A</t>
  </si>
  <si>
    <t>Yes, Plan to setup Manufacturing plant in Vietnam for supporting various new programs</t>
  </si>
  <si>
    <t xml:space="preserve">We use Microsoft Navision as our ERP for Material Planning, Procurement and Inventory Management. </t>
  </si>
  <si>
    <t>Bangalore- India, Chennai- India
Hosur- India, 
Hyderabad- India</t>
  </si>
  <si>
    <t>www.nestgroup.net</t>
  </si>
  <si>
    <t>Jacob P</t>
  </si>
  <si>
    <t>Prashant Akundi</t>
  </si>
  <si>
    <t>Justin KR</t>
  </si>
  <si>
    <t>Sreekumar VM</t>
  </si>
  <si>
    <t>Sreejesh</t>
  </si>
  <si>
    <t>CEO</t>
  </si>
  <si>
    <t>Sr. GM, OPM and BPM</t>
  </si>
  <si>
    <t>Jyothi Karnavar</t>
  </si>
  <si>
    <t>Director, Test and Automation</t>
  </si>
  <si>
    <t>AGM, SCM</t>
  </si>
  <si>
    <t>jacob.p@nestgroup.net</t>
  </si>
  <si>
    <t>prashant.akundi@nestgroup.net</t>
  </si>
  <si>
    <t>justin.kr@nestgroup.net</t>
  </si>
  <si>
    <t>sreekumar.vm@nestgroup.net</t>
  </si>
  <si>
    <t>sreejesh.kr@nestgroup.net</t>
  </si>
  <si>
    <t>jyothi.karnavar@nestgroup.net</t>
  </si>
  <si>
    <t>+91-9739303999</t>
  </si>
  <si>
    <t>+91-6364505783</t>
  </si>
  <si>
    <t>+91-9847035490</t>
  </si>
  <si>
    <t>+91-9895755722</t>
  </si>
  <si>
    <t>+91-9739907082</t>
  </si>
  <si>
    <t>+91-9847034392</t>
  </si>
  <si>
    <t>Sr GM, Operations Kochi</t>
  </si>
  <si>
    <t>Deputy GM, PM Head, Kochi</t>
  </si>
  <si>
    <t>Setup HW Lab for development of Machine Vision, Motion Control and design and Simulation</t>
  </si>
  <si>
    <t xml:space="preserve">Develop Localised HW solutions for feeders, PLCs, Drives, Motion Control Systems, Machine Vision systems </t>
  </si>
  <si>
    <t>ODC in SW dedicated for Automation and Test Equipment, for research and development of core competence in PLC, Motion Control Systems, Mahichine Vision, Acoustics, AI/ ML</t>
  </si>
  <si>
    <t>Medium</t>
  </si>
  <si>
    <t>Motion Controol
Machine Vision</t>
  </si>
  <si>
    <t>Small Part Assembly;
Motion Control &amp; Machine Vision</t>
  </si>
  <si>
    <t>Packout Inspection stations, Machine Vision</t>
  </si>
  <si>
    <t xml:space="preserve">Servos &amp; Drives
CCD
Gantry
Conveyor
PLC
IO Drives
</t>
  </si>
  <si>
    <t>CCD</t>
  </si>
  <si>
    <t>16 Weeks</t>
  </si>
  <si>
    <t>In House SW &amp; HW development
In house Vertically integrated Manufacturing &amp; Assembly</t>
  </si>
  <si>
    <t>2025/ SPA (21), VBPL(2), CFA(2), BFA, VMFP</t>
  </si>
  <si>
    <t>OMS-EU, OMS-ELM</t>
  </si>
  <si>
    <t>adube22@apple.com</t>
  </si>
  <si>
    <t>Yes, We have in House Machining Capability. 
CNC Mill (3 Axis): 82, CNC Mill (4 Axis): 1, CNC Lathe: 3, Manual Mill: 1, Drilling Machine: 2, Wire EDM: 2, Grinding Machine: 1, Sinker EDM: 1, Manual Lathe: 2, Band Saw: 2, Rubber Coating: 1,CMM: 2
Total Capacity: 46,368 Machining Hrs/ Month</t>
  </si>
  <si>
    <t>Attached are the quality procedures for IQC, IPQC and OQC</t>
  </si>
  <si>
    <t>US:
China:
India: 174 (2025)
Vietnam:
Thailand:
Brazil:
ETC:</t>
  </si>
  <si>
    <t>Attached separate Deck on Supply Chain Management</t>
  </si>
  <si>
    <t>Attached separate List for Key vendors and Location</t>
  </si>
  <si>
    <t>Conveyor Assembly, System Calibration, Mechanical &amp; Electrical Integration.</t>
  </si>
  <si>
    <t>PLC Programming, HMI Programming.</t>
  </si>
  <si>
    <t>Domain expertise in Robotics, Welding Automation &amp; Feeder Technology</t>
  </si>
  <si>
    <t>Domain expertise in various design CAD/CAE/CAM platforms.</t>
  </si>
  <si>
    <t>Experience in working on projects involving dispensing of very low to very high viscous structural adhesives like betamate.</t>
  </si>
  <si>
    <t>Dedicated Optronics Division for laser source design &amp; production catering to conusmers &amp; automation projects</t>
  </si>
  <si>
    <t>Developed own software for communicating with the heating chamber making suitable to custom testing purposes,</t>
  </si>
  <si>
    <t>Domain expertise in various design CAD/CAE/CAM platforms., Machine Vision and Motion Control</t>
  </si>
  <si>
    <t>Experience working on projects on Display Testing for Mobile Phone &amp; Portable</t>
  </si>
  <si>
    <t>Experience working on projects on Button Testing for Mobile Phone &amp; Portable</t>
  </si>
  <si>
    <t>Experience &amp; expertise in force monitoring &amp; precise load application in semi auto stations</t>
  </si>
  <si>
    <t>Core Expertise in rear &amp; front camera SA and FATP stations</t>
  </si>
  <si>
    <t>Pattern Matching 
OCR/OCV, Dedicated Vision Team</t>
  </si>
  <si>
    <t>Ingress Testers, Assembly Automation,  Funtional Testers,Inspection,  Defence Equipments &amp; Healthcare Equipments</t>
  </si>
  <si>
    <t>Ingress Testers, Assembly Automation,  Funtional Testers,Inspection</t>
  </si>
  <si>
    <t>Fully automated production line, Assembly Automation</t>
  </si>
  <si>
    <t>ME Tabletop Stations, Semi Auto &amp; Fully Auto Process Stations.</t>
  </si>
  <si>
    <t>+/- 0.02 repeatability
500mm/sec max speed
CCD, Needle calibration, Cleaning</t>
  </si>
  <si>
    <t xml:space="preserve">ME Tabletop Stations, Semi Auto &amp; Fully Auto Process Stations, Small Part Assembly </t>
  </si>
  <si>
    <t>Camera based Functional Testing</t>
  </si>
  <si>
    <t>Process Automation</t>
  </si>
  <si>
    <t>Functional Tester</t>
  </si>
  <si>
    <t>High Complexity - 16 Weeks
Medium Complexity - 12-14  Weeks
Simple  - 8-10 Weeks</t>
  </si>
  <si>
    <t>High Complexity - 14 Weeks
Medium Complexity - 10  Weeks
Simple  - 8 Weeks</t>
  </si>
  <si>
    <t>High Complexity - 8 Weeks
Medium Complexity - 6 Weeks
Simple  - 4 Weeks</t>
  </si>
  <si>
    <t>High Complexity - 10 Weeks
Medium Complexity - 8 Weeks
Simple  - 6 Weeks</t>
  </si>
  <si>
    <t>Vertical Integration Capability, Scalable resources with global footprint</t>
  </si>
  <si>
    <t>2000+ scalable SW Team</t>
  </si>
  <si>
    <t>Partnership with automation giants like Kuka &amp; Beckhoff etc. Engineers trained in different simulation software.</t>
  </si>
  <si>
    <t>Dedicated expertise in VAVE, 200+ scalable R&amp;D resource.</t>
  </si>
  <si>
    <t>Tight partnership with Axxon, Janome.</t>
  </si>
  <si>
    <t>Tight partnership with CME &amp; Custom in house design capabilities.</t>
  </si>
  <si>
    <t>Confidential Information (Consumer, Healthcare, Aerospace &amp; Defence Customers)</t>
  </si>
  <si>
    <t>Confidential Information (Industrial Customers)</t>
  </si>
  <si>
    <t>Confidential Information (Healthcare, Aerospace &amp; Defence Customers)</t>
  </si>
  <si>
    <t>2024-25, Jasmine Station &amp; 18, -, 16 Weeks</t>
  </si>
  <si>
    <t>2025, Jasmine Station &amp; 1, -, 14 Weeks</t>
  </si>
  <si>
    <t>NA</t>
  </si>
  <si>
    <t>2025, V6y Programs Ongoing</t>
  </si>
  <si>
    <t>2024-25, DVI Station &amp; 95, -, 14 Weeks</t>
  </si>
  <si>
    <t>2024-25, ABT OQC Station &amp; 5, -, 10 Weeks</t>
  </si>
  <si>
    <t>2024-25, Semi Auto Press Station &amp; 50, -, 10 Weeks</t>
  </si>
  <si>
    <t>2025, RFP for Acoustic Chambers Submitted &amp; awaiting feedback</t>
  </si>
  <si>
    <t>John  Tracy</t>
  </si>
  <si>
    <t>YK Leong</t>
  </si>
  <si>
    <t>-</t>
  </si>
  <si>
    <t>Jimmy Su</t>
  </si>
  <si>
    <t>Ankan</t>
  </si>
  <si>
    <t>Mandeep Ajimal</t>
  </si>
  <si>
    <t>Shravan R</t>
  </si>
  <si>
    <t>Jordan Rezzonico</t>
  </si>
  <si>
    <t>john_tracy@apple.com</t>
  </si>
  <si>
    <t>yk_leong@apple.com</t>
  </si>
  <si>
    <t>jsu8@apple.com</t>
  </si>
  <si>
    <t>ajimal_m@apple.com</t>
  </si>
  <si>
    <t>shravan_r@apple.com</t>
  </si>
  <si>
    <t>jrezzonico@apple.com</t>
  </si>
  <si>
    <t>Plan for Future</t>
  </si>
  <si>
    <t>Tonis Joseph</t>
  </si>
  <si>
    <t>tonis.joseph@nestgroup.net</t>
  </si>
  <si>
    <t>Corporate Finance</t>
  </si>
  <si>
    <t>+91-9526413344</t>
  </si>
  <si>
    <t>Shafeer VK</t>
  </si>
  <si>
    <t>Production Manager</t>
  </si>
  <si>
    <t>Krishna SRS</t>
  </si>
  <si>
    <t>Operations Head, Bangalore</t>
  </si>
  <si>
    <t>shafeer.vk@nestgroup.net</t>
  </si>
  <si>
    <t>+91-9747817821</t>
  </si>
  <si>
    <t>krishna.srs@nestgroup.net</t>
  </si>
  <si>
    <t>+91-9148978875</t>
  </si>
  <si>
    <t>vinoth.k@nestgroup.net</t>
  </si>
  <si>
    <t>Head, QA, NATDC BLR</t>
  </si>
  <si>
    <t>Vinoth Kanna Ganesan</t>
  </si>
  <si>
    <t>+91-9035271585</t>
  </si>
  <si>
    <t>SFO Technologies Pvt Ltd (Nest Group)</t>
  </si>
  <si>
    <t>Bangalore- India, Chennai- India
Hosur- India, 
Hyderabad- India, 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</si>
</sst>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0_-;\-* #,##0_-;_-* &quot;-&quot;_-;_-@_-"/>
    <numFmt numFmtId="166" formatCode="_-[$$-409]* #,##0.00_ ;_-[$$-409]* \-#,##0.00\ ;_-[$$-409]* &quot;-&quot;_ ;_-@_ "/>
  </numFmts>
  <fonts count="30">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89">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2" fillId="0" borderId="0" xfId="0" applyFont="1" applyAlignment="1">
      <alignment vertical="center" wrapText="1"/>
    </xf>
    <xf numFmtId="0" fontId="12" fillId="5" borderId="1" xfId="0" quotePrefix="1" applyFont="1" applyFill="1" applyBorder="1" applyAlignment="1" applyProtection="1">
      <alignment horizontal="center" vertical="center" wrapText="1"/>
      <protection locked="0"/>
    </xf>
    <xf numFmtId="0" fontId="0" fillId="0" borderId="0" xfId="0" applyAlignment="1">
      <alignment horizontal="center"/>
    </xf>
    <xf numFmtId="0" fontId="26" fillId="0" borderId="0" xfId="0" applyFont="1" applyAlignment="1">
      <alignment horizontal="center"/>
    </xf>
    <xf numFmtId="0" fontId="26" fillId="0" borderId="0" xfId="0" applyFont="1"/>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286E3D10-827B-F54C-817D-B29004B17F97}"/>
    <cellStyle name="Hyperlink" xfId="3" builtinId="8"/>
    <cellStyle name="Normal" xfId="0" builtinId="0"/>
    <cellStyle name="Normal 2" xfId="2" xr:uid="{C3243E13-6EF8-E042-BC12-751DCDBFECFE}"/>
    <cellStyle name="Per cent" xfId="1" builtinId="5"/>
  </cellStyles>
  <dxfs count="66">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20230</xdr:colOff>
      <xdr:row>5</xdr:row>
      <xdr:rowOff>88900</xdr:rowOff>
    </xdr:from>
    <xdr:to>
      <xdr:col>12</xdr:col>
      <xdr:colOff>368300</xdr:colOff>
      <xdr:row>36</xdr:row>
      <xdr:rowOff>87335</xdr:rowOff>
    </xdr:to>
    <xdr:pic>
      <xdr:nvPicPr>
        <xdr:cNvPr id="2" name="Picture 1">
          <a:extLst>
            <a:ext uri="{FF2B5EF4-FFF2-40B4-BE49-F238E27FC236}">
              <a16:creationId xmlns:a16="http://schemas.microsoft.com/office/drawing/2014/main" id="{843D972B-3F78-FAE3-28E8-766C9AEF1096}"/>
            </a:ext>
          </a:extLst>
        </xdr:cNvPr>
        <xdr:cNvPicPr>
          <a:picLocks noChangeAspect="1"/>
        </xdr:cNvPicPr>
      </xdr:nvPicPr>
      <xdr:blipFill>
        <a:blip xmlns:r="http://schemas.openxmlformats.org/officeDocument/2006/relationships" r:embed="rId1"/>
        <a:stretch>
          <a:fillRect/>
        </a:stretch>
      </xdr:blipFill>
      <xdr:spPr>
        <a:xfrm>
          <a:off x="426630" y="2679700"/>
          <a:ext cx="11231970" cy="62976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398882</xdr:colOff>
      <xdr:row>26</xdr:row>
      <xdr:rowOff>194477</xdr:rowOff>
    </xdr:from>
    <xdr:to>
      <xdr:col>3</xdr:col>
      <xdr:colOff>22760</xdr:colOff>
      <xdr:row>28</xdr:row>
      <xdr:rowOff>145681</xdr:rowOff>
    </xdr:to>
    <xdr:sp macro="" textlink="">
      <xdr:nvSpPr>
        <xdr:cNvPr id="160" name="Rectangle 159">
          <a:extLst>
            <a:ext uri="{FF2B5EF4-FFF2-40B4-BE49-F238E27FC236}">
              <a16:creationId xmlns:a16="http://schemas.microsoft.com/office/drawing/2014/main" id="{9A8DC7D2-56C9-474E-9278-E6C5792EDC74}"/>
            </a:ext>
          </a:extLst>
        </xdr:cNvPr>
        <xdr:cNvSpPr/>
      </xdr:nvSpPr>
      <xdr:spPr>
        <a:xfrm>
          <a:off x="398882" y="6392077"/>
          <a:ext cx="1693978" cy="357604"/>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600"/>
            <a:t>On Site Support</a:t>
          </a:r>
        </a:p>
      </xdr:txBody>
    </xdr:sp>
    <xdr:clientData/>
  </xdr:twoCellAnchor>
  <xdr:twoCellAnchor>
    <xdr:from>
      <xdr:col>0</xdr:col>
      <xdr:colOff>296334</xdr:colOff>
      <xdr:row>28</xdr:row>
      <xdr:rowOff>37595</xdr:rowOff>
    </xdr:from>
    <xdr:to>
      <xdr:col>3</xdr:col>
      <xdr:colOff>271073</xdr:colOff>
      <xdr:row>30</xdr:row>
      <xdr:rowOff>44006</xdr:rowOff>
    </xdr:to>
    <xdr:sp macro="" textlink="">
      <xdr:nvSpPr>
        <xdr:cNvPr id="161" name="Rectangle 160">
          <a:extLst>
            <a:ext uri="{FF2B5EF4-FFF2-40B4-BE49-F238E27FC236}">
              <a16:creationId xmlns:a16="http://schemas.microsoft.com/office/drawing/2014/main" id="{197F82F0-D30B-5046-AA13-4713D5CC4058}"/>
            </a:ext>
          </a:extLst>
        </xdr:cNvPr>
        <xdr:cNvSpPr/>
      </xdr:nvSpPr>
      <xdr:spPr>
        <a:xfrm>
          <a:off x="296334" y="6641595"/>
          <a:ext cx="2044839" cy="412811"/>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000">
              <a:solidFill>
                <a:schemeClr val="tx1">
                  <a:lumMod val="75000"/>
                  <a:lumOff val="25000"/>
                </a:schemeClr>
              </a:solidFill>
            </a:rPr>
            <a:t>SFO Engaged with PIE on OSS Support for various Test systems</a:t>
          </a:r>
        </a:p>
      </xdr:txBody>
    </xdr:sp>
    <xdr:clientData/>
  </xdr:twoCellAnchor>
  <xdr:twoCellAnchor>
    <xdr:from>
      <xdr:col>1</xdr:col>
      <xdr:colOff>305922</xdr:colOff>
      <xdr:row>29</xdr:row>
      <xdr:rowOff>153004</xdr:rowOff>
    </xdr:from>
    <xdr:to>
      <xdr:col>2</xdr:col>
      <xdr:colOff>517885</xdr:colOff>
      <xdr:row>31</xdr:row>
      <xdr:rowOff>1291</xdr:rowOff>
    </xdr:to>
    <xdr:sp macro="" textlink="">
      <xdr:nvSpPr>
        <xdr:cNvPr id="162" name="Rectangle 161">
          <a:extLst>
            <a:ext uri="{FF2B5EF4-FFF2-40B4-BE49-F238E27FC236}">
              <a16:creationId xmlns:a16="http://schemas.microsoft.com/office/drawing/2014/main" id="{DD749779-B4D9-2B48-B71F-378934AEABAF}"/>
            </a:ext>
          </a:extLst>
        </xdr:cNvPr>
        <xdr:cNvSpPr/>
      </xdr:nvSpPr>
      <xdr:spPr>
        <a:xfrm>
          <a:off x="725022" y="6960204"/>
          <a:ext cx="1037463" cy="254687"/>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000">
              <a:solidFill>
                <a:schemeClr val="tx1">
                  <a:lumMod val="75000"/>
                  <a:lumOff val="25000"/>
                </a:schemeClr>
              </a:solidFill>
            </a:rPr>
            <a:t>Start: May  2019</a:t>
          </a:r>
        </a:p>
      </xdr:txBody>
    </xdr:sp>
    <xdr:clientData/>
  </xdr:twoCellAnchor>
  <xdr:twoCellAnchor>
    <xdr:from>
      <xdr:col>1</xdr:col>
      <xdr:colOff>684740</xdr:colOff>
      <xdr:row>33</xdr:row>
      <xdr:rowOff>24441</xdr:rowOff>
    </xdr:from>
    <xdr:to>
      <xdr:col>2</xdr:col>
      <xdr:colOff>300386</xdr:colOff>
      <xdr:row>34</xdr:row>
      <xdr:rowOff>80161</xdr:rowOff>
    </xdr:to>
    <xdr:sp macro="" textlink="">
      <xdr:nvSpPr>
        <xdr:cNvPr id="163" name="Rectangle 162">
          <a:extLst>
            <a:ext uri="{FF2B5EF4-FFF2-40B4-BE49-F238E27FC236}">
              <a16:creationId xmlns:a16="http://schemas.microsoft.com/office/drawing/2014/main" id="{81DC2964-4756-6D4E-9E23-4DEF3E728DDC}"/>
            </a:ext>
          </a:extLst>
        </xdr:cNvPr>
        <xdr:cNvSpPr/>
      </xdr:nvSpPr>
      <xdr:spPr>
        <a:xfrm>
          <a:off x="1103840" y="7644441"/>
          <a:ext cx="441146" cy="258920"/>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000">
              <a:solidFill>
                <a:schemeClr val="tx1">
                  <a:lumMod val="75000"/>
                  <a:lumOff val="25000"/>
                </a:schemeClr>
              </a:solidFill>
            </a:rPr>
            <a:t>2019</a:t>
          </a:r>
        </a:p>
      </xdr:txBody>
    </xdr:sp>
    <xdr:clientData/>
  </xdr:twoCellAnchor>
  <xdr:twoCellAnchor>
    <xdr:from>
      <xdr:col>3</xdr:col>
      <xdr:colOff>339844</xdr:colOff>
      <xdr:row>29</xdr:row>
      <xdr:rowOff>153004</xdr:rowOff>
    </xdr:from>
    <xdr:to>
      <xdr:col>3</xdr:col>
      <xdr:colOff>780990</xdr:colOff>
      <xdr:row>31</xdr:row>
      <xdr:rowOff>1291</xdr:rowOff>
    </xdr:to>
    <xdr:sp macro="" textlink="">
      <xdr:nvSpPr>
        <xdr:cNvPr id="164" name="Rectangle 163">
          <a:extLst>
            <a:ext uri="{FF2B5EF4-FFF2-40B4-BE49-F238E27FC236}">
              <a16:creationId xmlns:a16="http://schemas.microsoft.com/office/drawing/2014/main" id="{E0BFF941-D018-4E4B-9367-6BED846E8C8D}"/>
            </a:ext>
          </a:extLst>
        </xdr:cNvPr>
        <xdr:cNvSpPr/>
      </xdr:nvSpPr>
      <xdr:spPr>
        <a:xfrm>
          <a:off x="2409944" y="6960204"/>
          <a:ext cx="441146" cy="254687"/>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000">
              <a:solidFill>
                <a:schemeClr val="tx1">
                  <a:lumMod val="75000"/>
                  <a:lumOff val="25000"/>
                </a:schemeClr>
              </a:solidFill>
            </a:rPr>
            <a:t>2020</a:t>
          </a:r>
        </a:p>
      </xdr:txBody>
    </xdr:sp>
    <xdr:clientData/>
  </xdr:twoCellAnchor>
  <xdr:twoCellAnchor>
    <xdr:from>
      <xdr:col>2</xdr:col>
      <xdr:colOff>551647</xdr:colOff>
      <xdr:row>30</xdr:row>
      <xdr:rowOff>135719</xdr:rowOff>
    </xdr:from>
    <xdr:to>
      <xdr:col>5</xdr:col>
      <xdr:colOff>169333</xdr:colOff>
      <xdr:row>32</xdr:row>
      <xdr:rowOff>74084</xdr:rowOff>
    </xdr:to>
    <xdr:sp macro="" textlink="">
      <xdr:nvSpPr>
        <xdr:cNvPr id="165" name="Rectangle 164">
          <a:extLst>
            <a:ext uri="{FF2B5EF4-FFF2-40B4-BE49-F238E27FC236}">
              <a16:creationId xmlns:a16="http://schemas.microsoft.com/office/drawing/2014/main" id="{0B14964A-DF01-8348-B6C3-8A048DD3E3C9}"/>
            </a:ext>
          </a:extLst>
        </xdr:cNvPr>
        <xdr:cNvSpPr/>
      </xdr:nvSpPr>
      <xdr:spPr>
        <a:xfrm>
          <a:off x="1796247" y="7146119"/>
          <a:ext cx="2094186" cy="344765"/>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600"/>
            <a:t>ME Engagement</a:t>
          </a:r>
        </a:p>
      </xdr:txBody>
    </xdr:sp>
    <xdr:clientData/>
  </xdr:twoCellAnchor>
  <xdr:twoCellAnchor>
    <xdr:from>
      <xdr:col>1</xdr:col>
      <xdr:colOff>759265</xdr:colOff>
      <xdr:row>31</xdr:row>
      <xdr:rowOff>185088</xdr:rowOff>
    </xdr:from>
    <xdr:to>
      <xdr:col>6</xdr:col>
      <xdr:colOff>31750</xdr:colOff>
      <xdr:row>33</xdr:row>
      <xdr:rowOff>31773</xdr:rowOff>
    </xdr:to>
    <xdr:sp macro="" textlink="">
      <xdr:nvSpPr>
        <xdr:cNvPr id="166" name="Rectangle 165">
          <a:extLst>
            <a:ext uri="{FF2B5EF4-FFF2-40B4-BE49-F238E27FC236}">
              <a16:creationId xmlns:a16="http://schemas.microsoft.com/office/drawing/2014/main" id="{EB6A0D1B-2D61-164F-8B91-C92D54D14E3F}"/>
            </a:ext>
          </a:extLst>
        </xdr:cNvPr>
        <xdr:cNvSpPr/>
      </xdr:nvSpPr>
      <xdr:spPr>
        <a:xfrm>
          <a:off x="1178365" y="7398688"/>
          <a:ext cx="3399985" cy="253085"/>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000"/>
            <a:t>Sample process fixtures to Pegatron, China</a:t>
          </a:r>
        </a:p>
      </xdr:txBody>
    </xdr:sp>
    <xdr:clientData/>
  </xdr:twoCellAnchor>
  <xdr:twoCellAnchor>
    <xdr:from>
      <xdr:col>3</xdr:col>
      <xdr:colOff>136042</xdr:colOff>
      <xdr:row>32</xdr:row>
      <xdr:rowOff>199626</xdr:rowOff>
    </xdr:from>
    <xdr:to>
      <xdr:col>4</xdr:col>
      <xdr:colOff>476251</xdr:colOff>
      <xdr:row>34</xdr:row>
      <xdr:rowOff>46310</xdr:rowOff>
    </xdr:to>
    <xdr:sp macro="" textlink="">
      <xdr:nvSpPr>
        <xdr:cNvPr id="167" name="Rectangle 166">
          <a:extLst>
            <a:ext uri="{FF2B5EF4-FFF2-40B4-BE49-F238E27FC236}">
              <a16:creationId xmlns:a16="http://schemas.microsoft.com/office/drawing/2014/main" id="{C0563BDA-ED43-4C43-B69C-303C47E4A210}"/>
            </a:ext>
          </a:extLst>
        </xdr:cNvPr>
        <xdr:cNvSpPr/>
      </xdr:nvSpPr>
      <xdr:spPr>
        <a:xfrm>
          <a:off x="2206142" y="7616426"/>
          <a:ext cx="1165709" cy="253084"/>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000">
              <a:solidFill>
                <a:schemeClr val="tx1">
                  <a:lumMod val="75000"/>
                  <a:lumOff val="25000"/>
                </a:schemeClr>
              </a:solidFill>
            </a:rPr>
            <a:t>Start: Jan 2020</a:t>
          </a:r>
        </a:p>
      </xdr:txBody>
    </xdr:sp>
    <xdr:clientData/>
  </xdr:twoCellAnchor>
  <xdr:twoCellAnchor>
    <xdr:from>
      <xdr:col>4</xdr:col>
      <xdr:colOff>579194</xdr:colOff>
      <xdr:row>27</xdr:row>
      <xdr:rowOff>12620</xdr:rowOff>
    </xdr:from>
    <xdr:to>
      <xdr:col>5</xdr:col>
      <xdr:colOff>194840</xdr:colOff>
      <xdr:row>28</xdr:row>
      <xdr:rowOff>61990</xdr:rowOff>
    </xdr:to>
    <xdr:sp macro="" textlink="">
      <xdr:nvSpPr>
        <xdr:cNvPr id="168" name="Rectangle 167">
          <a:extLst>
            <a:ext uri="{FF2B5EF4-FFF2-40B4-BE49-F238E27FC236}">
              <a16:creationId xmlns:a16="http://schemas.microsoft.com/office/drawing/2014/main" id="{17F5FEFE-E7F1-E344-833B-D7B2F8713E5A}"/>
            </a:ext>
          </a:extLst>
        </xdr:cNvPr>
        <xdr:cNvSpPr/>
      </xdr:nvSpPr>
      <xdr:spPr>
        <a:xfrm>
          <a:off x="3474794" y="6413420"/>
          <a:ext cx="441146" cy="252570"/>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000">
              <a:solidFill>
                <a:schemeClr val="tx1">
                  <a:lumMod val="75000"/>
                  <a:lumOff val="25000"/>
                </a:schemeClr>
              </a:solidFill>
            </a:rPr>
            <a:t>2022</a:t>
          </a:r>
        </a:p>
      </xdr:txBody>
    </xdr:sp>
    <xdr:clientData/>
  </xdr:twoCellAnchor>
  <xdr:twoCellAnchor>
    <xdr:from>
      <xdr:col>3</xdr:col>
      <xdr:colOff>174116</xdr:colOff>
      <xdr:row>21</xdr:row>
      <xdr:rowOff>47599</xdr:rowOff>
    </xdr:from>
    <xdr:to>
      <xdr:col>5</xdr:col>
      <xdr:colOff>14230</xdr:colOff>
      <xdr:row>22</xdr:row>
      <xdr:rowOff>193536</xdr:rowOff>
    </xdr:to>
    <xdr:sp macro="" textlink="">
      <xdr:nvSpPr>
        <xdr:cNvPr id="169" name="Rectangle 168">
          <a:extLst>
            <a:ext uri="{FF2B5EF4-FFF2-40B4-BE49-F238E27FC236}">
              <a16:creationId xmlns:a16="http://schemas.microsoft.com/office/drawing/2014/main" id="{2D7C529A-E63D-354C-8D9A-5B598D9BD756}"/>
            </a:ext>
          </a:extLst>
        </xdr:cNvPr>
        <xdr:cNvSpPr/>
      </xdr:nvSpPr>
      <xdr:spPr>
        <a:xfrm>
          <a:off x="2244216" y="5229199"/>
          <a:ext cx="1491114" cy="349137"/>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600"/>
            <a:t>ME Localization</a:t>
          </a:r>
        </a:p>
      </xdr:txBody>
    </xdr:sp>
    <xdr:clientData/>
  </xdr:twoCellAnchor>
  <xdr:twoCellAnchor>
    <xdr:from>
      <xdr:col>1</xdr:col>
      <xdr:colOff>162764</xdr:colOff>
      <xdr:row>5</xdr:row>
      <xdr:rowOff>323848</xdr:rowOff>
    </xdr:from>
    <xdr:to>
      <xdr:col>15</xdr:col>
      <xdr:colOff>42568</xdr:colOff>
      <xdr:row>34</xdr:row>
      <xdr:rowOff>60859</xdr:rowOff>
    </xdr:to>
    <xdr:grpSp>
      <xdr:nvGrpSpPr>
        <xdr:cNvPr id="170" name="Group 169">
          <a:extLst>
            <a:ext uri="{FF2B5EF4-FFF2-40B4-BE49-F238E27FC236}">
              <a16:creationId xmlns:a16="http://schemas.microsoft.com/office/drawing/2014/main" id="{B523D1A5-1C52-1C47-8DB7-DADDBC43714A}"/>
            </a:ext>
          </a:extLst>
        </xdr:cNvPr>
        <xdr:cNvGrpSpPr/>
      </xdr:nvGrpSpPr>
      <xdr:grpSpPr>
        <a:xfrm>
          <a:off x="582841" y="2023694"/>
          <a:ext cx="11505189" cy="5911165"/>
          <a:chOff x="-308345" y="-269458"/>
          <a:chExt cx="12896437" cy="7615430"/>
        </a:xfrm>
        <a:effectLst>
          <a:outerShdw blurRad="215900" dist="304800" dir="5400000" algn="t" rotWithShape="0">
            <a:srgbClr val="2F2155">
              <a:alpha val="27000"/>
            </a:srgbClr>
          </a:outerShdw>
        </a:effectLst>
      </xdr:grpSpPr>
      <xdr:cxnSp macro="">
        <xdr:nvCxnSpPr>
          <xdr:cNvPr id="171" name="Straight Connector 170">
            <a:extLst>
              <a:ext uri="{FF2B5EF4-FFF2-40B4-BE49-F238E27FC236}">
                <a16:creationId xmlns:a16="http://schemas.microsoft.com/office/drawing/2014/main" id="{B18BC46A-BC73-B53F-25AA-ACF076CE2A10}"/>
              </a:ext>
            </a:extLst>
          </xdr:cNvPr>
          <xdr:cNvCxnSpPr/>
        </xdr:nvCxnSpPr>
        <xdr:spPr>
          <a:xfrm flipV="1">
            <a:off x="3152047" y="3898147"/>
            <a:ext cx="1237699" cy="714586"/>
          </a:xfrm>
          <a:prstGeom prst="line">
            <a:avLst/>
          </a:prstGeom>
          <a:ln w="127000" cap="rnd">
            <a:solidFill>
              <a:srgbClr val="2F2155"/>
            </a:solidFill>
            <a:round/>
          </a:ln>
        </xdr:spPr>
        <xdr:style>
          <a:lnRef idx="1">
            <a:schemeClr val="accent1"/>
          </a:lnRef>
          <a:fillRef idx="0">
            <a:schemeClr val="accent1"/>
          </a:fillRef>
          <a:effectRef idx="0">
            <a:schemeClr val="accent1"/>
          </a:effectRef>
          <a:fontRef idx="minor">
            <a:schemeClr val="tx1"/>
          </a:fontRef>
        </xdr:style>
      </xdr:cxnSp>
      <xdr:cxnSp macro="">
        <xdr:nvCxnSpPr>
          <xdr:cNvPr id="172" name="Straight Connector 171">
            <a:extLst>
              <a:ext uri="{FF2B5EF4-FFF2-40B4-BE49-F238E27FC236}">
                <a16:creationId xmlns:a16="http://schemas.microsoft.com/office/drawing/2014/main" id="{E6ECEB9E-69FD-4061-DCDE-51D7F0D8BAC1}"/>
              </a:ext>
            </a:extLst>
          </xdr:cNvPr>
          <xdr:cNvCxnSpPr/>
        </xdr:nvCxnSpPr>
        <xdr:spPr>
          <a:xfrm flipH="1" flipV="1">
            <a:off x="4389748" y="3898149"/>
            <a:ext cx="394647" cy="227850"/>
          </a:xfrm>
          <a:prstGeom prst="line">
            <a:avLst/>
          </a:prstGeom>
          <a:ln w="127000" cap="rnd">
            <a:solidFill>
              <a:srgbClr val="2F2155"/>
            </a:solidFill>
            <a:round/>
          </a:ln>
        </xdr:spPr>
        <xdr:style>
          <a:lnRef idx="1">
            <a:schemeClr val="accent1"/>
          </a:lnRef>
          <a:fillRef idx="0">
            <a:schemeClr val="accent1"/>
          </a:fillRef>
          <a:effectRef idx="0">
            <a:schemeClr val="accent1"/>
          </a:effectRef>
          <a:fontRef idx="minor">
            <a:schemeClr val="tx1"/>
          </a:fontRef>
        </xdr:style>
      </xdr:cxnSp>
      <xdr:cxnSp macro="">
        <xdr:nvCxnSpPr>
          <xdr:cNvPr id="173" name="Straight Connector 172">
            <a:extLst>
              <a:ext uri="{FF2B5EF4-FFF2-40B4-BE49-F238E27FC236}">
                <a16:creationId xmlns:a16="http://schemas.microsoft.com/office/drawing/2014/main" id="{8901CF92-C786-D9AA-61D4-D4061CE43DCC}"/>
              </a:ext>
            </a:extLst>
          </xdr:cNvPr>
          <xdr:cNvCxnSpPr/>
        </xdr:nvCxnSpPr>
        <xdr:spPr>
          <a:xfrm flipV="1">
            <a:off x="4800437" y="3890652"/>
            <a:ext cx="418565" cy="241660"/>
          </a:xfrm>
          <a:prstGeom prst="line">
            <a:avLst/>
          </a:prstGeom>
          <a:ln w="127000" cap="rnd">
            <a:solidFill>
              <a:srgbClr val="2F2155"/>
            </a:solidFill>
            <a:round/>
          </a:ln>
        </xdr:spPr>
        <xdr:style>
          <a:lnRef idx="1">
            <a:schemeClr val="accent1"/>
          </a:lnRef>
          <a:fillRef idx="0">
            <a:schemeClr val="accent1"/>
          </a:fillRef>
          <a:effectRef idx="0">
            <a:schemeClr val="accent1"/>
          </a:effectRef>
          <a:fontRef idx="minor">
            <a:schemeClr val="tx1"/>
          </a:fontRef>
        </xdr:style>
      </xdr:cxnSp>
      <xdr:cxnSp macro="">
        <xdr:nvCxnSpPr>
          <xdr:cNvPr id="174" name="Straight Connector 173">
            <a:extLst>
              <a:ext uri="{FF2B5EF4-FFF2-40B4-BE49-F238E27FC236}">
                <a16:creationId xmlns:a16="http://schemas.microsoft.com/office/drawing/2014/main" id="{E0C059FA-4629-CB9E-CAC6-BBBB53190C84}"/>
              </a:ext>
            </a:extLst>
          </xdr:cNvPr>
          <xdr:cNvCxnSpPr/>
        </xdr:nvCxnSpPr>
        <xdr:spPr>
          <a:xfrm flipH="1" flipV="1">
            <a:off x="3674048" y="2999908"/>
            <a:ext cx="1542816" cy="890743"/>
          </a:xfrm>
          <a:prstGeom prst="line">
            <a:avLst/>
          </a:prstGeom>
          <a:ln w="127000" cap="rnd">
            <a:solidFill>
              <a:srgbClr val="2F2155"/>
            </a:solidFill>
            <a:round/>
          </a:ln>
        </xdr:spPr>
        <xdr:style>
          <a:lnRef idx="1">
            <a:schemeClr val="accent1"/>
          </a:lnRef>
          <a:fillRef idx="0">
            <a:schemeClr val="accent1"/>
          </a:fillRef>
          <a:effectRef idx="0">
            <a:schemeClr val="accent1"/>
          </a:effectRef>
          <a:fontRef idx="minor">
            <a:schemeClr val="tx1"/>
          </a:fontRef>
        </xdr:style>
      </xdr:cxnSp>
      <xdr:cxnSp macro="">
        <xdr:nvCxnSpPr>
          <xdr:cNvPr id="175" name="Straight Connector 174">
            <a:extLst>
              <a:ext uri="{FF2B5EF4-FFF2-40B4-BE49-F238E27FC236}">
                <a16:creationId xmlns:a16="http://schemas.microsoft.com/office/drawing/2014/main" id="{9C362C98-DD63-8D0C-F4C8-F2AB75920FA5}"/>
              </a:ext>
            </a:extLst>
          </xdr:cNvPr>
          <xdr:cNvCxnSpPr/>
        </xdr:nvCxnSpPr>
        <xdr:spPr>
          <a:xfrm flipV="1">
            <a:off x="3682543" y="1676075"/>
            <a:ext cx="2283226" cy="1318224"/>
          </a:xfrm>
          <a:prstGeom prst="line">
            <a:avLst/>
          </a:prstGeom>
          <a:ln w="127000" cap="rnd">
            <a:solidFill>
              <a:srgbClr val="2F2155"/>
            </a:solidFill>
            <a:round/>
          </a:ln>
        </xdr:spPr>
        <xdr:style>
          <a:lnRef idx="1">
            <a:schemeClr val="accent1"/>
          </a:lnRef>
          <a:fillRef idx="0">
            <a:schemeClr val="accent1"/>
          </a:fillRef>
          <a:effectRef idx="0">
            <a:schemeClr val="accent1"/>
          </a:effectRef>
          <a:fontRef idx="minor">
            <a:schemeClr val="tx1"/>
          </a:fontRef>
        </xdr:style>
      </xdr:cxnSp>
      <xdr:cxnSp macro="">
        <xdr:nvCxnSpPr>
          <xdr:cNvPr id="176" name="Straight Connector 175">
            <a:extLst>
              <a:ext uri="{FF2B5EF4-FFF2-40B4-BE49-F238E27FC236}">
                <a16:creationId xmlns:a16="http://schemas.microsoft.com/office/drawing/2014/main" id="{BEC8932B-9EC0-5361-1D12-FB3107877C82}"/>
              </a:ext>
            </a:extLst>
          </xdr:cNvPr>
          <xdr:cNvCxnSpPr/>
        </xdr:nvCxnSpPr>
        <xdr:spPr>
          <a:xfrm flipV="1">
            <a:off x="6112954" y="2766923"/>
            <a:ext cx="292410" cy="168824"/>
          </a:xfrm>
          <a:prstGeom prst="line">
            <a:avLst/>
          </a:prstGeom>
          <a:ln w="127000" cap="rnd">
            <a:solidFill>
              <a:srgbClr val="2F2155"/>
            </a:solidFill>
            <a:round/>
          </a:ln>
        </xdr:spPr>
        <xdr:style>
          <a:lnRef idx="1">
            <a:schemeClr val="accent1"/>
          </a:lnRef>
          <a:fillRef idx="0">
            <a:schemeClr val="accent1"/>
          </a:fillRef>
          <a:effectRef idx="0">
            <a:schemeClr val="accent1"/>
          </a:effectRef>
          <a:fontRef idx="minor">
            <a:schemeClr val="tx1"/>
          </a:fontRef>
        </xdr:style>
      </xdr:cxnSp>
      <xdr:cxnSp macro="">
        <xdr:nvCxnSpPr>
          <xdr:cNvPr id="177" name="Straight Connector 176">
            <a:extLst>
              <a:ext uri="{FF2B5EF4-FFF2-40B4-BE49-F238E27FC236}">
                <a16:creationId xmlns:a16="http://schemas.microsoft.com/office/drawing/2014/main" id="{7D9C3999-53CC-080F-44F9-27E8F9071F42}"/>
              </a:ext>
            </a:extLst>
          </xdr:cNvPr>
          <xdr:cNvCxnSpPr/>
        </xdr:nvCxnSpPr>
        <xdr:spPr>
          <a:xfrm flipH="1" flipV="1">
            <a:off x="6421406" y="2757188"/>
            <a:ext cx="1176598" cy="679307"/>
          </a:xfrm>
          <a:prstGeom prst="line">
            <a:avLst/>
          </a:prstGeom>
          <a:ln w="127000" cap="rnd">
            <a:solidFill>
              <a:srgbClr val="2F2155"/>
            </a:solidFill>
            <a:round/>
          </a:ln>
        </xdr:spPr>
        <xdr:style>
          <a:lnRef idx="1">
            <a:schemeClr val="accent1"/>
          </a:lnRef>
          <a:fillRef idx="0">
            <a:schemeClr val="accent1"/>
          </a:fillRef>
          <a:effectRef idx="0">
            <a:schemeClr val="accent1"/>
          </a:effectRef>
          <a:fontRef idx="minor">
            <a:schemeClr val="tx1"/>
          </a:fontRef>
        </xdr:style>
      </xdr:cxnSp>
      <xdr:cxnSp macro="">
        <xdr:nvCxnSpPr>
          <xdr:cNvPr id="178" name="Straight Connector 177">
            <a:extLst>
              <a:ext uri="{FF2B5EF4-FFF2-40B4-BE49-F238E27FC236}">
                <a16:creationId xmlns:a16="http://schemas.microsoft.com/office/drawing/2014/main" id="{626C5257-5325-BCF6-24D1-254924A2F825}"/>
              </a:ext>
            </a:extLst>
          </xdr:cNvPr>
          <xdr:cNvCxnSpPr/>
        </xdr:nvCxnSpPr>
        <xdr:spPr>
          <a:xfrm flipV="1">
            <a:off x="7598004" y="1897272"/>
            <a:ext cx="2664331" cy="1538257"/>
          </a:xfrm>
          <a:prstGeom prst="line">
            <a:avLst/>
          </a:prstGeom>
          <a:ln w="127000" cap="rnd">
            <a:solidFill>
              <a:srgbClr val="2F2155"/>
            </a:solidFill>
            <a:round/>
          </a:ln>
        </xdr:spPr>
        <xdr:style>
          <a:lnRef idx="1">
            <a:schemeClr val="accent1"/>
          </a:lnRef>
          <a:fillRef idx="0">
            <a:schemeClr val="accent1"/>
          </a:fillRef>
          <a:effectRef idx="0">
            <a:schemeClr val="accent1"/>
          </a:effectRef>
          <a:fontRef idx="minor">
            <a:schemeClr val="tx1"/>
          </a:fontRef>
        </xdr:style>
      </xdr:cxnSp>
      <xdr:cxnSp macro="">
        <xdr:nvCxnSpPr>
          <xdr:cNvPr id="179" name="Straight Connector 178">
            <a:extLst>
              <a:ext uri="{FF2B5EF4-FFF2-40B4-BE49-F238E27FC236}">
                <a16:creationId xmlns:a16="http://schemas.microsoft.com/office/drawing/2014/main" id="{8F924BB5-E1E1-D241-0979-81718182FC8D}"/>
              </a:ext>
            </a:extLst>
          </xdr:cNvPr>
          <xdr:cNvCxnSpPr/>
        </xdr:nvCxnSpPr>
        <xdr:spPr>
          <a:xfrm flipV="1">
            <a:off x="8079698" y="600193"/>
            <a:ext cx="651423" cy="376101"/>
          </a:xfrm>
          <a:prstGeom prst="line">
            <a:avLst/>
          </a:prstGeom>
          <a:ln w="127000" cap="rnd">
            <a:solidFill>
              <a:srgbClr val="2F2155"/>
            </a:solidFill>
            <a:round/>
          </a:ln>
        </xdr:spPr>
        <xdr:style>
          <a:lnRef idx="1">
            <a:schemeClr val="accent1"/>
          </a:lnRef>
          <a:fillRef idx="0">
            <a:schemeClr val="accent1"/>
          </a:fillRef>
          <a:effectRef idx="0">
            <a:schemeClr val="accent1"/>
          </a:effectRef>
          <a:fontRef idx="minor">
            <a:schemeClr val="tx1"/>
          </a:fontRef>
        </xdr:style>
      </xdr:cxnSp>
      <xdr:cxnSp macro="">
        <xdr:nvCxnSpPr>
          <xdr:cNvPr id="180" name="Straight Connector 179">
            <a:extLst>
              <a:ext uri="{FF2B5EF4-FFF2-40B4-BE49-F238E27FC236}">
                <a16:creationId xmlns:a16="http://schemas.microsoft.com/office/drawing/2014/main" id="{CEFA42EF-8AE7-553A-688B-FA2E77094A03}"/>
              </a:ext>
            </a:extLst>
          </xdr:cNvPr>
          <xdr:cNvCxnSpPr/>
        </xdr:nvCxnSpPr>
        <xdr:spPr>
          <a:xfrm flipH="1" flipV="1">
            <a:off x="8747163" y="590457"/>
            <a:ext cx="1176598" cy="679307"/>
          </a:xfrm>
          <a:prstGeom prst="line">
            <a:avLst/>
          </a:prstGeom>
          <a:ln w="127000" cap="rnd">
            <a:solidFill>
              <a:srgbClr val="2F2155"/>
            </a:solidFill>
            <a:round/>
          </a:ln>
        </xdr:spPr>
        <xdr:style>
          <a:lnRef idx="1">
            <a:schemeClr val="accent1"/>
          </a:lnRef>
          <a:fillRef idx="0">
            <a:schemeClr val="accent1"/>
          </a:fillRef>
          <a:effectRef idx="0">
            <a:schemeClr val="accent1"/>
          </a:effectRef>
          <a:fontRef idx="minor">
            <a:schemeClr val="tx1"/>
          </a:fontRef>
        </xdr:style>
      </xdr:cxnSp>
      <xdr:cxnSp macro="">
        <xdr:nvCxnSpPr>
          <xdr:cNvPr id="181" name="Straight Connector 180">
            <a:extLst>
              <a:ext uri="{FF2B5EF4-FFF2-40B4-BE49-F238E27FC236}">
                <a16:creationId xmlns:a16="http://schemas.microsoft.com/office/drawing/2014/main" id="{51D5282C-2E0D-068A-61ED-969AA056190F}"/>
              </a:ext>
            </a:extLst>
          </xdr:cNvPr>
          <xdr:cNvCxnSpPr/>
        </xdr:nvCxnSpPr>
        <xdr:spPr>
          <a:xfrm flipV="1">
            <a:off x="9923761" y="-269458"/>
            <a:ext cx="2664331" cy="1538257"/>
          </a:xfrm>
          <a:prstGeom prst="line">
            <a:avLst/>
          </a:prstGeom>
          <a:ln w="127000" cap="rnd">
            <a:solidFill>
              <a:srgbClr val="2F2155"/>
            </a:solidFill>
            <a:round/>
          </a:ln>
        </xdr:spPr>
        <xdr:style>
          <a:lnRef idx="1">
            <a:schemeClr val="accent1"/>
          </a:lnRef>
          <a:fillRef idx="0">
            <a:schemeClr val="accent1"/>
          </a:fillRef>
          <a:effectRef idx="0">
            <a:schemeClr val="accent1"/>
          </a:effectRef>
          <a:fontRef idx="minor">
            <a:schemeClr val="tx1"/>
          </a:fontRef>
        </xdr:style>
      </xdr:cxnSp>
      <xdr:cxnSp macro="">
        <xdr:nvCxnSpPr>
          <xdr:cNvPr id="182" name="Straight Connector 181">
            <a:extLst>
              <a:ext uri="{FF2B5EF4-FFF2-40B4-BE49-F238E27FC236}">
                <a16:creationId xmlns:a16="http://schemas.microsoft.com/office/drawing/2014/main" id="{C541DC44-DA08-981B-DD4E-5502FA74398B}"/>
              </a:ext>
            </a:extLst>
          </xdr:cNvPr>
          <xdr:cNvCxnSpPr/>
        </xdr:nvCxnSpPr>
        <xdr:spPr>
          <a:xfrm flipV="1">
            <a:off x="9539653" y="1650429"/>
            <a:ext cx="292410" cy="168824"/>
          </a:xfrm>
          <a:prstGeom prst="line">
            <a:avLst/>
          </a:prstGeom>
          <a:ln w="127000" cap="rnd">
            <a:solidFill>
              <a:srgbClr val="2F2155"/>
            </a:solidFill>
            <a:round/>
          </a:ln>
        </xdr:spPr>
        <xdr:style>
          <a:lnRef idx="1">
            <a:schemeClr val="accent1"/>
          </a:lnRef>
          <a:fillRef idx="0">
            <a:schemeClr val="accent1"/>
          </a:fillRef>
          <a:effectRef idx="0">
            <a:schemeClr val="accent1"/>
          </a:effectRef>
          <a:fontRef idx="minor">
            <a:schemeClr val="tx1"/>
          </a:fontRef>
        </xdr:style>
      </xdr:cxnSp>
      <xdr:cxnSp macro="">
        <xdr:nvCxnSpPr>
          <xdr:cNvPr id="183" name="Straight Connector 182">
            <a:extLst>
              <a:ext uri="{FF2B5EF4-FFF2-40B4-BE49-F238E27FC236}">
                <a16:creationId xmlns:a16="http://schemas.microsoft.com/office/drawing/2014/main" id="{B9BFA255-E016-0D22-2453-D478207B9BA1}"/>
              </a:ext>
            </a:extLst>
          </xdr:cNvPr>
          <xdr:cNvCxnSpPr/>
        </xdr:nvCxnSpPr>
        <xdr:spPr>
          <a:xfrm flipH="1" flipV="1">
            <a:off x="9838938" y="1651857"/>
            <a:ext cx="423396" cy="244448"/>
          </a:xfrm>
          <a:prstGeom prst="line">
            <a:avLst/>
          </a:prstGeom>
          <a:ln w="127000" cap="rnd">
            <a:solidFill>
              <a:srgbClr val="2F2155"/>
            </a:solidFill>
            <a:round/>
          </a:ln>
        </xdr:spPr>
        <xdr:style>
          <a:lnRef idx="1">
            <a:schemeClr val="accent1"/>
          </a:lnRef>
          <a:fillRef idx="0">
            <a:schemeClr val="accent1"/>
          </a:fillRef>
          <a:effectRef idx="0">
            <a:schemeClr val="accent1"/>
          </a:effectRef>
          <a:fontRef idx="minor">
            <a:schemeClr val="tx1"/>
          </a:fontRef>
        </xdr:style>
      </xdr:cxnSp>
      <xdr:cxnSp macro="">
        <xdr:nvCxnSpPr>
          <xdr:cNvPr id="184" name="Straight Connector 183">
            <a:extLst>
              <a:ext uri="{FF2B5EF4-FFF2-40B4-BE49-F238E27FC236}">
                <a16:creationId xmlns:a16="http://schemas.microsoft.com/office/drawing/2014/main" id="{9D8BEA6B-4B29-EBFF-B805-2066621629B1}"/>
              </a:ext>
            </a:extLst>
          </xdr:cNvPr>
          <xdr:cNvCxnSpPr/>
        </xdr:nvCxnSpPr>
        <xdr:spPr>
          <a:xfrm flipH="1" flipV="1">
            <a:off x="8079698" y="988580"/>
            <a:ext cx="1438771" cy="830673"/>
          </a:xfrm>
          <a:prstGeom prst="line">
            <a:avLst/>
          </a:prstGeom>
          <a:ln w="127000" cap="rnd">
            <a:solidFill>
              <a:srgbClr val="2F2155"/>
            </a:solidFill>
            <a:round/>
          </a:ln>
        </xdr:spPr>
        <xdr:style>
          <a:lnRef idx="1">
            <a:schemeClr val="accent1"/>
          </a:lnRef>
          <a:fillRef idx="0">
            <a:schemeClr val="accent1"/>
          </a:fillRef>
          <a:effectRef idx="0">
            <a:schemeClr val="accent1"/>
          </a:effectRef>
          <a:fontRef idx="minor">
            <a:schemeClr val="tx1"/>
          </a:fontRef>
        </xdr:style>
      </xdr:cxnSp>
      <xdr:cxnSp macro="">
        <xdr:nvCxnSpPr>
          <xdr:cNvPr id="185" name="Straight Connector 184">
            <a:extLst>
              <a:ext uri="{FF2B5EF4-FFF2-40B4-BE49-F238E27FC236}">
                <a16:creationId xmlns:a16="http://schemas.microsoft.com/office/drawing/2014/main" id="{B4380921-52A1-B584-16DF-72CB2F0197A7}"/>
              </a:ext>
            </a:extLst>
          </xdr:cNvPr>
          <xdr:cNvCxnSpPr>
            <a:cxnSpLocks/>
          </xdr:cNvCxnSpPr>
        </xdr:nvCxnSpPr>
        <xdr:spPr>
          <a:xfrm flipH="1" flipV="1">
            <a:off x="3152048" y="4620230"/>
            <a:ext cx="545901" cy="361719"/>
          </a:xfrm>
          <a:prstGeom prst="line">
            <a:avLst/>
          </a:prstGeom>
          <a:ln w="127000" cap="rnd">
            <a:solidFill>
              <a:srgbClr val="2F2155"/>
            </a:solidFill>
            <a:round/>
          </a:ln>
        </xdr:spPr>
        <xdr:style>
          <a:lnRef idx="1">
            <a:schemeClr val="accent1"/>
          </a:lnRef>
          <a:fillRef idx="0">
            <a:schemeClr val="accent1"/>
          </a:fillRef>
          <a:effectRef idx="0">
            <a:schemeClr val="accent1"/>
          </a:effectRef>
          <a:fontRef idx="minor">
            <a:schemeClr val="tx1"/>
          </a:fontRef>
        </xdr:style>
      </xdr:cxnSp>
      <xdr:cxnSp macro="">
        <xdr:nvCxnSpPr>
          <xdr:cNvPr id="186" name="Straight Connector 185">
            <a:extLst>
              <a:ext uri="{FF2B5EF4-FFF2-40B4-BE49-F238E27FC236}">
                <a16:creationId xmlns:a16="http://schemas.microsoft.com/office/drawing/2014/main" id="{E3923882-441E-C255-E3C4-4DD9909513AE}"/>
              </a:ext>
            </a:extLst>
          </xdr:cNvPr>
          <xdr:cNvCxnSpPr>
            <a:cxnSpLocks/>
          </xdr:cNvCxnSpPr>
        </xdr:nvCxnSpPr>
        <xdr:spPr>
          <a:xfrm flipV="1">
            <a:off x="-308345" y="4989445"/>
            <a:ext cx="3990888" cy="2356527"/>
          </a:xfrm>
          <a:prstGeom prst="line">
            <a:avLst/>
          </a:prstGeom>
          <a:ln w="127000" cap="rnd">
            <a:solidFill>
              <a:srgbClr val="2F2155"/>
            </a:solidFill>
            <a:round/>
          </a:ln>
        </xdr:spPr>
        <xdr:style>
          <a:lnRef idx="1">
            <a:schemeClr val="accent1"/>
          </a:lnRef>
          <a:fillRef idx="0">
            <a:schemeClr val="accent1"/>
          </a:fillRef>
          <a:effectRef idx="0">
            <a:schemeClr val="accent1"/>
          </a:effectRef>
          <a:fontRef idx="minor">
            <a:schemeClr val="tx1"/>
          </a:fontRef>
        </xdr:style>
      </xdr:cxnSp>
      <xdr:cxnSp macro="">
        <xdr:nvCxnSpPr>
          <xdr:cNvPr id="187" name="Straight Connector 186">
            <a:extLst>
              <a:ext uri="{FF2B5EF4-FFF2-40B4-BE49-F238E27FC236}">
                <a16:creationId xmlns:a16="http://schemas.microsoft.com/office/drawing/2014/main" id="{E81B9E2A-3DA5-1F60-E002-ACFB1C717512}"/>
              </a:ext>
            </a:extLst>
          </xdr:cNvPr>
          <xdr:cNvCxnSpPr/>
        </xdr:nvCxnSpPr>
        <xdr:spPr>
          <a:xfrm flipV="1">
            <a:off x="5997290" y="1410936"/>
            <a:ext cx="418565" cy="241660"/>
          </a:xfrm>
          <a:prstGeom prst="line">
            <a:avLst/>
          </a:prstGeom>
          <a:ln w="127000" cap="rnd">
            <a:solidFill>
              <a:srgbClr val="2F2155"/>
            </a:solidFill>
            <a:round/>
          </a:ln>
        </xdr:spPr>
        <xdr:style>
          <a:lnRef idx="1">
            <a:schemeClr val="accent1"/>
          </a:lnRef>
          <a:fillRef idx="0">
            <a:schemeClr val="accent1"/>
          </a:fillRef>
          <a:effectRef idx="0">
            <a:schemeClr val="accent1"/>
          </a:effectRef>
          <a:fontRef idx="minor">
            <a:schemeClr val="tx1"/>
          </a:fontRef>
        </xdr:style>
      </xdr:cxnSp>
      <xdr:cxnSp macro="">
        <xdr:nvCxnSpPr>
          <xdr:cNvPr id="188" name="Straight Connector 187">
            <a:extLst>
              <a:ext uri="{FF2B5EF4-FFF2-40B4-BE49-F238E27FC236}">
                <a16:creationId xmlns:a16="http://schemas.microsoft.com/office/drawing/2014/main" id="{A4B8E669-4752-D117-ED5E-55B0DCA8CEDE}"/>
              </a:ext>
            </a:extLst>
          </xdr:cNvPr>
          <xdr:cNvCxnSpPr/>
        </xdr:nvCxnSpPr>
        <xdr:spPr>
          <a:xfrm flipV="1">
            <a:off x="6305659" y="1231132"/>
            <a:ext cx="418565" cy="241660"/>
          </a:xfrm>
          <a:prstGeom prst="line">
            <a:avLst/>
          </a:prstGeom>
          <a:ln w="127000" cap="rnd">
            <a:solidFill>
              <a:srgbClr val="2F2155"/>
            </a:solidFill>
            <a:round/>
          </a:ln>
        </xdr:spPr>
        <xdr:style>
          <a:lnRef idx="1">
            <a:schemeClr val="accent1"/>
          </a:lnRef>
          <a:fillRef idx="0">
            <a:schemeClr val="accent1"/>
          </a:fillRef>
          <a:effectRef idx="0">
            <a:schemeClr val="accent1"/>
          </a:effectRef>
          <a:fontRef idx="minor">
            <a:schemeClr val="tx1"/>
          </a:fontRef>
        </xdr:style>
      </xdr:cxnSp>
      <xdr:cxnSp macro="">
        <xdr:nvCxnSpPr>
          <xdr:cNvPr id="189" name="Straight Connector 188">
            <a:extLst>
              <a:ext uri="{FF2B5EF4-FFF2-40B4-BE49-F238E27FC236}">
                <a16:creationId xmlns:a16="http://schemas.microsoft.com/office/drawing/2014/main" id="{9719DC1E-F9AB-F7A7-BF78-826DF8040AA2}"/>
              </a:ext>
            </a:extLst>
          </xdr:cNvPr>
          <xdr:cNvCxnSpPr>
            <a:cxnSpLocks/>
          </xdr:cNvCxnSpPr>
        </xdr:nvCxnSpPr>
        <xdr:spPr>
          <a:xfrm flipH="1" flipV="1">
            <a:off x="6757960" y="1239314"/>
            <a:ext cx="610266" cy="436747"/>
          </a:xfrm>
          <a:prstGeom prst="line">
            <a:avLst/>
          </a:prstGeom>
          <a:ln w="127000" cap="rnd">
            <a:solidFill>
              <a:srgbClr val="2F2155"/>
            </a:solidFill>
            <a:round/>
          </a:ln>
        </xdr:spPr>
        <xdr:style>
          <a:lnRef idx="1">
            <a:schemeClr val="accent1"/>
          </a:lnRef>
          <a:fillRef idx="0">
            <a:schemeClr val="accent1"/>
          </a:fillRef>
          <a:effectRef idx="0">
            <a:schemeClr val="accent1"/>
          </a:effectRef>
          <a:fontRef idx="minor">
            <a:schemeClr val="tx1"/>
          </a:fontRef>
        </xdr:style>
      </xdr:cxnSp>
      <xdr:cxnSp macro="">
        <xdr:nvCxnSpPr>
          <xdr:cNvPr id="190" name="Straight Connector 189">
            <a:extLst>
              <a:ext uri="{FF2B5EF4-FFF2-40B4-BE49-F238E27FC236}">
                <a16:creationId xmlns:a16="http://schemas.microsoft.com/office/drawing/2014/main" id="{ADF76449-C428-8086-9DA0-371A5F549E54}"/>
              </a:ext>
            </a:extLst>
          </xdr:cNvPr>
          <xdr:cNvCxnSpPr>
            <a:cxnSpLocks/>
          </xdr:cNvCxnSpPr>
        </xdr:nvCxnSpPr>
        <xdr:spPr>
          <a:xfrm flipV="1">
            <a:off x="5770587" y="1668257"/>
            <a:ext cx="1631374" cy="958042"/>
          </a:xfrm>
          <a:prstGeom prst="line">
            <a:avLst/>
          </a:prstGeom>
          <a:ln w="127000" cap="rnd">
            <a:solidFill>
              <a:srgbClr val="2F2155"/>
            </a:solidFill>
            <a:round/>
          </a:ln>
        </xdr:spPr>
        <xdr:style>
          <a:lnRef idx="1">
            <a:schemeClr val="accent1"/>
          </a:lnRef>
          <a:fillRef idx="0">
            <a:schemeClr val="accent1"/>
          </a:fillRef>
          <a:effectRef idx="0">
            <a:schemeClr val="accent1"/>
          </a:effectRef>
          <a:fontRef idx="minor">
            <a:schemeClr val="tx1"/>
          </a:fontRef>
        </xdr:style>
      </xdr:cxnSp>
      <xdr:cxnSp macro="">
        <xdr:nvCxnSpPr>
          <xdr:cNvPr id="191" name="Straight Connector 190">
            <a:extLst>
              <a:ext uri="{FF2B5EF4-FFF2-40B4-BE49-F238E27FC236}">
                <a16:creationId xmlns:a16="http://schemas.microsoft.com/office/drawing/2014/main" id="{73F9D809-ABA0-8599-D360-2A97B72CB9A5}"/>
              </a:ext>
            </a:extLst>
          </xdr:cNvPr>
          <xdr:cNvCxnSpPr/>
        </xdr:nvCxnSpPr>
        <xdr:spPr>
          <a:xfrm flipH="1" flipV="1">
            <a:off x="5711352" y="2704441"/>
            <a:ext cx="394647" cy="227850"/>
          </a:xfrm>
          <a:prstGeom prst="line">
            <a:avLst/>
          </a:prstGeom>
          <a:ln w="127000" cap="rnd">
            <a:solidFill>
              <a:srgbClr val="2F2155"/>
            </a:solidFill>
            <a:roun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124459</xdr:colOff>
      <xdr:row>22</xdr:row>
      <xdr:rowOff>134787</xdr:rowOff>
    </xdr:from>
    <xdr:to>
      <xdr:col>4</xdr:col>
      <xdr:colOff>759431</xdr:colOff>
      <xdr:row>25</xdr:row>
      <xdr:rowOff>98235</xdr:rowOff>
    </xdr:to>
    <xdr:sp macro="" textlink="">
      <xdr:nvSpPr>
        <xdr:cNvPr id="192" name="Rectangle 191">
          <a:extLst>
            <a:ext uri="{FF2B5EF4-FFF2-40B4-BE49-F238E27FC236}">
              <a16:creationId xmlns:a16="http://schemas.microsoft.com/office/drawing/2014/main" id="{7CE6519A-9518-984B-A245-069836F1D659}"/>
            </a:ext>
          </a:extLst>
        </xdr:cNvPr>
        <xdr:cNvSpPr/>
      </xdr:nvSpPr>
      <xdr:spPr>
        <a:xfrm>
          <a:off x="2194559" y="5519587"/>
          <a:ext cx="1460472" cy="573048"/>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000">
              <a:solidFill>
                <a:schemeClr val="tx1">
                  <a:lumMod val="75000"/>
                  <a:lumOff val="25000"/>
                </a:schemeClr>
              </a:solidFill>
            </a:rPr>
            <a:t>FCT &amp; RF Fixture localization Discussions with PIE</a:t>
          </a:r>
        </a:p>
      </xdr:txBody>
    </xdr:sp>
    <xdr:clientData/>
  </xdr:twoCellAnchor>
  <xdr:twoCellAnchor>
    <xdr:from>
      <xdr:col>3</xdr:col>
      <xdr:colOff>567654</xdr:colOff>
      <xdr:row>25</xdr:row>
      <xdr:rowOff>17391</xdr:rowOff>
    </xdr:from>
    <xdr:to>
      <xdr:col>4</xdr:col>
      <xdr:colOff>446193</xdr:colOff>
      <xdr:row>26</xdr:row>
      <xdr:rowOff>66763</xdr:rowOff>
    </xdr:to>
    <xdr:sp macro="" textlink="">
      <xdr:nvSpPr>
        <xdr:cNvPr id="193" name="Rectangle 192">
          <a:extLst>
            <a:ext uri="{FF2B5EF4-FFF2-40B4-BE49-F238E27FC236}">
              <a16:creationId xmlns:a16="http://schemas.microsoft.com/office/drawing/2014/main" id="{94DAB3FD-A812-8B4F-891A-7F6BE22AE121}"/>
            </a:ext>
          </a:extLst>
        </xdr:cNvPr>
        <xdr:cNvSpPr/>
      </xdr:nvSpPr>
      <xdr:spPr>
        <a:xfrm>
          <a:off x="2637754" y="6011791"/>
          <a:ext cx="704039" cy="252572"/>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000">
              <a:solidFill>
                <a:schemeClr val="tx1">
                  <a:lumMod val="75000"/>
                  <a:lumOff val="25000"/>
                </a:schemeClr>
              </a:solidFill>
            </a:rPr>
            <a:t>Sept 2022</a:t>
          </a:r>
        </a:p>
      </xdr:txBody>
    </xdr:sp>
    <xdr:clientData/>
  </xdr:twoCellAnchor>
  <xdr:twoCellAnchor>
    <xdr:from>
      <xdr:col>5</xdr:col>
      <xdr:colOff>634883</xdr:colOff>
      <xdr:row>23</xdr:row>
      <xdr:rowOff>52907</xdr:rowOff>
    </xdr:from>
    <xdr:to>
      <xdr:col>7</xdr:col>
      <xdr:colOff>434858</xdr:colOff>
      <xdr:row>24</xdr:row>
      <xdr:rowOff>198844</xdr:rowOff>
    </xdr:to>
    <xdr:sp macro="" textlink="">
      <xdr:nvSpPr>
        <xdr:cNvPr id="194" name="Rectangle 193">
          <a:extLst>
            <a:ext uri="{FF2B5EF4-FFF2-40B4-BE49-F238E27FC236}">
              <a16:creationId xmlns:a16="http://schemas.microsoft.com/office/drawing/2014/main" id="{87BA1A90-5BBE-C640-A7A1-39131C70DDEF}"/>
            </a:ext>
          </a:extLst>
        </xdr:cNvPr>
        <xdr:cNvSpPr/>
      </xdr:nvSpPr>
      <xdr:spPr>
        <a:xfrm>
          <a:off x="4355983" y="5640907"/>
          <a:ext cx="1450975" cy="349137"/>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600"/>
            <a:t>MRM Assembly</a:t>
          </a:r>
        </a:p>
      </xdr:txBody>
    </xdr:sp>
    <xdr:clientData/>
  </xdr:twoCellAnchor>
  <xdr:twoCellAnchor editAs="oneCell">
    <xdr:from>
      <xdr:col>5</xdr:col>
      <xdr:colOff>433106</xdr:colOff>
      <xdr:row>20</xdr:row>
      <xdr:rowOff>105438</xdr:rowOff>
    </xdr:from>
    <xdr:to>
      <xdr:col>5</xdr:col>
      <xdr:colOff>786960</xdr:colOff>
      <xdr:row>22</xdr:row>
      <xdr:rowOff>61358</xdr:rowOff>
    </xdr:to>
    <xdr:pic>
      <xdr:nvPicPr>
        <xdr:cNvPr id="195" name="Picture 194" descr="Location pin Generic Flat icon">
          <a:extLst>
            <a:ext uri="{FF2B5EF4-FFF2-40B4-BE49-F238E27FC236}">
              <a16:creationId xmlns:a16="http://schemas.microsoft.com/office/drawing/2014/main" id="{4E3E36AC-AA65-E94D-9A39-FF7C02DF03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54206" y="5083838"/>
          <a:ext cx="353854" cy="362320"/>
        </a:xfrm>
        <a:prstGeom prst="rect">
          <a:avLst/>
        </a:prstGeom>
        <a:noFill/>
        <a:effectLst>
          <a:outerShdw blurRad="191326" dist="50800" dir="5400000" algn="ctr" rotWithShape="0">
            <a:srgbClr val="000000">
              <a:alpha val="60726"/>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597203</xdr:colOff>
      <xdr:row>22</xdr:row>
      <xdr:rowOff>66191</xdr:rowOff>
    </xdr:from>
    <xdr:to>
      <xdr:col>6</xdr:col>
      <xdr:colOff>212849</xdr:colOff>
      <xdr:row>23</xdr:row>
      <xdr:rowOff>119796</xdr:rowOff>
    </xdr:to>
    <xdr:sp macro="" textlink="">
      <xdr:nvSpPr>
        <xdr:cNvPr id="196" name="Rectangle 195">
          <a:extLst>
            <a:ext uri="{FF2B5EF4-FFF2-40B4-BE49-F238E27FC236}">
              <a16:creationId xmlns:a16="http://schemas.microsoft.com/office/drawing/2014/main" id="{0824EAEA-ECA5-F34A-B73D-9CBD594FB53C}"/>
            </a:ext>
          </a:extLst>
        </xdr:cNvPr>
        <xdr:cNvSpPr/>
      </xdr:nvSpPr>
      <xdr:spPr>
        <a:xfrm>
          <a:off x="4318303" y="5450991"/>
          <a:ext cx="441146" cy="256805"/>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000">
              <a:solidFill>
                <a:schemeClr val="tx1">
                  <a:lumMod val="75000"/>
                  <a:lumOff val="25000"/>
                </a:schemeClr>
              </a:solidFill>
            </a:rPr>
            <a:t>2022</a:t>
          </a:r>
        </a:p>
      </xdr:txBody>
    </xdr:sp>
    <xdr:clientData/>
  </xdr:twoCellAnchor>
  <xdr:twoCellAnchor>
    <xdr:from>
      <xdr:col>5</xdr:col>
      <xdr:colOff>559513</xdr:colOff>
      <xdr:row>25</xdr:row>
      <xdr:rowOff>151873</xdr:rowOff>
    </xdr:from>
    <xdr:to>
      <xdr:col>8</xdr:col>
      <xdr:colOff>8095</xdr:colOff>
      <xdr:row>28</xdr:row>
      <xdr:rowOff>115321</xdr:rowOff>
    </xdr:to>
    <xdr:sp macro="" textlink="">
      <xdr:nvSpPr>
        <xdr:cNvPr id="197" name="Rectangle 196">
          <a:extLst>
            <a:ext uri="{FF2B5EF4-FFF2-40B4-BE49-F238E27FC236}">
              <a16:creationId xmlns:a16="http://schemas.microsoft.com/office/drawing/2014/main" id="{D498924D-8CF9-EA42-9046-F23DDF643782}"/>
            </a:ext>
          </a:extLst>
        </xdr:cNvPr>
        <xdr:cNvSpPr/>
      </xdr:nvSpPr>
      <xdr:spPr>
        <a:xfrm>
          <a:off x="4280613" y="6146273"/>
          <a:ext cx="1925082" cy="573048"/>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000">
              <a:solidFill>
                <a:schemeClr val="tx1">
                  <a:lumMod val="75000"/>
                  <a:lumOff val="25000"/>
                </a:schemeClr>
              </a:solidFill>
            </a:rPr>
            <a:t>Discussions on MRM assembly to PIE, to be installed at Foxconn,</a:t>
          </a:r>
        </a:p>
        <a:p>
          <a:pPr algn="ctr"/>
          <a:r>
            <a:rPr lang="en-ZA" sz="1000">
              <a:solidFill>
                <a:schemeClr val="tx1">
                  <a:lumMod val="75000"/>
                  <a:lumOff val="25000"/>
                </a:schemeClr>
              </a:solidFill>
            </a:rPr>
            <a:t> Chennai</a:t>
          </a:r>
        </a:p>
      </xdr:txBody>
    </xdr:sp>
    <xdr:clientData/>
  </xdr:twoCellAnchor>
  <xdr:twoCellAnchor>
    <xdr:from>
      <xdr:col>6</xdr:col>
      <xdr:colOff>243479</xdr:colOff>
      <xdr:row>28</xdr:row>
      <xdr:rowOff>18336</xdr:rowOff>
    </xdr:from>
    <xdr:to>
      <xdr:col>7</xdr:col>
      <xdr:colOff>120415</xdr:colOff>
      <xdr:row>29</xdr:row>
      <xdr:rowOff>67708</xdr:rowOff>
    </xdr:to>
    <xdr:sp macro="" textlink="">
      <xdr:nvSpPr>
        <xdr:cNvPr id="198" name="Rectangle 197">
          <a:extLst>
            <a:ext uri="{FF2B5EF4-FFF2-40B4-BE49-F238E27FC236}">
              <a16:creationId xmlns:a16="http://schemas.microsoft.com/office/drawing/2014/main" id="{87191AEE-71F5-5346-97EE-B6B755CF073A}"/>
            </a:ext>
          </a:extLst>
        </xdr:cNvPr>
        <xdr:cNvSpPr/>
      </xdr:nvSpPr>
      <xdr:spPr>
        <a:xfrm>
          <a:off x="4790079" y="6622336"/>
          <a:ext cx="702436" cy="252572"/>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000">
              <a:solidFill>
                <a:schemeClr val="tx1">
                  <a:lumMod val="75000"/>
                  <a:lumOff val="25000"/>
                </a:schemeClr>
              </a:solidFill>
            </a:rPr>
            <a:t>Nov 2022</a:t>
          </a:r>
        </a:p>
      </xdr:txBody>
    </xdr:sp>
    <xdr:clientData/>
  </xdr:twoCellAnchor>
  <xdr:twoCellAnchor>
    <xdr:from>
      <xdr:col>4</xdr:col>
      <xdr:colOff>821681</xdr:colOff>
      <xdr:row>17</xdr:row>
      <xdr:rowOff>190925</xdr:rowOff>
    </xdr:from>
    <xdr:to>
      <xdr:col>5</xdr:col>
      <xdr:colOff>437327</xdr:colOff>
      <xdr:row>19</xdr:row>
      <xdr:rowOff>39212</xdr:rowOff>
    </xdr:to>
    <xdr:sp macro="" textlink="">
      <xdr:nvSpPr>
        <xdr:cNvPr id="199" name="Rectangle 198">
          <a:extLst>
            <a:ext uri="{FF2B5EF4-FFF2-40B4-BE49-F238E27FC236}">
              <a16:creationId xmlns:a16="http://schemas.microsoft.com/office/drawing/2014/main" id="{9949C71D-EB45-A546-80F6-AF82ABE469F6}"/>
            </a:ext>
          </a:extLst>
        </xdr:cNvPr>
        <xdr:cNvSpPr/>
      </xdr:nvSpPr>
      <xdr:spPr>
        <a:xfrm>
          <a:off x="3717281" y="4559725"/>
          <a:ext cx="441146" cy="254687"/>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000">
              <a:solidFill>
                <a:schemeClr val="tx1">
                  <a:lumMod val="75000"/>
                  <a:lumOff val="25000"/>
                </a:schemeClr>
              </a:solidFill>
            </a:rPr>
            <a:t>2022</a:t>
          </a:r>
        </a:p>
      </xdr:txBody>
    </xdr:sp>
    <xdr:clientData/>
  </xdr:twoCellAnchor>
  <xdr:twoCellAnchor editAs="oneCell">
    <xdr:from>
      <xdr:col>5</xdr:col>
      <xdr:colOff>259144</xdr:colOff>
      <xdr:row>16</xdr:row>
      <xdr:rowOff>26244</xdr:rowOff>
    </xdr:from>
    <xdr:to>
      <xdr:col>5</xdr:col>
      <xdr:colOff>612998</xdr:colOff>
      <xdr:row>17</xdr:row>
      <xdr:rowOff>187482</xdr:rowOff>
    </xdr:to>
    <xdr:pic>
      <xdr:nvPicPr>
        <xdr:cNvPr id="200" name="Picture 199" descr="Location pin Generic Flat icon">
          <a:extLst>
            <a:ext uri="{FF2B5EF4-FFF2-40B4-BE49-F238E27FC236}">
              <a16:creationId xmlns:a16="http://schemas.microsoft.com/office/drawing/2014/main" id="{9E853580-F0E7-BC45-909C-271F3B1794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80244" y="4191844"/>
          <a:ext cx="353854" cy="364438"/>
        </a:xfrm>
        <a:prstGeom prst="rect">
          <a:avLst/>
        </a:prstGeom>
        <a:noFill/>
        <a:effectLst>
          <a:outerShdw blurRad="191326" dist="50800" dir="5400000" algn="ctr" rotWithShape="0">
            <a:srgbClr val="000000">
              <a:alpha val="60726"/>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614579</xdr:colOff>
      <xdr:row>13</xdr:row>
      <xdr:rowOff>50298</xdr:rowOff>
    </xdr:from>
    <xdr:to>
      <xdr:col>5</xdr:col>
      <xdr:colOff>798475</xdr:colOff>
      <xdr:row>16</xdr:row>
      <xdr:rowOff>13746</xdr:rowOff>
    </xdr:to>
    <xdr:sp macro="" textlink="">
      <xdr:nvSpPr>
        <xdr:cNvPr id="201" name="Rectangle 200">
          <a:extLst>
            <a:ext uri="{FF2B5EF4-FFF2-40B4-BE49-F238E27FC236}">
              <a16:creationId xmlns:a16="http://schemas.microsoft.com/office/drawing/2014/main" id="{A10D54D7-1592-5848-BA8F-777DDABA2ADE}"/>
            </a:ext>
          </a:extLst>
        </xdr:cNvPr>
        <xdr:cNvSpPr/>
      </xdr:nvSpPr>
      <xdr:spPr>
        <a:xfrm>
          <a:off x="2684679" y="3606298"/>
          <a:ext cx="1834896" cy="573048"/>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000">
              <a:solidFill>
                <a:schemeClr val="tx1">
                  <a:lumMod val="75000"/>
                  <a:lumOff val="25000"/>
                </a:schemeClr>
              </a:solidFill>
            </a:rPr>
            <a:t>First BTS Project for PIE discussions with Mr. Jimmie Song  on Dec 14</a:t>
          </a:r>
          <a:r>
            <a:rPr lang="en-ZA" sz="1000" baseline="30000">
              <a:solidFill>
                <a:schemeClr val="tx1">
                  <a:lumMod val="75000"/>
                  <a:lumOff val="25000"/>
                </a:schemeClr>
              </a:solidFill>
            </a:rPr>
            <a:t>th</a:t>
          </a:r>
          <a:r>
            <a:rPr lang="en-ZA" sz="1000">
              <a:solidFill>
                <a:schemeClr val="tx1">
                  <a:lumMod val="75000"/>
                  <a:lumOff val="25000"/>
                </a:schemeClr>
              </a:solidFill>
            </a:rPr>
            <a:t> 2022</a:t>
          </a:r>
        </a:p>
      </xdr:txBody>
    </xdr:sp>
    <xdr:clientData/>
  </xdr:twoCellAnchor>
  <xdr:twoCellAnchor>
    <xdr:from>
      <xdr:col>4</xdr:col>
      <xdr:colOff>119228</xdr:colOff>
      <xdr:row>11</xdr:row>
      <xdr:rowOff>195633</xdr:rowOff>
    </xdr:from>
    <xdr:to>
      <xdr:col>5</xdr:col>
      <xdr:colOff>540864</xdr:colOff>
      <xdr:row>13</xdr:row>
      <xdr:rowOff>140487</xdr:rowOff>
    </xdr:to>
    <xdr:sp macro="" textlink="">
      <xdr:nvSpPr>
        <xdr:cNvPr id="202" name="Rectangle 201">
          <a:extLst>
            <a:ext uri="{FF2B5EF4-FFF2-40B4-BE49-F238E27FC236}">
              <a16:creationId xmlns:a16="http://schemas.microsoft.com/office/drawing/2014/main" id="{93F366F6-6217-044D-88BE-C06DE6ADA3DC}"/>
            </a:ext>
          </a:extLst>
        </xdr:cNvPr>
        <xdr:cNvSpPr/>
      </xdr:nvSpPr>
      <xdr:spPr>
        <a:xfrm>
          <a:off x="3014828" y="3345233"/>
          <a:ext cx="1247136" cy="351254"/>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600"/>
            <a:t>Gen 4 Tester</a:t>
          </a:r>
        </a:p>
      </xdr:txBody>
    </xdr:sp>
    <xdr:clientData/>
  </xdr:twoCellAnchor>
  <xdr:twoCellAnchor editAs="oneCell">
    <xdr:from>
      <xdr:col>4</xdr:col>
      <xdr:colOff>350930</xdr:colOff>
      <xdr:row>25</xdr:row>
      <xdr:rowOff>103083</xdr:rowOff>
    </xdr:from>
    <xdr:to>
      <xdr:col>4</xdr:col>
      <xdr:colOff>704784</xdr:colOff>
      <xdr:row>27</xdr:row>
      <xdr:rowOff>59004</xdr:rowOff>
    </xdr:to>
    <xdr:pic>
      <xdr:nvPicPr>
        <xdr:cNvPr id="203" name="Picture 202" descr="Location pin Generic Flat icon">
          <a:extLst>
            <a:ext uri="{FF2B5EF4-FFF2-40B4-BE49-F238E27FC236}">
              <a16:creationId xmlns:a16="http://schemas.microsoft.com/office/drawing/2014/main" id="{E3EA9C8F-1ACF-6B40-92DE-649281E2B78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46530" y="6097483"/>
          <a:ext cx="353854" cy="362321"/>
        </a:xfrm>
        <a:prstGeom prst="rect">
          <a:avLst/>
        </a:prstGeom>
        <a:noFill/>
        <a:effectLst>
          <a:outerShdw blurRad="191326" dist="50800" dir="5400000" algn="ctr" rotWithShape="0">
            <a:srgbClr val="000000">
              <a:alpha val="60726"/>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265978</xdr:colOff>
      <xdr:row>27</xdr:row>
      <xdr:rowOff>185076</xdr:rowOff>
    </xdr:from>
    <xdr:to>
      <xdr:col>3</xdr:col>
      <xdr:colOff>619832</xdr:colOff>
      <xdr:row>29</xdr:row>
      <xdr:rowOff>145230</xdr:rowOff>
    </xdr:to>
    <xdr:pic>
      <xdr:nvPicPr>
        <xdr:cNvPr id="204" name="Picture 203" descr="Location pin Generic Flat icon">
          <a:extLst>
            <a:ext uri="{FF2B5EF4-FFF2-40B4-BE49-F238E27FC236}">
              <a16:creationId xmlns:a16="http://schemas.microsoft.com/office/drawing/2014/main" id="{4CCC3FDD-AB95-B743-A9CD-CA927612CF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6078" y="6585876"/>
          <a:ext cx="353854" cy="366554"/>
        </a:xfrm>
        <a:prstGeom prst="rect">
          <a:avLst/>
        </a:prstGeom>
        <a:noFill/>
        <a:effectLst>
          <a:outerShdw blurRad="191326" dist="50800" dir="5400000" algn="ctr" rotWithShape="0">
            <a:srgbClr val="000000">
              <a:alpha val="60726"/>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647726</xdr:colOff>
      <xdr:row>30</xdr:row>
      <xdr:rowOff>179823</xdr:rowOff>
    </xdr:from>
    <xdr:to>
      <xdr:col>2</xdr:col>
      <xdr:colOff>176080</xdr:colOff>
      <xdr:row>32</xdr:row>
      <xdr:rowOff>139977</xdr:rowOff>
    </xdr:to>
    <xdr:pic>
      <xdr:nvPicPr>
        <xdr:cNvPr id="205" name="Picture 204" descr="Location pin Generic Flat icon">
          <a:extLst>
            <a:ext uri="{FF2B5EF4-FFF2-40B4-BE49-F238E27FC236}">
              <a16:creationId xmlns:a16="http://schemas.microsoft.com/office/drawing/2014/main" id="{C121DAB1-BA51-6248-BED9-0CFD4D5F05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6826" y="7190223"/>
          <a:ext cx="353854" cy="366554"/>
        </a:xfrm>
        <a:prstGeom prst="rect">
          <a:avLst/>
        </a:prstGeom>
        <a:noFill/>
        <a:effectLst>
          <a:outerShdw blurRad="191326" dist="50800" dir="5400000" algn="ctr" rotWithShape="0">
            <a:srgbClr val="000000">
              <a:alpha val="60726"/>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566598</xdr:colOff>
      <xdr:row>9</xdr:row>
      <xdr:rowOff>113802</xdr:rowOff>
    </xdr:from>
    <xdr:to>
      <xdr:col>7</xdr:col>
      <xdr:colOff>622796</xdr:colOff>
      <xdr:row>11</xdr:row>
      <xdr:rowOff>54423</xdr:rowOff>
    </xdr:to>
    <xdr:sp macro="" textlink="">
      <xdr:nvSpPr>
        <xdr:cNvPr id="206" name="Rectangle 205">
          <a:extLst>
            <a:ext uri="{FF2B5EF4-FFF2-40B4-BE49-F238E27FC236}">
              <a16:creationId xmlns:a16="http://schemas.microsoft.com/office/drawing/2014/main" id="{C24872DC-54CC-3E49-87CB-DA8DF95312D7}"/>
            </a:ext>
          </a:extLst>
        </xdr:cNvPr>
        <xdr:cNvSpPr/>
      </xdr:nvSpPr>
      <xdr:spPr>
        <a:xfrm>
          <a:off x="4287698" y="2857002"/>
          <a:ext cx="1707198" cy="347021"/>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600"/>
            <a:t>First PO from CM</a:t>
          </a:r>
        </a:p>
      </xdr:txBody>
    </xdr:sp>
    <xdr:clientData/>
  </xdr:twoCellAnchor>
  <xdr:twoCellAnchor editAs="oneCell">
    <xdr:from>
      <xdr:col>6</xdr:col>
      <xdr:colOff>471291</xdr:colOff>
      <xdr:row>13</xdr:row>
      <xdr:rowOff>132595</xdr:rowOff>
    </xdr:from>
    <xdr:to>
      <xdr:col>6</xdr:col>
      <xdr:colOff>825145</xdr:colOff>
      <xdr:row>15</xdr:row>
      <xdr:rowOff>88516</xdr:rowOff>
    </xdr:to>
    <xdr:pic>
      <xdr:nvPicPr>
        <xdr:cNvPr id="207" name="Picture 206" descr="Location pin Generic Flat icon">
          <a:extLst>
            <a:ext uri="{FF2B5EF4-FFF2-40B4-BE49-F238E27FC236}">
              <a16:creationId xmlns:a16="http://schemas.microsoft.com/office/drawing/2014/main" id="{15E1711E-E5D8-3B46-8037-2A0BF7674D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17891" y="3688595"/>
          <a:ext cx="353854" cy="362321"/>
        </a:xfrm>
        <a:prstGeom prst="rect">
          <a:avLst/>
        </a:prstGeom>
        <a:noFill/>
        <a:effectLst>
          <a:outerShdw blurRad="191326" dist="50800" dir="5400000" algn="ctr" rotWithShape="0">
            <a:srgbClr val="000000">
              <a:alpha val="60726"/>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626406</xdr:colOff>
      <xdr:row>10</xdr:row>
      <xdr:rowOff>163552</xdr:rowOff>
    </xdr:from>
    <xdr:to>
      <xdr:col>7</xdr:col>
      <xdr:colOff>537066</xdr:colOff>
      <xdr:row>13</xdr:row>
      <xdr:rowOff>127000</xdr:rowOff>
    </xdr:to>
    <xdr:sp macro="" textlink="">
      <xdr:nvSpPr>
        <xdr:cNvPr id="208" name="Rectangle 207">
          <a:extLst>
            <a:ext uri="{FF2B5EF4-FFF2-40B4-BE49-F238E27FC236}">
              <a16:creationId xmlns:a16="http://schemas.microsoft.com/office/drawing/2014/main" id="{A2D0B1C2-0524-8040-94B2-7C0BFB2A119F}"/>
            </a:ext>
          </a:extLst>
        </xdr:cNvPr>
        <xdr:cNvSpPr/>
      </xdr:nvSpPr>
      <xdr:spPr>
        <a:xfrm>
          <a:off x="4347506" y="3109952"/>
          <a:ext cx="1561660" cy="573048"/>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000">
              <a:solidFill>
                <a:schemeClr val="tx1">
                  <a:lumMod val="75000"/>
                  <a:lumOff val="25000"/>
                </a:schemeClr>
              </a:solidFill>
            </a:rPr>
            <a:t>Received PO for 7 parts from TATA</a:t>
          </a:r>
        </a:p>
        <a:p>
          <a:pPr algn="ctr"/>
          <a:r>
            <a:rPr lang="en-ZA" sz="1000">
              <a:solidFill>
                <a:schemeClr val="tx1">
                  <a:lumMod val="75000"/>
                  <a:lumOff val="25000"/>
                </a:schemeClr>
              </a:solidFill>
            </a:rPr>
            <a:t>Jan 2023</a:t>
          </a:r>
        </a:p>
      </xdr:txBody>
    </xdr:sp>
    <xdr:clientData/>
  </xdr:twoCellAnchor>
  <xdr:twoCellAnchor>
    <xdr:from>
      <xdr:col>6</xdr:col>
      <xdr:colOff>526712</xdr:colOff>
      <xdr:row>15</xdr:row>
      <xdr:rowOff>88459</xdr:rowOff>
    </xdr:from>
    <xdr:to>
      <xdr:col>7</xdr:col>
      <xdr:colOff>142358</xdr:colOff>
      <xdr:row>16</xdr:row>
      <xdr:rowOff>142063</xdr:rowOff>
    </xdr:to>
    <xdr:sp macro="" textlink="">
      <xdr:nvSpPr>
        <xdr:cNvPr id="209" name="Rectangle 208">
          <a:extLst>
            <a:ext uri="{FF2B5EF4-FFF2-40B4-BE49-F238E27FC236}">
              <a16:creationId xmlns:a16="http://schemas.microsoft.com/office/drawing/2014/main" id="{307B1BA3-46DC-304F-ACEA-0137F5D39509}"/>
            </a:ext>
          </a:extLst>
        </xdr:cNvPr>
        <xdr:cNvSpPr/>
      </xdr:nvSpPr>
      <xdr:spPr>
        <a:xfrm>
          <a:off x="5073312" y="4050859"/>
          <a:ext cx="441146" cy="256804"/>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000">
              <a:solidFill>
                <a:schemeClr val="tx1">
                  <a:lumMod val="75000"/>
                  <a:lumOff val="25000"/>
                </a:schemeClr>
              </a:solidFill>
            </a:rPr>
            <a:t>2023</a:t>
          </a:r>
        </a:p>
      </xdr:txBody>
    </xdr:sp>
    <xdr:clientData/>
  </xdr:twoCellAnchor>
  <xdr:twoCellAnchor>
    <xdr:from>
      <xdr:col>5</xdr:col>
      <xdr:colOff>504561</xdr:colOff>
      <xdr:row>7</xdr:row>
      <xdr:rowOff>76752</xdr:rowOff>
    </xdr:from>
    <xdr:to>
      <xdr:col>12</xdr:col>
      <xdr:colOff>822061</xdr:colOff>
      <xdr:row>10</xdr:row>
      <xdr:rowOff>198322</xdr:rowOff>
    </xdr:to>
    <xdr:sp macro="" textlink="">
      <xdr:nvSpPr>
        <xdr:cNvPr id="210" name="Rectangle 209">
          <a:extLst>
            <a:ext uri="{FF2B5EF4-FFF2-40B4-BE49-F238E27FC236}">
              <a16:creationId xmlns:a16="http://schemas.microsoft.com/office/drawing/2014/main" id="{518A2AE6-4B8B-9749-8D5B-2EBF8F29CE34}"/>
            </a:ext>
          </a:extLst>
        </xdr:cNvPr>
        <xdr:cNvSpPr/>
      </xdr:nvSpPr>
      <xdr:spPr>
        <a:xfrm>
          <a:off x="4225661" y="2413552"/>
          <a:ext cx="6096000" cy="731170"/>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000">
              <a:solidFill>
                <a:schemeClr val="tx1">
                  <a:lumMod val="75000"/>
                  <a:lumOff val="25000"/>
                </a:schemeClr>
              </a:solidFill>
            </a:rPr>
            <a:t>MRM Box Assembly PO Received </a:t>
          </a:r>
        </a:p>
        <a:p>
          <a:pPr algn="ctr"/>
          <a:r>
            <a:rPr lang="en-ZA" sz="1000">
              <a:solidFill>
                <a:schemeClr val="tx1">
                  <a:lumMod val="75000"/>
                  <a:lumOff val="25000"/>
                </a:schemeClr>
              </a:solidFill>
            </a:rPr>
            <a:t>on 6</a:t>
          </a:r>
          <a:r>
            <a:rPr lang="en-ZA" sz="1000" baseline="30000">
              <a:solidFill>
                <a:schemeClr val="tx1">
                  <a:lumMod val="75000"/>
                  <a:lumOff val="25000"/>
                </a:schemeClr>
              </a:solidFill>
            </a:rPr>
            <a:t>th</a:t>
          </a:r>
          <a:r>
            <a:rPr lang="en-ZA" sz="1000">
              <a:solidFill>
                <a:schemeClr val="tx1">
                  <a:lumMod val="75000"/>
                  <a:lumOff val="25000"/>
                </a:schemeClr>
              </a:solidFill>
            </a:rPr>
            <a:t> Jan 2023, with a very aggressive </a:t>
          </a:r>
        </a:p>
        <a:p>
          <a:pPr algn="ctr"/>
          <a:r>
            <a:rPr lang="en-ZA" sz="1000">
              <a:solidFill>
                <a:schemeClr val="tx1">
                  <a:lumMod val="75000"/>
                  <a:lumOff val="25000"/>
                </a:schemeClr>
              </a:solidFill>
            </a:rPr>
            <a:t>Schedule of delivery by </a:t>
          </a:r>
        </a:p>
        <a:p>
          <a:pPr algn="ctr"/>
          <a:r>
            <a:rPr lang="en-ZA" sz="1000">
              <a:solidFill>
                <a:schemeClr val="tx1">
                  <a:lumMod val="75000"/>
                  <a:lumOff val="25000"/>
                </a:schemeClr>
              </a:solidFill>
            </a:rPr>
            <a:t>Feb 20</a:t>
          </a:r>
          <a:r>
            <a:rPr lang="en-ZA" sz="1000" baseline="30000">
              <a:solidFill>
                <a:schemeClr val="tx1">
                  <a:lumMod val="75000"/>
                  <a:lumOff val="25000"/>
                </a:schemeClr>
              </a:solidFill>
            </a:rPr>
            <a:t>th</a:t>
          </a:r>
          <a:r>
            <a:rPr lang="en-ZA" sz="1000">
              <a:solidFill>
                <a:schemeClr val="tx1">
                  <a:lumMod val="75000"/>
                  <a:lumOff val="25000"/>
                </a:schemeClr>
              </a:solidFill>
            </a:rPr>
            <a:t> 2023</a:t>
          </a:r>
        </a:p>
      </xdr:txBody>
    </xdr:sp>
    <xdr:clientData/>
  </xdr:twoCellAnchor>
  <xdr:twoCellAnchor editAs="oneCell">
    <xdr:from>
      <xdr:col>9</xdr:col>
      <xdr:colOff>79228</xdr:colOff>
      <xdr:row>10</xdr:row>
      <xdr:rowOff>174998</xdr:rowOff>
    </xdr:from>
    <xdr:to>
      <xdr:col>9</xdr:col>
      <xdr:colOff>433082</xdr:colOff>
      <xdr:row>12</xdr:row>
      <xdr:rowOff>135152</xdr:rowOff>
    </xdr:to>
    <xdr:pic>
      <xdr:nvPicPr>
        <xdr:cNvPr id="211" name="Picture 210" descr="Location pin Generic Flat icon">
          <a:extLst>
            <a:ext uri="{FF2B5EF4-FFF2-40B4-BE49-F238E27FC236}">
              <a16:creationId xmlns:a16="http://schemas.microsoft.com/office/drawing/2014/main" id="{76F3F1A1-0AEE-314C-A586-D881FF756F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02328" y="3121398"/>
          <a:ext cx="353854" cy="366554"/>
        </a:xfrm>
        <a:prstGeom prst="rect">
          <a:avLst/>
        </a:prstGeom>
        <a:noFill/>
        <a:effectLst>
          <a:outerShdw blurRad="191326" dist="50800" dir="5400000" algn="ctr" rotWithShape="0">
            <a:srgbClr val="000000">
              <a:alpha val="60726"/>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9</xdr:col>
      <xdr:colOff>301638</xdr:colOff>
      <xdr:row>12</xdr:row>
      <xdr:rowOff>181003</xdr:rowOff>
    </xdr:from>
    <xdr:to>
      <xdr:col>9</xdr:col>
      <xdr:colOff>742784</xdr:colOff>
      <xdr:row>14</xdr:row>
      <xdr:rowOff>29291</xdr:rowOff>
    </xdr:to>
    <xdr:sp macro="" textlink="">
      <xdr:nvSpPr>
        <xdr:cNvPr id="212" name="Rectangle 211">
          <a:extLst>
            <a:ext uri="{FF2B5EF4-FFF2-40B4-BE49-F238E27FC236}">
              <a16:creationId xmlns:a16="http://schemas.microsoft.com/office/drawing/2014/main" id="{B1B88951-6CDE-7045-91C9-FBE52A6D584D}"/>
            </a:ext>
          </a:extLst>
        </xdr:cNvPr>
        <xdr:cNvSpPr/>
      </xdr:nvSpPr>
      <xdr:spPr>
        <a:xfrm>
          <a:off x="7324738" y="3533803"/>
          <a:ext cx="441146" cy="254688"/>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ZA" sz="1000">
              <a:solidFill>
                <a:schemeClr val="tx1">
                  <a:lumMod val="75000"/>
                  <a:lumOff val="25000"/>
                </a:schemeClr>
              </a:solidFill>
            </a:rPr>
            <a:t>2023</a:t>
          </a:r>
          <a:endParaRPr lang="en-IN" sz="1000"/>
        </a:p>
      </xdr:txBody>
    </xdr:sp>
    <xdr:clientData/>
  </xdr:twoCellAnchor>
  <xdr:twoCellAnchor>
    <xdr:from>
      <xdr:col>8</xdr:col>
      <xdr:colOff>337124</xdr:colOff>
      <xdr:row>20</xdr:row>
      <xdr:rowOff>144247</xdr:rowOff>
    </xdr:from>
    <xdr:to>
      <xdr:col>10</xdr:col>
      <xdr:colOff>474434</xdr:colOff>
      <xdr:row>22</xdr:row>
      <xdr:rowOff>119879</xdr:rowOff>
    </xdr:to>
    <xdr:sp macro="" textlink="">
      <xdr:nvSpPr>
        <xdr:cNvPr id="213" name="Rectangle 212">
          <a:extLst>
            <a:ext uri="{FF2B5EF4-FFF2-40B4-BE49-F238E27FC236}">
              <a16:creationId xmlns:a16="http://schemas.microsoft.com/office/drawing/2014/main" id="{73E3C671-2BE3-1A47-BDBF-5F961633BFFA}"/>
            </a:ext>
          </a:extLst>
        </xdr:cNvPr>
        <xdr:cNvSpPr/>
      </xdr:nvSpPr>
      <xdr:spPr>
        <a:xfrm>
          <a:off x="6534724" y="5122647"/>
          <a:ext cx="1788310" cy="382032"/>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a:t>Delivery of MRM</a:t>
          </a:r>
        </a:p>
      </xdr:txBody>
    </xdr:sp>
    <xdr:clientData/>
  </xdr:twoCellAnchor>
  <xdr:twoCellAnchor>
    <xdr:from>
      <xdr:col>7</xdr:col>
      <xdr:colOff>796910</xdr:colOff>
      <xdr:row>22</xdr:row>
      <xdr:rowOff>119157</xdr:rowOff>
    </xdr:from>
    <xdr:to>
      <xdr:col>11</xdr:col>
      <xdr:colOff>285001</xdr:colOff>
      <xdr:row>26</xdr:row>
      <xdr:rowOff>35410</xdr:rowOff>
    </xdr:to>
    <xdr:sp macro="" textlink="">
      <xdr:nvSpPr>
        <xdr:cNvPr id="214" name="Rectangle 213">
          <a:extLst>
            <a:ext uri="{FF2B5EF4-FFF2-40B4-BE49-F238E27FC236}">
              <a16:creationId xmlns:a16="http://schemas.microsoft.com/office/drawing/2014/main" id="{6889C462-D9F8-3643-BB8C-01225502A2BE}"/>
            </a:ext>
          </a:extLst>
        </xdr:cNvPr>
        <xdr:cNvSpPr/>
      </xdr:nvSpPr>
      <xdr:spPr>
        <a:xfrm>
          <a:off x="6169010" y="5503957"/>
          <a:ext cx="2790091" cy="729053"/>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000">
              <a:solidFill>
                <a:schemeClr val="tx1">
                  <a:lumMod val="75000"/>
                  <a:lumOff val="25000"/>
                </a:schemeClr>
              </a:solidFill>
            </a:rPr>
            <a:t>50# MRM Box Assembly was delivered</a:t>
          </a:r>
        </a:p>
        <a:p>
          <a:pPr algn="ctr"/>
          <a:r>
            <a:rPr lang="en-ZA" sz="1000">
              <a:solidFill>
                <a:schemeClr val="tx1">
                  <a:lumMod val="75000"/>
                  <a:lumOff val="25000"/>
                </a:schemeClr>
              </a:solidFill>
            </a:rPr>
            <a:t> at the schedule dates of 20</a:t>
          </a:r>
          <a:r>
            <a:rPr lang="en-ZA" sz="1000" baseline="30000">
              <a:solidFill>
                <a:schemeClr val="tx1">
                  <a:lumMod val="75000"/>
                  <a:lumOff val="25000"/>
                </a:schemeClr>
              </a:solidFill>
            </a:rPr>
            <a:t>th</a:t>
          </a:r>
          <a:r>
            <a:rPr lang="en-ZA" sz="1000">
              <a:solidFill>
                <a:schemeClr val="tx1">
                  <a:lumMod val="75000"/>
                  <a:lumOff val="25000"/>
                </a:schemeClr>
              </a:solidFill>
            </a:rPr>
            <a:t> Feb and</a:t>
          </a:r>
        </a:p>
        <a:p>
          <a:pPr algn="ctr"/>
          <a:r>
            <a:rPr lang="en-ZA" sz="1000">
              <a:solidFill>
                <a:schemeClr val="tx1">
                  <a:lumMod val="75000"/>
                  <a:lumOff val="25000"/>
                </a:schemeClr>
              </a:solidFill>
            </a:rPr>
            <a:t>delivered at Foxconn Chennai on </a:t>
          </a:r>
        </a:p>
        <a:p>
          <a:pPr algn="ctr"/>
          <a:r>
            <a:rPr lang="en-ZA" sz="1000">
              <a:solidFill>
                <a:schemeClr val="tx1">
                  <a:lumMod val="75000"/>
                  <a:lumOff val="25000"/>
                </a:schemeClr>
              </a:solidFill>
            </a:rPr>
            <a:t>27</a:t>
          </a:r>
          <a:r>
            <a:rPr lang="en-ZA" sz="1000" baseline="30000">
              <a:solidFill>
                <a:schemeClr val="tx1">
                  <a:lumMod val="75000"/>
                  <a:lumOff val="25000"/>
                </a:schemeClr>
              </a:solidFill>
            </a:rPr>
            <a:t>th</a:t>
          </a:r>
          <a:r>
            <a:rPr lang="en-ZA" sz="1000">
              <a:solidFill>
                <a:schemeClr val="tx1">
                  <a:lumMod val="75000"/>
                  <a:lumOff val="25000"/>
                </a:schemeClr>
              </a:solidFill>
            </a:rPr>
            <a:t> Feb, 2023</a:t>
          </a:r>
        </a:p>
      </xdr:txBody>
    </xdr:sp>
    <xdr:clientData/>
  </xdr:twoCellAnchor>
  <xdr:twoCellAnchor editAs="oneCell">
    <xdr:from>
      <xdr:col>9</xdr:col>
      <xdr:colOff>630089</xdr:colOff>
      <xdr:row>17</xdr:row>
      <xdr:rowOff>67380</xdr:rowOff>
    </xdr:from>
    <xdr:to>
      <xdr:col>10</xdr:col>
      <xdr:colOff>158443</xdr:colOff>
      <xdr:row>19</xdr:row>
      <xdr:rowOff>27533</xdr:rowOff>
    </xdr:to>
    <xdr:pic>
      <xdr:nvPicPr>
        <xdr:cNvPr id="215" name="Picture 214" descr="Location pin Generic Flat icon">
          <a:extLst>
            <a:ext uri="{FF2B5EF4-FFF2-40B4-BE49-F238E27FC236}">
              <a16:creationId xmlns:a16="http://schemas.microsoft.com/office/drawing/2014/main" id="{9A7F189B-0925-714B-B0BB-D79FD6F782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53189" y="4436180"/>
          <a:ext cx="353854" cy="366553"/>
        </a:xfrm>
        <a:prstGeom prst="rect">
          <a:avLst/>
        </a:prstGeom>
        <a:noFill/>
        <a:effectLst>
          <a:outerShdw blurRad="191326" dist="50800" dir="5400000" algn="ctr" rotWithShape="0">
            <a:srgbClr val="000000">
              <a:alpha val="60726"/>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628520</xdr:colOff>
      <xdr:row>19</xdr:row>
      <xdr:rowOff>101992</xdr:rowOff>
    </xdr:from>
    <xdr:to>
      <xdr:col>10</xdr:col>
      <xdr:colOff>244166</xdr:colOff>
      <xdr:row>20</xdr:row>
      <xdr:rowOff>151363</xdr:rowOff>
    </xdr:to>
    <xdr:sp macro="" textlink="">
      <xdr:nvSpPr>
        <xdr:cNvPr id="216" name="Rectangle 215">
          <a:extLst>
            <a:ext uri="{FF2B5EF4-FFF2-40B4-BE49-F238E27FC236}">
              <a16:creationId xmlns:a16="http://schemas.microsoft.com/office/drawing/2014/main" id="{201A2A4E-286B-5E4C-B844-0E9E60F3C2CF}"/>
            </a:ext>
          </a:extLst>
        </xdr:cNvPr>
        <xdr:cNvSpPr/>
      </xdr:nvSpPr>
      <xdr:spPr>
        <a:xfrm>
          <a:off x="7651620" y="4877192"/>
          <a:ext cx="441146" cy="252571"/>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ZA" sz="1000">
              <a:solidFill>
                <a:schemeClr val="tx1">
                  <a:lumMod val="75000"/>
                  <a:lumOff val="25000"/>
                </a:schemeClr>
              </a:solidFill>
            </a:rPr>
            <a:t>2023</a:t>
          </a:r>
          <a:endParaRPr lang="en-IN" sz="1000"/>
        </a:p>
      </xdr:txBody>
    </xdr:sp>
    <xdr:clientData/>
  </xdr:twoCellAnchor>
  <xdr:twoCellAnchor>
    <xdr:from>
      <xdr:col>10</xdr:col>
      <xdr:colOff>815882</xdr:colOff>
      <xdr:row>16</xdr:row>
      <xdr:rowOff>154981</xdr:rowOff>
    </xdr:from>
    <xdr:to>
      <xdr:col>13</xdr:col>
      <xdr:colOff>301619</xdr:colOff>
      <xdr:row>19</xdr:row>
      <xdr:rowOff>149206</xdr:rowOff>
    </xdr:to>
    <xdr:sp macro="" textlink="">
      <xdr:nvSpPr>
        <xdr:cNvPr id="217" name="Rectangle 216">
          <a:extLst>
            <a:ext uri="{FF2B5EF4-FFF2-40B4-BE49-F238E27FC236}">
              <a16:creationId xmlns:a16="http://schemas.microsoft.com/office/drawing/2014/main" id="{8C66EFF6-149D-AE4F-BD3C-495AC4E62F93}"/>
            </a:ext>
          </a:extLst>
        </xdr:cNvPr>
        <xdr:cNvSpPr/>
      </xdr:nvSpPr>
      <xdr:spPr>
        <a:xfrm>
          <a:off x="8664482" y="4320581"/>
          <a:ext cx="1962237" cy="603825"/>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600"/>
            <a:t>Delivery of Spyder Fixtures </a:t>
          </a:r>
        </a:p>
      </xdr:txBody>
    </xdr:sp>
    <xdr:clientData/>
  </xdr:twoCellAnchor>
  <xdr:twoCellAnchor>
    <xdr:from>
      <xdr:col>10</xdr:col>
      <xdr:colOff>714784</xdr:colOff>
      <xdr:row>19</xdr:row>
      <xdr:rowOff>154878</xdr:rowOff>
    </xdr:from>
    <xdr:to>
      <xdr:col>13</xdr:col>
      <xdr:colOff>224725</xdr:colOff>
      <xdr:row>21</xdr:row>
      <xdr:rowOff>161288</xdr:rowOff>
    </xdr:to>
    <xdr:sp macro="" textlink="">
      <xdr:nvSpPr>
        <xdr:cNvPr id="218" name="Rectangle 217">
          <a:extLst>
            <a:ext uri="{FF2B5EF4-FFF2-40B4-BE49-F238E27FC236}">
              <a16:creationId xmlns:a16="http://schemas.microsoft.com/office/drawing/2014/main" id="{86A762ED-B506-4746-87F6-43141EB08C39}"/>
            </a:ext>
          </a:extLst>
        </xdr:cNvPr>
        <xdr:cNvSpPr/>
      </xdr:nvSpPr>
      <xdr:spPr>
        <a:xfrm>
          <a:off x="8563384" y="4930078"/>
          <a:ext cx="1986441" cy="412810"/>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000">
              <a:solidFill>
                <a:schemeClr val="tx1">
                  <a:lumMod val="75000"/>
                  <a:lumOff val="25000"/>
                </a:schemeClr>
              </a:solidFill>
            </a:rPr>
            <a:t> Delivered 30 Fixtures to Foxconn</a:t>
          </a:r>
        </a:p>
        <a:p>
          <a:pPr algn="ctr"/>
          <a:r>
            <a:rPr lang="en-ZA" sz="1000">
              <a:solidFill>
                <a:schemeClr val="tx1">
                  <a:lumMod val="75000"/>
                  <a:lumOff val="25000"/>
                </a:schemeClr>
              </a:solidFill>
            </a:rPr>
            <a:t> and Wistron</a:t>
          </a:r>
        </a:p>
      </xdr:txBody>
    </xdr:sp>
    <xdr:clientData/>
  </xdr:twoCellAnchor>
  <xdr:twoCellAnchor>
    <xdr:from>
      <xdr:col>11</xdr:col>
      <xdr:colOff>565083</xdr:colOff>
      <xdr:row>15</xdr:row>
      <xdr:rowOff>173057</xdr:rowOff>
    </xdr:from>
    <xdr:to>
      <xdr:col>12</xdr:col>
      <xdr:colOff>180729</xdr:colOff>
      <xdr:row>17</xdr:row>
      <xdr:rowOff>21345</xdr:rowOff>
    </xdr:to>
    <xdr:sp macro="" textlink="">
      <xdr:nvSpPr>
        <xdr:cNvPr id="219" name="Rectangle 218">
          <a:extLst>
            <a:ext uri="{FF2B5EF4-FFF2-40B4-BE49-F238E27FC236}">
              <a16:creationId xmlns:a16="http://schemas.microsoft.com/office/drawing/2014/main" id="{B728CBB4-483D-9542-89EF-AA7A224C3099}"/>
            </a:ext>
          </a:extLst>
        </xdr:cNvPr>
        <xdr:cNvSpPr/>
      </xdr:nvSpPr>
      <xdr:spPr>
        <a:xfrm>
          <a:off x="9239183" y="4135457"/>
          <a:ext cx="441146" cy="254688"/>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ZA" sz="1000">
              <a:solidFill>
                <a:schemeClr val="tx1">
                  <a:lumMod val="75000"/>
                  <a:lumOff val="25000"/>
                </a:schemeClr>
              </a:solidFill>
            </a:rPr>
            <a:t>2023</a:t>
          </a:r>
          <a:endParaRPr lang="en-IN" sz="1000"/>
        </a:p>
      </xdr:txBody>
    </xdr:sp>
    <xdr:clientData/>
  </xdr:twoCellAnchor>
  <xdr:twoCellAnchor editAs="oneCell">
    <xdr:from>
      <xdr:col>11</xdr:col>
      <xdr:colOff>379590</xdr:colOff>
      <xdr:row>13</xdr:row>
      <xdr:rowOff>197500</xdr:rowOff>
    </xdr:from>
    <xdr:to>
      <xdr:col>11</xdr:col>
      <xdr:colOff>733444</xdr:colOff>
      <xdr:row>15</xdr:row>
      <xdr:rowOff>157654</xdr:rowOff>
    </xdr:to>
    <xdr:pic>
      <xdr:nvPicPr>
        <xdr:cNvPr id="220" name="Picture 219" descr="Location pin Generic Flat icon">
          <a:extLst>
            <a:ext uri="{FF2B5EF4-FFF2-40B4-BE49-F238E27FC236}">
              <a16:creationId xmlns:a16="http://schemas.microsoft.com/office/drawing/2014/main" id="{326F5952-A6F7-0246-AD6D-9F1E4B7914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53690" y="3753500"/>
          <a:ext cx="353854" cy="366554"/>
        </a:xfrm>
        <a:prstGeom prst="rect">
          <a:avLst/>
        </a:prstGeom>
        <a:noFill/>
        <a:effectLst>
          <a:outerShdw blurRad="191326" dist="50800" dir="5400000" algn="ctr" rotWithShape="0">
            <a:srgbClr val="000000">
              <a:alpha val="60726"/>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477416</xdr:colOff>
      <xdr:row>11</xdr:row>
      <xdr:rowOff>51838</xdr:rowOff>
    </xdr:from>
    <xdr:to>
      <xdr:col>14</xdr:col>
      <xdr:colOff>309514</xdr:colOff>
      <xdr:row>14</xdr:row>
      <xdr:rowOff>46063</xdr:rowOff>
    </xdr:to>
    <xdr:sp macro="" textlink="">
      <xdr:nvSpPr>
        <xdr:cNvPr id="221" name="Rectangle 220">
          <a:extLst>
            <a:ext uri="{FF2B5EF4-FFF2-40B4-BE49-F238E27FC236}">
              <a16:creationId xmlns:a16="http://schemas.microsoft.com/office/drawing/2014/main" id="{27907E73-B97F-D841-9CD2-02372A6B7F75}"/>
            </a:ext>
          </a:extLst>
        </xdr:cNvPr>
        <xdr:cNvSpPr/>
      </xdr:nvSpPr>
      <xdr:spPr>
        <a:xfrm>
          <a:off x="9977016" y="3201438"/>
          <a:ext cx="1483098" cy="603825"/>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600"/>
            <a:t>Engg Builds </a:t>
          </a:r>
        </a:p>
        <a:p>
          <a:pPr algn="ctr"/>
          <a:r>
            <a:rPr lang="en-ZA" sz="1600"/>
            <a:t>&amp; MP Demands</a:t>
          </a:r>
        </a:p>
      </xdr:txBody>
    </xdr:sp>
    <xdr:clientData/>
  </xdr:twoCellAnchor>
  <xdr:twoCellAnchor editAs="oneCell">
    <xdr:from>
      <xdr:col>12</xdr:col>
      <xdr:colOff>553041</xdr:colOff>
      <xdr:row>8</xdr:row>
      <xdr:rowOff>33128</xdr:rowOff>
    </xdr:from>
    <xdr:to>
      <xdr:col>13</xdr:col>
      <xdr:colOff>81395</xdr:colOff>
      <xdr:row>9</xdr:row>
      <xdr:rowOff>194365</xdr:rowOff>
    </xdr:to>
    <xdr:pic>
      <xdr:nvPicPr>
        <xdr:cNvPr id="222" name="Picture 221" descr="Location pin Generic Flat icon">
          <a:extLst>
            <a:ext uri="{FF2B5EF4-FFF2-40B4-BE49-F238E27FC236}">
              <a16:creationId xmlns:a16="http://schemas.microsoft.com/office/drawing/2014/main" id="{521993AD-2F64-074D-BA4F-0C796EABDF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52641" y="2573128"/>
          <a:ext cx="353854" cy="364437"/>
        </a:xfrm>
        <a:prstGeom prst="rect">
          <a:avLst/>
        </a:prstGeom>
        <a:noFill/>
        <a:effectLst>
          <a:outerShdw blurRad="191326" dist="50800" dir="5400000" algn="ctr" rotWithShape="0">
            <a:srgbClr val="000000">
              <a:alpha val="60726"/>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601488</xdr:colOff>
      <xdr:row>10</xdr:row>
      <xdr:rowOff>5051</xdr:rowOff>
    </xdr:from>
    <xdr:to>
      <xdr:col>13</xdr:col>
      <xdr:colOff>393465</xdr:colOff>
      <xdr:row>11</xdr:row>
      <xdr:rowOff>54423</xdr:rowOff>
    </xdr:to>
    <xdr:sp macro="" textlink="">
      <xdr:nvSpPr>
        <xdr:cNvPr id="223" name="Rectangle 222">
          <a:extLst>
            <a:ext uri="{FF2B5EF4-FFF2-40B4-BE49-F238E27FC236}">
              <a16:creationId xmlns:a16="http://schemas.microsoft.com/office/drawing/2014/main" id="{7B15827B-5FE6-DB4B-8381-F1AD5A5C331B}"/>
            </a:ext>
          </a:extLst>
        </xdr:cNvPr>
        <xdr:cNvSpPr/>
      </xdr:nvSpPr>
      <xdr:spPr>
        <a:xfrm>
          <a:off x="10101088" y="2951451"/>
          <a:ext cx="617477" cy="252572"/>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ZA" sz="1000">
              <a:solidFill>
                <a:schemeClr val="tx1">
                  <a:lumMod val="75000"/>
                  <a:lumOff val="25000"/>
                </a:schemeClr>
              </a:solidFill>
            </a:rPr>
            <a:t>2024-25</a:t>
          </a:r>
          <a:endParaRPr lang="en-IN" sz="1000"/>
        </a:p>
      </xdr:txBody>
    </xdr:sp>
    <xdr:clientData/>
  </xdr:twoCellAnchor>
  <xdr:twoCellAnchor>
    <xdr:from>
      <xdr:col>14</xdr:col>
      <xdr:colOff>280109</xdr:colOff>
      <xdr:row>7</xdr:row>
      <xdr:rowOff>52185</xdr:rowOff>
    </xdr:from>
    <xdr:to>
      <xdr:col>14</xdr:col>
      <xdr:colOff>727667</xdr:colOff>
      <xdr:row>8</xdr:row>
      <xdr:rowOff>105790</xdr:rowOff>
    </xdr:to>
    <xdr:sp macro="" textlink="">
      <xdr:nvSpPr>
        <xdr:cNvPr id="224" name="Rectangle 223">
          <a:extLst>
            <a:ext uri="{FF2B5EF4-FFF2-40B4-BE49-F238E27FC236}">
              <a16:creationId xmlns:a16="http://schemas.microsoft.com/office/drawing/2014/main" id="{52E3CCDC-56A2-EA4B-B49F-2CCA54388F36}"/>
            </a:ext>
          </a:extLst>
        </xdr:cNvPr>
        <xdr:cNvSpPr/>
      </xdr:nvSpPr>
      <xdr:spPr>
        <a:xfrm>
          <a:off x="11430709" y="2388985"/>
          <a:ext cx="447558" cy="256805"/>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ZA" sz="1000">
              <a:solidFill>
                <a:schemeClr val="tx1">
                  <a:lumMod val="75000"/>
                  <a:lumOff val="25000"/>
                </a:schemeClr>
              </a:solidFill>
            </a:rPr>
            <a:t>2025</a:t>
          </a:r>
          <a:endParaRPr lang="en-IN" sz="1000"/>
        </a:p>
      </xdr:txBody>
    </xdr:sp>
    <xdr:clientData/>
  </xdr:twoCellAnchor>
  <xdr:twoCellAnchor>
    <xdr:from>
      <xdr:col>13</xdr:col>
      <xdr:colOff>402211</xdr:colOff>
      <xdr:row>8</xdr:row>
      <xdr:rowOff>13144</xdr:rowOff>
    </xdr:from>
    <xdr:to>
      <xdr:col>15</xdr:col>
      <xdr:colOff>605565</xdr:colOff>
      <xdr:row>10</xdr:row>
      <xdr:rowOff>146897</xdr:rowOff>
    </xdr:to>
    <xdr:sp macro="" textlink="">
      <xdr:nvSpPr>
        <xdr:cNvPr id="225" name="Rectangle 224">
          <a:extLst>
            <a:ext uri="{FF2B5EF4-FFF2-40B4-BE49-F238E27FC236}">
              <a16:creationId xmlns:a16="http://schemas.microsoft.com/office/drawing/2014/main" id="{0560FCF6-5334-F745-A1B9-531C90BD1363}"/>
            </a:ext>
          </a:extLst>
        </xdr:cNvPr>
        <xdr:cNvSpPr/>
      </xdr:nvSpPr>
      <xdr:spPr>
        <a:xfrm>
          <a:off x="10727311" y="2553144"/>
          <a:ext cx="1854354" cy="540153"/>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1400">
              <a:solidFill>
                <a:srgbClr val="039343"/>
              </a:solidFill>
            </a:rPr>
            <a:t>WIP </a:t>
          </a:r>
        </a:p>
        <a:p>
          <a:pPr algn="ctr"/>
          <a:r>
            <a:rPr lang="en-ZA" sz="1400">
              <a:solidFill>
                <a:srgbClr val="039343"/>
              </a:solidFill>
            </a:rPr>
            <a:t>– Localized Engg Builds</a:t>
          </a:r>
        </a:p>
      </xdr:txBody>
    </xdr:sp>
    <xdr:clientData/>
  </xdr:twoCellAnchor>
  <xdr:twoCellAnchor>
    <xdr:from>
      <xdr:col>12</xdr:col>
      <xdr:colOff>555739</xdr:colOff>
      <xdr:row>13</xdr:row>
      <xdr:rowOff>189614</xdr:rowOff>
    </xdr:from>
    <xdr:to>
      <xdr:col>14</xdr:col>
      <xdr:colOff>645921</xdr:colOff>
      <xdr:row>15</xdr:row>
      <xdr:rowOff>7125</xdr:rowOff>
    </xdr:to>
    <xdr:sp macro="" textlink="">
      <xdr:nvSpPr>
        <xdr:cNvPr id="226" name="Rectangle 225">
          <a:extLst>
            <a:ext uri="{FF2B5EF4-FFF2-40B4-BE49-F238E27FC236}">
              <a16:creationId xmlns:a16="http://schemas.microsoft.com/office/drawing/2014/main" id="{2AA04100-CA11-D144-9816-998470742034}"/>
            </a:ext>
          </a:extLst>
        </xdr:cNvPr>
        <xdr:cNvSpPr/>
      </xdr:nvSpPr>
      <xdr:spPr>
        <a:xfrm>
          <a:off x="10055339" y="3745614"/>
          <a:ext cx="1741182" cy="223911"/>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800"/>
            <a:t>#161 HWTE Stations #102 SA Stations</a:t>
          </a:r>
        </a:p>
      </xdr:txBody>
    </xdr:sp>
    <xdr:clientData/>
  </xdr:twoCellAnchor>
  <xdr:twoCellAnchor>
    <xdr:from>
      <xdr:col>13</xdr:col>
      <xdr:colOff>521354</xdr:colOff>
      <xdr:row>10</xdr:row>
      <xdr:rowOff>52650</xdr:rowOff>
    </xdr:from>
    <xdr:to>
      <xdr:col>15</xdr:col>
      <xdr:colOff>508943</xdr:colOff>
      <xdr:row>11</xdr:row>
      <xdr:rowOff>71245</xdr:rowOff>
    </xdr:to>
    <xdr:sp macro="" textlink="">
      <xdr:nvSpPr>
        <xdr:cNvPr id="227" name="Rectangle 226">
          <a:extLst>
            <a:ext uri="{FF2B5EF4-FFF2-40B4-BE49-F238E27FC236}">
              <a16:creationId xmlns:a16="http://schemas.microsoft.com/office/drawing/2014/main" id="{A9441EF2-FBC9-CF4A-9D71-ADCA5E3E400B}"/>
            </a:ext>
          </a:extLst>
        </xdr:cNvPr>
        <xdr:cNvSpPr/>
      </xdr:nvSpPr>
      <xdr:spPr>
        <a:xfrm>
          <a:off x="10846454" y="2999050"/>
          <a:ext cx="1638589" cy="221795"/>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ZA" sz="800"/>
            <a:t>#80 HWTE Stations #35 SA Stations</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topLeftCell="A8" workbookViewId="0">
      <selection activeCell="B8" sqref="B8"/>
    </sheetView>
  </sheetViews>
  <sheetFormatPr baseColWidth="10" defaultRowHeight="20"/>
  <cols>
    <col min="1" max="1" width="10.83203125" style="48"/>
    <col min="2" max="2" width="200.83203125" style="10" customWidth="1"/>
    <col min="3" max="16384" width="10.83203125" style="48"/>
  </cols>
  <sheetData>
    <row r="2" spans="2:2" ht="21">
      <c r="B2" s="8" t="s">
        <v>212</v>
      </c>
    </row>
    <row r="3" spans="2:2" ht="21">
      <c r="B3" s="41" t="s">
        <v>174</v>
      </c>
    </row>
    <row r="4" spans="2:2" ht="84">
      <c r="B4" s="9" t="s">
        <v>113</v>
      </c>
    </row>
    <row r="5" spans="2:2" ht="21">
      <c r="B5" s="41" t="s">
        <v>175</v>
      </c>
    </row>
    <row r="6" spans="2:2" ht="42">
      <c r="B6" s="9" t="s">
        <v>114</v>
      </c>
    </row>
    <row r="7" spans="2:2" ht="21">
      <c r="B7" s="41" t="s">
        <v>176</v>
      </c>
    </row>
    <row r="8" spans="2:2" ht="294">
      <c r="B8" s="9" t="s">
        <v>291</v>
      </c>
    </row>
    <row r="9" spans="2:2" ht="21">
      <c r="B9" s="41" t="s">
        <v>177</v>
      </c>
    </row>
    <row r="10" spans="2:2" ht="21">
      <c r="B10" s="9" t="s">
        <v>319</v>
      </c>
    </row>
    <row r="11" spans="2:2" ht="21">
      <c r="B11" s="41" t="s">
        <v>178</v>
      </c>
    </row>
    <row r="12" spans="2:2" ht="42">
      <c r="B12" s="9" t="s">
        <v>115</v>
      </c>
    </row>
    <row r="13" spans="2:2" ht="21">
      <c r="B13" s="41" t="s">
        <v>179</v>
      </c>
    </row>
    <row r="14" spans="2:2" ht="84">
      <c r="B14" s="68" t="s">
        <v>316</v>
      </c>
    </row>
  </sheetData>
  <sheetProtection algorithmName="SHA-512" hashValue="gNEeoSaHz0Uu18VdOcEyK/p84qeJJF8CIF0tFHmc4GF7IrTX01qVcEa1Hedm4DXyFCdELvLMAzKP0cDidCfi9w==" saltValue="a4PtLAARMg3VQpgqL3E1CA=="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workbookViewId="0">
      <selection activeCell="B30" sqref="B30"/>
    </sheetView>
  </sheetViews>
  <sheetFormatPr baseColWidth="10" defaultRowHeight="20"/>
  <cols>
    <col min="1" max="1" width="10.83203125" style="48"/>
    <col min="2" max="2" width="200.83203125" style="10" customWidth="1"/>
    <col min="3" max="16384" width="10.83203125" style="48"/>
  </cols>
  <sheetData>
    <row r="2" spans="2:2" ht="21">
      <c r="B2" s="8" t="s">
        <v>116</v>
      </c>
    </row>
    <row r="3" spans="2:2" ht="21">
      <c r="B3" s="40" t="s">
        <v>160</v>
      </c>
    </row>
    <row r="4" spans="2:2" ht="42">
      <c r="B4" s="9" t="s">
        <v>117</v>
      </c>
    </row>
    <row r="5" spans="2:2" ht="21">
      <c r="B5" s="41" t="s">
        <v>161</v>
      </c>
    </row>
    <row r="6" spans="2:2" ht="42">
      <c r="B6" s="9" t="s">
        <v>118</v>
      </c>
    </row>
    <row r="7" spans="2:2" ht="21">
      <c r="B7" s="41" t="s">
        <v>162</v>
      </c>
    </row>
    <row r="8" spans="2:2" ht="63">
      <c r="B8" s="9" t="s">
        <v>320</v>
      </c>
    </row>
    <row r="9" spans="2:2" ht="21">
      <c r="B9" s="41" t="s">
        <v>163</v>
      </c>
    </row>
    <row r="10" spans="2:2" ht="42">
      <c r="B10" s="9" t="s">
        <v>119</v>
      </c>
    </row>
    <row r="11" spans="2:2" ht="21">
      <c r="B11" s="41" t="s">
        <v>164</v>
      </c>
    </row>
    <row r="12" spans="2:2" ht="105">
      <c r="B12" s="9" t="s">
        <v>120</v>
      </c>
    </row>
    <row r="13" spans="2:2" ht="21">
      <c r="B13" s="41" t="s">
        <v>165</v>
      </c>
    </row>
    <row r="14" spans="2:2" ht="84">
      <c r="B14" s="9" t="s">
        <v>121</v>
      </c>
    </row>
    <row r="15" spans="2:2" ht="21">
      <c r="B15" s="41" t="s">
        <v>166</v>
      </c>
    </row>
    <row r="16" spans="2:2" ht="168">
      <c r="B16" s="9" t="s">
        <v>122</v>
      </c>
    </row>
    <row r="17" spans="2:2" ht="21">
      <c r="B17" s="41" t="s">
        <v>167</v>
      </c>
    </row>
    <row r="18" spans="2:2" ht="42">
      <c r="B18" s="9" t="s">
        <v>123</v>
      </c>
    </row>
    <row r="19" spans="2:2" ht="21">
      <c r="B19" s="41" t="s">
        <v>168</v>
      </c>
    </row>
    <row r="20" spans="2:2" ht="105">
      <c r="B20" s="9" t="s">
        <v>124</v>
      </c>
    </row>
    <row r="21" spans="2:2" ht="21">
      <c r="B21" s="41" t="s">
        <v>169</v>
      </c>
    </row>
    <row r="22" spans="2:2" ht="63">
      <c r="B22" s="9" t="s">
        <v>125</v>
      </c>
    </row>
    <row r="23" spans="2:2" ht="21">
      <c r="B23" s="41" t="s">
        <v>170</v>
      </c>
    </row>
    <row r="24" spans="2:2" ht="210">
      <c r="B24" s="9" t="s">
        <v>126</v>
      </c>
    </row>
    <row r="25" spans="2:2" ht="21">
      <c r="B25" s="41" t="s">
        <v>171</v>
      </c>
    </row>
    <row r="26" spans="2:2" ht="147">
      <c r="B26" s="9" t="s">
        <v>127</v>
      </c>
    </row>
    <row r="27" spans="2:2" ht="21">
      <c r="B27" s="41" t="s">
        <v>172</v>
      </c>
    </row>
    <row r="28" spans="2:2" ht="42">
      <c r="B28" s="9" t="s">
        <v>128</v>
      </c>
    </row>
    <row r="29" spans="2:2" ht="21">
      <c r="B29" s="41" t="s">
        <v>173</v>
      </c>
    </row>
    <row r="30" spans="2:2" ht="42">
      <c r="B30" s="9" t="s">
        <v>129</v>
      </c>
    </row>
  </sheetData>
  <sheetProtection algorithmName="SHA-512" hashValue="oPI9W8iskSgpld/0BkjZBsYnh5Hq6dyz0CDPgqA1ni8GlsxmWoGR94CoqCdWi3PzbXEQ5SdtT3TX+p47CBhapQ==" saltValue="5jF/pdWWHs7i04RBnxdMfw=="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workbookViewId="0">
      <selection activeCell="C8" sqref="C8"/>
    </sheetView>
  </sheetViews>
  <sheetFormatPr baseColWidth="10" defaultRowHeight="20"/>
  <cols>
    <col min="1" max="1" width="10.83203125" style="48"/>
    <col min="2" max="2" width="141.5" style="10" customWidth="1"/>
    <col min="3" max="3" width="40.83203125" style="13" customWidth="1"/>
    <col min="4" max="16384" width="10.83203125" style="48"/>
  </cols>
  <sheetData>
    <row r="2" spans="2:3" ht="21">
      <c r="B2" s="8" t="s">
        <v>130</v>
      </c>
      <c r="C2" s="11"/>
    </row>
    <row r="3" spans="2:3" ht="21">
      <c r="B3" s="40" t="s">
        <v>151</v>
      </c>
      <c r="C3" s="11"/>
    </row>
    <row r="4" spans="2:3" ht="210">
      <c r="B4" s="12" t="s">
        <v>131</v>
      </c>
      <c r="C4" s="47" t="s">
        <v>36</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zoomScaleNormal="100" workbookViewId="0">
      <selection activeCell="C5" sqref="C5"/>
    </sheetView>
  </sheetViews>
  <sheetFormatPr baseColWidth="10" defaultRowHeight="19"/>
  <cols>
    <col min="1" max="1" width="3.5" style="15" customWidth="1"/>
    <col min="2" max="2" width="74.6640625" style="15" customWidth="1"/>
    <col min="3" max="4" width="29.1640625" style="15" customWidth="1"/>
    <col min="5" max="5" width="30.33203125" style="15" bestFit="1" customWidth="1"/>
    <col min="6" max="6" width="29.1640625" style="15" customWidth="1"/>
    <col min="7" max="7" width="38.33203125" style="15" customWidth="1"/>
    <col min="8" max="8" width="10.83203125" style="3" customWidth="1"/>
    <col min="9" max="16384" width="10.83203125" style="3"/>
  </cols>
  <sheetData>
    <row r="1" spans="1:7" ht="26" customHeight="1">
      <c r="B1" s="14" t="s">
        <v>234</v>
      </c>
    </row>
    <row r="2" spans="1:7" ht="26" customHeight="1">
      <c r="A2" s="15">
        <v>1</v>
      </c>
      <c r="B2" s="16" t="s">
        <v>132</v>
      </c>
      <c r="C2" s="17">
        <v>45992</v>
      </c>
    </row>
    <row r="3" spans="1:7" ht="26" customHeight="1">
      <c r="A3" s="15">
        <v>2</v>
      </c>
      <c r="B3" s="16" t="s">
        <v>14</v>
      </c>
      <c r="C3" s="18" t="s">
        <v>321</v>
      </c>
    </row>
    <row r="4" spans="1:7" ht="26" customHeight="1">
      <c r="A4" s="15">
        <v>3</v>
      </c>
      <c r="B4" s="16" t="s">
        <v>13</v>
      </c>
      <c r="C4" s="18" t="s">
        <v>457</v>
      </c>
      <c r="E4" s="19"/>
    </row>
    <row r="5" spans="1:7" ht="26" customHeight="1">
      <c r="A5" s="15">
        <v>4</v>
      </c>
      <c r="B5" s="16" t="s">
        <v>133</v>
      </c>
      <c r="C5" s="18" t="s">
        <v>322</v>
      </c>
      <c r="E5" s="19"/>
    </row>
    <row r="6" spans="1:7" ht="26" customHeight="1">
      <c r="A6" s="15">
        <v>5</v>
      </c>
      <c r="B6" s="16" t="s">
        <v>0</v>
      </c>
      <c r="C6" s="20" t="s">
        <v>339</v>
      </c>
      <c r="E6" s="19"/>
    </row>
    <row r="7" spans="1:7" ht="26" customHeight="1">
      <c r="A7" s="15">
        <v>6</v>
      </c>
      <c r="B7" s="16" t="s">
        <v>1</v>
      </c>
      <c r="C7" s="18" t="s">
        <v>105</v>
      </c>
      <c r="E7" s="19"/>
    </row>
    <row r="8" spans="1:7" ht="26" customHeight="1">
      <c r="A8" s="15">
        <v>7</v>
      </c>
      <c r="B8" s="16" t="s">
        <v>2</v>
      </c>
      <c r="C8" s="18" t="s">
        <v>335</v>
      </c>
    </row>
    <row r="9" spans="1:7" ht="26" customHeight="1">
      <c r="A9" s="15">
        <v>8</v>
      </c>
      <c r="B9" s="16" t="s">
        <v>134</v>
      </c>
      <c r="C9" s="18" t="s">
        <v>335</v>
      </c>
    </row>
    <row r="10" spans="1:7" ht="26" customHeight="1">
      <c r="A10" s="15">
        <v>9</v>
      </c>
      <c r="B10" s="16" t="s">
        <v>5</v>
      </c>
      <c r="C10" s="18">
        <v>1562</v>
      </c>
    </row>
    <row r="11" spans="1:7">
      <c r="A11" s="15">
        <v>10</v>
      </c>
      <c r="B11" s="16" t="s">
        <v>3</v>
      </c>
      <c r="C11" s="18">
        <v>2024</v>
      </c>
    </row>
    <row r="12" spans="1:7">
      <c r="A12" s="15">
        <v>11</v>
      </c>
      <c r="B12" s="16" t="s">
        <v>4</v>
      </c>
      <c r="C12" s="18">
        <v>2019</v>
      </c>
      <c r="F12" s="21"/>
    </row>
    <row r="15" spans="1:7" ht="40">
      <c r="B15" s="24" t="s">
        <v>135</v>
      </c>
      <c r="C15" s="25" t="s">
        <v>136</v>
      </c>
      <c r="D15" s="25" t="s">
        <v>19</v>
      </c>
      <c r="E15" s="25" t="s">
        <v>112</v>
      </c>
      <c r="F15" s="25" t="s">
        <v>20</v>
      </c>
      <c r="G15" s="26" t="s">
        <v>137</v>
      </c>
    </row>
    <row r="16" spans="1:7" ht="20">
      <c r="B16" s="27" t="s">
        <v>21</v>
      </c>
      <c r="C16" s="18" t="s">
        <v>340</v>
      </c>
      <c r="D16" s="18" t="s">
        <v>345</v>
      </c>
      <c r="E16" s="18" t="s">
        <v>68</v>
      </c>
      <c r="F16" s="20" t="s">
        <v>350</v>
      </c>
      <c r="G16" s="28" t="s">
        <v>356</v>
      </c>
    </row>
    <row r="17" spans="2:7" ht="20">
      <c r="B17" s="27" t="s">
        <v>138</v>
      </c>
      <c r="C17" s="18" t="s">
        <v>341</v>
      </c>
      <c r="D17" s="18" t="s">
        <v>346</v>
      </c>
      <c r="E17" s="18" t="s">
        <v>68</v>
      </c>
      <c r="F17" s="20" t="s">
        <v>351</v>
      </c>
      <c r="G17" s="28" t="s">
        <v>357</v>
      </c>
    </row>
    <row r="18" spans="2:7" ht="20">
      <c r="B18" s="27" t="s">
        <v>139</v>
      </c>
      <c r="C18" s="18" t="s">
        <v>342</v>
      </c>
      <c r="D18" s="18" t="s">
        <v>362</v>
      </c>
      <c r="E18" s="18" t="s">
        <v>68</v>
      </c>
      <c r="F18" s="20" t="s">
        <v>352</v>
      </c>
      <c r="G18" s="28" t="s">
        <v>358</v>
      </c>
    </row>
    <row r="19" spans="2:7" ht="20">
      <c r="B19" s="27" t="s">
        <v>140</v>
      </c>
      <c r="C19" s="18" t="s">
        <v>441</v>
      </c>
      <c r="D19" s="18" t="s">
        <v>443</v>
      </c>
      <c r="E19" s="18" t="s">
        <v>68</v>
      </c>
      <c r="F19" s="20" t="s">
        <v>442</v>
      </c>
      <c r="G19" s="28" t="s">
        <v>444</v>
      </c>
    </row>
    <row r="20" spans="2:7" ht="40">
      <c r="B20" s="29" t="s">
        <v>141</v>
      </c>
      <c r="C20" s="22" t="s">
        <v>343</v>
      </c>
      <c r="D20" s="22" t="s">
        <v>348</v>
      </c>
      <c r="E20" s="18" t="s">
        <v>68</v>
      </c>
      <c r="F20" s="23" t="s">
        <v>353</v>
      </c>
      <c r="G20" s="28" t="s">
        <v>359</v>
      </c>
    </row>
    <row r="21" spans="2:7" ht="20">
      <c r="B21" s="27" t="s">
        <v>142</v>
      </c>
      <c r="C21" s="18" t="s">
        <v>344</v>
      </c>
      <c r="D21" s="18" t="s">
        <v>349</v>
      </c>
      <c r="E21" s="18" t="s">
        <v>68</v>
      </c>
      <c r="F21" s="20" t="s">
        <v>354</v>
      </c>
      <c r="G21" s="28" t="s">
        <v>360</v>
      </c>
    </row>
    <row r="22" spans="2:7" ht="20">
      <c r="B22" s="27" t="s">
        <v>143</v>
      </c>
      <c r="C22" s="18" t="s">
        <v>347</v>
      </c>
      <c r="D22" s="22" t="s">
        <v>363</v>
      </c>
      <c r="E22" s="18" t="s">
        <v>68</v>
      </c>
      <c r="F22" s="20" t="s">
        <v>355</v>
      </c>
      <c r="G22" s="28" t="s">
        <v>361</v>
      </c>
    </row>
    <row r="23" spans="2:7" ht="20">
      <c r="B23" s="27" t="s">
        <v>144</v>
      </c>
      <c r="C23" s="18" t="s">
        <v>445</v>
      </c>
      <c r="D23" s="22" t="s">
        <v>446</v>
      </c>
      <c r="E23" s="18" t="s">
        <v>68</v>
      </c>
      <c r="F23" s="20" t="s">
        <v>449</v>
      </c>
      <c r="G23" s="28" t="s">
        <v>450</v>
      </c>
    </row>
    <row r="24" spans="2:7" ht="20">
      <c r="B24" s="27" t="s">
        <v>210</v>
      </c>
      <c r="C24" s="18" t="s">
        <v>447</v>
      </c>
      <c r="D24" s="18" t="s">
        <v>448</v>
      </c>
      <c r="E24" s="18" t="s">
        <v>68</v>
      </c>
      <c r="F24" s="20" t="s">
        <v>451</v>
      </c>
      <c r="G24" s="28" t="s">
        <v>452</v>
      </c>
    </row>
    <row r="25" spans="2:7" ht="20">
      <c r="B25" s="27" t="s">
        <v>210</v>
      </c>
      <c r="C25" s="30" t="s">
        <v>455</v>
      </c>
      <c r="D25" s="30" t="s">
        <v>454</v>
      </c>
      <c r="E25" s="30" t="s">
        <v>68</v>
      </c>
      <c r="F25" s="31" t="s">
        <v>453</v>
      </c>
      <c r="G25" s="32" t="s">
        <v>456</v>
      </c>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zoomScaleNormal="100" workbookViewId="0">
      <selection activeCell="D4" sqref="D4"/>
    </sheetView>
  </sheetViews>
  <sheetFormatPr baseColWidth="10" defaultRowHeight="16"/>
  <cols>
    <col min="1" max="1" width="4.83203125" customWidth="1"/>
    <col min="2" max="2" width="53.83203125" customWidth="1"/>
    <col min="3" max="8" width="28.1640625" customWidth="1"/>
    <col min="9" max="16384" width="10.83203125" style="1"/>
  </cols>
  <sheetData>
    <row r="1" spans="2:9" ht="51" customHeight="1">
      <c r="B1" s="14" t="s">
        <v>211</v>
      </c>
    </row>
    <row r="2" spans="2:9" ht="51" customHeight="1">
      <c r="B2" s="16" t="s">
        <v>145</v>
      </c>
      <c r="C2" s="16">
        <v>2022</v>
      </c>
      <c r="D2" s="16">
        <v>2023</v>
      </c>
      <c r="E2" s="16">
        <v>2024</v>
      </c>
      <c r="F2" s="16" t="s">
        <v>208</v>
      </c>
      <c r="G2" s="16" t="s">
        <v>146</v>
      </c>
      <c r="H2" s="16" t="s">
        <v>147</v>
      </c>
    </row>
    <row r="3" spans="2:9" ht="51" customHeight="1">
      <c r="B3" s="33" t="s">
        <v>9</v>
      </c>
      <c r="C3" s="57"/>
      <c r="D3" s="57"/>
      <c r="E3" s="57"/>
      <c r="F3" s="57"/>
      <c r="G3" s="57"/>
      <c r="H3" s="57"/>
    </row>
    <row r="4" spans="2:9" ht="51" customHeight="1">
      <c r="B4" s="33" t="s">
        <v>10</v>
      </c>
      <c r="C4" s="57">
        <v>224.92282915044959</v>
      </c>
      <c r="D4" s="57">
        <v>232.40943141348396</v>
      </c>
      <c r="E4" s="57">
        <v>301.13419495108104</v>
      </c>
      <c r="F4" s="57">
        <v>319.96216152299877</v>
      </c>
      <c r="G4" s="57">
        <v>374.65564738292011</v>
      </c>
      <c r="H4" s="57">
        <v>445.11363636363637</v>
      </c>
      <c r="I4" s="4"/>
    </row>
    <row r="5" spans="2:9" ht="51" customHeight="1">
      <c r="B5" s="33" t="s">
        <v>11</v>
      </c>
      <c r="C5" s="57"/>
      <c r="D5" s="57"/>
      <c r="E5" s="57"/>
      <c r="F5" s="57"/>
      <c r="G5" s="57">
        <v>0.5</v>
      </c>
      <c r="H5" s="57">
        <v>0.625</v>
      </c>
      <c r="I5" s="4" t="s">
        <v>18</v>
      </c>
    </row>
    <row r="6" spans="2:9" ht="51" customHeight="1">
      <c r="B6" s="33" t="s">
        <v>284</v>
      </c>
      <c r="C6" s="57"/>
      <c r="D6" s="57"/>
      <c r="E6" s="57"/>
      <c r="F6" s="57">
        <v>6.1428402506799102</v>
      </c>
      <c r="G6" s="57">
        <v>35.450000000000003</v>
      </c>
      <c r="H6" s="57">
        <v>44.31</v>
      </c>
      <c r="I6" s="2" t="s">
        <v>150</v>
      </c>
    </row>
    <row r="8" spans="2:9" ht="19">
      <c r="B8" s="16" t="s">
        <v>145</v>
      </c>
      <c r="C8" s="16">
        <v>2023</v>
      </c>
      <c r="D8" s="16">
        <v>2023</v>
      </c>
      <c r="E8" s="16">
        <v>2024</v>
      </c>
      <c r="F8" s="16" t="s">
        <v>208</v>
      </c>
      <c r="G8" s="16" t="s">
        <v>146</v>
      </c>
      <c r="H8" s="16" t="s">
        <v>147</v>
      </c>
    </row>
    <row r="9" spans="2:9" ht="19">
      <c r="B9" s="33" t="s">
        <v>148</v>
      </c>
      <c r="C9" s="58">
        <v>76.727955979063211</v>
      </c>
      <c r="D9" s="58">
        <v>76.834090629988921</v>
      </c>
      <c r="E9" s="58">
        <v>93.074042758787328</v>
      </c>
      <c r="F9" s="58">
        <v>105.95010050845457</v>
      </c>
      <c r="G9" s="58">
        <v>119.88980716253444</v>
      </c>
      <c r="H9" s="58">
        <v>142.43636363636364</v>
      </c>
    </row>
    <row r="10" spans="2:9" ht="19">
      <c r="B10" s="33" t="s">
        <v>149</v>
      </c>
      <c r="C10" s="58">
        <v>41.538048584082667</v>
      </c>
      <c r="D10" s="58">
        <v>39.67333906422693</v>
      </c>
      <c r="E10" s="58">
        <v>48.596448846479063</v>
      </c>
      <c r="F10" s="58">
        <v>58.032280950691764</v>
      </c>
      <c r="G10" s="58">
        <v>67.438016528925615</v>
      </c>
      <c r="H10" s="58">
        <v>75.669318181818184</v>
      </c>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zoomScaleNormal="100" workbookViewId="0">
      <selection activeCell="D21" sqref="D21:H21"/>
    </sheetView>
  </sheetViews>
  <sheetFormatPr baseColWidth="10" defaultColWidth="10.83203125" defaultRowHeight="26" customHeight="1"/>
  <cols>
    <col min="1" max="1" width="6.1640625" style="62" customWidth="1"/>
    <col min="2" max="2" width="59" style="35" customWidth="1"/>
    <col min="3" max="3" width="38.5" style="3" customWidth="1"/>
    <col min="4" max="8" width="38.5" style="6" customWidth="1"/>
    <col min="9" max="11" width="29.1640625" style="3" customWidth="1"/>
    <col min="12" max="16384" width="10.83203125" style="3"/>
  </cols>
  <sheetData>
    <row r="1" spans="1:8" s="15" customFormat="1" ht="51" customHeight="1">
      <c r="A1" s="60"/>
      <c r="B1" s="34" t="s">
        <v>293</v>
      </c>
    </row>
    <row r="2" spans="1:8" s="35" customFormat="1" ht="56" customHeight="1">
      <c r="A2" s="61"/>
      <c r="B2" s="16"/>
      <c r="C2" s="16" t="s">
        <v>15</v>
      </c>
      <c r="D2" s="36" t="s">
        <v>107</v>
      </c>
      <c r="E2" s="36" t="s">
        <v>108</v>
      </c>
      <c r="F2" s="36" t="s">
        <v>109</v>
      </c>
      <c r="G2" s="36" t="s">
        <v>110</v>
      </c>
      <c r="H2" s="36" t="s">
        <v>111</v>
      </c>
    </row>
    <row r="3" spans="1:8" ht="60" customHeight="1">
      <c r="A3" s="62">
        <v>1</v>
      </c>
      <c r="B3" s="16" t="s">
        <v>152</v>
      </c>
      <c r="C3" s="37" t="s">
        <v>326</v>
      </c>
      <c r="D3" s="37" t="s">
        <v>329</v>
      </c>
      <c r="E3" s="37"/>
      <c r="F3" s="18"/>
      <c r="G3" s="18"/>
      <c r="H3" s="18"/>
    </row>
    <row r="4" spans="1:8" ht="60" customHeight="1">
      <c r="A4" s="62">
        <v>2</v>
      </c>
      <c r="B4" s="16" t="s">
        <v>153</v>
      </c>
      <c r="C4" s="18" t="s">
        <v>322</v>
      </c>
      <c r="D4" s="18" t="s">
        <v>330</v>
      </c>
      <c r="E4" s="18"/>
      <c r="F4" s="18"/>
      <c r="G4" s="50"/>
      <c r="H4" s="18"/>
    </row>
    <row r="5" spans="1:8" ht="60" customHeight="1">
      <c r="A5" s="62">
        <v>3</v>
      </c>
      <c r="B5" s="16" t="s">
        <v>154</v>
      </c>
      <c r="C5" s="18" t="s">
        <v>327</v>
      </c>
      <c r="D5" s="18" t="s">
        <v>331</v>
      </c>
      <c r="E5" s="18"/>
      <c r="F5" s="18"/>
      <c r="G5" s="18"/>
      <c r="H5" s="18"/>
    </row>
    <row r="6" spans="1:8" ht="60" customHeight="1">
      <c r="A6" s="62">
        <v>4</v>
      </c>
      <c r="B6" s="36" t="s">
        <v>155</v>
      </c>
      <c r="C6" s="18" t="s">
        <v>328</v>
      </c>
      <c r="D6" s="18" t="s">
        <v>328</v>
      </c>
      <c r="E6" s="18"/>
      <c r="F6" s="18"/>
      <c r="G6" s="18"/>
      <c r="H6" s="18"/>
    </row>
    <row r="7" spans="1:8" ht="86" customHeight="1">
      <c r="A7" s="62">
        <v>5</v>
      </c>
      <c r="B7" s="36" t="s">
        <v>156</v>
      </c>
      <c r="C7" s="74" t="s">
        <v>332</v>
      </c>
      <c r="D7" s="18" t="s">
        <v>333</v>
      </c>
      <c r="E7" s="18"/>
      <c r="F7" s="18"/>
      <c r="G7" s="18"/>
      <c r="H7" s="18"/>
    </row>
    <row r="8" spans="1:8" ht="86" customHeight="1">
      <c r="A8" s="62">
        <v>6</v>
      </c>
      <c r="B8" s="36" t="s">
        <v>157</v>
      </c>
      <c r="C8" s="18" t="s">
        <v>334</v>
      </c>
      <c r="D8" s="18" t="s">
        <v>335</v>
      </c>
      <c r="E8" s="18"/>
      <c r="F8" s="18"/>
      <c r="G8" s="18"/>
      <c r="H8" s="18"/>
    </row>
    <row r="9" spans="1:8" ht="60" customHeight="1">
      <c r="A9" s="62">
        <v>7</v>
      </c>
      <c r="B9" s="16" t="s">
        <v>158</v>
      </c>
      <c r="C9" s="38">
        <v>11730</v>
      </c>
      <c r="D9" s="38">
        <v>4180</v>
      </c>
      <c r="E9" s="39"/>
      <c r="F9" s="39"/>
      <c r="G9" s="39"/>
      <c r="H9" s="39"/>
    </row>
    <row r="10" spans="1:8" ht="60" customHeight="1">
      <c r="A10" s="62">
        <v>8</v>
      </c>
      <c r="B10" s="36" t="s">
        <v>277</v>
      </c>
      <c r="C10" s="38">
        <v>731</v>
      </c>
      <c r="D10" s="38">
        <v>362</v>
      </c>
      <c r="E10" s="39"/>
      <c r="F10" s="39"/>
      <c r="G10" s="39"/>
      <c r="H10" s="39"/>
    </row>
    <row r="11" spans="1:8" ht="60" customHeight="1">
      <c r="A11" s="62">
        <v>9</v>
      </c>
      <c r="B11" s="36" t="s">
        <v>206</v>
      </c>
      <c r="C11" s="18">
        <v>55</v>
      </c>
      <c r="D11" s="18">
        <v>25</v>
      </c>
      <c r="E11" s="18"/>
      <c r="F11" s="18"/>
      <c r="G11" s="18"/>
      <c r="H11" s="18"/>
    </row>
    <row r="12" spans="1:8" ht="60" customHeight="1">
      <c r="A12" s="62">
        <v>10</v>
      </c>
      <c r="B12" s="36" t="s">
        <v>205</v>
      </c>
      <c r="C12" s="18">
        <v>100</v>
      </c>
      <c r="D12" s="18">
        <v>70</v>
      </c>
      <c r="E12" s="18"/>
      <c r="F12" s="18"/>
      <c r="G12" s="18"/>
      <c r="H12" s="18"/>
    </row>
    <row r="13" spans="1:8" ht="60" customHeight="1">
      <c r="A13" s="62">
        <v>11</v>
      </c>
      <c r="B13" s="36" t="s">
        <v>278</v>
      </c>
      <c r="C13" s="18">
        <v>17</v>
      </c>
      <c r="D13" s="18">
        <v>11</v>
      </c>
      <c r="E13" s="18"/>
      <c r="F13" s="18"/>
      <c r="G13" s="18"/>
      <c r="H13" s="18"/>
    </row>
    <row r="14" spans="1:8" ht="60" customHeight="1">
      <c r="A14" s="62">
        <v>12</v>
      </c>
      <c r="B14" s="36" t="s">
        <v>203</v>
      </c>
      <c r="C14" s="18" t="s">
        <v>36</v>
      </c>
      <c r="D14" s="18" t="s">
        <v>36</v>
      </c>
      <c r="E14" s="18"/>
      <c r="F14" s="18"/>
      <c r="G14" s="18"/>
      <c r="H14" s="18"/>
    </row>
    <row r="15" spans="1:8" ht="60" customHeight="1">
      <c r="A15" s="62">
        <v>13</v>
      </c>
      <c r="B15" s="36" t="s">
        <v>280</v>
      </c>
      <c r="C15" s="18" t="s">
        <v>37</v>
      </c>
      <c r="D15" s="18" t="s">
        <v>37</v>
      </c>
      <c r="E15" s="18"/>
      <c r="F15" s="18"/>
      <c r="G15" s="18"/>
      <c r="H15" s="18"/>
    </row>
    <row r="16" spans="1:8" ht="60" customHeight="1">
      <c r="A16" s="62">
        <v>14</v>
      </c>
      <c r="B16" s="36" t="s">
        <v>204</v>
      </c>
      <c r="C16" s="18" t="s">
        <v>458</v>
      </c>
      <c r="D16" s="18" t="s">
        <v>338</v>
      </c>
      <c r="E16" s="18"/>
      <c r="F16" s="18"/>
      <c r="G16" s="18"/>
      <c r="H16" s="18"/>
    </row>
    <row r="18" spans="1:8" ht="61" customHeight="1">
      <c r="A18" s="62">
        <v>15</v>
      </c>
      <c r="B18" s="78" t="s">
        <v>227</v>
      </c>
      <c r="C18" s="78"/>
      <c r="D18" s="79" t="s">
        <v>336</v>
      </c>
      <c r="E18" s="80"/>
      <c r="F18" s="80"/>
      <c r="G18" s="80"/>
      <c r="H18" s="81"/>
    </row>
    <row r="19" spans="1:8" ht="61" customHeight="1">
      <c r="A19" s="62">
        <v>16</v>
      </c>
      <c r="B19" s="78" t="s">
        <v>213</v>
      </c>
      <c r="C19" s="78"/>
      <c r="D19" s="79" t="s">
        <v>382</v>
      </c>
      <c r="E19" s="80"/>
      <c r="F19" s="80"/>
      <c r="G19" s="80"/>
      <c r="H19" s="81"/>
    </row>
    <row r="20" spans="1:8" ht="61" customHeight="1">
      <c r="A20" s="62">
        <v>17</v>
      </c>
      <c r="B20" s="78" t="s">
        <v>200</v>
      </c>
      <c r="C20" s="78"/>
      <c r="D20" s="79" t="s">
        <v>37</v>
      </c>
      <c r="E20" s="80"/>
      <c r="F20" s="80"/>
      <c r="G20" s="80"/>
      <c r="H20" s="81"/>
    </row>
    <row r="21" spans="1:8" ht="61" customHeight="1">
      <c r="A21" s="62">
        <v>18</v>
      </c>
      <c r="B21" s="78" t="s">
        <v>159</v>
      </c>
      <c r="C21" s="78"/>
      <c r="D21" s="79" t="s">
        <v>381</v>
      </c>
      <c r="E21" s="80"/>
      <c r="F21" s="80"/>
      <c r="G21" s="80"/>
      <c r="H21" s="81"/>
    </row>
    <row r="22" spans="1:8" ht="61" customHeight="1">
      <c r="A22" s="62">
        <v>19</v>
      </c>
      <c r="B22" s="78" t="s">
        <v>201</v>
      </c>
      <c r="C22" s="78"/>
      <c r="D22" s="79" t="s">
        <v>378</v>
      </c>
      <c r="E22" s="80"/>
      <c r="F22" s="80"/>
      <c r="G22" s="80"/>
      <c r="H22" s="81"/>
    </row>
    <row r="23" spans="1:8" ht="61" customHeight="1">
      <c r="A23" s="62">
        <v>20</v>
      </c>
      <c r="B23" s="82" t="s">
        <v>225</v>
      </c>
      <c r="C23" s="83"/>
      <c r="D23" s="79" t="s">
        <v>379</v>
      </c>
      <c r="E23" s="80"/>
      <c r="F23" s="80"/>
      <c r="G23" s="80"/>
      <c r="H23" s="81"/>
    </row>
    <row r="24" spans="1:8" ht="61" customHeight="1">
      <c r="A24" s="62">
        <v>21</v>
      </c>
      <c r="B24" s="82" t="s">
        <v>226</v>
      </c>
      <c r="C24" s="83"/>
      <c r="D24" s="79" t="s">
        <v>337</v>
      </c>
      <c r="E24" s="80"/>
      <c r="F24" s="80"/>
      <c r="G24" s="80"/>
      <c r="H24" s="81"/>
    </row>
    <row r="25" spans="1:8" ht="187.75" customHeight="1">
      <c r="A25" s="62">
        <v>22</v>
      </c>
      <c r="B25" s="78" t="s">
        <v>202</v>
      </c>
      <c r="C25" s="78"/>
      <c r="D25" s="79" t="s">
        <v>381</v>
      </c>
      <c r="E25" s="80"/>
      <c r="F25" s="80"/>
      <c r="G25" s="80"/>
      <c r="H25" s="81"/>
    </row>
    <row r="26" spans="1:8" ht="61" customHeight="1"/>
    <row r="27" spans="1:8" ht="61" customHeight="1"/>
    <row r="28" spans="1:8" ht="61" customHeight="1"/>
    <row r="29" spans="1:8" ht="61" customHeight="1"/>
  </sheetData>
  <sheetProtection algorithmName="SHA-512" hashValue="zQUmRTblo7NwmNDoVbXM0yjst7rVPj5/m4axI2ivAgmUPwHZYj2vbWzF/lmehodxi4GZXwtagu0UzxPO76uzxg==" saltValue="p9e4rdm25WVOlVQ/gvBS1w==" spinCount="100000" sheet="1" selectLockedCells="1"/>
  <mergeCells count="16">
    <mergeCell ref="B21:C21"/>
    <mergeCell ref="D21:H21"/>
    <mergeCell ref="B22:C22"/>
    <mergeCell ref="D22:H22"/>
    <mergeCell ref="B25:C25"/>
    <mergeCell ref="D25:H25"/>
    <mergeCell ref="B24:C24"/>
    <mergeCell ref="B23:C23"/>
    <mergeCell ref="D23:H23"/>
    <mergeCell ref="D24:H24"/>
    <mergeCell ref="B18:C18"/>
    <mergeCell ref="D18:H18"/>
    <mergeCell ref="B19:C19"/>
    <mergeCell ref="D19:H19"/>
    <mergeCell ref="B20:C20"/>
    <mergeCell ref="D20:H20"/>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zoomScaleNormal="100" workbookViewId="0">
      <selection activeCell="C8" sqref="C8"/>
    </sheetView>
  </sheetViews>
  <sheetFormatPr baseColWidth="10" defaultRowHeight="50" customHeight="1"/>
  <cols>
    <col min="1" max="1" width="5.1640625" style="3" customWidth="1"/>
    <col min="2" max="2" width="53.1640625" style="3" customWidth="1"/>
    <col min="3" max="10" width="32.6640625" style="3" customWidth="1"/>
    <col min="11" max="16384" width="10.83203125" style="3"/>
  </cols>
  <sheetData>
    <row r="1" spans="2:10" ht="50" customHeight="1">
      <c r="B1" s="42" t="s">
        <v>294</v>
      </c>
    </row>
    <row r="2" spans="2:10" ht="50" customHeight="1">
      <c r="B2" s="43"/>
      <c r="C2" s="44" t="s">
        <v>6</v>
      </c>
      <c r="D2" s="44" t="s">
        <v>7</v>
      </c>
      <c r="E2" s="44" t="s">
        <v>8</v>
      </c>
      <c r="F2" s="44" t="s">
        <v>16</v>
      </c>
      <c r="G2" s="44" t="s">
        <v>17</v>
      </c>
      <c r="H2" s="44" t="s">
        <v>180</v>
      </c>
      <c r="I2" s="44" t="s">
        <v>215</v>
      </c>
      <c r="J2" s="44" t="s">
        <v>216</v>
      </c>
    </row>
    <row r="3" spans="2:10" ht="50" customHeight="1">
      <c r="B3" s="44" t="s">
        <v>181</v>
      </c>
      <c r="C3" s="69" t="s">
        <v>68</v>
      </c>
      <c r="D3" s="69"/>
      <c r="E3" s="69"/>
      <c r="F3" s="69"/>
      <c r="G3" s="69"/>
      <c r="H3" s="69"/>
      <c r="I3" s="69"/>
      <c r="J3" s="69"/>
    </row>
    <row r="4" spans="2:10" ht="50" customHeight="1">
      <c r="B4" s="45" t="s">
        <v>263</v>
      </c>
      <c r="C4" s="69">
        <v>48</v>
      </c>
      <c r="D4" s="69"/>
      <c r="E4" s="69"/>
      <c r="F4" s="69"/>
      <c r="G4" s="69"/>
      <c r="H4" s="69"/>
      <c r="I4" s="69"/>
      <c r="J4" s="69"/>
    </row>
    <row r="5" spans="2:10" ht="50" customHeight="1">
      <c r="B5" s="45" t="s">
        <v>262</v>
      </c>
      <c r="C5" s="69">
        <v>63</v>
      </c>
      <c r="D5" s="69"/>
      <c r="E5" s="69"/>
      <c r="F5" s="69"/>
      <c r="G5" s="69"/>
      <c r="H5" s="69"/>
      <c r="I5" s="69"/>
      <c r="J5" s="69"/>
    </row>
    <row r="6" spans="2:10" ht="50" customHeight="1">
      <c r="B6" s="45" t="s">
        <v>264</v>
      </c>
      <c r="C6" s="69">
        <v>98</v>
      </c>
      <c r="D6" s="69"/>
      <c r="E6" s="69"/>
      <c r="F6" s="69"/>
      <c r="G6" s="69"/>
      <c r="H6" s="69"/>
      <c r="I6" s="69"/>
      <c r="J6" s="69"/>
    </row>
    <row r="7" spans="2:10" ht="50" customHeight="1">
      <c r="B7" s="45" t="s">
        <v>265</v>
      </c>
      <c r="C7" s="69">
        <v>1400</v>
      </c>
      <c r="D7" s="69"/>
      <c r="E7" s="69"/>
      <c r="F7" s="69"/>
      <c r="G7" s="69"/>
      <c r="H7" s="69"/>
      <c r="I7" s="69"/>
      <c r="J7" s="69"/>
    </row>
    <row r="8" spans="2:10" ht="50" customHeight="1">
      <c r="B8" s="45" t="s">
        <v>214</v>
      </c>
      <c r="C8" s="69" t="s">
        <v>324</v>
      </c>
      <c r="D8" s="69"/>
      <c r="E8" s="69"/>
      <c r="F8" s="69"/>
      <c r="G8" s="69"/>
      <c r="H8" s="69"/>
      <c r="I8" s="69"/>
      <c r="J8" s="69"/>
    </row>
    <row r="9" spans="2:10" ht="50" customHeight="1">
      <c r="B9" s="45" t="s">
        <v>296</v>
      </c>
      <c r="C9" s="69" t="s">
        <v>324</v>
      </c>
      <c r="D9" s="69"/>
      <c r="E9" s="69"/>
      <c r="F9" s="69"/>
      <c r="G9" s="69"/>
      <c r="H9" s="69"/>
      <c r="I9" s="69"/>
      <c r="J9" s="69"/>
    </row>
    <row r="10" spans="2:10" ht="50" customHeight="1">
      <c r="B10" s="63" t="s">
        <v>290</v>
      </c>
      <c r="C10" s="70" t="s">
        <v>325</v>
      </c>
      <c r="D10" s="69"/>
      <c r="E10" s="69"/>
      <c r="F10" s="69"/>
      <c r="G10" s="69"/>
      <c r="H10" s="69"/>
      <c r="I10" s="69"/>
      <c r="J10" s="69"/>
    </row>
    <row r="11" spans="2:10" ht="50" customHeight="1">
      <c r="B11" s="45" t="s">
        <v>106</v>
      </c>
      <c r="C11" s="70">
        <v>2</v>
      </c>
      <c r="D11" s="70"/>
      <c r="E11" s="70"/>
      <c r="F11" s="69"/>
      <c r="G11" s="69"/>
      <c r="H11" s="69"/>
      <c r="I11" s="69"/>
      <c r="J11" s="69"/>
    </row>
    <row r="12" spans="2:10" ht="50" customHeight="1">
      <c r="B12" s="45" t="s">
        <v>199</v>
      </c>
      <c r="C12" s="71">
        <v>0.05</v>
      </c>
      <c r="D12" s="72"/>
      <c r="E12" s="72"/>
      <c r="F12" s="72"/>
      <c r="G12" s="72"/>
      <c r="H12" s="72"/>
      <c r="I12" s="72"/>
      <c r="J12" s="72"/>
    </row>
    <row r="14" spans="2:10" ht="50" customHeight="1">
      <c r="B14" s="84" t="s">
        <v>182</v>
      </c>
      <c r="C14" s="84"/>
      <c r="D14" s="84"/>
    </row>
    <row r="15" spans="2:10" ht="50" customHeight="1">
      <c r="B15" s="16" t="s">
        <v>183</v>
      </c>
      <c r="C15" s="84" t="s">
        <v>184</v>
      </c>
      <c r="D15" s="84"/>
    </row>
    <row r="16" spans="2:10" ht="50" customHeight="1">
      <c r="B16" s="46" t="s">
        <v>185</v>
      </c>
      <c r="C16" s="85" t="s">
        <v>186</v>
      </c>
      <c r="D16" s="85"/>
    </row>
    <row r="17" spans="2:4" ht="50" customHeight="1">
      <c r="B17" s="86" t="s">
        <v>187</v>
      </c>
      <c r="C17" s="86" t="s">
        <v>188</v>
      </c>
      <c r="D17" s="86"/>
    </row>
    <row r="18" spans="2:4" ht="50" customHeight="1">
      <c r="B18" s="86"/>
      <c r="C18" s="86" t="s">
        <v>189</v>
      </c>
      <c r="D18" s="86"/>
    </row>
    <row r="19" spans="2:4" ht="50" customHeight="1">
      <c r="B19" s="86"/>
      <c r="C19" s="86" t="s">
        <v>190</v>
      </c>
      <c r="D19" s="86"/>
    </row>
    <row r="20" spans="2:4" ht="50" customHeight="1">
      <c r="B20" s="86"/>
      <c r="C20" s="86" t="s">
        <v>191</v>
      </c>
      <c r="D20" s="86"/>
    </row>
    <row r="21" spans="2:4" ht="50" customHeight="1">
      <c r="B21" s="86" t="s">
        <v>192</v>
      </c>
      <c r="C21" s="86" t="s">
        <v>193</v>
      </c>
      <c r="D21" s="86"/>
    </row>
    <row r="22" spans="2:4" ht="50" customHeight="1">
      <c r="B22" s="86"/>
      <c r="C22" s="86" t="s">
        <v>194</v>
      </c>
      <c r="D22" s="86"/>
    </row>
    <row r="23" spans="2:4" ht="50" customHeight="1">
      <c r="B23" s="86"/>
      <c r="C23" s="86" t="s">
        <v>195</v>
      </c>
      <c r="D23" s="86"/>
    </row>
    <row r="24" spans="2:4" ht="50" customHeight="1">
      <c r="B24" s="86" t="s">
        <v>196</v>
      </c>
      <c r="C24" s="86" t="s">
        <v>197</v>
      </c>
      <c r="D24" s="86"/>
    </row>
    <row r="25" spans="2:4" ht="50" customHeight="1">
      <c r="B25" s="86"/>
      <c r="C25" s="86" t="s">
        <v>198</v>
      </c>
      <c r="D25" s="86"/>
    </row>
  </sheetData>
  <sheetProtection algorithmName="SHA-512" hashValue="bZUL6mD159NJzrDMfwN4drt+BOqtexhCohLvWTFiYmwi3OxjnrOscfwij2lbQWlD1y6kwb2Toihf5J7T9rDt2w==" saltValue="3UFfoL413EPmJz18ZLo85A==" spinCount="100000" sheet="1" objects="1" scenarios="1"/>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abSelected="1" topLeftCell="B2" zoomScale="90" zoomScaleNormal="90" workbookViewId="0">
      <selection activeCell="G6" sqref="G6"/>
    </sheetView>
  </sheetViews>
  <sheetFormatPr baseColWidth="10" defaultColWidth="10.83203125" defaultRowHeight="16"/>
  <cols>
    <col min="1" max="1" width="4.1640625" style="1" customWidth="1"/>
    <col min="2" max="2" width="51.5" style="1" customWidth="1"/>
    <col min="3" max="9" width="29.1640625" style="1" customWidth="1"/>
    <col min="10" max="10" width="57.83203125" style="1" customWidth="1"/>
    <col min="11" max="11" width="102.6640625" style="1" bestFit="1" customWidth="1"/>
    <col min="12" max="15" width="29.1640625" style="1" customWidth="1"/>
    <col min="16" max="16384" width="10.83203125" style="1"/>
  </cols>
  <sheetData>
    <row r="1" spans="2:11" ht="67" customHeight="1">
      <c r="B1" s="34" t="s">
        <v>288</v>
      </c>
    </row>
    <row r="2" spans="2:11" ht="67" customHeight="1">
      <c r="B2" s="33"/>
      <c r="C2" s="16">
        <v>2022</v>
      </c>
      <c r="D2" s="16">
        <v>2023</v>
      </c>
      <c r="E2" s="16">
        <v>2024</v>
      </c>
      <c r="F2" s="16" t="s">
        <v>208</v>
      </c>
      <c r="G2" s="16" t="s">
        <v>146</v>
      </c>
      <c r="H2" s="16" t="s">
        <v>147</v>
      </c>
      <c r="I2" s="16" t="s">
        <v>209</v>
      </c>
      <c r="J2" s="16" t="s">
        <v>207</v>
      </c>
    </row>
    <row r="3" spans="2:11" ht="67" customHeight="1">
      <c r="B3" s="16" t="s">
        <v>266</v>
      </c>
      <c r="C3" s="39"/>
      <c r="D3" s="39"/>
      <c r="E3" s="39">
        <v>7</v>
      </c>
      <c r="F3" s="39">
        <v>19</v>
      </c>
      <c r="G3" s="39">
        <v>22</v>
      </c>
      <c r="H3" s="39">
        <v>24</v>
      </c>
      <c r="I3" s="39">
        <v>27</v>
      </c>
      <c r="J3" s="59"/>
    </row>
    <row r="4" spans="2:11" ht="140">
      <c r="B4" s="36" t="s">
        <v>267</v>
      </c>
      <c r="C4" s="39"/>
      <c r="D4" s="39"/>
      <c r="E4" s="39">
        <v>98</v>
      </c>
      <c r="F4" s="39">
        <v>174</v>
      </c>
      <c r="G4" s="39">
        <v>191</v>
      </c>
      <c r="H4" s="39">
        <v>201</v>
      </c>
      <c r="I4" s="39">
        <v>222</v>
      </c>
      <c r="J4" s="59" t="s">
        <v>380</v>
      </c>
      <c r="K4" s="73" t="s">
        <v>318</v>
      </c>
    </row>
    <row r="5" spans="2:11" ht="67" customHeight="1">
      <c r="B5" s="16" t="s">
        <v>268</v>
      </c>
      <c r="C5" s="39"/>
      <c r="D5" s="39"/>
      <c r="E5" s="39">
        <v>285</v>
      </c>
      <c r="F5" s="39">
        <v>906</v>
      </c>
      <c r="G5" s="39">
        <v>950</v>
      </c>
      <c r="H5" s="39">
        <v>998</v>
      </c>
      <c r="I5" s="39">
        <v>1098</v>
      </c>
      <c r="J5" s="59"/>
    </row>
    <row r="6" spans="2:11" ht="67" customHeight="1">
      <c r="B6" s="16" t="s">
        <v>269</v>
      </c>
      <c r="C6" s="39"/>
      <c r="D6" s="39"/>
      <c r="E6" s="39">
        <v>90</v>
      </c>
      <c r="F6" s="39">
        <v>209</v>
      </c>
      <c r="G6" s="39">
        <v>250</v>
      </c>
      <c r="H6" s="39">
        <v>263</v>
      </c>
      <c r="I6" s="39">
        <v>290</v>
      </c>
      <c r="J6" s="59"/>
      <c r="K6" s="4" t="s">
        <v>217</v>
      </c>
    </row>
    <row r="7" spans="2:11" ht="67" customHeight="1">
      <c r="B7" s="16" t="s">
        <v>270</v>
      </c>
      <c r="C7" s="39"/>
      <c r="D7" s="39"/>
      <c r="E7" s="39">
        <v>21</v>
      </c>
      <c r="F7" s="39">
        <v>42</v>
      </c>
      <c r="G7" s="39">
        <v>23</v>
      </c>
      <c r="H7" s="39">
        <v>25</v>
      </c>
      <c r="I7" s="39">
        <v>28</v>
      </c>
      <c r="J7" s="59"/>
    </row>
    <row r="8" spans="2:11" ht="67" customHeight="1">
      <c r="B8" s="16" t="s">
        <v>271</v>
      </c>
      <c r="C8" s="39"/>
      <c r="D8" s="39"/>
      <c r="E8" s="39">
        <v>51</v>
      </c>
      <c r="F8" s="39">
        <v>96</v>
      </c>
      <c r="G8" s="39">
        <v>95</v>
      </c>
      <c r="H8" s="39">
        <v>100</v>
      </c>
      <c r="I8" s="39">
        <v>110</v>
      </c>
      <c r="J8" s="59"/>
    </row>
    <row r="9" spans="2:11" ht="67" customHeight="1">
      <c r="B9" s="16" t="s">
        <v>272</v>
      </c>
      <c r="C9" s="39"/>
      <c r="D9" s="39"/>
      <c r="E9" s="39">
        <v>1</v>
      </c>
      <c r="F9" s="39">
        <v>4</v>
      </c>
      <c r="G9" s="39">
        <v>4</v>
      </c>
      <c r="H9" s="39">
        <v>4</v>
      </c>
      <c r="I9" s="39">
        <v>4</v>
      </c>
      <c r="J9" s="59"/>
    </row>
    <row r="10" spans="2:11" ht="67" customHeight="1">
      <c r="B10" s="36" t="s">
        <v>285</v>
      </c>
      <c r="C10" s="39"/>
      <c r="D10" s="39"/>
      <c r="E10" s="39"/>
      <c r="F10" s="39">
        <v>36</v>
      </c>
      <c r="G10" s="39">
        <v>50</v>
      </c>
      <c r="H10" s="39">
        <v>53</v>
      </c>
      <c r="I10" s="39">
        <v>59</v>
      </c>
      <c r="J10" s="59"/>
    </row>
    <row r="11" spans="2:11" ht="67" customHeight="1">
      <c r="B11" s="16" t="s">
        <v>286</v>
      </c>
      <c r="C11" s="39"/>
      <c r="D11" s="39"/>
      <c r="E11" s="39">
        <v>1</v>
      </c>
      <c r="F11" s="39">
        <v>1</v>
      </c>
      <c r="G11" s="39">
        <v>1</v>
      </c>
      <c r="H11" s="39">
        <v>1</v>
      </c>
      <c r="I11" s="39">
        <v>1</v>
      </c>
      <c r="J11" s="59"/>
    </row>
    <row r="12" spans="2:11" ht="67" customHeight="1">
      <c r="B12" s="16" t="s">
        <v>287</v>
      </c>
      <c r="C12" s="39"/>
      <c r="D12" s="39"/>
      <c r="E12" s="39">
        <v>1</v>
      </c>
      <c r="F12" s="39">
        <v>1</v>
      </c>
      <c r="G12" s="39">
        <v>1</v>
      </c>
      <c r="H12" s="39">
        <v>1</v>
      </c>
      <c r="I12" s="39">
        <v>1</v>
      </c>
      <c r="J12" s="59"/>
    </row>
    <row r="13" spans="2:11" ht="67" customHeight="1">
      <c r="B13" s="16" t="s">
        <v>210</v>
      </c>
      <c r="C13" s="39"/>
      <c r="D13" s="39"/>
      <c r="E13" s="39">
        <v>20</v>
      </c>
      <c r="F13" s="39">
        <v>54</v>
      </c>
      <c r="G13" s="39">
        <v>54</v>
      </c>
      <c r="H13" s="39">
        <v>57</v>
      </c>
      <c r="I13" s="39">
        <v>63</v>
      </c>
      <c r="J13" s="59"/>
    </row>
    <row r="14" spans="2:11" ht="67" customHeight="1">
      <c r="B14" s="16" t="s">
        <v>210</v>
      </c>
      <c r="C14" s="39"/>
      <c r="D14" s="39"/>
      <c r="E14" s="39">
        <v>7</v>
      </c>
      <c r="F14" s="39">
        <v>12</v>
      </c>
      <c r="G14" s="39">
        <v>12</v>
      </c>
      <c r="H14" s="39">
        <v>13</v>
      </c>
      <c r="I14" s="39">
        <v>15</v>
      </c>
      <c r="J14" s="59"/>
    </row>
    <row r="15" spans="2:11" ht="67" customHeight="1">
      <c r="B15" s="16" t="s">
        <v>210</v>
      </c>
      <c r="C15" s="39"/>
      <c r="D15" s="39"/>
      <c r="E15" s="39">
        <v>9</v>
      </c>
      <c r="F15" s="39">
        <v>36</v>
      </c>
      <c r="G15" s="39">
        <v>37</v>
      </c>
      <c r="H15" s="39">
        <v>37</v>
      </c>
      <c r="I15" s="39">
        <v>37</v>
      </c>
      <c r="J15" s="59"/>
    </row>
    <row r="16" spans="2:11" ht="19">
      <c r="B16" s="51" t="s">
        <v>218</v>
      </c>
      <c r="C16" s="52">
        <f t="shared" ref="C16:I16" si="0">SUM(C3:C15)</f>
        <v>0</v>
      </c>
      <c r="D16" s="52">
        <f t="shared" si="0"/>
        <v>0</v>
      </c>
      <c r="E16" s="52">
        <f t="shared" si="0"/>
        <v>591</v>
      </c>
      <c r="F16" s="52">
        <f t="shared" si="0"/>
        <v>1590</v>
      </c>
      <c r="G16" s="52">
        <f t="shared" si="0"/>
        <v>1690</v>
      </c>
      <c r="H16" s="52">
        <f t="shared" si="0"/>
        <v>1777</v>
      </c>
      <c r="I16" s="52">
        <f t="shared" si="0"/>
        <v>1955</v>
      </c>
    </row>
  </sheetData>
  <sheetProtection algorithmName="SHA-512" hashValue="PhkzxIhRU/NEqiY5KBZ8osucQOINuCuNxmLGQ4G6ElnHL0RVLYel/mPUcfz2JPa3W0fO6h3g2OZ30cklvyYhDA==" saltValue="Iw59MJ83Pv69NpgKR5baOg==" spinCount="100000"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5"/>
  <sheetViews>
    <sheetView showGridLines="0" workbookViewId="0">
      <selection activeCell="I48" sqref="I48"/>
    </sheetView>
  </sheetViews>
  <sheetFormatPr baseColWidth="10" defaultColWidth="10.83203125" defaultRowHeight="16"/>
  <cols>
    <col min="1" max="1" width="5.33203125" customWidth="1"/>
    <col min="2" max="2" width="34.5" customWidth="1"/>
  </cols>
  <sheetData>
    <row r="2" spans="2:11" ht="47" customHeight="1">
      <c r="B2" s="87" t="s">
        <v>314</v>
      </c>
      <c r="C2" s="87"/>
      <c r="D2" s="87"/>
      <c r="E2" s="87"/>
      <c r="F2" s="87"/>
      <c r="G2" s="87"/>
      <c r="H2" s="87"/>
      <c r="I2" s="87"/>
      <c r="J2" s="87"/>
      <c r="K2" s="87"/>
    </row>
    <row r="3" spans="2:11" ht="47" customHeight="1">
      <c r="B3" s="87"/>
      <c r="C3" s="87"/>
      <c r="D3" s="87"/>
      <c r="E3" s="87"/>
      <c r="F3" s="87"/>
      <c r="G3" s="87"/>
      <c r="H3" s="87"/>
      <c r="I3" s="87"/>
      <c r="J3" s="87"/>
      <c r="K3" s="87"/>
    </row>
    <row r="4" spans="2:11" ht="47" customHeight="1">
      <c r="B4" s="87"/>
      <c r="C4" s="87"/>
      <c r="D4" s="87"/>
      <c r="E4" s="87"/>
      <c r="F4" s="87"/>
      <c r="G4" s="87"/>
      <c r="H4" s="87"/>
      <c r="I4" s="87"/>
      <c r="J4" s="87"/>
      <c r="K4" s="87"/>
    </row>
    <row r="5" spans="2:11" ht="47" customHeight="1">
      <c r="B5" s="87"/>
      <c r="C5" s="87"/>
      <c r="D5" s="87"/>
      <c r="E5" s="87"/>
      <c r="F5" s="87"/>
      <c r="G5" s="87"/>
      <c r="H5" s="87"/>
      <c r="I5" s="87"/>
      <c r="J5" s="87"/>
      <c r="K5" s="87"/>
    </row>
  </sheetData>
  <mergeCells count="1">
    <mergeCell ref="B2:K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opLeftCell="A3" zoomScale="67" zoomScaleNormal="120" workbookViewId="0">
      <selection activeCell="B13" sqref="B13"/>
    </sheetView>
  </sheetViews>
  <sheetFormatPr baseColWidth="10" defaultRowHeight="16"/>
  <cols>
    <col min="1" max="1" width="4.1640625" style="1" customWidth="1"/>
    <col min="2" max="2" width="51.5" style="1" customWidth="1"/>
    <col min="3" max="22" width="29.1640625" style="1" customWidth="1"/>
    <col min="23" max="23" width="57.83203125" style="1" customWidth="1"/>
  </cols>
  <sheetData>
    <row r="1" spans="2:23" ht="60" customHeight="1">
      <c r="B1" s="34" t="s">
        <v>247</v>
      </c>
    </row>
    <row r="2" spans="2:23" ht="60" customHeight="1">
      <c r="B2" s="64" t="s">
        <v>240</v>
      </c>
      <c r="C2" s="88" t="s">
        <v>242</v>
      </c>
      <c r="D2" s="88"/>
      <c r="E2" s="88"/>
      <c r="F2" s="88"/>
      <c r="G2" s="88" t="s">
        <v>243</v>
      </c>
      <c r="H2" s="88"/>
      <c r="I2" s="88"/>
      <c r="J2" s="88"/>
      <c r="K2" s="88"/>
      <c r="L2" s="88" t="s">
        <v>305</v>
      </c>
      <c r="M2" s="88"/>
      <c r="N2" s="88"/>
      <c r="O2" s="88"/>
      <c r="P2" s="88"/>
      <c r="Q2" s="88"/>
      <c r="R2" s="88"/>
      <c r="S2" s="88" t="s">
        <v>244</v>
      </c>
      <c r="T2" s="88"/>
      <c r="U2" s="88"/>
      <c r="V2" s="88"/>
    </row>
    <row r="3" spans="2:23" ht="60" customHeight="1">
      <c r="B3" s="16" t="s">
        <v>241</v>
      </c>
      <c r="C3" s="65" t="s">
        <v>245</v>
      </c>
      <c r="D3" s="65" t="s">
        <v>297</v>
      </c>
      <c r="E3" s="65" t="s">
        <v>235</v>
      </c>
      <c r="F3" s="65" t="s">
        <v>292</v>
      </c>
      <c r="G3" s="65" t="s">
        <v>41</v>
      </c>
      <c r="H3" s="65" t="s">
        <v>246</v>
      </c>
      <c r="I3" s="65" t="s">
        <v>236</v>
      </c>
      <c r="J3" s="65" t="s">
        <v>237</v>
      </c>
      <c r="K3" s="65" t="s">
        <v>289</v>
      </c>
      <c r="L3" s="65" t="s">
        <v>306</v>
      </c>
      <c r="M3" s="66" t="s">
        <v>312</v>
      </c>
      <c r="N3" s="65" t="s">
        <v>307</v>
      </c>
      <c r="O3" s="65" t="s">
        <v>311</v>
      </c>
      <c r="P3" s="65" t="s">
        <v>308</v>
      </c>
      <c r="Q3" s="65" t="s">
        <v>309</v>
      </c>
      <c r="R3" s="65" t="s">
        <v>310</v>
      </c>
      <c r="S3" s="65" t="s">
        <v>24</v>
      </c>
      <c r="T3" s="65" t="s">
        <v>238</v>
      </c>
      <c r="U3" s="65" t="s">
        <v>295</v>
      </c>
      <c r="V3" s="65" t="s">
        <v>239</v>
      </c>
      <c r="W3" s="16" t="s">
        <v>207</v>
      </c>
    </row>
    <row r="4" spans="2:23" ht="60" customHeight="1">
      <c r="B4" s="16" t="s">
        <v>254</v>
      </c>
      <c r="C4" s="39" t="s">
        <v>36</v>
      </c>
      <c r="D4" s="39" t="s">
        <v>36</v>
      </c>
      <c r="E4" s="39" t="s">
        <v>36</v>
      </c>
      <c r="F4" s="39" t="s">
        <v>36</v>
      </c>
      <c r="G4" s="39" t="s">
        <v>36</v>
      </c>
      <c r="H4" s="39" t="s">
        <v>36</v>
      </c>
      <c r="I4" s="39" t="s">
        <v>36</v>
      </c>
      <c r="J4" s="39" t="s">
        <v>36</v>
      </c>
      <c r="K4" s="39" t="s">
        <v>36</v>
      </c>
      <c r="L4" s="39" t="s">
        <v>36</v>
      </c>
      <c r="M4" s="39" t="s">
        <v>36</v>
      </c>
      <c r="N4" s="39" t="s">
        <v>36</v>
      </c>
      <c r="O4" s="39" t="s">
        <v>36</v>
      </c>
      <c r="P4" s="39" t="s">
        <v>36</v>
      </c>
      <c r="Q4" s="39"/>
      <c r="R4" s="39" t="s">
        <v>36</v>
      </c>
      <c r="S4" s="39" t="s">
        <v>36</v>
      </c>
      <c r="T4" s="39"/>
      <c r="U4" s="39"/>
      <c r="V4" s="39"/>
      <c r="W4" s="59"/>
    </row>
    <row r="5" spans="2:23" ht="60" customHeight="1">
      <c r="B5" s="36" t="s">
        <v>274</v>
      </c>
      <c r="C5" s="39" t="s">
        <v>323</v>
      </c>
      <c r="D5" s="39" t="s">
        <v>323</v>
      </c>
      <c r="E5" s="39" t="s">
        <v>323</v>
      </c>
      <c r="F5" s="39" t="s">
        <v>323</v>
      </c>
      <c r="G5" s="39" t="s">
        <v>323</v>
      </c>
      <c r="H5" s="39" t="s">
        <v>323</v>
      </c>
      <c r="I5" s="39" t="s">
        <v>323</v>
      </c>
      <c r="J5" s="39" t="s">
        <v>323</v>
      </c>
      <c r="K5" s="39" t="s">
        <v>323</v>
      </c>
      <c r="L5" s="39" t="s">
        <v>323</v>
      </c>
      <c r="M5" s="39" t="s">
        <v>323</v>
      </c>
      <c r="N5" s="39" t="s">
        <v>323</v>
      </c>
      <c r="O5" s="39" t="s">
        <v>367</v>
      </c>
      <c r="P5" s="39" t="s">
        <v>323</v>
      </c>
      <c r="Q5" s="39"/>
      <c r="R5" s="39" t="s">
        <v>323</v>
      </c>
      <c r="S5" s="39" t="s">
        <v>323</v>
      </c>
      <c r="T5" s="39"/>
      <c r="U5" s="39"/>
      <c r="V5" s="39"/>
      <c r="W5" s="59"/>
    </row>
    <row r="6" spans="2:23" ht="60" customHeight="1">
      <c r="B6" s="36" t="s">
        <v>255</v>
      </c>
      <c r="C6" s="39" t="s">
        <v>37</v>
      </c>
      <c r="D6" s="39" t="s">
        <v>37</v>
      </c>
      <c r="E6" s="39" t="s">
        <v>37</v>
      </c>
      <c r="F6" s="39" t="s">
        <v>37</v>
      </c>
      <c r="G6" s="39" t="s">
        <v>36</v>
      </c>
      <c r="H6" s="39" t="s">
        <v>37</v>
      </c>
      <c r="I6" s="39" t="s">
        <v>36</v>
      </c>
      <c r="J6" s="39" t="s">
        <v>37</v>
      </c>
      <c r="K6" s="39" t="s">
        <v>37</v>
      </c>
      <c r="L6" s="39" t="s">
        <v>37</v>
      </c>
      <c r="M6" s="39" t="s">
        <v>37</v>
      </c>
      <c r="N6" s="39" t="s">
        <v>37</v>
      </c>
      <c r="O6" s="39" t="s">
        <v>37</v>
      </c>
      <c r="P6" s="39" t="s">
        <v>37</v>
      </c>
      <c r="Q6" s="39"/>
      <c r="R6" s="39" t="s">
        <v>37</v>
      </c>
      <c r="S6" s="39" t="s">
        <v>37</v>
      </c>
      <c r="T6" s="39"/>
      <c r="U6" s="39"/>
      <c r="V6" s="39"/>
      <c r="W6" s="59"/>
    </row>
    <row r="7" spans="2:23" ht="60" customHeight="1">
      <c r="B7" s="36" t="s">
        <v>22</v>
      </c>
      <c r="C7" s="39" t="s">
        <v>383</v>
      </c>
      <c r="D7" s="39" t="s">
        <v>384</v>
      </c>
      <c r="E7" s="39" t="s">
        <v>385</v>
      </c>
      <c r="F7" s="39" t="s">
        <v>386</v>
      </c>
      <c r="G7" s="39" t="s">
        <v>387</v>
      </c>
      <c r="H7" s="39" t="s">
        <v>388</v>
      </c>
      <c r="I7" s="39" t="s">
        <v>389</v>
      </c>
      <c r="J7" s="39" t="s">
        <v>368</v>
      </c>
      <c r="K7" s="39" t="s">
        <v>390</v>
      </c>
      <c r="L7" s="39" t="s">
        <v>388</v>
      </c>
      <c r="M7" s="39" t="s">
        <v>391</v>
      </c>
      <c r="N7" s="39" t="s">
        <v>392</v>
      </c>
      <c r="O7" s="39" t="s">
        <v>393</v>
      </c>
      <c r="P7" s="39" t="s">
        <v>394</v>
      </c>
      <c r="Q7" s="39"/>
      <c r="R7" s="39"/>
      <c r="S7" s="39" t="s">
        <v>395</v>
      </c>
      <c r="T7" s="39"/>
      <c r="U7" s="39"/>
      <c r="V7" s="39"/>
      <c r="W7" s="59"/>
    </row>
    <row r="8" spans="2:23" ht="60" customHeight="1">
      <c r="B8" s="36" t="s">
        <v>273</v>
      </c>
      <c r="C8" s="39">
        <v>30</v>
      </c>
      <c r="D8" s="39">
        <v>29</v>
      </c>
      <c r="E8" s="39">
        <v>11</v>
      </c>
      <c r="F8" s="39">
        <v>63</v>
      </c>
      <c r="G8" s="39">
        <v>2</v>
      </c>
      <c r="H8" s="39">
        <v>55</v>
      </c>
      <c r="I8" s="39">
        <v>2</v>
      </c>
      <c r="J8" s="39"/>
      <c r="K8" s="39">
        <v>63</v>
      </c>
      <c r="L8" s="39">
        <v>55</v>
      </c>
      <c r="M8" s="39">
        <v>4</v>
      </c>
      <c r="N8" s="39">
        <v>2</v>
      </c>
      <c r="O8" s="39">
        <v>5</v>
      </c>
      <c r="P8" s="39">
        <v>10</v>
      </c>
      <c r="Q8" s="39"/>
      <c r="R8" s="39"/>
      <c r="S8" s="39">
        <v>10</v>
      </c>
      <c r="T8" s="39"/>
      <c r="U8" s="39"/>
      <c r="V8" s="39"/>
      <c r="W8" s="59"/>
    </row>
    <row r="9" spans="2:23" ht="60" customHeight="1">
      <c r="B9" s="36" t="s">
        <v>256</v>
      </c>
      <c r="C9" s="39" t="s">
        <v>396</v>
      </c>
      <c r="D9" s="39" t="s">
        <v>397</v>
      </c>
      <c r="E9" s="39" t="s">
        <v>398</v>
      </c>
      <c r="F9" s="39" t="s">
        <v>399</v>
      </c>
      <c r="G9" s="39" t="s">
        <v>400</v>
      </c>
      <c r="H9" s="39"/>
      <c r="I9" s="39"/>
      <c r="J9" s="39" t="s">
        <v>369</v>
      </c>
      <c r="K9" s="39" t="s">
        <v>401</v>
      </c>
      <c r="L9" s="39"/>
      <c r="M9" s="39" t="s">
        <v>402</v>
      </c>
      <c r="N9" s="39"/>
      <c r="O9" s="39" t="s">
        <v>403</v>
      </c>
      <c r="P9" s="39" t="s">
        <v>404</v>
      </c>
      <c r="Q9" s="39"/>
      <c r="R9" s="39"/>
      <c r="S9" s="39" t="s">
        <v>370</v>
      </c>
      <c r="T9" s="39"/>
      <c r="U9" s="39"/>
      <c r="V9" s="39"/>
      <c r="W9" s="59"/>
    </row>
    <row r="10" spans="2:23" ht="60" customHeight="1">
      <c r="B10" s="36" t="s">
        <v>304</v>
      </c>
      <c r="C10" s="39"/>
      <c r="D10" s="39"/>
      <c r="E10" s="39"/>
      <c r="F10" s="39"/>
      <c r="G10" s="39"/>
      <c r="H10" s="39"/>
      <c r="I10" s="39"/>
      <c r="J10" s="39" t="s">
        <v>371</v>
      </c>
      <c r="K10" s="39" t="s">
        <v>371</v>
      </c>
      <c r="L10" s="39"/>
      <c r="M10" s="39"/>
      <c r="N10" s="39"/>
      <c r="O10" s="39"/>
      <c r="P10" s="39"/>
      <c r="Q10" s="39"/>
      <c r="R10" s="39"/>
      <c r="S10" s="39" t="s">
        <v>372</v>
      </c>
      <c r="T10" s="39"/>
      <c r="U10" s="39"/>
      <c r="V10" s="39"/>
      <c r="W10" s="59"/>
    </row>
    <row r="11" spans="2:23" ht="60" customHeight="1">
      <c r="B11" s="36" t="s">
        <v>275</v>
      </c>
      <c r="C11" s="39" t="s">
        <v>405</v>
      </c>
      <c r="D11" s="39" t="s">
        <v>406</v>
      </c>
      <c r="E11" s="39" t="s">
        <v>405</v>
      </c>
      <c r="F11" s="39" t="s">
        <v>407</v>
      </c>
      <c r="G11" s="67" t="s">
        <v>405</v>
      </c>
      <c r="H11" s="39" t="s">
        <v>405</v>
      </c>
      <c r="I11" s="39" t="s">
        <v>405</v>
      </c>
      <c r="J11" s="39" t="s">
        <v>373</v>
      </c>
      <c r="K11" s="39" t="s">
        <v>407</v>
      </c>
      <c r="L11" s="39" t="s">
        <v>405</v>
      </c>
      <c r="M11" s="39" t="s">
        <v>406</v>
      </c>
      <c r="N11" s="39" t="s">
        <v>408</v>
      </c>
      <c r="O11" s="39" t="s">
        <v>408</v>
      </c>
      <c r="P11" s="39" t="s">
        <v>405</v>
      </c>
      <c r="Q11" s="39"/>
      <c r="R11" s="39"/>
      <c r="S11" s="39" t="s">
        <v>373</v>
      </c>
      <c r="T11" s="39"/>
      <c r="U11" s="39"/>
      <c r="V11" s="39"/>
      <c r="W11" s="59"/>
    </row>
    <row r="12" spans="2:23" ht="60" customHeight="1">
      <c r="B12" s="16" t="s">
        <v>257</v>
      </c>
      <c r="C12" s="39" t="s">
        <v>409</v>
      </c>
      <c r="D12" s="39" t="s">
        <v>410</v>
      </c>
      <c r="E12" s="39" t="s">
        <v>411</v>
      </c>
      <c r="F12" s="39" t="s">
        <v>412</v>
      </c>
      <c r="G12" s="39" t="s">
        <v>413</v>
      </c>
      <c r="H12" s="39"/>
      <c r="I12" s="39" t="s">
        <v>414</v>
      </c>
      <c r="J12" s="39" t="s">
        <v>374</v>
      </c>
      <c r="K12" s="39" t="s">
        <v>412</v>
      </c>
      <c r="L12" s="39"/>
      <c r="M12" s="39"/>
      <c r="N12" s="39"/>
      <c r="O12" s="39"/>
      <c r="P12" s="39"/>
      <c r="Q12" s="39"/>
      <c r="R12" s="39"/>
      <c r="S12" s="39" t="s">
        <v>374</v>
      </c>
      <c r="T12" s="39"/>
      <c r="U12" s="39"/>
      <c r="V12" s="39"/>
      <c r="W12" s="59"/>
    </row>
    <row r="13" spans="2:23" ht="60" customHeight="1">
      <c r="B13" s="36" t="s">
        <v>252</v>
      </c>
      <c r="C13" s="39"/>
      <c r="D13" s="39"/>
      <c r="E13" s="39"/>
      <c r="F13" s="39"/>
      <c r="G13" s="39"/>
      <c r="H13" s="39"/>
      <c r="I13" s="39"/>
      <c r="J13" s="39" t="s">
        <v>375</v>
      </c>
      <c r="K13" s="39" t="s">
        <v>375</v>
      </c>
      <c r="L13" s="39"/>
      <c r="M13" s="39"/>
      <c r="N13" s="39"/>
      <c r="O13" s="39"/>
      <c r="P13" s="39"/>
      <c r="Q13" s="39"/>
      <c r="R13" s="39"/>
      <c r="S13" s="39" t="s">
        <v>376</v>
      </c>
      <c r="T13" s="39"/>
      <c r="U13" s="39"/>
      <c r="V13" s="39"/>
      <c r="W13" s="59"/>
    </row>
    <row r="14" spans="2:23" ht="60" customHeight="1">
      <c r="B14" s="16" t="s">
        <v>248</v>
      </c>
      <c r="C14" s="39" t="s">
        <v>415</v>
      </c>
      <c r="D14" s="39" t="s">
        <v>415</v>
      </c>
      <c r="E14" s="39" t="s">
        <v>415</v>
      </c>
      <c r="F14" s="39" t="s">
        <v>415</v>
      </c>
      <c r="G14" s="39" t="s">
        <v>416</v>
      </c>
      <c r="H14" s="39" t="s">
        <v>416</v>
      </c>
      <c r="I14" s="39" t="s">
        <v>415</v>
      </c>
      <c r="J14" s="39" t="s">
        <v>415</v>
      </c>
      <c r="K14" s="39" t="s">
        <v>415</v>
      </c>
      <c r="L14" s="39"/>
      <c r="M14" s="39"/>
      <c r="N14" s="39"/>
      <c r="O14" s="39"/>
      <c r="P14" s="39"/>
      <c r="Q14" s="39"/>
      <c r="R14" s="39" t="s">
        <v>417</v>
      </c>
      <c r="S14" s="39" t="s">
        <v>417</v>
      </c>
      <c r="T14" s="39"/>
      <c r="U14" s="39"/>
      <c r="V14" s="39"/>
      <c r="W14" s="59"/>
    </row>
    <row r="15" spans="2:23" ht="60" customHeight="1">
      <c r="B15" s="16" t="s">
        <v>251</v>
      </c>
      <c r="C15" s="39" t="s">
        <v>415</v>
      </c>
      <c r="D15" s="39" t="s">
        <v>415</v>
      </c>
      <c r="E15" s="39" t="s">
        <v>415</v>
      </c>
      <c r="F15" s="39" t="s">
        <v>415</v>
      </c>
      <c r="G15" s="39" t="s">
        <v>416</v>
      </c>
      <c r="H15" s="39" t="s">
        <v>416</v>
      </c>
      <c r="I15" s="39" t="s">
        <v>415</v>
      </c>
      <c r="J15" s="39" t="s">
        <v>415</v>
      </c>
      <c r="K15" s="39" t="s">
        <v>415</v>
      </c>
      <c r="L15" s="39"/>
      <c r="M15" s="39"/>
      <c r="N15" s="39"/>
      <c r="O15" s="39"/>
      <c r="P15" s="39"/>
      <c r="Q15" s="39"/>
      <c r="R15" s="39" t="s">
        <v>417</v>
      </c>
      <c r="S15" s="39" t="s">
        <v>417</v>
      </c>
      <c r="T15" s="39"/>
      <c r="U15" s="39"/>
      <c r="V15" s="39"/>
      <c r="W15" s="59"/>
    </row>
    <row r="16" spans="2:23" ht="60" customHeight="1">
      <c r="B16" s="36" t="s">
        <v>253</v>
      </c>
      <c r="C16" s="39" t="s">
        <v>418</v>
      </c>
      <c r="D16" s="39" t="s">
        <v>419</v>
      </c>
      <c r="E16" s="39" t="s">
        <v>420</v>
      </c>
      <c r="F16" s="39" t="s">
        <v>421</v>
      </c>
      <c r="G16" s="39" t="s">
        <v>420</v>
      </c>
      <c r="H16" s="39" t="s">
        <v>420</v>
      </c>
      <c r="I16" s="39" t="s">
        <v>420</v>
      </c>
      <c r="J16" s="39" t="s">
        <v>375</v>
      </c>
      <c r="K16" s="39" t="s">
        <v>375</v>
      </c>
      <c r="L16" s="39"/>
      <c r="M16" s="39" t="s">
        <v>422</v>
      </c>
      <c r="N16" s="39" t="s">
        <v>423</v>
      </c>
      <c r="O16" s="39" t="s">
        <v>424</v>
      </c>
      <c r="P16" s="39" t="s">
        <v>421</v>
      </c>
      <c r="Q16" s="39"/>
      <c r="R16" s="39" t="s">
        <v>425</v>
      </c>
      <c r="S16" s="39" t="s">
        <v>420</v>
      </c>
      <c r="T16" s="39"/>
      <c r="U16" s="39"/>
      <c r="V16" s="39"/>
      <c r="W16" s="59"/>
    </row>
    <row r="17" spans="2:23" ht="60" customHeight="1">
      <c r="B17" s="16" t="s">
        <v>249</v>
      </c>
      <c r="C17" s="39" t="s">
        <v>426</v>
      </c>
      <c r="D17" s="39" t="s">
        <v>427</v>
      </c>
      <c r="E17" s="39" t="s">
        <v>428</v>
      </c>
      <c r="F17" s="39" t="s">
        <v>429</v>
      </c>
      <c r="G17" s="39" t="s">
        <v>428</v>
      </c>
      <c r="H17" s="39" t="s">
        <v>428</v>
      </c>
      <c r="I17" s="39" t="s">
        <v>428</v>
      </c>
      <c r="J17" s="39" t="s">
        <v>430</v>
      </c>
      <c r="K17" s="39" t="s">
        <v>430</v>
      </c>
      <c r="L17" s="39"/>
      <c r="M17" s="39" t="s">
        <v>426</v>
      </c>
      <c r="N17" s="39" t="s">
        <v>431</v>
      </c>
      <c r="O17" s="39" t="s">
        <v>432</v>
      </c>
      <c r="P17" s="39" t="s">
        <v>429</v>
      </c>
      <c r="Q17" s="39"/>
      <c r="R17" s="39" t="s">
        <v>433</v>
      </c>
      <c r="S17" s="39" t="s">
        <v>430</v>
      </c>
      <c r="T17" s="39"/>
      <c r="U17" s="39"/>
      <c r="V17" s="39"/>
      <c r="W17" s="59"/>
    </row>
    <row r="18" spans="2:23" ht="60" customHeight="1">
      <c r="B18" s="16" t="s">
        <v>250</v>
      </c>
      <c r="C18" s="39" t="s">
        <v>434</v>
      </c>
      <c r="D18" s="39" t="s">
        <v>435</v>
      </c>
      <c r="E18" s="39" t="s">
        <v>428</v>
      </c>
      <c r="F18" s="39" t="s">
        <v>436</v>
      </c>
      <c r="G18" s="39" t="s">
        <v>428</v>
      </c>
      <c r="H18" s="39" t="s">
        <v>428</v>
      </c>
      <c r="I18" s="39" t="s">
        <v>428</v>
      </c>
      <c r="J18" s="39" t="s">
        <v>377</v>
      </c>
      <c r="K18" s="39" t="s">
        <v>377</v>
      </c>
      <c r="L18" s="39"/>
      <c r="M18" s="39" t="s">
        <v>434</v>
      </c>
      <c r="N18" s="39" t="s">
        <v>437</v>
      </c>
      <c r="O18" s="39" t="s">
        <v>438</v>
      </c>
      <c r="P18" s="39" t="s">
        <v>436</v>
      </c>
      <c r="Q18" s="39"/>
      <c r="R18" s="39" t="s">
        <v>439</v>
      </c>
      <c r="S18" s="39" t="s">
        <v>377</v>
      </c>
      <c r="T18" s="39"/>
      <c r="U18" s="39"/>
      <c r="V18" s="39"/>
      <c r="W18" s="59"/>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54"/>
  <sheetViews>
    <sheetView showGridLines="0" topLeftCell="A25" zoomScale="130" zoomScaleNormal="130" workbookViewId="0">
      <selection activeCell="A38" sqref="A38:XFD42"/>
    </sheetView>
  </sheetViews>
  <sheetFormatPr baseColWidth="10" defaultColWidth="10.83203125" defaultRowHeight="16"/>
  <cols>
    <col min="1" max="1" width="5.5" customWidth="1"/>
    <col min="2" max="2" width="10.83203125" style="75"/>
  </cols>
  <sheetData>
    <row r="3" spans="2:11" ht="34" customHeight="1">
      <c r="B3" s="87" t="s">
        <v>224</v>
      </c>
      <c r="C3" s="87"/>
      <c r="D3" s="87"/>
      <c r="E3" s="87"/>
      <c r="F3" s="87"/>
      <c r="G3" s="87"/>
      <c r="H3" s="87"/>
      <c r="I3" s="87"/>
      <c r="J3" s="87"/>
      <c r="K3" s="87"/>
    </row>
    <row r="4" spans="2:11" ht="34" customHeight="1">
      <c r="B4" s="87"/>
      <c r="C4" s="87"/>
      <c r="D4" s="87"/>
      <c r="E4" s="87"/>
      <c r="F4" s="87"/>
      <c r="G4" s="87"/>
      <c r="H4" s="87"/>
      <c r="I4" s="87"/>
      <c r="J4" s="87"/>
      <c r="K4" s="87"/>
    </row>
    <row r="5" spans="2:11" ht="34" customHeight="1">
      <c r="B5" s="87"/>
      <c r="C5" s="87"/>
      <c r="D5" s="87"/>
      <c r="E5" s="87"/>
      <c r="F5" s="87"/>
      <c r="G5" s="87"/>
      <c r="H5" s="87"/>
      <c r="I5" s="87"/>
      <c r="J5" s="87"/>
      <c r="K5" s="87"/>
    </row>
    <row r="6" spans="2:11" ht="34" customHeight="1">
      <c r="B6" s="87"/>
      <c r="C6" s="87"/>
      <c r="D6" s="87"/>
      <c r="E6" s="87"/>
      <c r="F6" s="87"/>
      <c r="G6" s="87"/>
      <c r="H6" s="87"/>
      <c r="I6" s="87"/>
      <c r="J6" s="87"/>
      <c r="K6" s="87"/>
    </row>
    <row r="7" spans="2:11">
      <c r="B7"/>
    </row>
    <row r="8" spans="2:11">
      <c r="B8"/>
    </row>
    <row r="9" spans="2:11">
      <c r="B9"/>
    </row>
    <row r="10" spans="2:11">
      <c r="B10"/>
    </row>
    <row r="11" spans="2:11">
      <c r="B11"/>
    </row>
    <row r="12" spans="2:11">
      <c r="B12" s="77"/>
    </row>
    <row r="13" spans="2:11">
      <c r="B13"/>
    </row>
    <row r="14" spans="2:11">
      <c r="B14"/>
    </row>
    <row r="15" spans="2:11">
      <c r="B15" s="77"/>
    </row>
    <row r="16" spans="2:11">
      <c r="B16"/>
    </row>
    <row r="17" spans="2:2">
      <c r="B17"/>
    </row>
    <row r="18" spans="2:2">
      <c r="B18" s="77"/>
    </row>
    <row r="19" spans="2:2">
      <c r="B19"/>
    </row>
    <row r="20" spans="2:2">
      <c r="B20"/>
    </row>
    <row r="21" spans="2:2">
      <c r="B21" s="77"/>
    </row>
    <row r="22" spans="2:2">
      <c r="B22"/>
    </row>
    <row r="23" spans="2:2">
      <c r="B23"/>
    </row>
    <row r="24" spans="2:2">
      <c r="B24" s="77"/>
    </row>
    <row r="25" spans="2:2">
      <c r="B25"/>
    </row>
    <row r="26" spans="2:2">
      <c r="B26"/>
    </row>
    <row r="27" spans="2:2">
      <c r="B27"/>
    </row>
    <row r="28" spans="2:2">
      <c r="B28"/>
    </row>
    <row r="29" spans="2:2">
      <c r="B29"/>
    </row>
    <row r="30" spans="2:2">
      <c r="B30"/>
    </row>
    <row r="31" spans="2:2">
      <c r="B31"/>
    </row>
    <row r="32" spans="2:2">
      <c r="B32"/>
    </row>
    <row r="33" spans="2:3">
      <c r="B33"/>
    </row>
    <row r="34" spans="2:3">
      <c r="B34"/>
    </row>
    <row r="35" spans="2:3">
      <c r="B35"/>
    </row>
    <row r="36" spans="2:3">
      <c r="B36"/>
    </row>
    <row r="37" spans="2:3">
      <c r="B37"/>
    </row>
    <row r="38" spans="2:3" ht="16" customHeight="1">
      <c r="B38" s="76" t="s">
        <v>440</v>
      </c>
    </row>
    <row r="39" spans="2:3" ht="16" customHeight="1">
      <c r="B39" s="76">
        <v>2026</v>
      </c>
      <c r="C39" t="s">
        <v>366</v>
      </c>
    </row>
    <row r="40" spans="2:3">
      <c r="B40" s="76">
        <v>2027</v>
      </c>
      <c r="C40" t="s">
        <v>364</v>
      </c>
    </row>
    <row r="41" spans="2:3">
      <c r="B41" s="76">
        <v>2028</v>
      </c>
      <c r="C41" t="s">
        <v>365</v>
      </c>
    </row>
    <row r="42" spans="2:3">
      <c r="B42" s="76"/>
    </row>
    <row r="43" spans="2:3">
      <c r="B43" s="76"/>
    </row>
    <row r="44" spans="2:3">
      <c r="B44" s="76"/>
    </row>
    <row r="45" spans="2:3">
      <c r="B45" s="76"/>
    </row>
    <row r="46" spans="2:3">
      <c r="B46" s="76"/>
    </row>
    <row r="47" spans="2:3">
      <c r="B47" s="76"/>
    </row>
    <row r="48" spans="2:3">
      <c r="B48" s="76"/>
    </row>
    <row r="49" spans="2:2">
      <c r="B49" s="76"/>
    </row>
    <row r="50" spans="2:2">
      <c r="B50" s="76"/>
    </row>
    <row r="51" spans="2:2">
      <c r="B51" s="76"/>
    </row>
    <row r="52" spans="2:2">
      <c r="B52" s="76"/>
    </row>
    <row r="53" spans="2:2">
      <c r="B53" s="76"/>
    </row>
    <row r="54" spans="2:2">
      <c r="B54" s="76"/>
    </row>
  </sheetData>
  <mergeCells count="1">
    <mergeCell ref="B3:K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zoomScaleNormal="100" workbookViewId="0">
      <selection activeCell="B16" sqref="B16"/>
    </sheetView>
  </sheetViews>
  <sheetFormatPr baseColWidth="10" defaultRowHeight="20"/>
  <cols>
    <col min="1" max="1" width="4.1640625" style="54" customWidth="1"/>
    <col min="2" max="2" width="200.83203125" style="10" customWidth="1"/>
    <col min="3" max="3" width="67.5" style="13" customWidth="1"/>
    <col min="4" max="16384" width="10.83203125" style="48"/>
  </cols>
  <sheetData>
    <row r="2" spans="2:4" ht="21">
      <c r="B2" s="8" t="s">
        <v>233</v>
      </c>
      <c r="C2" s="11"/>
    </row>
    <row r="3" spans="2:4" ht="21">
      <c r="B3" s="41" t="s">
        <v>231</v>
      </c>
      <c r="C3" s="56"/>
    </row>
    <row r="4" spans="2:4" ht="21">
      <c r="B4" s="55" t="s">
        <v>260</v>
      </c>
      <c r="C4" s="56"/>
    </row>
    <row r="5" spans="2:4" ht="63">
      <c r="B5" s="53" t="s">
        <v>282</v>
      </c>
      <c r="C5" s="47" t="s">
        <v>36</v>
      </c>
      <c r="D5" s="49" t="s">
        <v>283</v>
      </c>
    </row>
    <row r="6" spans="2:4" ht="21">
      <c r="B6" s="55" t="s">
        <v>259</v>
      </c>
      <c r="C6" s="56"/>
      <c r="D6" s="49"/>
    </row>
    <row r="7" spans="2:4" ht="63">
      <c r="B7" s="53" t="s">
        <v>221</v>
      </c>
      <c r="C7" s="47" t="s">
        <v>36</v>
      </c>
      <c r="D7" s="49" t="s">
        <v>276</v>
      </c>
    </row>
    <row r="8" spans="2:4" ht="21">
      <c r="B8" s="55" t="s">
        <v>258</v>
      </c>
      <c r="C8" s="56"/>
    </row>
    <row r="9" spans="2:4" ht="63">
      <c r="B9" s="53" t="s">
        <v>222</v>
      </c>
      <c r="C9" s="47" t="s">
        <v>36</v>
      </c>
    </row>
    <row r="10" spans="2:4" ht="21">
      <c r="B10" s="55" t="s">
        <v>279</v>
      </c>
      <c r="C10" s="56"/>
    </row>
    <row r="11" spans="2:4" ht="63">
      <c r="B11" s="53" t="s">
        <v>317</v>
      </c>
      <c r="C11" s="47" t="s">
        <v>36</v>
      </c>
    </row>
    <row r="12" spans="2:4" ht="21">
      <c r="B12" s="41" t="s">
        <v>230</v>
      </c>
      <c r="C12" s="56"/>
    </row>
    <row r="13" spans="2:4" ht="21">
      <c r="B13" s="55" t="s">
        <v>232</v>
      </c>
      <c r="C13" s="56"/>
    </row>
    <row r="14" spans="2:4" ht="42">
      <c r="B14" s="53" t="s">
        <v>219</v>
      </c>
      <c r="C14" s="47" t="s">
        <v>37</v>
      </c>
    </row>
    <row r="15" spans="2:4" ht="21">
      <c r="B15" s="55" t="s">
        <v>228</v>
      </c>
      <c r="C15" s="56"/>
    </row>
    <row r="16" spans="2:4" ht="42">
      <c r="B16" s="53" t="s">
        <v>220</v>
      </c>
      <c r="C16" s="47" t="s">
        <v>36</v>
      </c>
    </row>
    <row r="17" spans="2:3" ht="21">
      <c r="B17" s="55" t="s">
        <v>229</v>
      </c>
      <c r="C17" s="56"/>
    </row>
    <row r="18" spans="2:3" ht="42">
      <c r="B18" s="53" t="s">
        <v>223</v>
      </c>
      <c r="C18" s="47" t="s">
        <v>36</v>
      </c>
    </row>
    <row r="19" spans="2:3" ht="21">
      <c r="B19" s="55" t="s">
        <v>261</v>
      </c>
      <c r="C19" s="56"/>
    </row>
    <row r="20" spans="2:3" ht="63">
      <c r="B20" s="53" t="s">
        <v>281</v>
      </c>
      <c r="C20" s="47" t="s">
        <v>36</v>
      </c>
    </row>
    <row r="21" spans="2:3" ht="21">
      <c r="B21" s="55" t="s">
        <v>298</v>
      </c>
      <c r="C21" s="56"/>
    </row>
    <row r="22" spans="2:3" ht="63">
      <c r="B22" s="53" t="s">
        <v>300</v>
      </c>
      <c r="C22" s="47" t="s">
        <v>36</v>
      </c>
    </row>
    <row r="23" spans="2:3" ht="21">
      <c r="B23" s="55" t="s">
        <v>303</v>
      </c>
      <c r="C23" s="56"/>
    </row>
    <row r="24" spans="2:3" ht="84">
      <c r="B24" s="53" t="s">
        <v>301</v>
      </c>
      <c r="C24" s="47" t="s">
        <v>36</v>
      </c>
    </row>
    <row r="25" spans="2:3" ht="21">
      <c r="B25" s="55" t="s">
        <v>299</v>
      </c>
      <c r="C25" s="56"/>
    </row>
    <row r="26" spans="2:3" ht="84">
      <c r="B26" s="53" t="s">
        <v>302</v>
      </c>
      <c r="C26" s="47" t="s">
        <v>36</v>
      </c>
    </row>
    <row r="27" spans="2:3" ht="21">
      <c r="B27" s="55" t="s">
        <v>313</v>
      </c>
      <c r="C27" s="56"/>
    </row>
    <row r="28" spans="2:3" ht="84">
      <c r="B28" s="53" t="s">
        <v>315</v>
      </c>
      <c r="C28" s="47" t="s">
        <v>36</v>
      </c>
    </row>
  </sheetData>
  <sheetProtection algorithmName="SHA-512" hashValue="XeW6bUAKnm43j4meWYPApqpxgIUvkc+kiljCp7h71QUV2ZgishBBRb5NF7kP+72LnQELXBDhMs+rLegAjSnArA==" saltValue="2/ZNlC/KVpLBc1AR6Z48Dw==" spinCount="100000" sheet="1" objects="1" scenarios="1"/>
  <conditionalFormatting sqref="C5">
    <cfRule type="notContainsBlanks" dxfId="53" priority="72" stopIfTrue="1">
      <formula>LEN(TRIM(C5))&gt;0</formula>
    </cfRule>
    <cfRule type="containsText" dxfId="52" priority="71" operator="containsText" text="No">
      <formula>NOT(ISERROR(SEARCH("No",C5)))</formula>
    </cfRule>
    <cfRule type="containsText" dxfId="51" priority="70" operator="containsText" text="Yes">
      <formula>NOT(ISERROR(SEARCH("Yes",C5)))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notContainsBlanks" dxfId="47" priority="27" stopIfTrue="1">
      <formula>LEN(TRIM(C9))&gt;0</formula>
    </cfRule>
    <cfRule type="containsText" dxfId="46" priority="25" operator="containsText" text="Yes">
      <formula>NOT(ISERROR(SEARCH("Yes",C9)))</formula>
    </cfRule>
    <cfRule type="containsText" dxfId="45" priority="26" operator="containsText" text="No">
      <formula>NOT(ISERROR(SEARCH("No",C9)))</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notContainsBlanks" dxfId="41" priority="54" stopIfTrue="1">
      <formula>LEN(TRIM(C12))&gt;0</formula>
    </cfRule>
    <cfRule type="containsText" dxfId="40" priority="43" operator="containsText" text="Yes">
      <formula>NOT(ISERROR(SEARCH("Yes",C12)))</formula>
    </cfRule>
    <cfRule type="containsText" dxfId="39" priority="44" operator="containsText" text="No">
      <formula>NOT(ISERROR(SEARCH("No",C12)))</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notContainsBlanks" dxfId="23" priority="21" stopIfTrue="1">
      <formula>LEN(TRIM(C16))&gt;0</formula>
    </cfRule>
    <cfRule type="containsText" dxfId="22" priority="20" operator="containsText" text="No">
      <formula>NOT(ISERROR(SEARCH("No",C16)))</formula>
    </cfRule>
    <cfRule type="containsText" dxfId="21" priority="19" operator="containsText" text="Yes">
      <formula>NOT(ISERROR(SEARCH("Yes",C16)))</formula>
    </cfRule>
    <cfRule type="containsText" dxfId="20" priority="37" operator="containsText" text="Yes">
      <formula>NOT(ISERROR(SEARCH("Yes",C16)))</formula>
    </cfRule>
    <cfRule type="containsText" dxfId="19" priority="38" operator="containsText" text="No">
      <formula>NOT(ISERROR(SEARCH("No",C16)))</formula>
    </cfRule>
    <cfRule type="notContainsBlanks" dxfId="18" priority="39"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containsText" dxfId="14" priority="13" operator="containsText" text="Yes">
      <formula>NOT(ISERROR(SEARCH("Yes",C20)))</formula>
    </cfRule>
    <cfRule type="containsText" dxfId="13" priority="14" operator="containsText" text="No">
      <formula>NOT(ISERROR(SEARCH("No",C20)))</formula>
    </cfRule>
    <cfRule type="notContainsBlanks" dxfId="12" priority="15" stopIfTrue="1">
      <formula>LEN(TRIM(C20))&gt;0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notContainsBlanks" dxfId="2" priority="3" stopIfTrue="1">
      <formula>LEN(TRIM(C28))&gt;0</formula>
    </cfRule>
    <cfRule type="containsText" dxfId="1" priority="2" operator="containsText" text="No">
      <formula>NOT(ISERROR(SEARCH("No",C28)))</formula>
    </cfRule>
    <cfRule type="containsText" dxfId="0" priority="1" operator="containsText" text="Yes">
      <formula>NOT(ISERROR(SEARCH("Yes",C28)))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baseColWidth="10" defaultRowHeight="16"/>
  <cols>
    <col min="1" max="1" width="14.6640625" style="1" bestFit="1" customWidth="1"/>
    <col min="2" max="2" width="10.83203125" style="1"/>
    <col min="3" max="3" width="60" style="1" bestFit="1" customWidth="1"/>
    <col min="4" max="4" width="10.83203125" style="1"/>
    <col min="5" max="5" width="7.1640625" style="1" bestFit="1" customWidth="1"/>
    <col min="6" max="6" width="10.83203125" style="1"/>
    <col min="7" max="7" width="17" style="1" bestFit="1" customWidth="1"/>
    <col min="8" max="8" width="21" style="1" customWidth="1"/>
    <col min="9" max="10" width="10.83203125" style="1"/>
    <col min="11" max="11" width="12" style="1" customWidth="1"/>
    <col min="12" max="16384" width="10.83203125" style="1"/>
  </cols>
  <sheetData>
    <row r="1" spans="1:7">
      <c r="A1" s="1" t="s">
        <v>104</v>
      </c>
      <c r="C1" s="7" t="s">
        <v>23</v>
      </c>
      <c r="E1" s="5" t="s">
        <v>35</v>
      </c>
      <c r="G1" s="5" t="s">
        <v>47</v>
      </c>
    </row>
    <row r="2" spans="1:7">
      <c r="A2" s="1" t="s">
        <v>12</v>
      </c>
      <c r="C2" s="1" t="s">
        <v>26</v>
      </c>
      <c r="E2" s="1" t="s">
        <v>36</v>
      </c>
      <c r="G2" s="1" t="s">
        <v>48</v>
      </c>
    </row>
    <row r="3" spans="1:7">
      <c r="A3" s="1" t="s">
        <v>105</v>
      </c>
      <c r="C3" s="1" t="s">
        <v>24</v>
      </c>
      <c r="E3" s="1" t="s">
        <v>37</v>
      </c>
      <c r="G3" s="1" t="s">
        <v>49</v>
      </c>
    </row>
    <row r="4" spans="1:7">
      <c r="C4" s="1" t="s">
        <v>28</v>
      </c>
      <c r="G4" s="1" t="s">
        <v>50</v>
      </c>
    </row>
    <row r="5" spans="1:7">
      <c r="C5" s="1" t="s">
        <v>44</v>
      </c>
      <c r="G5" s="1" t="s">
        <v>51</v>
      </c>
    </row>
    <row r="6" spans="1:7">
      <c r="C6" s="1" t="s">
        <v>27</v>
      </c>
      <c r="G6" s="1" t="s">
        <v>52</v>
      </c>
    </row>
    <row r="7" spans="1:7">
      <c r="C7" s="1" t="s">
        <v>38</v>
      </c>
      <c r="G7" s="1" t="s">
        <v>53</v>
      </c>
    </row>
    <row r="8" spans="1:7">
      <c r="C8" s="1" t="s">
        <v>25</v>
      </c>
      <c r="G8" s="1" t="s">
        <v>54</v>
      </c>
    </row>
    <row r="9" spans="1:7">
      <c r="C9" s="1" t="s">
        <v>29</v>
      </c>
      <c r="G9" s="1" t="s">
        <v>55</v>
      </c>
    </row>
    <row r="10" spans="1:7">
      <c r="C10" s="1" t="s">
        <v>39</v>
      </c>
      <c r="G10" s="1" t="s">
        <v>56</v>
      </c>
    </row>
    <row r="11" spans="1:7">
      <c r="C11" s="1" t="s">
        <v>40</v>
      </c>
      <c r="G11" s="1" t="s">
        <v>57</v>
      </c>
    </row>
    <row r="12" spans="1:7">
      <c r="C12" s="1" t="s">
        <v>46</v>
      </c>
      <c r="G12" s="1" t="s">
        <v>58</v>
      </c>
    </row>
    <row r="13" spans="1:7">
      <c r="C13" s="1" t="s">
        <v>41</v>
      </c>
      <c r="G13" s="1" t="s">
        <v>59</v>
      </c>
    </row>
    <row r="14" spans="1:7">
      <c r="C14" s="1" t="s">
        <v>32</v>
      </c>
      <c r="G14" s="1" t="s">
        <v>60</v>
      </c>
    </row>
    <row r="15" spans="1:7">
      <c r="C15" s="1" t="s">
        <v>33</v>
      </c>
      <c r="G15" s="1" t="s">
        <v>61</v>
      </c>
    </row>
    <row r="16" spans="1:7">
      <c r="C16" s="1" t="s">
        <v>30</v>
      </c>
      <c r="G16" s="1" t="s">
        <v>62</v>
      </c>
    </row>
    <row r="17" spans="3:7">
      <c r="C17" s="1" t="s">
        <v>45</v>
      </c>
      <c r="G17" s="1" t="s">
        <v>63</v>
      </c>
    </row>
    <row r="18" spans="3:7">
      <c r="C18" s="1" t="s">
        <v>31</v>
      </c>
      <c r="G18" s="1" t="s">
        <v>64</v>
      </c>
    </row>
    <row r="19" spans="3:7">
      <c r="C19" s="1" t="s">
        <v>42</v>
      </c>
      <c r="G19" s="1" t="s">
        <v>65</v>
      </c>
    </row>
    <row r="20" spans="3:7">
      <c r="C20" s="1" t="s">
        <v>43</v>
      </c>
      <c r="G20" s="1" t="s">
        <v>66</v>
      </c>
    </row>
    <row r="21" spans="3:7">
      <c r="C21" s="1" t="s">
        <v>34</v>
      </c>
      <c r="G21" s="1" t="s">
        <v>67</v>
      </c>
    </row>
    <row r="22" spans="3:7">
      <c r="G22" s="1" t="s">
        <v>68</v>
      </c>
    </row>
    <row r="23" spans="3:7">
      <c r="G23" s="1" t="s">
        <v>69</v>
      </c>
    </row>
    <row r="24" spans="3:7">
      <c r="G24" s="1" t="s">
        <v>70</v>
      </c>
    </row>
    <row r="25" spans="3:7">
      <c r="G25" s="1" t="s">
        <v>71</v>
      </c>
    </row>
    <row r="26" spans="3:7">
      <c r="G26" s="1" t="s">
        <v>72</v>
      </c>
    </row>
    <row r="27" spans="3:7">
      <c r="G27" s="1" t="s">
        <v>73</v>
      </c>
    </row>
    <row r="28" spans="3:7">
      <c r="G28" s="1" t="s">
        <v>74</v>
      </c>
    </row>
    <row r="29" spans="3:7">
      <c r="G29" s="1" t="s">
        <v>75</v>
      </c>
    </row>
    <row r="30" spans="3:7">
      <c r="G30" s="1" t="s">
        <v>76</v>
      </c>
    </row>
    <row r="31" spans="3:7">
      <c r="G31" s="1" t="s">
        <v>77</v>
      </c>
    </row>
    <row r="32" spans="3:7">
      <c r="G32" s="1" t="s">
        <v>78</v>
      </c>
    </row>
    <row r="33" spans="7:7">
      <c r="G33" s="1" t="s">
        <v>79</v>
      </c>
    </row>
    <row r="34" spans="7:7">
      <c r="G34" s="1" t="s">
        <v>80</v>
      </c>
    </row>
    <row r="35" spans="7:7">
      <c r="G35" s="1" t="s">
        <v>81</v>
      </c>
    </row>
    <row r="36" spans="7:7">
      <c r="G36" s="1" t="s">
        <v>82</v>
      </c>
    </row>
    <row r="37" spans="7:7">
      <c r="G37" s="1" t="s">
        <v>83</v>
      </c>
    </row>
    <row r="38" spans="7:7">
      <c r="G38" s="1" t="s">
        <v>84</v>
      </c>
    </row>
    <row r="39" spans="7:7">
      <c r="G39" s="1" t="s">
        <v>85</v>
      </c>
    </row>
    <row r="40" spans="7:7">
      <c r="G40" s="1" t="s">
        <v>86</v>
      </c>
    </row>
    <row r="41" spans="7:7">
      <c r="G41" s="1" t="s">
        <v>87</v>
      </c>
    </row>
    <row r="42" spans="7:7">
      <c r="G42" s="1" t="s">
        <v>88</v>
      </c>
    </row>
    <row r="43" spans="7:7">
      <c r="G43" s="1" t="s">
        <v>89</v>
      </c>
    </row>
    <row r="44" spans="7:7">
      <c r="G44" s="1" t="s">
        <v>90</v>
      </c>
    </row>
    <row r="45" spans="7:7">
      <c r="G45" s="1" t="s">
        <v>91</v>
      </c>
    </row>
    <row r="46" spans="7:7">
      <c r="G46" s="1" t="s">
        <v>92</v>
      </c>
    </row>
    <row r="47" spans="7:7">
      <c r="G47" s="1" t="s">
        <v>93</v>
      </c>
    </row>
    <row r="48" spans="7:7">
      <c r="G48" s="1" t="s">
        <v>94</v>
      </c>
    </row>
    <row r="49" spans="7:7">
      <c r="G49" s="1" t="s">
        <v>95</v>
      </c>
    </row>
    <row r="50" spans="7:7">
      <c r="G50" s="1" t="s">
        <v>96</v>
      </c>
    </row>
    <row r="51" spans="7:7">
      <c r="G51" s="1" t="s">
        <v>97</v>
      </c>
    </row>
    <row r="52" spans="7:7">
      <c r="G52" s="1" t="s">
        <v>98</v>
      </c>
    </row>
    <row r="53" spans="7:7">
      <c r="G53" s="1" t="s">
        <v>99</v>
      </c>
    </row>
    <row r="54" spans="7:7">
      <c r="G54" s="1" t="s">
        <v>100</v>
      </c>
    </row>
    <row r="55" spans="7:7">
      <c r="G55" s="1" t="s">
        <v>101</v>
      </c>
    </row>
    <row r="56" spans="7:7">
      <c r="G56" s="1" t="s">
        <v>102</v>
      </c>
    </row>
    <row r="57" spans="7:7">
      <c r="G57" s="1"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Prashant Akundi</cp:lastModifiedBy>
  <cp:lastPrinted>2018-09-13T16:04:18Z</cp:lastPrinted>
  <dcterms:created xsi:type="dcterms:W3CDTF">2018-09-10T17:18:27Z</dcterms:created>
  <dcterms:modified xsi:type="dcterms:W3CDTF">2025-12-01T15:28:03Z</dcterms:modified>
</cp:coreProperties>
</file>