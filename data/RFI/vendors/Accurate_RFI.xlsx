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rachna/Desktop/"/>
    </mc:Choice>
  </mc:AlternateContent>
  <xr:revisionPtr revIDLastSave="0" documentId="13_ncr:1_{BE75C3AD-9A84-B749-97E2-9507E7FC5353}" xr6:coauthVersionLast="47" xr6:coauthVersionMax="47" xr10:uidLastSave="{00000000-0000-0000-0000-000000000000}"/>
  <workbookProtection workbookAlgorithmName="SHA-512" workbookHashValue="RQH5Kx2dOBjDEqYj2TXipBbmUcoYWMLAdWE7C3q/46dzCrNjksss7Gqr5dWEtvMaqzG16old4r+CaVxzifhVUg==" workbookSaltValue="pZPxhzHsW4NsocMKqExkEg==" workbookSpinCount="100000" lockStructure="1"/>
  <bookViews>
    <workbookView xWindow="1480" yWindow="1360" windowWidth="25600" windowHeight="15060" firstSheet="1" activeTab="2"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20" l="1"/>
  <c r="H16" i="20"/>
  <c r="G16" i="20"/>
  <c r="F16" i="20"/>
  <c r="E16" i="20"/>
  <c r="D16" i="20"/>
  <c r="C16" i="20"/>
</calcChain>
</file>

<file path=xl/sharedStrings.xml><?xml version="1.0" encoding="utf-8"?>
<sst xmlns="http://schemas.openxmlformats.org/spreadsheetml/2006/main" count="664" uniqueCount="517">
  <si>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</si>
  <si>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</si>
  <si>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</si>
  <si>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</si>
  <si>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</si>
  <si>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</si>
  <si>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</si>
  <si>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</si>
  <si>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</si>
  <si>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</si>
  <si>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</si>
  <si>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</si>
  <si>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</si>
  <si>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</si>
  <si>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</si>
  <si>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</si>
  <si>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</si>
  <si>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</si>
  <si>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</si>
  <si>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</si>
  <si>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</si>
  <si>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</si>
  <si>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</si>
  <si>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</si>
  <si>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</si>
  <si>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</si>
  <si>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</si>
  <si>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</si>
  <si>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</si>
  <si>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</si>
  <si>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</si>
  <si>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</si>
  <si>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</si>
  <si>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</si>
  <si>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</si>
  <si>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</si>
  <si>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</si>
  <si>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</si>
  <si>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</si>
  <si>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</si>
  <si>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</si>
  <si>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</si>
  <si>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</si>
  <si>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</si>
  <si>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</si>
  <si>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</si>
  <si>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</si>
  <si>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</si>
  <si>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</si>
  <si>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</si>
  <si>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</si>
  <si>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</si>
  <si>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</si>
  <si>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</si>
  <si>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</si>
  <si>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</si>
  <si>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</si>
  <si>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</si>
  <si>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</si>
  <si>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</si>
  <si>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</si>
  <si>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</si>
  <si>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</si>
  <si>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</si>
  <si>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</si>
  <si>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</si>
  <si>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</si>
  <si>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</si>
  <si>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</si>
  <si>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</si>
  <si>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</si>
  <si>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</si>
  <si>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</si>
  <si>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</si>
  <si>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</si>
  <si>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</si>
  <si>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</si>
  <si>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</si>
  <si>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</si>
  <si>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</si>
  <si>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</si>
  <si>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</si>
  <si>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</si>
  <si>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</si>
  <si>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</si>
  <si>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</si>
  <si>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</si>
  <si>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</si>
  <si>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</si>
  <si>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</si>
  <si>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</si>
  <si>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</si>
  <si>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</si>
  <si>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</si>
  <si>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</si>
  <si>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</si>
  <si>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</si>
  <si>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</si>
  <si>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</si>
  <si>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</si>
  <si>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</si>
  <si>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</si>
  <si>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</si>
  <si>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</si>
  <si>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</si>
  <si>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</si>
  <si>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</si>
  <si>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</si>
  <si>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</si>
  <si>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</si>
  <si>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</si>
  <si>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</si>
  <si>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</si>
  <si>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</si>
  <si>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</si>
  <si>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</si>
  <si>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</si>
  <si>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</si>
  <si>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</si>
  <si>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</si>
  <si>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</si>
  <si>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</si>
  <si>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</si>
  <si>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</si>
  <si>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</si>
  <si>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</si>
  <si>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</si>
  <si>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</si>
  <si>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</si>
  <si>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</si>
  <si>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</si>
  <si>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</si>
  <si>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</si>
  <si>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</si>
  <si>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</si>
  <si>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</si>
  <si>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</si>
  <si>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</si>
  <si>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</si>
  <si>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</si>
  <si>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</si>
  <si>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</si>
  <si>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</si>
  <si>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</si>
  <si>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</si>
  <si>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</si>
  <si>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</si>
  <si>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</si>
  <si>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</si>
  <si>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</si>
  <si>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</si>
  <si>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</si>
  <si>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</si>
  <si>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</si>
  <si>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</si>
  <si>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</si>
  <si>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</si>
  <si>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</si>
  <si>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</si>
  <si>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</si>
  <si>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</si>
  <si>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</si>
  <si>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</si>
  <si>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</si>
  <si>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</si>
  <si>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</si>
  <si>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</si>
  <si>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</si>
  <si>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</si>
  <si>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</si>
  <si>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</si>
  <si>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</si>
  <si>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</si>
  <si>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</si>
  <si>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</si>
  <si>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</si>
  <si>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</si>
  <si>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</si>
  <si>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</si>
  <si>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</si>
  <si>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</si>
  <si>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</si>
  <si>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</si>
  <si>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</si>
  <si>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</si>
  <si>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</si>
  <si>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</si>
  <si>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</si>
  <si>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</si>
  <si>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</si>
  <si>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</si>
  <si>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</si>
  <si>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</si>
  <si>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</si>
  <si>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</si>
  <si>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</si>
  <si>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</si>
  <si>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</si>
  <si>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</si>
  <si>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</si>
  <si>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</si>
  <si>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</si>
  <si>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</si>
  <si>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</si>
  <si>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</si>
  <si>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</si>
  <si>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</si>
  <si>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</si>
  <si>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</si>
  <si>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</si>
  <si>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</si>
  <si>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</si>
  <si>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</si>
  <si>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</si>
  <si>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</si>
  <si>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</si>
  <si>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</si>
  <si>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</si>
  <si>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</si>
  <si>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</si>
  <si>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</si>
  <si>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</si>
  <si>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</si>
  <si>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</si>
  <si>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</si>
  <si>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</si>
  <si>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</si>
  <si>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</si>
  <si>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</si>
  <si>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</si>
  <si>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</si>
  <si>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</si>
  <si>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</si>
  <si>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</si>
  <si>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</si>
  <si>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</si>
  <si>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</si>
  <si>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</si>
  <si>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</si>
  <si>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</si>
  <si>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</si>
  <si>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</si>
  <si>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</si>
  <si>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</si>
  <si>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</si>
  <si>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</si>
  <si>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</si>
  <si>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</si>
  <si>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</si>
  <si>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</si>
  <si>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</si>
  <si>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</si>
  <si>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</si>
  <si>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</si>
  <si>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</si>
  <si>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</si>
  <si>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</si>
  <si>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</si>
  <si>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</si>
  <si>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</si>
  <si>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</si>
  <si>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</si>
  <si>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</si>
  <si>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</si>
  <si>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</si>
  <si>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</si>
  <si>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</si>
  <si>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</si>
  <si>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</si>
  <si>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</si>
  <si>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</si>
  <si>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</si>
  <si>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</si>
  <si>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</si>
  <si>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</si>
  <si>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</si>
  <si>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</si>
  <si>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</si>
  <si>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</si>
  <si>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</si>
  <si>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</si>
  <si>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</si>
  <si>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</si>
  <si>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</si>
  <si>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</si>
  <si>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</si>
  <si>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</si>
  <si>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</si>
  <si>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</si>
  <si>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</si>
  <si>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</si>
  <si>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</si>
  <si>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</si>
  <si>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</si>
  <si>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</si>
  <si>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</si>
  <si>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</si>
  <si>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</si>
  <si>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</si>
  <si>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</si>
  <si>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</si>
  <si>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</si>
  <si>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</si>
  <si>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</si>
  <si>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</si>
  <si>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</si>
  <si>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</si>
  <si>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</si>
  <si>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</si>
  <si>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</si>
  <si>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</si>
  <si>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</si>
  <si>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</si>
  <si>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</si>
  <si>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Kyle Boutin
Global Sourcing &amp; Supply Management
+1-415-352-9000
kboutin@apple.com   </t>
  </si>
  <si>
    <t>Participant acknowledges and agrees to an on-site Facility Readiness Assessment (FRA) of workshop and facilities by Apple Environment &amp;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</si>
  <si>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Please add geographic breakdown of 2024/2025 Engineering resources by geography in the comments section
Suggested geogrpahies already incldued, feel free to edit/add/subtract geogrpahies as necessary</t>
  </si>
  <si>
    <t>US:
China:
India:
Vietnam:
Thailand:
Brazil:
ETC:</t>
  </si>
  <si>
    <r>
      <t xml:space="preserve">Participant's Proposal to this Request for Information (“RFI”) shall be sent via email by no later than </t>
    </r>
    <r>
      <rPr>
        <b/>
        <sz val="16"/>
        <color rgb="FFFF0000"/>
        <rFont val="SF Hello Regular"/>
      </rPr>
      <t>Monday, December 1, 2025 by 11:00PM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</si>
  <si>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December 1,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</si>
  <si>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Managing Director</t>
  </si>
  <si>
    <t>Ravi Bakliwal</t>
  </si>
  <si>
    <t>Nikhil Dhumal</t>
  </si>
  <si>
    <t>Parth Kulkarni</t>
  </si>
  <si>
    <t>Rachna Joseph</t>
  </si>
  <si>
    <t>Sameer Ghatage</t>
  </si>
  <si>
    <t>Hanoi, Vietnam</t>
  </si>
  <si>
    <t xml:space="preserve">Pune, India </t>
  </si>
  <si>
    <t>G.No.852 ,At-Khalad Village , Purandar Pune, Hadapsar - Saswad - Jejuri Rd, Khalad, Maharashtra 412301</t>
  </si>
  <si>
    <t>NA</t>
  </si>
  <si>
    <t xml:space="preserve">India </t>
  </si>
  <si>
    <t>Low</t>
  </si>
  <si>
    <t>Procurement</t>
  </si>
  <si>
    <t>High</t>
  </si>
  <si>
    <t>Accurate (Onyx)</t>
  </si>
  <si>
    <t>Pune Saswad- Accurate (Onyx)</t>
  </si>
  <si>
    <t>Pune Jejuri - Accurate (Onyx)* Proposed Dec 2025</t>
  </si>
  <si>
    <t>Bengaluru (Tumkur) *Proposed FY 26-27</t>
  </si>
  <si>
    <t>Vietnam *Proposed Sep 2025</t>
  </si>
  <si>
    <t>PRC * Proposed Sep 2025</t>
  </si>
  <si>
    <t>Bengaluru, India</t>
  </si>
  <si>
    <t xml:space="preserve">Dalian, China </t>
  </si>
  <si>
    <t>67, Gauge House, Hadapsar Industrial Estate, Hadapsar, Pune 411001</t>
  </si>
  <si>
    <t>4,E-5, Jejuri MIDC, Jejuri MIDC, 412303, Maharashtra, India</t>
  </si>
  <si>
    <t>Tumkur machine tool park, Nandihalli, Karnataka 572138</t>
  </si>
  <si>
    <t>Factory 2nd&amp;3rd – Lot CN2, Phu Nghia IP, Chuong My, Hanoi</t>
  </si>
  <si>
    <t>No. 20 North Fuquan Road, Dalian Economic and Technological Development Zone,, Dalian, 116630 China</t>
  </si>
  <si>
    <t>D23, V53, V54, V57 V68</t>
  </si>
  <si>
    <t>N/A</t>
  </si>
  <si>
    <t>NPI</t>
  </si>
  <si>
    <t>TE fixtures</t>
  </si>
  <si>
    <t>Proposed for Pick and Place, assembly, TE fixtures</t>
  </si>
  <si>
    <t>Proposed for Dispense, Pick and Place, Assembly, Wire Bond, Test and AOI machines, Granite Parts, etc</t>
  </si>
  <si>
    <t>Proposed TE fixtures (System Cal)</t>
  </si>
  <si>
    <t>Proposed TE fixtures (Compass Cal)</t>
  </si>
  <si>
    <t>CMM, OMM, VMM, Custom Gauging, Granite</t>
  </si>
  <si>
    <t>XY tables, Linear stages, Machined components</t>
  </si>
  <si>
    <t>Granite Parts, Machined and Sheet metal components</t>
  </si>
  <si>
    <t>India, Europe, Americas, Asia, MEA</t>
  </si>
  <si>
    <t>India, Vietnam, PRC</t>
  </si>
  <si>
    <t>India, Vietnam, PRC, Singapore, Latin America</t>
  </si>
  <si>
    <t>Korea: currently ongoing discussions with Korean companies for technology support for manufacturing AOI machines in India.
Vietnam: ongoing discussions with existing supplier for Factory in factory (FIF) facility for local assembly for QT stations
China: ongoing discussions with existing supplier to provide FIF facility for assembly of Compass Cal stations in their facility</t>
  </si>
  <si>
    <t xml:space="preserve">Smartgiant - China, Ncoutlook- China, Epoch- Global, Leeno - S.Korea, Misumi-India, SMC-India, Airtac-India, IGUS-India, Hiwin-India, Yiheda-India, Keyence-India, Panasonic-India, Banner-India, THK - India, Mitsubishi-India, Beckhoff-India 
</t>
  </si>
  <si>
    <t>Third-party based import risk mitigation, Parallel vendor resources, QMS compliance</t>
  </si>
  <si>
    <t>In house machine shop available at our Pune Saswad facility. Multi-Axis CNC Machining: 3- 5-Axis Milling, CNC Turning
Materials Expertise: Aluminum Alloys, Stainless Steels, Engineered Plastics(PEEK,POM,CF &amp; ESD), Copper, Brass
Advanced Processes: In-house Heat Treatment &amp; Surface Finishing through certified suppliers
Precision Metrology Lab: CMM, Optical Comparators, Profilometers, Surface Roughness Testers, Automated Tool Changers
17025 accredited Metrology Lab
High precision Granite machining and lapping, Inhouse sheet metal fabrication and painting facility</t>
  </si>
  <si>
    <t>1. Inward Documentation Verification
2. Visual &amp; Dimensional Inspection
3. Metrology – Precision Measurement &amp; Analysis
4. Functional &amp; Material Testing
5. Non‑Conformance Handling &amp; Reporting
6. Supplier Feedback, Traceability &amp; Continuous Improvement</t>
  </si>
  <si>
    <t>1. Operator &amp; Setup Verification
2. In-Line Inspection
3. CTQ Monitoring
4. Sub‑Assembly Functional Check 
5. Real‑Time Testing
6. Defect Isolation &amp; Corrective Action</t>
  </si>
  <si>
    <t>1. Define Quality Standards &amp; Inspection Criteria
2. Sampling Plan &amp; Acceptance Limits (AQL/SPC)
3. Final Visual, Dimensional &amp; Functional Inspection
4. Packaging &amp; Labelling Verification
5. Documentation, Reporting &amp; Non‑Conformance Handling
6. Corrective &amp; Preventive Actions (CAPA) &amp; Process Review</t>
  </si>
  <si>
    <t>Yes, MS BizConnect</t>
  </si>
  <si>
    <t>1.  Inhouse fabrication setup &amp; capability 
2. Multiple vendor strategy for standard and fabricated parts
3. Acquire SI owned designs for localisation (help needed)
4. Reverse engineering capabilities
5. Vendor globalisation (outside of China and India)</t>
  </si>
  <si>
    <t xml:space="preserve">Vietnam * Proposed </t>
  </si>
  <si>
    <t xml:space="preserve">China * Proposed </t>
  </si>
  <si>
    <t>Medium</t>
  </si>
  <si>
    <t xml:space="preserve">Project Management Process Flow </t>
  </si>
  <si>
    <t xml:space="preserve">Initiative </t>
  </si>
  <si>
    <t xml:space="preserve">Description </t>
  </si>
  <si>
    <t>Initiation</t>
  </si>
  <si>
    <t>Review customer files (BOM, drawings, Gerbers)
Check feasibility and capabilities
Sign NDA and receive PO
Provide quote and lead time</t>
  </si>
  <si>
    <t>Planning</t>
  </si>
  <si>
    <t>Define scope and timeline
Build project team
Plan material sourcing
Set quality and test strategy</t>
  </si>
  <si>
    <t>NPI / Prototype</t>
  </si>
  <si>
    <t xml:space="preserve">Order parts and inspect																				
Build first articles										
Run tests and inspections										
Share feedback with customer										</t>
  </si>
  <si>
    <t>Production Ramp-Up</t>
  </si>
  <si>
    <t>Finalize processes</t>
  </si>
  <si>
    <t>Train staff</t>
  </si>
  <si>
    <t>Vendor management &amp; Monitor yield and quality</t>
  </si>
  <si>
    <t>Start production batches</t>
  </si>
  <si>
    <t>5. Monitoring</t>
  </si>
  <si>
    <t>Track progress and quality - CTB &amp; QMS</t>
  </si>
  <si>
    <t>Handle issues and changes</t>
  </si>
  <si>
    <t xml:space="preserve">MIL tracker and reporting to customer </t>
  </si>
  <si>
    <t>Supplier Scorecard</t>
  </si>
  <si>
    <t xml:space="preserve">6. Delivery &amp; LBU </t>
  </si>
  <si>
    <t>Inspect and pack products</t>
  </si>
  <si>
    <t>Ship to customer</t>
  </si>
  <si>
    <t>Provide documentation &amp; Confirm customer acceptance</t>
  </si>
  <si>
    <t xml:space="preserve">RF and LBU at CM site as per microschedule </t>
  </si>
  <si>
    <t>7. Closure</t>
  </si>
  <si>
    <t>Review project results &amp; conduct a debrief</t>
  </si>
  <si>
    <t>Record lessons learned</t>
  </si>
  <si>
    <t>Close project files</t>
  </si>
  <si>
    <t>Final invoicing</t>
  </si>
  <si>
    <t>We are investing/willing to invest in skills and equipment for some marked "Low", as we respond to evolving demand.</t>
  </si>
  <si>
    <t>We have marked "Yes" to show we have third party capability (while in many cases we hace that capability inhouse too"</t>
  </si>
  <si>
    <t xml:space="preserve">Precision Assembly </t>
  </si>
  <si>
    <t>Renishaw, Mitsubishi, Delta, Siemens</t>
  </si>
  <si>
    <t>Linear Stages and Rotary Axis, Integration with LVDT, Line/Point Laser</t>
  </si>
  <si>
    <t>Metrology, Test, Vaccum Holding, Precision Granite Structures</t>
  </si>
  <si>
    <t xml:space="preserve">Good outsourcing vendor base for sensors, manufactured QT1 fixture consisting light source, lux levels are mapped in this fixture </t>
  </si>
  <si>
    <t>Cylinders and pneumatic connections, high precision machining capability, electronic wiring and connectivity</t>
  </si>
  <si>
    <t>Cylinders and pneumatic connections, high precision machining capability, electronic wiring and connectivity, load cell and force gauge equipment handling</t>
  </si>
  <si>
    <t>Strong vendor base, precision machining capability, lens and laser handling capability, competent personnel to handle optics, experience in vibration and thermal control designs</t>
  </si>
  <si>
    <t>Experience and primary product advantage, understanding of scales, probes, styluses; metrological calibration experience and fundamentally skilled employees.</t>
  </si>
  <si>
    <t>CMM, OMM, VMM</t>
  </si>
  <si>
    <t>Custom Gauging incorporating multiple sensors</t>
  </si>
  <si>
    <t>Custom Gauging made for specific customer use cases of metrology, part, cycle time etc</t>
  </si>
  <si>
    <t>CMM, VMM, OMM, Customised Gauges</t>
  </si>
  <si>
    <t>SYSTEM CAL, LUX METER (instrument)</t>
  </si>
  <si>
    <t>SYSTEM CAL, HSG BUTTON FIXTURES</t>
  </si>
  <si>
    <t>Tritium Button</t>
  </si>
  <si>
    <t>Camera-based equipment for surface finish, dimensions and component visual completeness</t>
  </si>
  <si>
    <t xml:space="preserve">Paul Daniel </t>
  </si>
  <si>
    <t xml:space="preserve">Our install-bases is over 2000 CMMs including many VMMs </t>
  </si>
  <si>
    <t>Linear Guides, Air Bearings</t>
  </si>
  <si>
    <t>PLC/CNC controller</t>
  </si>
  <si>
    <t>Sensors,Actuators,PCB's</t>
  </si>
  <si>
    <t>Fabricated Parts</t>
  </si>
  <si>
    <t xml:space="preserve">Mylab machines </t>
  </si>
  <si>
    <t>Hans Laser OSS</t>
  </si>
  <si>
    <t xml:space="preserve">Prashant / Macromachine </t>
  </si>
  <si>
    <t xml:space="preserve">Macromachine information </t>
  </si>
  <si>
    <t>Light source, lux level sensors</t>
  </si>
  <si>
    <t>Pneumatic cylinders, connectors, etc, photoelectic sensor, proximity sensor, controller, light source, electronic wiring, PCB's, FPC's, pogo block and pogo pins, flexes</t>
  </si>
  <si>
    <t>Pneumatic cylinders, connectors etc, load cell, force gauge</t>
  </si>
  <si>
    <t>Camera, optical lens, lighting, photoelectric sensor, glass machined parts</t>
  </si>
  <si>
    <t>Probes, styluses, pneumatic parts, scales, bearings</t>
  </si>
  <si>
    <t>2-3 months</t>
  </si>
  <si>
    <t>1-2 months</t>
  </si>
  <si>
    <t>3-4 months</t>
  </si>
  <si>
    <t>4 months</t>
  </si>
  <si>
    <t>2-5 months depending on fixture complexity</t>
  </si>
  <si>
    <t>2 months</t>
  </si>
  <si>
    <t>3 months</t>
  </si>
  <si>
    <t>1-3 months depending on fixture complexity</t>
  </si>
  <si>
    <t xml:space="preserve">Pricing, In-house Production </t>
  </si>
  <si>
    <t>Channel Partnerships</t>
  </si>
  <si>
    <t>In-house Production</t>
  </si>
  <si>
    <t xml:space="preserve">Local Source of Granite </t>
  </si>
  <si>
    <t xml:space="preserve">Manufacturing experience, ready vendor base </t>
  </si>
  <si>
    <t>Manufacturing experience, ready vendor base, inhouse production capability, familiarity with design and function of the fixtures</t>
  </si>
  <si>
    <t>Knowledge of sensors, cameras, required competent personnel for optical systems, vendor connects dealing in parts needed for optical equipments.</t>
  </si>
  <si>
    <t>Inhouse production, widespread product experience, market standing, customised designs as per application.</t>
  </si>
  <si>
    <t xml:space="preserve">35 years, 2200+ machines delivered locally and globally </t>
  </si>
  <si>
    <t>1 year</t>
  </si>
  <si>
    <t>2 years</t>
  </si>
  <si>
    <t>62 years</t>
  </si>
  <si>
    <t>Tata Motors, Indian Railways, Force Motors, BHEL, BOSCH</t>
  </si>
  <si>
    <t>Tata Electronics</t>
  </si>
  <si>
    <t>Tata Motors, Indian Railways, Endurance,Bharat Forge</t>
  </si>
  <si>
    <t>India CM's</t>
  </si>
  <si>
    <t>BSF</t>
  </si>
  <si>
    <t>Endurance, Tata motors, Aequs, Indian railways, Mahindra, Bajaj</t>
  </si>
  <si>
    <t>Prateek Raj</t>
  </si>
  <si>
    <t>praj22@apple.com</t>
  </si>
  <si>
    <t>Technical Roadmap</t>
  </si>
  <si>
    <t xml:space="preserve">1 year roadmap </t>
  </si>
  <si>
    <t>Timeline</t>
  </si>
  <si>
    <t>Initiative</t>
  </si>
  <si>
    <t>Description</t>
  </si>
  <si>
    <t>0–12 Months</t>
  </si>
  <si>
    <t xml:space="preserve">Expand current scope </t>
  </si>
  <si>
    <t xml:space="preserve">Develop dedicated test fixtures for Apple devices </t>
  </si>
  <si>
    <t xml:space="preserve">Automation Capability </t>
  </si>
  <si>
    <t>Advanced palleting/conveyor systems, pick and place</t>
  </si>
  <si>
    <t>Next-Gen Metrology</t>
  </si>
  <si>
    <t>Integrate higher-resolution optical inspection</t>
  </si>
  <si>
    <t>Material Traceability</t>
  </si>
  <si>
    <t>Improve inventory management and part traceability</t>
  </si>
  <si>
    <t>Manufacturing Excellence</t>
  </si>
  <si>
    <t>Lean manufacturing and 5S</t>
  </si>
  <si>
    <t>Data-Driven Intelligence</t>
  </si>
  <si>
    <t>Centralize data collection; develop MIS  dashboards.</t>
  </si>
  <si>
    <t xml:space="preserve">Software Capability </t>
  </si>
  <si>
    <t xml:space="preserve">Implement for Apple fixtures (current capability is for CMM and multi gauging) </t>
  </si>
  <si>
    <t>July 11, 2025</t>
  </si>
  <si>
    <t>Accurate Gauging and Instruments Pvt Ltd</t>
  </si>
  <si>
    <t>Hadapsar, Pune</t>
  </si>
  <si>
    <t>https://accuratesales.co.in/
https://onyxprecision.com/</t>
  </si>
  <si>
    <t>Nil</t>
  </si>
  <si>
    <t>Vikram Salunke</t>
  </si>
  <si>
    <t>md@accurategauging.com</t>
  </si>
  <si>
    <t>+91 98900 38150</t>
  </si>
  <si>
    <t>Gopal Vaidyanathan</t>
  </si>
  <si>
    <t>CEO (Onyx Robotic and Automation)</t>
  </si>
  <si>
    <t>gopal.v@onyxprecision.com</t>
  </si>
  <si>
    <t>+91 86000 31616</t>
  </si>
  <si>
    <t>S M Divekar</t>
  </si>
  <si>
    <t>Director of Operations</t>
  </si>
  <si>
    <t>smdivekar@accurategauging.com</t>
  </si>
  <si>
    <t>+91 99700 06835</t>
  </si>
  <si>
    <t>Head of Finance &amp; Accounting</t>
  </si>
  <si>
    <t>cmmfm@accurategauging.com</t>
  </si>
  <si>
    <t>+91 88550 73016</t>
  </si>
  <si>
    <t>Design</t>
  </si>
  <si>
    <t>nikhil.d@onyxprecision.com</t>
  </si>
  <si>
    <t>+91 74477 89899</t>
  </si>
  <si>
    <t>purchase@onyxprecision.com</t>
  </si>
  <si>
    <t>+91 89565 08547</t>
  </si>
  <si>
    <t>Program Manager</t>
  </si>
  <si>
    <t>rachna.j@onyxprecision.com</t>
  </si>
  <si>
    <t>+91 99700 06836</t>
  </si>
  <si>
    <t>Manufacturing</t>
  </si>
  <si>
    <t>pm@onyxprecision.com</t>
  </si>
  <si>
    <t>+91 99700 01691</t>
  </si>
  <si>
    <t>Pravin Thorve</t>
  </si>
  <si>
    <t>pravin.t@onyxprecision.com</t>
  </si>
  <si>
    <t>+91 99700 0217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</si>
</sst>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7">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sz val="14"/>
      <name val="Helvetica Neue"/>
      <family val="2"/>
    </font>
    <font>
      <sz val="12"/>
      <name val="Helvetica Neue"/>
      <family val="2"/>
    </font>
    <font>
      <b/>
      <u/>
      <sz val="14"/>
      <color theme="1"/>
      <name val="Helvetica Neue"/>
      <family val="2"/>
    </font>
    <font>
      <b/>
      <sz val="12"/>
      <color theme="1"/>
      <name val="Calibri"/>
      <family val="2"/>
      <scheme val="minor"/>
    </font>
    <font>
      <sz val="12"/>
      <color theme="0"/>
      <name val="Calibri"/>
      <family val="2"/>
      <scheme val="minor"/>
    </font>
    <font>
      <sz val="12"/>
      <color rgb="FF000000"/>
      <name val="Calibri"/>
      <family val="2"/>
      <scheme val="minor"/>
    </font>
    <font>
      <sz val="12"/>
      <name val="Calibri (Body)"/>
    </font>
    <font>
      <sz val="14"/>
      <name val="Calibri (Body)"/>
    </font>
    <font>
      <sz val="12"/>
      <color rgb="FF000000"/>
      <name val="Calibri"/>
      <family val="2"/>
    </font>
    <font>
      <b/>
      <sz val="12"/>
      <color rgb="FF000000"/>
      <name val="Calibri"/>
      <family val="2"/>
      <scheme val="minor"/>
    </font>
    <font>
      <b/>
      <sz val="18"/>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0070C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5">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2" fillId="0" borderId="0" xfId="0" applyFont="1" applyAlignment="1">
      <alignment vertical="center" wrapText="1"/>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1" fillId="4" borderId="14" xfId="0" applyFont="1" applyFill="1" applyBorder="1" applyAlignment="1">
      <alignment horizontal="center" vertical="center"/>
    </xf>
    <xf numFmtId="0" fontId="2" fillId="0" borderId="0" xfId="0" applyFont="1" applyAlignment="1" applyProtection="1">
      <alignment horizontal="center" vertical="center" wrapText="1"/>
      <protection locked="0"/>
    </xf>
    <xf numFmtId="0" fontId="31" fillId="0" borderId="0" xfId="0" applyFont="1"/>
    <xf numFmtId="0" fontId="32" fillId="0" borderId="0" xfId="0" applyFont="1"/>
    <xf numFmtId="0" fontId="30" fillId="9" borderId="0" xfId="0" applyFont="1" applyFill="1" applyAlignment="1">
      <alignment horizontal="center"/>
    </xf>
    <xf numFmtId="0" fontId="33" fillId="9" borderId="0" xfId="0" applyFont="1" applyFill="1" applyAlignment="1">
      <alignment vertical="center" wrapText="1"/>
    </xf>
    <xf numFmtId="0" fontId="34" fillId="0" borderId="0" xfId="0" applyFont="1"/>
    <xf numFmtId="0" fontId="35" fillId="0" borderId="0" xfId="0" applyFont="1" applyAlignment="1">
      <alignment horizontal="left" vertical="top"/>
    </xf>
    <xf numFmtId="0" fontId="0" fillId="0" borderId="0" xfId="0" applyAlignment="1">
      <alignment wrapText="1"/>
    </xf>
    <xf numFmtId="0" fontId="35" fillId="0" borderId="0" xfId="0" applyFont="1" applyAlignment="1">
      <alignment vertical="top"/>
    </xf>
    <xf numFmtId="0" fontId="36" fillId="0" borderId="0" xfId="0" applyFont="1"/>
    <xf numFmtId="0" fontId="29" fillId="0" borderId="0" xfId="0" applyFont="1"/>
  </cellXfs>
  <cellStyles count="5">
    <cellStyle name="Comma [0] 2" xfId="4" xr:uid="{286E3D10-827B-F54C-817D-B29004B17F97}"/>
    <cellStyle name="Hyperlink" xfId="3" builtinId="8"/>
    <cellStyle name="Normal" xfId="0" builtinId="0"/>
    <cellStyle name="Normal 2" xfId="2" xr:uid="{C3243E13-6EF8-E042-BC12-751DCDBFECFE}"/>
    <cellStyle name="Per cent" xfId="1" builtinId="5"/>
  </cellStyles>
  <dxfs count="66">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7" zoomScale="72" workbookViewId="0">
      <selection activeCell="B14" sqref="B14"/>
    </sheetView>
  </sheetViews>
  <sheetFormatPr baseColWidth="10" defaultColWidth="10.83203125" defaultRowHeight="20"/>
  <cols>
    <col min="1" max="1" width="10.83203125" style="48"/>
    <col min="2" max="2" width="200.83203125" style="10" customWidth="1"/>
    <col min="3" max="16384" width="10.83203125" style="48"/>
  </cols>
  <sheetData>
    <row r="2" spans="2:2" ht="21">
      <c r="B2" s="8" t="s">
        <v>212</v>
      </c>
    </row>
    <row r="3" spans="2:2" ht="21">
      <c r="B3" s="41" t="s">
        <v>174</v>
      </c>
    </row>
    <row r="4" spans="2:2" ht="84">
      <c r="B4" s="9" t="s">
        <v>113</v>
      </c>
    </row>
    <row r="5" spans="2:2" ht="21">
      <c r="B5" s="41" t="s">
        <v>175</v>
      </c>
    </row>
    <row r="6" spans="2:2" ht="42">
      <c r="B6" s="9" t="s">
        <v>114</v>
      </c>
    </row>
    <row r="7" spans="2:2" ht="21">
      <c r="B7" s="41" t="s">
        <v>176</v>
      </c>
    </row>
    <row r="8" spans="2:2" ht="294">
      <c r="B8" s="9" t="s">
        <v>290</v>
      </c>
    </row>
    <row r="9" spans="2:2" ht="21">
      <c r="B9" s="41" t="s">
        <v>177</v>
      </c>
    </row>
    <row r="10" spans="2:2" ht="21">
      <c r="B10" s="9" t="s">
        <v>318</v>
      </c>
    </row>
    <row r="11" spans="2:2" ht="21">
      <c r="B11" s="41" t="s">
        <v>178</v>
      </c>
    </row>
    <row r="12" spans="2:2" ht="42">
      <c r="B12" s="9" t="s">
        <v>115</v>
      </c>
    </row>
    <row r="13" spans="2:2" ht="21">
      <c r="B13" s="41" t="s">
        <v>179</v>
      </c>
    </row>
    <row r="14" spans="2:2" ht="84">
      <c r="B14" s="68" t="s">
        <v>314</v>
      </c>
    </row>
  </sheetData>
  <sheetProtection algorithmName="SHA-512" hashValue="gNEeoSaHz0Uu18VdOcEyK/p84qeJJF8CIF0tFHmc4GF7IrTX01qVcEa1Hedm4DXyFCdELvLMAzKP0cDidCfi9w==" saltValue="a4PtLAARMg3VQpgqL3E1CA=="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zoomScale="75" workbookViewId="0">
      <selection activeCell="B1" sqref="B1"/>
    </sheetView>
  </sheetViews>
  <sheetFormatPr baseColWidth="10" defaultColWidth="10.83203125" defaultRowHeight="20"/>
  <cols>
    <col min="1" max="1" width="10.83203125" style="48"/>
    <col min="2" max="2" width="200.83203125" style="10" customWidth="1"/>
    <col min="3" max="16384" width="10.83203125" style="48"/>
  </cols>
  <sheetData>
    <row r="2" spans="2:2" ht="21">
      <c r="B2" s="8" t="s">
        <v>116</v>
      </c>
    </row>
    <row r="3" spans="2:2" ht="21">
      <c r="B3" s="40" t="s">
        <v>160</v>
      </c>
    </row>
    <row r="4" spans="2:2" ht="42">
      <c r="B4" s="9" t="s">
        <v>117</v>
      </c>
    </row>
    <row r="5" spans="2:2" ht="21">
      <c r="B5" s="41" t="s">
        <v>161</v>
      </c>
    </row>
    <row r="6" spans="2:2" ht="42">
      <c r="B6" s="9" t="s">
        <v>118</v>
      </c>
    </row>
    <row r="7" spans="2:2" ht="21">
      <c r="B7" s="41" t="s">
        <v>162</v>
      </c>
    </row>
    <row r="8" spans="2:2" ht="63">
      <c r="B8" s="9" t="s">
        <v>319</v>
      </c>
    </row>
    <row r="9" spans="2:2" ht="21">
      <c r="B9" s="41" t="s">
        <v>163</v>
      </c>
    </row>
    <row r="10" spans="2:2" ht="42">
      <c r="B10" s="9" t="s">
        <v>119</v>
      </c>
    </row>
    <row r="11" spans="2:2" ht="21">
      <c r="B11" s="41" t="s">
        <v>164</v>
      </c>
    </row>
    <row r="12" spans="2:2" ht="105">
      <c r="B12" s="9" t="s">
        <v>120</v>
      </c>
    </row>
    <row r="13" spans="2:2" ht="21">
      <c r="B13" s="41" t="s">
        <v>165</v>
      </c>
    </row>
    <row r="14" spans="2:2" ht="84">
      <c r="B14" s="9" t="s">
        <v>121</v>
      </c>
    </row>
    <row r="15" spans="2:2" ht="21">
      <c r="B15" s="41" t="s">
        <v>166</v>
      </c>
    </row>
    <row r="16" spans="2:2" ht="168">
      <c r="B16" s="9" t="s">
        <v>122</v>
      </c>
    </row>
    <row r="17" spans="2:2" ht="21">
      <c r="B17" s="41" t="s">
        <v>167</v>
      </c>
    </row>
    <row r="18" spans="2:2" ht="42">
      <c r="B18" s="9" t="s">
        <v>123</v>
      </c>
    </row>
    <row r="19" spans="2:2" ht="21">
      <c r="B19" s="41" t="s">
        <v>168</v>
      </c>
    </row>
    <row r="20" spans="2:2" ht="105">
      <c r="B20" s="9" t="s">
        <v>124</v>
      </c>
    </row>
    <row r="21" spans="2:2" ht="21">
      <c r="B21" s="41" t="s">
        <v>169</v>
      </c>
    </row>
    <row r="22" spans="2:2" ht="63">
      <c r="B22" s="9" t="s">
        <v>125</v>
      </c>
    </row>
    <row r="23" spans="2:2" ht="21">
      <c r="B23" s="41" t="s">
        <v>170</v>
      </c>
    </row>
    <row r="24" spans="2:2" ht="210">
      <c r="B24" s="9" t="s">
        <v>126</v>
      </c>
    </row>
    <row r="25" spans="2:2" ht="21">
      <c r="B25" s="41" t="s">
        <v>171</v>
      </c>
    </row>
    <row r="26" spans="2:2" ht="147">
      <c r="B26" s="9" t="s">
        <v>127</v>
      </c>
    </row>
    <row r="27" spans="2:2" ht="21">
      <c r="B27" s="41" t="s">
        <v>172</v>
      </c>
    </row>
    <row r="28" spans="2:2" ht="42">
      <c r="B28" s="9" t="s">
        <v>128</v>
      </c>
    </row>
    <row r="29" spans="2:2" ht="21">
      <c r="B29" s="41" t="s">
        <v>173</v>
      </c>
    </row>
    <row r="30" spans="2:2" ht="42">
      <c r="B30" s="9" t="s">
        <v>129</v>
      </c>
    </row>
  </sheetData>
  <sheetProtection algorithmName="SHA-512" hashValue="oPI9W8iskSgpld/0BkjZBsYnh5Hq6dyz0CDPgqA1ni8GlsxmWoGR94CoqCdWi3PzbXEQ5SdtT3TX+p47CBhapQ==" saltValue="5jF/pdWWHs7i04RBnxdMfw=="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tabSelected="1" zoomScale="70" workbookViewId="0">
      <selection activeCell="C4" sqref="C4"/>
    </sheetView>
  </sheetViews>
  <sheetFormatPr baseColWidth="10" defaultColWidth="10.83203125" defaultRowHeight="20"/>
  <cols>
    <col min="1" max="1" width="10.83203125" style="48"/>
    <col min="2" max="2" width="141.5" style="10" customWidth="1"/>
    <col min="3" max="3" width="40.83203125" style="13" customWidth="1"/>
    <col min="4" max="16384" width="10.83203125" style="48"/>
  </cols>
  <sheetData>
    <row r="2" spans="2:3" ht="21">
      <c r="B2" s="8" t="s">
        <v>130</v>
      </c>
      <c r="C2" s="11"/>
    </row>
    <row r="3" spans="2:3" ht="21">
      <c r="B3" s="40" t="s">
        <v>151</v>
      </c>
      <c r="C3" s="11"/>
    </row>
    <row r="4" spans="2:3" ht="210">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opLeftCell="A15" zoomScale="89" zoomScaleNormal="100" workbookViewId="0">
      <selection activeCell="C16" sqref="C16:G24"/>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233</v>
      </c>
    </row>
    <row r="2" spans="1:7" ht="26" customHeight="1">
      <c r="A2" s="15">
        <v>1</v>
      </c>
      <c r="B2" s="16" t="s">
        <v>132</v>
      </c>
      <c r="C2" s="17" t="s">
        <v>484</v>
      </c>
    </row>
    <row r="3" spans="1:7" ht="26" customHeight="1">
      <c r="A3" s="15">
        <v>2</v>
      </c>
      <c r="B3" s="16" t="s">
        <v>14</v>
      </c>
      <c r="C3" s="18" t="s">
        <v>485</v>
      </c>
    </row>
    <row r="4" spans="1:7" ht="26" customHeight="1">
      <c r="A4" s="15">
        <v>3</v>
      </c>
      <c r="B4" s="16" t="s">
        <v>13</v>
      </c>
      <c r="C4" s="18" t="s">
        <v>329</v>
      </c>
      <c r="E4" s="19"/>
    </row>
    <row r="5" spans="1:7" ht="26" customHeight="1">
      <c r="A5" s="15">
        <v>4</v>
      </c>
      <c r="B5" s="16" t="s">
        <v>133</v>
      </c>
      <c r="C5" s="18" t="s">
        <v>486</v>
      </c>
      <c r="E5" s="19"/>
    </row>
    <row r="6" spans="1:7" ht="26" customHeight="1">
      <c r="A6" s="15">
        <v>5</v>
      </c>
      <c r="B6" s="16" t="s">
        <v>0</v>
      </c>
      <c r="C6" s="20" t="s">
        <v>487</v>
      </c>
      <c r="E6" s="19"/>
    </row>
    <row r="7" spans="1:7" ht="26" customHeight="1">
      <c r="A7" s="15">
        <v>6</v>
      </c>
      <c r="B7" s="16" t="s">
        <v>1</v>
      </c>
      <c r="C7" s="18" t="s">
        <v>105</v>
      </c>
      <c r="E7" s="19"/>
    </row>
    <row r="8" spans="1:7" ht="26" customHeight="1">
      <c r="A8" s="15">
        <v>7</v>
      </c>
      <c r="B8" s="16" t="s">
        <v>2</v>
      </c>
      <c r="C8" s="18" t="s">
        <v>488</v>
      </c>
    </row>
    <row r="9" spans="1:7" ht="26" customHeight="1">
      <c r="A9" s="15">
        <v>8</v>
      </c>
      <c r="B9" s="16" t="s">
        <v>134</v>
      </c>
      <c r="C9" s="18"/>
    </row>
    <row r="10" spans="1:7" ht="26" customHeight="1">
      <c r="A10" s="15">
        <v>9</v>
      </c>
      <c r="B10" s="16" t="s">
        <v>5</v>
      </c>
      <c r="C10" s="18">
        <v>300</v>
      </c>
    </row>
    <row r="11" spans="1:7">
      <c r="A11" s="15">
        <v>10</v>
      </c>
      <c r="B11" s="16" t="s">
        <v>3</v>
      </c>
      <c r="C11" s="18">
        <v>1963</v>
      </c>
    </row>
    <row r="12" spans="1:7">
      <c r="A12" s="15">
        <v>11</v>
      </c>
      <c r="B12" s="16" t="s">
        <v>4</v>
      </c>
      <c r="C12" s="18">
        <v>2023</v>
      </c>
      <c r="F12" s="21"/>
    </row>
    <row r="15" spans="1:7" ht="40">
      <c r="B15" s="24" t="s">
        <v>135</v>
      </c>
      <c r="C15" s="25" t="s">
        <v>136</v>
      </c>
      <c r="D15" s="25" t="s">
        <v>19</v>
      </c>
      <c r="E15" s="25" t="s">
        <v>112</v>
      </c>
      <c r="F15" s="25" t="s">
        <v>20</v>
      </c>
      <c r="G15" s="26" t="s">
        <v>137</v>
      </c>
    </row>
    <row r="16" spans="1:7" ht="20">
      <c r="B16" s="27" t="s">
        <v>21</v>
      </c>
      <c r="C16" s="18" t="s">
        <v>489</v>
      </c>
      <c r="D16" s="18" t="s">
        <v>320</v>
      </c>
      <c r="E16" s="18" t="s">
        <v>68</v>
      </c>
      <c r="F16" s="20" t="s">
        <v>490</v>
      </c>
      <c r="G16" s="28" t="s">
        <v>491</v>
      </c>
    </row>
    <row r="17" spans="2:7" ht="40">
      <c r="B17" s="27" t="s">
        <v>138</v>
      </c>
      <c r="C17" s="18" t="s">
        <v>492</v>
      </c>
      <c r="D17" s="18" t="s">
        <v>493</v>
      </c>
      <c r="E17" s="18" t="s">
        <v>68</v>
      </c>
      <c r="F17" s="20" t="s">
        <v>494</v>
      </c>
      <c r="G17" s="28" t="s">
        <v>495</v>
      </c>
    </row>
    <row r="18" spans="2:7" ht="34">
      <c r="B18" s="27" t="s">
        <v>139</v>
      </c>
      <c r="C18" s="18" t="s">
        <v>496</v>
      </c>
      <c r="D18" s="18" t="s">
        <v>497</v>
      </c>
      <c r="E18" s="18" t="s">
        <v>68</v>
      </c>
      <c r="F18" s="20" t="s">
        <v>498</v>
      </c>
      <c r="G18" s="28" t="s">
        <v>499</v>
      </c>
    </row>
    <row r="19" spans="2:7" ht="40">
      <c r="B19" s="27" t="s">
        <v>140</v>
      </c>
      <c r="C19" s="18" t="s">
        <v>321</v>
      </c>
      <c r="D19" s="18" t="s">
        <v>500</v>
      </c>
      <c r="E19" s="18" t="s">
        <v>68</v>
      </c>
      <c r="F19" s="20" t="s">
        <v>501</v>
      </c>
      <c r="G19" s="28" t="s">
        <v>502</v>
      </c>
    </row>
    <row r="20" spans="2:7" ht="20">
      <c r="B20" s="29" t="s">
        <v>141</v>
      </c>
      <c r="C20" s="22" t="s">
        <v>322</v>
      </c>
      <c r="D20" s="22" t="s">
        <v>503</v>
      </c>
      <c r="E20" s="18" t="s">
        <v>68</v>
      </c>
      <c r="F20" s="23" t="s">
        <v>504</v>
      </c>
      <c r="G20" s="28" t="s">
        <v>505</v>
      </c>
    </row>
    <row r="21" spans="2:7" ht="20">
      <c r="B21" s="27" t="s">
        <v>142</v>
      </c>
      <c r="C21" s="18" t="s">
        <v>323</v>
      </c>
      <c r="D21" s="18" t="s">
        <v>332</v>
      </c>
      <c r="E21" s="18" t="s">
        <v>68</v>
      </c>
      <c r="F21" s="20" t="s">
        <v>506</v>
      </c>
      <c r="G21" s="28" t="s">
        <v>507</v>
      </c>
    </row>
    <row r="22" spans="2:7" ht="20">
      <c r="B22" s="27" t="s">
        <v>143</v>
      </c>
      <c r="C22" s="18" t="s">
        <v>324</v>
      </c>
      <c r="D22" s="22" t="s">
        <v>508</v>
      </c>
      <c r="E22" s="18" t="s">
        <v>68</v>
      </c>
      <c r="F22" s="20" t="s">
        <v>509</v>
      </c>
      <c r="G22" s="28" t="s">
        <v>510</v>
      </c>
    </row>
    <row r="23" spans="2:7" ht="20">
      <c r="B23" s="27" t="s">
        <v>144</v>
      </c>
      <c r="C23" s="18" t="s">
        <v>325</v>
      </c>
      <c r="D23" s="22" t="s">
        <v>511</v>
      </c>
      <c r="E23" s="18" t="s">
        <v>68</v>
      </c>
      <c r="F23" s="20" t="s">
        <v>512</v>
      </c>
      <c r="G23" s="28" t="s">
        <v>513</v>
      </c>
    </row>
    <row r="24" spans="2:7" ht="20">
      <c r="B24" s="27" t="s">
        <v>210</v>
      </c>
      <c r="C24" s="18" t="s">
        <v>514</v>
      </c>
      <c r="D24" s="18" t="s">
        <v>349</v>
      </c>
      <c r="E24" s="18" t="s">
        <v>68</v>
      </c>
      <c r="F24" s="20" t="s">
        <v>515</v>
      </c>
      <c r="G24" s="28" t="s">
        <v>516</v>
      </c>
    </row>
    <row r="25" spans="2:7">
      <c r="B25" s="27" t="s">
        <v>210</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79" zoomScaleNormal="100" workbookViewId="0">
      <selection activeCell="D9" sqref="D9:H10"/>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57"/>
      <c r="D3" s="57"/>
      <c r="E3" s="57"/>
      <c r="F3" s="57"/>
      <c r="G3" s="57"/>
      <c r="H3" s="57"/>
    </row>
    <row r="4" spans="2:9" ht="51" customHeight="1">
      <c r="B4" s="33" t="s">
        <v>10</v>
      </c>
      <c r="C4" s="57"/>
      <c r="D4" s="57">
        <v>9.2829551111111126</v>
      </c>
      <c r="E4" s="57">
        <v>12.435895742690059</v>
      </c>
      <c r="F4" s="57">
        <v>15.131618491228069</v>
      </c>
      <c r="G4" s="57">
        <v>22.576799871345028</v>
      </c>
      <c r="H4" s="57">
        <v>28.010103473684211</v>
      </c>
      <c r="I4" s="4"/>
    </row>
    <row r="5" spans="2:9" ht="51" customHeight="1">
      <c r="B5" s="33" t="s">
        <v>11</v>
      </c>
      <c r="C5" s="57"/>
      <c r="D5" s="57">
        <v>0</v>
      </c>
      <c r="E5" s="57">
        <v>0</v>
      </c>
      <c r="F5" s="57">
        <v>0.01</v>
      </c>
      <c r="G5" s="57">
        <v>0.5</v>
      </c>
      <c r="H5" s="57">
        <v>1</v>
      </c>
      <c r="I5" s="4" t="s">
        <v>18</v>
      </c>
    </row>
    <row r="6" spans="2:9" ht="51" customHeight="1">
      <c r="B6" s="33" t="s">
        <v>283</v>
      </c>
      <c r="C6" s="57"/>
      <c r="D6" s="57">
        <v>0</v>
      </c>
      <c r="E6" s="57">
        <v>0</v>
      </c>
      <c r="F6" s="57">
        <v>0.57479532163742686</v>
      </c>
      <c r="G6" s="57">
        <v>5.3479532163742691</v>
      </c>
      <c r="H6" s="57">
        <v>7.7719298245614041</v>
      </c>
      <c r="I6" s="2" t="s">
        <v>150</v>
      </c>
    </row>
    <row r="8" spans="2:9" ht="19">
      <c r="B8" s="16" t="s">
        <v>145</v>
      </c>
      <c r="C8" s="16">
        <v>2023</v>
      </c>
      <c r="D8" s="16">
        <v>2023</v>
      </c>
      <c r="E8" s="16">
        <v>2024</v>
      </c>
      <c r="F8" s="16" t="s">
        <v>208</v>
      </c>
      <c r="G8" s="16" t="s">
        <v>146</v>
      </c>
      <c r="H8" s="16" t="s">
        <v>147</v>
      </c>
    </row>
    <row r="9" spans="2:9" ht="19">
      <c r="B9" s="33" t="s">
        <v>148</v>
      </c>
      <c r="C9" s="58"/>
      <c r="D9" s="58">
        <v>2.9798285906666671</v>
      </c>
      <c r="E9" s="58">
        <v>4.1113071325333337</v>
      </c>
      <c r="F9" s="58">
        <v>4.9293988562105264</v>
      </c>
      <c r="G9" s="58">
        <v>7.3583353009415209</v>
      </c>
      <c r="H9" s="58">
        <v>9.4380109164561397</v>
      </c>
    </row>
    <row r="10" spans="2:9" ht="19">
      <c r="B10" s="33" t="s">
        <v>149</v>
      </c>
      <c r="C10" s="58"/>
      <c r="D10" s="58">
        <v>0.6590898128888889</v>
      </c>
      <c r="E10" s="58">
        <v>0.9986024281380117</v>
      </c>
      <c r="F10" s="58">
        <v>1.1956975644549708</v>
      </c>
      <c r="G10" s="58">
        <v>1.9431062388923976</v>
      </c>
      <c r="H10" s="58">
        <v>2.6109236445263155</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67" zoomScaleNormal="100" workbookViewId="0">
      <selection activeCell="D23" sqref="D23:H23"/>
    </sheetView>
  </sheetViews>
  <sheetFormatPr baseColWidth="10" defaultColWidth="10.83203125" defaultRowHeight="26" customHeight="1"/>
  <cols>
    <col min="1" max="1" width="6.1640625" style="62"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0"/>
      <c r="B1" s="34" t="s">
        <v>292</v>
      </c>
    </row>
    <row r="2" spans="1:8" s="35" customFormat="1" ht="56" customHeight="1">
      <c r="A2" s="61"/>
      <c r="B2" s="16"/>
      <c r="C2" s="16" t="s">
        <v>15</v>
      </c>
      <c r="D2" s="36" t="s">
        <v>107</v>
      </c>
      <c r="E2" s="36" t="s">
        <v>108</v>
      </c>
      <c r="F2" s="36" t="s">
        <v>109</v>
      </c>
      <c r="G2" s="36" t="s">
        <v>110</v>
      </c>
      <c r="H2" s="36" t="s">
        <v>111</v>
      </c>
    </row>
    <row r="3" spans="1:8" ht="60" customHeight="1">
      <c r="A3" s="62">
        <v>1</v>
      </c>
      <c r="B3" s="16" t="s">
        <v>152</v>
      </c>
      <c r="C3" s="37" t="s">
        <v>334</v>
      </c>
      <c r="D3" s="37" t="s">
        <v>335</v>
      </c>
      <c r="E3" s="37" t="s">
        <v>336</v>
      </c>
      <c r="F3" s="18" t="s">
        <v>337</v>
      </c>
      <c r="G3" s="18" t="s">
        <v>338</v>
      </c>
      <c r="H3" s="18" t="s">
        <v>339</v>
      </c>
    </row>
    <row r="4" spans="1:8" ht="60" customHeight="1">
      <c r="A4" s="62">
        <v>2</v>
      </c>
      <c r="B4" s="16" t="s">
        <v>153</v>
      </c>
      <c r="C4" s="18" t="s">
        <v>327</v>
      </c>
      <c r="D4" s="18" t="s">
        <v>327</v>
      </c>
      <c r="E4" s="18" t="s">
        <v>327</v>
      </c>
      <c r="F4" s="18" t="s">
        <v>340</v>
      </c>
      <c r="G4" s="84" t="s">
        <v>326</v>
      </c>
      <c r="H4" s="50" t="s">
        <v>341</v>
      </c>
    </row>
    <row r="5" spans="1:8" ht="60" customHeight="1">
      <c r="A5" s="62">
        <v>3</v>
      </c>
      <c r="B5" s="16" t="s">
        <v>154</v>
      </c>
      <c r="C5" s="18" t="s">
        <v>342</v>
      </c>
      <c r="D5" s="18" t="s">
        <v>328</v>
      </c>
      <c r="E5" s="18" t="s">
        <v>343</v>
      </c>
      <c r="F5" s="18" t="s">
        <v>344</v>
      </c>
      <c r="G5" s="18" t="s">
        <v>345</v>
      </c>
      <c r="H5" s="18" t="s">
        <v>346</v>
      </c>
    </row>
    <row r="6" spans="1:8" ht="60" customHeight="1">
      <c r="A6" s="62">
        <v>4</v>
      </c>
      <c r="B6" s="36" t="s">
        <v>155</v>
      </c>
      <c r="C6" s="18" t="s">
        <v>347</v>
      </c>
      <c r="D6" s="18" t="s">
        <v>347</v>
      </c>
      <c r="E6" s="18" t="s">
        <v>348</v>
      </c>
      <c r="F6" s="18" t="s">
        <v>348</v>
      </c>
      <c r="G6" s="18" t="s">
        <v>348</v>
      </c>
      <c r="H6" s="18" t="s">
        <v>348</v>
      </c>
    </row>
    <row r="7" spans="1:8" ht="86" customHeight="1">
      <c r="A7" s="62">
        <v>5</v>
      </c>
      <c r="B7" s="36" t="s">
        <v>156</v>
      </c>
      <c r="C7" s="18" t="s">
        <v>349</v>
      </c>
      <c r="D7" s="18" t="s">
        <v>350</v>
      </c>
      <c r="E7" s="18" t="s">
        <v>351</v>
      </c>
      <c r="F7" s="18" t="s">
        <v>352</v>
      </c>
      <c r="G7" s="18" t="s">
        <v>353</v>
      </c>
      <c r="H7" s="18" t="s">
        <v>354</v>
      </c>
    </row>
    <row r="8" spans="1:8" ht="86" customHeight="1">
      <c r="A8" s="62">
        <v>6</v>
      </c>
      <c r="B8" s="36" t="s">
        <v>157</v>
      </c>
      <c r="C8" s="18" t="s">
        <v>348</v>
      </c>
      <c r="D8" s="18" t="s">
        <v>355</v>
      </c>
      <c r="E8" s="18" t="s">
        <v>356</v>
      </c>
      <c r="F8" s="18" t="s">
        <v>357</v>
      </c>
      <c r="G8" s="18" t="s">
        <v>348</v>
      </c>
      <c r="H8" s="18" t="s">
        <v>348</v>
      </c>
    </row>
    <row r="9" spans="1:8" ht="60" customHeight="1">
      <c r="A9" s="62">
        <v>7</v>
      </c>
      <c r="B9" s="16" t="s">
        <v>158</v>
      </c>
      <c r="C9" s="38">
        <v>300</v>
      </c>
      <c r="D9" s="38">
        <v>4700</v>
      </c>
      <c r="E9" s="39">
        <v>1500</v>
      </c>
      <c r="F9" s="39">
        <v>10000</v>
      </c>
      <c r="G9" s="39">
        <v>200</v>
      </c>
      <c r="H9" s="39">
        <v>200</v>
      </c>
    </row>
    <row r="10" spans="1:8" ht="60" customHeight="1">
      <c r="A10" s="62">
        <v>8</v>
      </c>
      <c r="B10" s="36" t="s">
        <v>276</v>
      </c>
      <c r="C10" s="38">
        <v>95</v>
      </c>
      <c r="D10" s="38">
        <v>150</v>
      </c>
      <c r="E10" s="39">
        <v>50</v>
      </c>
      <c r="F10" s="39">
        <v>300</v>
      </c>
      <c r="G10" s="39">
        <v>5</v>
      </c>
      <c r="H10" s="39">
        <v>5</v>
      </c>
    </row>
    <row r="11" spans="1:8" ht="60" customHeight="1">
      <c r="A11" s="62">
        <v>9</v>
      </c>
      <c r="B11" s="36" t="s">
        <v>206</v>
      </c>
      <c r="C11" s="18"/>
      <c r="D11" s="18">
        <v>30</v>
      </c>
      <c r="E11" s="18"/>
      <c r="F11" s="18"/>
      <c r="G11" s="18"/>
      <c r="H11" s="18"/>
    </row>
    <row r="12" spans="1:8" ht="60" customHeight="1">
      <c r="A12" s="62">
        <v>10</v>
      </c>
      <c r="B12" s="36" t="s">
        <v>205</v>
      </c>
      <c r="C12" s="18"/>
      <c r="D12" s="18">
        <v>50</v>
      </c>
      <c r="E12" s="18">
        <v>50</v>
      </c>
      <c r="F12" s="18">
        <v>100</v>
      </c>
      <c r="G12" s="18">
        <v>5</v>
      </c>
      <c r="H12" s="18">
        <v>4</v>
      </c>
    </row>
    <row r="13" spans="1:8" ht="60" customHeight="1">
      <c r="A13" s="62">
        <v>11</v>
      </c>
      <c r="B13" s="36" t="s">
        <v>277</v>
      </c>
      <c r="C13" s="18">
        <v>1</v>
      </c>
      <c r="D13" s="18">
        <v>5</v>
      </c>
      <c r="E13" s="18">
        <v>3</v>
      </c>
      <c r="F13" s="18">
        <v>6</v>
      </c>
      <c r="G13" s="18">
        <v>1</v>
      </c>
      <c r="H13" s="18">
        <v>1</v>
      </c>
    </row>
    <row r="14" spans="1:8" ht="60" customHeight="1">
      <c r="A14" s="62">
        <v>12</v>
      </c>
      <c r="B14" s="36" t="s">
        <v>203</v>
      </c>
      <c r="C14" s="18" t="s">
        <v>36</v>
      </c>
      <c r="D14" s="18" t="s">
        <v>37</v>
      </c>
      <c r="E14" s="18" t="s">
        <v>37</v>
      </c>
      <c r="F14" s="18" t="s">
        <v>37</v>
      </c>
      <c r="G14" s="18" t="s">
        <v>37</v>
      </c>
      <c r="H14" s="18" t="s">
        <v>37</v>
      </c>
    </row>
    <row r="15" spans="1:8" ht="60" customHeight="1">
      <c r="A15" s="62">
        <v>13</v>
      </c>
      <c r="B15" s="36" t="s">
        <v>279</v>
      </c>
      <c r="C15" s="18" t="s">
        <v>37</v>
      </c>
      <c r="D15" s="18" t="s">
        <v>37</v>
      </c>
      <c r="E15" s="18" t="s">
        <v>37</v>
      </c>
      <c r="F15" s="18" t="s">
        <v>37</v>
      </c>
      <c r="G15" s="18" t="s">
        <v>37</v>
      </c>
      <c r="H15" s="18" t="s">
        <v>37</v>
      </c>
    </row>
    <row r="16" spans="1:8" ht="60" customHeight="1">
      <c r="A16" s="62">
        <v>14</v>
      </c>
      <c r="B16" s="36" t="s">
        <v>204</v>
      </c>
      <c r="C16" s="18" t="s">
        <v>68</v>
      </c>
      <c r="D16" s="18" t="s">
        <v>358</v>
      </c>
      <c r="E16" s="18" t="s">
        <v>359</v>
      </c>
      <c r="F16" s="18" t="s">
        <v>360</v>
      </c>
      <c r="G16" s="18" t="s">
        <v>103</v>
      </c>
      <c r="H16" s="18" t="s">
        <v>58</v>
      </c>
    </row>
    <row r="18" spans="1:8" ht="61" customHeight="1">
      <c r="A18" s="62">
        <v>15</v>
      </c>
      <c r="B18" s="74" t="s">
        <v>226</v>
      </c>
      <c r="C18" s="74"/>
      <c r="D18" s="75" t="s">
        <v>361</v>
      </c>
      <c r="E18" s="76"/>
      <c r="F18" s="76"/>
      <c r="G18" s="76"/>
      <c r="H18" s="77"/>
    </row>
    <row r="19" spans="1:8" ht="61" customHeight="1">
      <c r="A19" s="62">
        <v>16</v>
      </c>
      <c r="B19" s="74" t="s">
        <v>213</v>
      </c>
      <c r="C19" s="74"/>
      <c r="D19" s="75" t="s">
        <v>362</v>
      </c>
      <c r="E19" s="76"/>
      <c r="F19" s="76"/>
      <c r="G19" s="76"/>
      <c r="H19" s="77"/>
    </row>
    <row r="20" spans="1:8" ht="61" customHeight="1">
      <c r="A20" s="62">
        <v>17</v>
      </c>
      <c r="B20" s="74" t="s">
        <v>200</v>
      </c>
      <c r="C20" s="74"/>
      <c r="D20" s="75" t="s">
        <v>37</v>
      </c>
      <c r="E20" s="76"/>
      <c r="F20" s="76"/>
      <c r="G20" s="76"/>
      <c r="H20" s="77"/>
    </row>
    <row r="21" spans="1:8" ht="61" customHeight="1">
      <c r="A21" s="62">
        <v>18</v>
      </c>
      <c r="B21" s="74" t="s">
        <v>159</v>
      </c>
      <c r="C21" s="74"/>
      <c r="D21" s="75" t="s">
        <v>363</v>
      </c>
      <c r="E21" s="76"/>
      <c r="F21" s="76"/>
      <c r="G21" s="76"/>
      <c r="H21" s="77"/>
    </row>
    <row r="22" spans="1:8" ht="61" customHeight="1">
      <c r="A22" s="62">
        <v>19</v>
      </c>
      <c r="B22" s="74" t="s">
        <v>201</v>
      </c>
      <c r="C22" s="74"/>
      <c r="D22" s="75" t="s">
        <v>364</v>
      </c>
      <c r="E22" s="76"/>
      <c r="F22" s="76"/>
      <c r="G22" s="76"/>
      <c r="H22" s="77"/>
    </row>
    <row r="23" spans="1:8" ht="61" customHeight="1">
      <c r="A23" s="62">
        <v>20</v>
      </c>
      <c r="B23" s="78" t="s">
        <v>224</v>
      </c>
      <c r="C23" s="79"/>
      <c r="D23" s="75" t="s">
        <v>365</v>
      </c>
      <c r="E23" s="76" t="s">
        <v>366</v>
      </c>
      <c r="F23" s="76" t="s">
        <v>367</v>
      </c>
      <c r="G23" s="76"/>
      <c r="H23" s="77"/>
    </row>
    <row r="24" spans="1:8" ht="61" customHeight="1">
      <c r="A24" s="62">
        <v>21</v>
      </c>
      <c r="B24" s="78" t="s">
        <v>225</v>
      </c>
      <c r="C24" s="79"/>
      <c r="D24" s="75" t="s">
        <v>368</v>
      </c>
      <c r="E24" s="76"/>
      <c r="F24" s="76"/>
      <c r="G24" s="76"/>
      <c r="H24" s="77"/>
    </row>
    <row r="25" spans="1:8" ht="187.75" customHeight="1">
      <c r="A25" s="62">
        <v>22</v>
      </c>
      <c r="B25" s="74" t="s">
        <v>202</v>
      </c>
      <c r="C25" s="74"/>
      <c r="D25" s="75" t="s">
        <v>369</v>
      </c>
      <c r="E25" s="76"/>
      <c r="F25" s="76"/>
      <c r="G25" s="76"/>
      <c r="H25" s="77"/>
    </row>
    <row r="26" spans="1:8" ht="61" customHeight="1"/>
    <row r="27" spans="1:8" ht="61" customHeight="1"/>
    <row r="28" spans="1:8" ht="61" customHeight="1"/>
    <row r="29" spans="1:8" ht="61"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3 C5:H16 C4:F4 H4">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11" zoomScaleNormal="100" workbookViewId="0">
      <selection activeCell="D7" sqref="D7"/>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2" t="s">
        <v>293</v>
      </c>
    </row>
    <row r="2" spans="2:10" ht="50" customHeight="1">
      <c r="B2" s="43"/>
      <c r="C2" s="44" t="s">
        <v>6</v>
      </c>
      <c r="D2" s="44" t="s">
        <v>7</v>
      </c>
      <c r="E2" s="44" t="s">
        <v>8</v>
      </c>
      <c r="F2" s="44" t="s">
        <v>16</v>
      </c>
      <c r="G2" s="44" t="s">
        <v>17</v>
      </c>
      <c r="H2" s="44" t="s">
        <v>180</v>
      </c>
      <c r="I2" s="44" t="s">
        <v>215</v>
      </c>
      <c r="J2" s="44" t="s">
        <v>216</v>
      </c>
    </row>
    <row r="3" spans="2:10" ht="50" customHeight="1">
      <c r="B3" s="44" t="s">
        <v>181</v>
      </c>
      <c r="C3" s="69" t="s">
        <v>330</v>
      </c>
      <c r="D3" s="69" t="s">
        <v>370</v>
      </c>
      <c r="E3" s="69" t="s">
        <v>371</v>
      </c>
      <c r="F3" s="69"/>
      <c r="G3" s="69"/>
      <c r="H3" s="69"/>
      <c r="I3" s="69"/>
      <c r="J3" s="69"/>
    </row>
    <row r="4" spans="2:10" ht="50" customHeight="1">
      <c r="B4" s="45" t="s">
        <v>262</v>
      </c>
      <c r="C4" s="69">
        <v>16</v>
      </c>
      <c r="D4" s="69"/>
      <c r="E4" s="69"/>
      <c r="F4" s="69"/>
      <c r="G4" s="69"/>
      <c r="H4" s="69"/>
      <c r="I4" s="69"/>
      <c r="J4" s="69"/>
    </row>
    <row r="5" spans="2:10" ht="50" customHeight="1">
      <c r="B5" s="45" t="s">
        <v>261</v>
      </c>
      <c r="C5" s="69">
        <v>9</v>
      </c>
      <c r="D5" s="69">
        <v>2</v>
      </c>
      <c r="E5" s="69">
        <v>2</v>
      </c>
      <c r="F5" s="69"/>
      <c r="G5" s="69"/>
      <c r="H5" s="69"/>
      <c r="I5" s="69"/>
      <c r="J5" s="69"/>
    </row>
    <row r="6" spans="2:10" ht="50" customHeight="1">
      <c r="B6" s="45" t="s">
        <v>263</v>
      </c>
      <c r="C6" s="69">
        <v>25</v>
      </c>
      <c r="D6" s="69">
        <v>3</v>
      </c>
      <c r="E6" s="69">
        <v>3</v>
      </c>
      <c r="F6" s="69"/>
      <c r="G6" s="69"/>
      <c r="H6" s="69"/>
      <c r="I6" s="69"/>
      <c r="J6" s="69"/>
    </row>
    <row r="7" spans="2:10" ht="50" customHeight="1">
      <c r="B7" s="45" t="s">
        <v>264</v>
      </c>
      <c r="C7" s="69">
        <v>1233</v>
      </c>
      <c r="D7" s="69">
        <v>100</v>
      </c>
      <c r="E7" s="69">
        <v>50</v>
      </c>
      <c r="F7" s="69"/>
      <c r="G7" s="69"/>
      <c r="H7" s="69"/>
      <c r="I7" s="69"/>
      <c r="J7" s="69"/>
    </row>
    <row r="8" spans="2:10" ht="50" customHeight="1">
      <c r="B8" s="45" t="s">
        <v>214</v>
      </c>
      <c r="C8" s="69" t="s">
        <v>372</v>
      </c>
      <c r="D8" s="69" t="s">
        <v>372</v>
      </c>
      <c r="E8" s="69" t="s">
        <v>372</v>
      </c>
      <c r="F8" s="69"/>
      <c r="G8" s="69"/>
      <c r="H8" s="69"/>
      <c r="I8" s="69"/>
      <c r="J8" s="69"/>
    </row>
    <row r="9" spans="2:10" ht="50" customHeight="1">
      <c r="B9" s="45" t="s">
        <v>295</v>
      </c>
      <c r="C9" s="69" t="s">
        <v>331</v>
      </c>
      <c r="D9" s="69" t="s">
        <v>331</v>
      </c>
      <c r="E9" s="69" t="s">
        <v>331</v>
      </c>
      <c r="F9" s="69"/>
      <c r="G9" s="69"/>
      <c r="H9" s="69"/>
      <c r="I9" s="69"/>
      <c r="J9" s="69"/>
    </row>
    <row r="10" spans="2:10" ht="50" customHeight="1">
      <c r="B10" s="63" t="s">
        <v>289</v>
      </c>
      <c r="C10" s="69" t="s">
        <v>330</v>
      </c>
      <c r="D10" s="69" t="s">
        <v>103</v>
      </c>
      <c r="E10" s="69" t="s">
        <v>58</v>
      </c>
      <c r="F10" s="69"/>
      <c r="G10" s="69"/>
      <c r="H10" s="69"/>
      <c r="I10" s="69"/>
      <c r="J10" s="69"/>
    </row>
    <row r="11" spans="2:10" ht="50" customHeight="1">
      <c r="B11" s="45" t="s">
        <v>106</v>
      </c>
      <c r="C11" s="70">
        <v>12</v>
      </c>
      <c r="D11" s="70">
        <v>3</v>
      </c>
      <c r="E11" s="70">
        <v>3</v>
      </c>
      <c r="F11" s="69"/>
      <c r="G11" s="69"/>
      <c r="H11" s="69"/>
      <c r="I11" s="69"/>
      <c r="J11" s="69"/>
    </row>
    <row r="12" spans="2:10" ht="50" customHeight="1">
      <c r="B12" s="45" t="s">
        <v>199</v>
      </c>
      <c r="C12" s="71">
        <v>0.05</v>
      </c>
      <c r="D12" s="72">
        <v>0.05</v>
      </c>
      <c r="E12" s="72">
        <v>0.05</v>
      </c>
      <c r="F12" s="72"/>
      <c r="G12" s="72"/>
      <c r="H12" s="72"/>
      <c r="I12" s="72"/>
      <c r="J12" s="72"/>
    </row>
    <row r="14" spans="2:10" ht="50" customHeight="1">
      <c r="B14" s="81" t="s">
        <v>182</v>
      </c>
      <c r="C14" s="81"/>
      <c r="D14" s="81"/>
    </row>
    <row r="15" spans="2:10" ht="50" customHeight="1">
      <c r="B15" s="16" t="s">
        <v>183</v>
      </c>
      <c r="C15" s="81" t="s">
        <v>184</v>
      </c>
      <c r="D15" s="81"/>
    </row>
    <row r="16" spans="2:10" ht="50" customHeight="1">
      <c r="B16" s="46" t="s">
        <v>185</v>
      </c>
      <c r="C16" s="82" t="s">
        <v>186</v>
      </c>
      <c r="D16" s="82"/>
    </row>
    <row r="17" spans="2:4" ht="50" customHeight="1">
      <c r="B17" s="80" t="s">
        <v>187</v>
      </c>
      <c r="C17" s="80" t="s">
        <v>188</v>
      </c>
      <c r="D17" s="80"/>
    </row>
    <row r="18" spans="2:4" ht="50" customHeight="1">
      <c r="B18" s="80"/>
      <c r="C18" s="80" t="s">
        <v>189</v>
      </c>
      <c r="D18" s="80"/>
    </row>
    <row r="19" spans="2:4" ht="50" customHeight="1">
      <c r="B19" s="80"/>
      <c r="C19" s="80" t="s">
        <v>190</v>
      </c>
      <c r="D19" s="80"/>
    </row>
    <row r="20" spans="2:4" ht="50" customHeight="1">
      <c r="B20" s="80"/>
      <c r="C20" s="80" t="s">
        <v>191</v>
      </c>
      <c r="D20" s="80"/>
    </row>
    <row r="21" spans="2:4" ht="50" customHeight="1">
      <c r="B21" s="80" t="s">
        <v>192</v>
      </c>
      <c r="C21" s="80" t="s">
        <v>193</v>
      </c>
      <c r="D21" s="80"/>
    </row>
    <row r="22" spans="2:4" ht="50" customHeight="1">
      <c r="B22" s="80"/>
      <c r="C22" s="80" t="s">
        <v>194</v>
      </c>
      <c r="D22" s="80"/>
    </row>
    <row r="23" spans="2:4" ht="50" customHeight="1">
      <c r="B23" s="80"/>
      <c r="C23" s="80" t="s">
        <v>195</v>
      </c>
      <c r="D23" s="80"/>
    </row>
    <row r="24" spans="2:4" ht="50" customHeight="1">
      <c r="B24" s="80" t="s">
        <v>196</v>
      </c>
      <c r="C24" s="80" t="s">
        <v>197</v>
      </c>
      <c r="D24" s="80"/>
    </row>
    <row r="25" spans="2:4" ht="50" customHeight="1">
      <c r="B25" s="80"/>
      <c r="C25" s="80" t="s">
        <v>198</v>
      </c>
      <c r="D25" s="80"/>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A4" zoomScaleNormal="100" workbookViewId="0">
      <selection activeCell="D3" sqref="D3"/>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102.6640625" style="1" bestFit="1" customWidth="1"/>
    <col min="12" max="15" width="29.1640625" style="1" customWidth="1"/>
    <col min="16" max="16384" width="10.83203125" style="1"/>
  </cols>
  <sheetData>
    <row r="1" spans="2:11" ht="67" customHeight="1">
      <c r="B1" s="34" t="s">
        <v>287</v>
      </c>
    </row>
    <row r="2" spans="2:11" ht="67" customHeight="1">
      <c r="B2" s="33"/>
      <c r="C2" s="16">
        <v>2022</v>
      </c>
      <c r="D2" s="16">
        <v>2023</v>
      </c>
      <c r="E2" s="16">
        <v>2024</v>
      </c>
      <c r="F2" s="16" t="s">
        <v>208</v>
      </c>
      <c r="G2" s="16" t="s">
        <v>146</v>
      </c>
      <c r="H2" s="16" t="s">
        <v>147</v>
      </c>
      <c r="I2" s="16" t="s">
        <v>209</v>
      </c>
      <c r="J2" s="16" t="s">
        <v>207</v>
      </c>
    </row>
    <row r="3" spans="2:11" ht="67" customHeight="1">
      <c r="B3" s="16" t="s">
        <v>265</v>
      </c>
      <c r="C3" s="39"/>
      <c r="D3" s="39">
        <v>2</v>
      </c>
      <c r="E3" s="39">
        <v>2</v>
      </c>
      <c r="F3" s="39">
        <v>4</v>
      </c>
      <c r="G3" s="39">
        <v>6</v>
      </c>
      <c r="H3" s="39"/>
      <c r="I3" s="39"/>
      <c r="J3" s="59"/>
    </row>
    <row r="4" spans="2:11" ht="140">
      <c r="B4" s="36" t="s">
        <v>266</v>
      </c>
      <c r="C4" s="39"/>
      <c r="D4" s="39">
        <v>5</v>
      </c>
      <c r="E4" s="39">
        <v>10</v>
      </c>
      <c r="F4" s="39">
        <v>20</v>
      </c>
      <c r="G4" s="39">
        <v>30</v>
      </c>
      <c r="H4" s="39"/>
      <c r="I4" s="39"/>
      <c r="J4" s="59" t="s">
        <v>317</v>
      </c>
      <c r="K4" s="73" t="s">
        <v>316</v>
      </c>
    </row>
    <row r="5" spans="2:11" ht="67" customHeight="1">
      <c r="B5" s="16" t="s">
        <v>267</v>
      </c>
      <c r="C5" s="39"/>
      <c r="D5" s="39">
        <v>10</v>
      </c>
      <c r="E5" s="39">
        <v>20</v>
      </c>
      <c r="F5" s="39">
        <v>28</v>
      </c>
      <c r="G5" s="39">
        <v>50</v>
      </c>
      <c r="H5" s="39"/>
      <c r="I5" s="39"/>
      <c r="J5" s="59"/>
    </row>
    <row r="6" spans="2:11" ht="67" customHeight="1">
      <c r="B6" s="16" t="s">
        <v>268</v>
      </c>
      <c r="C6" s="39"/>
      <c r="D6" s="39">
        <v>26</v>
      </c>
      <c r="E6" s="39">
        <v>38</v>
      </c>
      <c r="F6" s="39">
        <v>55</v>
      </c>
      <c r="G6" s="39">
        <v>100</v>
      </c>
      <c r="H6" s="39"/>
      <c r="I6" s="39"/>
      <c r="J6" s="59"/>
      <c r="K6" s="4" t="s">
        <v>217</v>
      </c>
    </row>
    <row r="7" spans="2:11" ht="67" customHeight="1">
      <c r="B7" s="16" t="s">
        <v>269</v>
      </c>
      <c r="C7" s="39"/>
      <c r="D7" s="39">
        <v>1</v>
      </c>
      <c r="E7" s="39">
        <v>3</v>
      </c>
      <c r="F7" s="39">
        <v>3</v>
      </c>
      <c r="G7" s="39">
        <v>5</v>
      </c>
      <c r="H7" s="39"/>
      <c r="I7" s="39"/>
      <c r="J7" s="59"/>
    </row>
    <row r="8" spans="2:11" ht="67" customHeight="1">
      <c r="B8" s="16" t="s">
        <v>270</v>
      </c>
      <c r="C8" s="39"/>
      <c r="D8" s="39">
        <v>2</v>
      </c>
      <c r="E8" s="39">
        <v>3</v>
      </c>
      <c r="F8" s="39">
        <v>4</v>
      </c>
      <c r="G8" s="39">
        <v>6</v>
      </c>
      <c r="H8" s="39"/>
      <c r="I8" s="39"/>
      <c r="J8" s="59"/>
    </row>
    <row r="9" spans="2:11" ht="67" customHeight="1">
      <c r="B9" s="16" t="s">
        <v>271</v>
      </c>
      <c r="C9" s="39"/>
      <c r="D9" s="39">
        <v>1</v>
      </c>
      <c r="E9" s="39">
        <v>1</v>
      </c>
      <c r="F9" s="39">
        <v>3</v>
      </c>
      <c r="G9" s="39">
        <v>4</v>
      </c>
      <c r="H9" s="39"/>
      <c r="I9" s="39"/>
      <c r="J9" s="59"/>
    </row>
    <row r="10" spans="2:11" ht="67" customHeight="1">
      <c r="B10" s="36" t="s">
        <v>284</v>
      </c>
      <c r="C10" s="39"/>
      <c r="D10" s="39">
        <v>5</v>
      </c>
      <c r="E10" s="39">
        <v>5</v>
      </c>
      <c r="F10" s="39">
        <v>15</v>
      </c>
      <c r="G10" s="39">
        <v>25</v>
      </c>
      <c r="H10" s="39"/>
      <c r="I10" s="39"/>
      <c r="J10" s="59"/>
    </row>
    <row r="11" spans="2:11" ht="67" customHeight="1">
      <c r="B11" s="16" t="s">
        <v>285</v>
      </c>
      <c r="C11" s="39"/>
      <c r="D11" s="39"/>
      <c r="E11" s="39"/>
      <c r="F11" s="39"/>
      <c r="G11" s="39"/>
      <c r="H11" s="39"/>
      <c r="I11" s="39"/>
      <c r="J11" s="59"/>
    </row>
    <row r="12" spans="2:11" ht="67" customHeight="1">
      <c r="B12" s="16" t="s">
        <v>286</v>
      </c>
      <c r="C12" s="39"/>
      <c r="D12" s="39"/>
      <c r="E12" s="39"/>
      <c r="F12" s="39"/>
      <c r="G12" s="39"/>
      <c r="H12" s="39"/>
      <c r="I12" s="39"/>
      <c r="J12" s="59"/>
    </row>
    <row r="13" spans="2:11" ht="67" customHeight="1">
      <c r="B13" s="16" t="s">
        <v>210</v>
      </c>
      <c r="C13" s="39"/>
      <c r="D13" s="39"/>
      <c r="E13" s="39"/>
      <c r="F13" s="39"/>
      <c r="G13" s="39"/>
      <c r="H13" s="39"/>
      <c r="I13" s="39"/>
      <c r="J13" s="59"/>
    </row>
    <row r="14" spans="2:11" ht="67" customHeight="1">
      <c r="B14" s="16" t="s">
        <v>210</v>
      </c>
      <c r="C14" s="39"/>
      <c r="D14" s="39"/>
      <c r="E14" s="39"/>
      <c r="F14" s="39"/>
      <c r="G14" s="39"/>
      <c r="H14" s="39"/>
      <c r="I14" s="39"/>
      <c r="J14" s="59"/>
    </row>
    <row r="15" spans="2:11" ht="67" customHeight="1">
      <c r="B15" s="16" t="s">
        <v>210</v>
      </c>
      <c r="C15" s="39"/>
      <c r="D15" s="39"/>
      <c r="E15" s="39"/>
      <c r="F15" s="39"/>
      <c r="G15" s="39"/>
      <c r="H15" s="39"/>
      <c r="I15" s="39"/>
      <c r="J15" s="59"/>
    </row>
    <row r="16" spans="2:11" ht="19">
      <c r="B16" s="51" t="s">
        <v>218</v>
      </c>
      <c r="C16" s="52">
        <f t="shared" ref="C16:I16" si="0">SUM(C3:C15)</f>
        <v>0</v>
      </c>
      <c r="D16" s="52">
        <f t="shared" si="0"/>
        <v>52</v>
      </c>
      <c r="E16" s="52">
        <f t="shared" si="0"/>
        <v>82</v>
      </c>
      <c r="F16" s="52">
        <f t="shared" si="0"/>
        <v>132</v>
      </c>
      <c r="G16" s="52">
        <f t="shared" si="0"/>
        <v>226</v>
      </c>
      <c r="H16" s="52">
        <f t="shared" si="0"/>
        <v>0</v>
      </c>
      <c r="I16" s="52">
        <f t="shared" si="0"/>
        <v>0</v>
      </c>
    </row>
  </sheetData>
  <sheetProtection algorithmName="SHA-512" hashValue="PhkzxIhRU/NEqiY5KBZ8osucQOINuCuNxmLGQ4G6ElnHL0RVLYel/mPUcfz2JPa3W0fO6h3g2OZ30cklvyYhDA==" saltValue="Iw59MJ83Pv69NpgKR5baOg==" spinCount="100000"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A1:K53"/>
  <sheetViews>
    <sheetView showGridLines="0" topLeftCell="A25" workbookViewId="0">
      <selection activeCell="B6" sqref="B6"/>
    </sheetView>
  </sheetViews>
  <sheetFormatPr baseColWidth="10" defaultColWidth="10.83203125" defaultRowHeight="16"/>
  <cols>
    <col min="1" max="1" width="50.1640625" customWidth="1"/>
    <col min="2" max="2" width="110.33203125" customWidth="1"/>
  </cols>
  <sheetData>
    <row r="1" spans="1:11">
      <c r="A1" s="85"/>
      <c r="B1" s="86"/>
      <c r="C1" s="86"/>
      <c r="D1" s="86"/>
      <c r="E1" s="86"/>
      <c r="F1" s="86"/>
      <c r="G1" s="86"/>
      <c r="H1" s="86"/>
      <c r="I1" s="86"/>
      <c r="J1" s="86"/>
      <c r="K1" s="86"/>
    </row>
    <row r="2" spans="1:11" ht="16" customHeight="1">
      <c r="A2" s="87" t="s">
        <v>373</v>
      </c>
      <c r="B2" s="87"/>
      <c r="C2" s="88"/>
      <c r="D2" s="88"/>
      <c r="E2" s="88"/>
      <c r="F2" s="88"/>
      <c r="G2" s="88"/>
      <c r="H2" s="88"/>
      <c r="I2" s="88"/>
      <c r="J2" s="88"/>
      <c r="K2" s="88"/>
    </row>
    <row r="3" spans="1:11">
      <c r="A3" t="s">
        <v>374</v>
      </c>
      <c r="B3" s="89" t="s">
        <v>375</v>
      </c>
    </row>
    <row r="4" spans="1:11" ht="68">
      <c r="A4" s="90" t="s">
        <v>376</v>
      </c>
      <c r="B4" s="91" t="s">
        <v>377</v>
      </c>
    </row>
    <row r="5" spans="1:11" ht="68">
      <c r="A5" s="90" t="s">
        <v>378</v>
      </c>
      <c r="B5" s="91" t="s">
        <v>379</v>
      </c>
    </row>
    <row r="6" spans="1:11" ht="68">
      <c r="A6" s="92" t="s">
        <v>380</v>
      </c>
      <c r="B6" s="91" t="s">
        <v>381</v>
      </c>
    </row>
    <row r="7" spans="1:11" ht="24">
      <c r="A7" s="93" t="s">
        <v>382</v>
      </c>
    </row>
    <row r="9" spans="1:11">
      <c r="A9" s="85" t="s">
        <v>383</v>
      </c>
    </row>
    <row r="11" spans="1:11">
      <c r="A11" s="85" t="s">
        <v>384</v>
      </c>
    </row>
    <row r="13" spans="1:11">
      <c r="A13" s="85" t="s">
        <v>385</v>
      </c>
    </row>
    <row r="15" spans="1:11">
      <c r="A15" s="85" t="s">
        <v>386</v>
      </c>
    </row>
    <row r="19" spans="1:1" ht="24">
      <c r="A19" s="93" t="s">
        <v>387</v>
      </c>
    </row>
    <row r="21" spans="1:1">
      <c r="A21" s="85" t="s">
        <v>388</v>
      </c>
    </row>
    <row r="23" spans="1:1">
      <c r="A23" s="85" t="s">
        <v>389</v>
      </c>
    </row>
    <row r="25" spans="1:1">
      <c r="A25" s="85" t="s">
        <v>390</v>
      </c>
    </row>
    <row r="27" spans="1:1">
      <c r="A27" t="s">
        <v>391</v>
      </c>
    </row>
    <row r="29" spans="1:1" ht="24">
      <c r="A29" s="93" t="s">
        <v>392</v>
      </c>
    </row>
    <row r="31" spans="1:1">
      <c r="A31" s="85" t="s">
        <v>393</v>
      </c>
    </row>
    <row r="33" spans="1:1">
      <c r="A33" s="85" t="s">
        <v>394</v>
      </c>
    </row>
    <row r="35" spans="1:1">
      <c r="A35" s="85" t="s">
        <v>395</v>
      </c>
    </row>
    <row r="37" spans="1:1">
      <c r="A37" s="85" t="s">
        <v>396</v>
      </c>
    </row>
    <row r="41" spans="1:1" ht="24">
      <c r="A41" s="93" t="s">
        <v>397</v>
      </c>
    </row>
    <row r="43" spans="1:1">
      <c r="A43" s="85" t="s">
        <v>398</v>
      </c>
    </row>
    <row r="45" spans="1:1">
      <c r="A45" s="85" t="s">
        <v>399</v>
      </c>
    </row>
    <row r="47" spans="1:1">
      <c r="A47" s="85" t="s">
        <v>400</v>
      </c>
    </row>
    <row r="49" spans="1:1">
      <c r="A49" s="85" t="s">
        <v>401</v>
      </c>
    </row>
    <row r="53" spans="1:1">
      <c r="A53" s="85"/>
    </row>
  </sheetData>
  <mergeCells count="1">
    <mergeCell ref="A2: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topLeftCell="A9" zoomScale="70" zoomScaleNormal="70" workbookViewId="0">
      <selection activeCell="F8" sqref="F8"/>
    </sheetView>
  </sheetViews>
  <sheetFormatPr baseColWidth="10" defaultColWidth="11"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246</v>
      </c>
    </row>
    <row r="2" spans="2:23" ht="60" customHeight="1">
      <c r="B2" s="64" t="s">
        <v>239</v>
      </c>
      <c r="C2" s="83" t="s">
        <v>241</v>
      </c>
      <c r="D2" s="83"/>
      <c r="E2" s="83"/>
      <c r="F2" s="83"/>
      <c r="G2" s="83" t="s">
        <v>242</v>
      </c>
      <c r="H2" s="83"/>
      <c r="I2" s="83"/>
      <c r="J2" s="83"/>
      <c r="K2" s="83"/>
      <c r="L2" s="83" t="s">
        <v>304</v>
      </c>
      <c r="M2" s="83"/>
      <c r="N2" s="83"/>
      <c r="O2" s="83"/>
      <c r="P2" s="83"/>
      <c r="Q2" s="83"/>
      <c r="R2" s="83"/>
      <c r="S2" s="83" t="s">
        <v>243</v>
      </c>
      <c r="T2" s="83"/>
      <c r="U2" s="83"/>
      <c r="V2" s="83"/>
    </row>
    <row r="3" spans="2:23" ht="60" customHeight="1">
      <c r="B3" s="16" t="s">
        <v>240</v>
      </c>
      <c r="C3" s="65" t="s">
        <v>244</v>
      </c>
      <c r="D3" s="65" t="s">
        <v>296</v>
      </c>
      <c r="E3" s="65" t="s">
        <v>234</v>
      </c>
      <c r="F3" s="65" t="s">
        <v>291</v>
      </c>
      <c r="G3" s="65" t="s">
        <v>41</v>
      </c>
      <c r="H3" s="65" t="s">
        <v>245</v>
      </c>
      <c r="I3" s="65" t="s">
        <v>235</v>
      </c>
      <c r="J3" s="65" t="s">
        <v>236</v>
      </c>
      <c r="K3" s="65" t="s">
        <v>288</v>
      </c>
      <c r="L3" s="65" t="s">
        <v>305</v>
      </c>
      <c r="M3" s="66" t="s">
        <v>311</v>
      </c>
      <c r="N3" s="65" t="s">
        <v>306</v>
      </c>
      <c r="O3" s="65" t="s">
        <v>310</v>
      </c>
      <c r="P3" s="65" t="s">
        <v>307</v>
      </c>
      <c r="Q3" s="65" t="s">
        <v>308</v>
      </c>
      <c r="R3" s="65" t="s">
        <v>309</v>
      </c>
      <c r="S3" s="65" t="s">
        <v>24</v>
      </c>
      <c r="T3" s="65" t="s">
        <v>237</v>
      </c>
      <c r="U3" s="65" t="s">
        <v>294</v>
      </c>
      <c r="V3" s="65" t="s">
        <v>238</v>
      </c>
      <c r="W3" s="16" t="s">
        <v>207</v>
      </c>
    </row>
    <row r="4" spans="2:23" ht="60" customHeight="1">
      <c r="B4" s="16" t="s">
        <v>253</v>
      </c>
      <c r="C4" s="39" t="s">
        <v>36</v>
      </c>
      <c r="D4" s="39" t="s">
        <v>37</v>
      </c>
      <c r="E4" s="39" t="s">
        <v>36</v>
      </c>
      <c r="F4" s="39" t="s">
        <v>36</v>
      </c>
      <c r="G4" s="39" t="s">
        <v>37</v>
      </c>
      <c r="H4" s="39" t="s">
        <v>37</v>
      </c>
      <c r="I4" s="39" t="s">
        <v>37</v>
      </c>
      <c r="J4" s="39" t="s">
        <v>36</v>
      </c>
      <c r="K4" s="39" t="s">
        <v>36</v>
      </c>
      <c r="L4" s="39" t="s">
        <v>37</v>
      </c>
      <c r="M4" s="39" t="s">
        <v>37</v>
      </c>
      <c r="N4" s="39" t="s">
        <v>36</v>
      </c>
      <c r="O4" s="39" t="s">
        <v>36</v>
      </c>
      <c r="P4" s="39" t="s">
        <v>37</v>
      </c>
      <c r="Q4" s="39" t="s">
        <v>36</v>
      </c>
      <c r="R4" s="39" t="s">
        <v>37</v>
      </c>
      <c r="S4" s="39" t="s">
        <v>37</v>
      </c>
      <c r="T4" s="39" t="s">
        <v>37</v>
      </c>
      <c r="U4" s="39" t="s">
        <v>36</v>
      </c>
      <c r="V4" s="39" t="s">
        <v>37</v>
      </c>
      <c r="W4" s="59"/>
    </row>
    <row r="5" spans="2:23" ht="60" customHeight="1">
      <c r="B5" s="36" t="s">
        <v>273</v>
      </c>
      <c r="C5" s="39" t="s">
        <v>333</v>
      </c>
      <c r="D5" s="39" t="s">
        <v>333</v>
      </c>
      <c r="E5" s="39" t="s">
        <v>333</v>
      </c>
      <c r="F5" s="39" t="s">
        <v>333</v>
      </c>
      <c r="G5" s="39" t="s">
        <v>372</v>
      </c>
      <c r="H5" s="39" t="s">
        <v>331</v>
      </c>
      <c r="I5" s="39" t="s">
        <v>348</v>
      </c>
      <c r="J5" s="39" t="s">
        <v>372</v>
      </c>
      <c r="K5" s="39" t="s">
        <v>372</v>
      </c>
      <c r="L5" s="39" t="s">
        <v>331</v>
      </c>
      <c r="M5" s="39" t="s">
        <v>331</v>
      </c>
      <c r="N5" s="39" t="s">
        <v>333</v>
      </c>
      <c r="O5" s="39" t="s">
        <v>372</v>
      </c>
      <c r="P5" s="39" t="s">
        <v>331</v>
      </c>
      <c r="Q5" s="39" t="s">
        <v>372</v>
      </c>
      <c r="R5" s="39" t="s">
        <v>331</v>
      </c>
      <c r="S5" s="39" t="s">
        <v>372</v>
      </c>
      <c r="T5" s="39" t="s">
        <v>372</v>
      </c>
      <c r="U5" s="39" t="s">
        <v>333</v>
      </c>
      <c r="V5" s="39" t="s">
        <v>372</v>
      </c>
      <c r="W5" s="59" t="s">
        <v>402</v>
      </c>
    </row>
    <row r="6" spans="2:23" ht="60" customHeight="1">
      <c r="B6" s="36" t="s">
        <v>254</v>
      </c>
      <c r="C6" s="39" t="s">
        <v>37</v>
      </c>
      <c r="D6" s="39" t="s">
        <v>36</v>
      </c>
      <c r="E6" s="39" t="s">
        <v>37</v>
      </c>
      <c r="F6" s="39" t="s">
        <v>36</v>
      </c>
      <c r="G6" s="39" t="s">
        <v>36</v>
      </c>
      <c r="H6" s="39" t="s">
        <v>36</v>
      </c>
      <c r="I6" s="39" t="s">
        <v>37</v>
      </c>
      <c r="J6" s="39" t="s">
        <v>36</v>
      </c>
      <c r="K6" s="39" t="s">
        <v>36</v>
      </c>
      <c r="L6" s="39" t="s">
        <v>37</v>
      </c>
      <c r="M6" s="39" t="s">
        <v>36</v>
      </c>
      <c r="N6" s="39" t="s">
        <v>37</v>
      </c>
      <c r="O6" s="39" t="s">
        <v>37</v>
      </c>
      <c r="P6" s="39" t="s">
        <v>37</v>
      </c>
      <c r="Q6" s="39" t="s">
        <v>36</v>
      </c>
      <c r="R6" s="39" t="s">
        <v>37</v>
      </c>
      <c r="S6" s="39" t="s">
        <v>36</v>
      </c>
      <c r="T6" s="39" t="s">
        <v>36</v>
      </c>
      <c r="U6" s="39" t="s">
        <v>36</v>
      </c>
      <c r="V6" s="39" t="s">
        <v>36</v>
      </c>
      <c r="W6" s="59" t="s">
        <v>403</v>
      </c>
    </row>
    <row r="7" spans="2:23" ht="60" customHeight="1">
      <c r="B7" s="36" t="s">
        <v>22</v>
      </c>
      <c r="C7" s="39" t="s">
        <v>404</v>
      </c>
      <c r="D7" s="39" t="s">
        <v>405</v>
      </c>
      <c r="E7" s="39" t="s">
        <v>406</v>
      </c>
      <c r="F7" s="39" t="s">
        <v>407</v>
      </c>
      <c r="G7" s="39"/>
      <c r="H7" s="39"/>
      <c r="I7" s="39"/>
      <c r="J7" s="39"/>
      <c r="K7" s="39"/>
      <c r="L7" s="39"/>
      <c r="M7" s="39" t="s">
        <v>408</v>
      </c>
      <c r="N7" s="39" t="s">
        <v>409</v>
      </c>
      <c r="O7" s="39" t="s">
        <v>410</v>
      </c>
      <c r="P7" s="39"/>
      <c r="Q7" s="39" t="s">
        <v>411</v>
      </c>
      <c r="R7" s="39"/>
      <c r="S7" s="39"/>
      <c r="T7" s="39"/>
      <c r="U7" s="39" t="s">
        <v>412</v>
      </c>
      <c r="V7" s="39"/>
      <c r="W7" s="59"/>
    </row>
    <row r="8" spans="2:23" ht="60" customHeight="1">
      <c r="B8" s="36" t="s">
        <v>272</v>
      </c>
      <c r="C8" s="39">
        <v>70</v>
      </c>
      <c r="D8" s="39">
        <v>5</v>
      </c>
      <c r="E8" s="39">
        <v>10</v>
      </c>
      <c r="F8" s="39">
        <v>9</v>
      </c>
      <c r="G8" s="39"/>
      <c r="H8" s="39"/>
      <c r="I8" s="39"/>
      <c r="J8" s="39">
        <v>3</v>
      </c>
      <c r="K8" s="39">
        <v>35</v>
      </c>
      <c r="L8" s="39"/>
      <c r="M8" s="39">
        <v>10</v>
      </c>
      <c r="N8" s="39">
        <v>40</v>
      </c>
      <c r="O8" s="39">
        <v>30</v>
      </c>
      <c r="P8" s="39"/>
      <c r="Q8" s="39">
        <v>4</v>
      </c>
      <c r="R8" s="39"/>
      <c r="S8" s="39"/>
      <c r="T8" s="39"/>
      <c r="U8" s="39">
        <v>40</v>
      </c>
      <c r="V8" s="39"/>
      <c r="W8" s="59"/>
    </row>
    <row r="9" spans="2:23" ht="60" customHeight="1">
      <c r="B9" s="36" t="s">
        <v>255</v>
      </c>
      <c r="C9" s="39" t="s">
        <v>413</v>
      </c>
      <c r="D9" s="39" t="s">
        <v>414</v>
      </c>
      <c r="E9" s="39" t="s">
        <v>415</v>
      </c>
      <c r="F9" s="39" t="s">
        <v>416</v>
      </c>
      <c r="G9" s="39"/>
      <c r="H9" s="39"/>
      <c r="I9" s="39"/>
      <c r="J9" s="39"/>
      <c r="K9" s="39"/>
      <c r="L9" s="39"/>
      <c r="M9" s="39" t="s">
        <v>417</v>
      </c>
      <c r="N9" s="39" t="s">
        <v>418</v>
      </c>
      <c r="O9" s="39" t="s">
        <v>419</v>
      </c>
      <c r="P9" s="39"/>
      <c r="Q9" s="39" t="s">
        <v>420</v>
      </c>
      <c r="R9" s="39"/>
      <c r="S9" s="39" t="s">
        <v>421</v>
      </c>
      <c r="T9" s="39" t="s">
        <v>421</v>
      </c>
      <c r="U9" s="39" t="s">
        <v>422</v>
      </c>
      <c r="V9" s="39" t="s">
        <v>421</v>
      </c>
      <c r="W9" s="59"/>
    </row>
    <row r="10" spans="2:23" ht="60" customHeight="1">
      <c r="B10" s="36" t="s">
        <v>303</v>
      </c>
      <c r="C10" s="39" t="s">
        <v>423</v>
      </c>
      <c r="D10" s="39" t="s">
        <v>424</v>
      </c>
      <c r="E10" s="39" t="s">
        <v>425</v>
      </c>
      <c r="F10" s="39" t="s">
        <v>426</v>
      </c>
      <c r="G10" s="39" t="s">
        <v>427</v>
      </c>
      <c r="H10" s="39" t="s">
        <v>428</v>
      </c>
      <c r="I10" s="39"/>
      <c r="J10" s="39" t="s">
        <v>429</v>
      </c>
      <c r="K10" s="39" t="s">
        <v>430</v>
      </c>
      <c r="L10" s="39"/>
      <c r="M10" s="39" t="s">
        <v>431</v>
      </c>
      <c r="N10" s="39" t="s">
        <v>432</v>
      </c>
      <c r="O10" s="39" t="s">
        <v>433</v>
      </c>
      <c r="P10" s="39"/>
      <c r="Q10" s="39" t="s">
        <v>434</v>
      </c>
      <c r="R10" s="39"/>
      <c r="S10" s="39"/>
      <c r="T10" s="39"/>
      <c r="U10" s="39" t="s">
        <v>435</v>
      </c>
      <c r="V10" s="39"/>
      <c r="W10" s="59"/>
    </row>
    <row r="11" spans="2:23" ht="60" customHeight="1">
      <c r="B11" s="36" t="s">
        <v>274</v>
      </c>
      <c r="C11" s="39" t="s">
        <v>436</v>
      </c>
      <c r="D11" s="39" t="s">
        <v>437</v>
      </c>
      <c r="E11" s="39" t="s">
        <v>438</v>
      </c>
      <c r="F11" s="39" t="s">
        <v>437</v>
      </c>
      <c r="G11" s="67"/>
      <c r="H11" s="39" t="s">
        <v>439</v>
      </c>
      <c r="I11" s="39"/>
      <c r="J11" s="39"/>
      <c r="K11" s="39" t="s">
        <v>440</v>
      </c>
      <c r="L11" s="39"/>
      <c r="M11" s="39" t="s">
        <v>440</v>
      </c>
      <c r="N11" s="39" t="s">
        <v>441</v>
      </c>
      <c r="O11" s="39" t="s">
        <v>441</v>
      </c>
      <c r="P11" s="39"/>
      <c r="Q11" s="39" t="s">
        <v>441</v>
      </c>
      <c r="R11" s="39"/>
      <c r="S11" s="39" t="s">
        <v>442</v>
      </c>
      <c r="T11" s="39"/>
      <c r="U11" s="39" t="s">
        <v>443</v>
      </c>
      <c r="V11" s="39"/>
      <c r="W11" s="59"/>
    </row>
    <row r="12" spans="2:23" ht="60" customHeight="1">
      <c r="B12" s="16" t="s">
        <v>256</v>
      </c>
      <c r="C12" s="39" t="s">
        <v>444</v>
      </c>
      <c r="D12" s="39" t="s">
        <v>445</v>
      </c>
      <c r="E12" s="39" t="s">
        <v>446</v>
      </c>
      <c r="F12" s="39" t="s">
        <v>447</v>
      </c>
      <c r="G12" s="39"/>
      <c r="H12" s="39"/>
      <c r="I12" s="39"/>
      <c r="J12" s="39"/>
      <c r="K12" s="39"/>
      <c r="L12" s="39"/>
      <c r="M12" s="39" t="s">
        <v>448</v>
      </c>
      <c r="N12" s="39" t="s">
        <v>449</v>
      </c>
      <c r="O12" s="39" t="s">
        <v>449</v>
      </c>
      <c r="P12" s="39"/>
      <c r="Q12" s="39" t="s">
        <v>450</v>
      </c>
      <c r="R12" s="39"/>
      <c r="S12" s="39"/>
      <c r="T12" s="39"/>
      <c r="U12" s="39" t="s">
        <v>451</v>
      </c>
      <c r="V12" s="39"/>
      <c r="W12" s="59"/>
    </row>
    <row r="13" spans="2:23" ht="60" customHeight="1">
      <c r="B13" s="36" t="s">
        <v>251</v>
      </c>
      <c r="C13" s="39" t="s">
        <v>452</v>
      </c>
      <c r="D13" s="39"/>
      <c r="E13" s="39"/>
      <c r="F13" s="39"/>
      <c r="G13" s="39"/>
      <c r="H13" s="39"/>
      <c r="I13" s="39"/>
      <c r="J13" s="39"/>
      <c r="K13" s="39"/>
      <c r="L13" s="39"/>
      <c r="M13" s="39" t="s">
        <v>453</v>
      </c>
      <c r="N13" s="39" t="s">
        <v>453</v>
      </c>
      <c r="O13" s="39" t="s">
        <v>453</v>
      </c>
      <c r="P13" s="39"/>
      <c r="Q13" s="39" t="s">
        <v>454</v>
      </c>
      <c r="R13" s="39"/>
      <c r="S13" s="39"/>
      <c r="T13" s="39"/>
      <c r="U13" s="39" t="s">
        <v>455</v>
      </c>
      <c r="V13" s="39"/>
      <c r="W13" s="59"/>
    </row>
    <row r="14" spans="2:23" ht="60" customHeight="1">
      <c r="B14" s="16" t="s">
        <v>247</v>
      </c>
      <c r="C14" s="39" t="s">
        <v>456</v>
      </c>
      <c r="D14" s="39"/>
      <c r="E14" s="39" t="s">
        <v>457</v>
      </c>
      <c r="F14" s="39" t="s">
        <v>458</v>
      </c>
      <c r="G14" s="39"/>
      <c r="H14" s="39"/>
      <c r="I14" s="39"/>
      <c r="J14" s="39"/>
      <c r="K14" s="39"/>
      <c r="L14" s="39"/>
      <c r="M14" s="39" t="s">
        <v>459</v>
      </c>
      <c r="N14" s="39" t="s">
        <v>459</v>
      </c>
      <c r="O14" s="39" t="s">
        <v>459</v>
      </c>
      <c r="P14" s="39"/>
      <c r="Q14" s="39" t="s">
        <v>460</v>
      </c>
      <c r="R14" s="39"/>
      <c r="S14" s="39"/>
      <c r="T14" s="39"/>
      <c r="U14" s="39" t="s">
        <v>461</v>
      </c>
      <c r="V14" s="39"/>
      <c r="W14" s="59"/>
    </row>
    <row r="15" spans="2:23" ht="60" customHeight="1">
      <c r="B15" s="16" t="s">
        <v>250</v>
      </c>
      <c r="C15" s="39"/>
      <c r="D15" s="39"/>
      <c r="E15" s="39"/>
      <c r="F15" s="39"/>
      <c r="G15" s="39"/>
      <c r="H15" s="39"/>
      <c r="I15" s="39"/>
      <c r="J15" s="39"/>
      <c r="K15" s="39"/>
      <c r="L15" s="39"/>
      <c r="M15" s="39"/>
      <c r="N15" s="39"/>
      <c r="O15" s="39"/>
      <c r="P15" s="39"/>
      <c r="Q15" s="39"/>
      <c r="R15" s="39"/>
      <c r="S15" s="39"/>
      <c r="T15" s="39"/>
      <c r="U15" s="39"/>
      <c r="V15" s="39"/>
      <c r="W15" s="59"/>
    </row>
    <row r="16" spans="2:23" ht="60" customHeight="1">
      <c r="B16" s="36" t="s">
        <v>252</v>
      </c>
      <c r="C16" s="39"/>
      <c r="D16" s="39"/>
      <c r="E16" s="39"/>
      <c r="F16" s="39"/>
      <c r="G16" s="39"/>
      <c r="H16" s="39"/>
      <c r="I16" s="39"/>
      <c r="J16" s="39"/>
      <c r="K16" s="39"/>
      <c r="L16" s="39"/>
      <c r="M16" s="39" t="s">
        <v>453</v>
      </c>
      <c r="N16" s="39" t="s">
        <v>453</v>
      </c>
      <c r="O16" s="39" t="s">
        <v>453</v>
      </c>
      <c r="P16" s="39"/>
      <c r="Q16" s="39"/>
      <c r="R16" s="39"/>
      <c r="S16" s="39"/>
      <c r="T16" s="39"/>
      <c r="U16" s="39"/>
      <c r="V16" s="39"/>
      <c r="W16" s="59"/>
    </row>
    <row r="17" spans="2:23" ht="60" customHeight="1">
      <c r="B17" s="16" t="s">
        <v>248</v>
      </c>
      <c r="C17" s="39"/>
      <c r="D17" s="39"/>
      <c r="E17" s="39"/>
      <c r="F17" s="39"/>
      <c r="G17" s="39"/>
      <c r="H17" s="39"/>
      <c r="I17" s="39"/>
      <c r="J17" s="39"/>
      <c r="K17" s="39"/>
      <c r="L17" s="39"/>
      <c r="M17" s="39" t="s">
        <v>462</v>
      </c>
      <c r="N17" s="39" t="s">
        <v>462</v>
      </c>
      <c r="O17" s="39" t="s">
        <v>462</v>
      </c>
      <c r="P17" s="39"/>
      <c r="Q17" s="39"/>
      <c r="R17" s="39"/>
      <c r="S17" s="39"/>
      <c r="T17" s="39"/>
      <c r="U17" s="39"/>
      <c r="V17" s="39"/>
      <c r="W17" s="59"/>
    </row>
    <row r="18" spans="2:23" ht="60" customHeight="1">
      <c r="B18" s="16" t="s">
        <v>249</v>
      </c>
      <c r="C18" s="39"/>
      <c r="D18" s="39"/>
      <c r="E18" s="39"/>
      <c r="F18" s="39"/>
      <c r="G18" s="39"/>
      <c r="H18" s="39"/>
      <c r="I18" s="39"/>
      <c r="J18" s="39"/>
      <c r="K18" s="39"/>
      <c r="L18" s="39"/>
      <c r="M18" s="39" t="s">
        <v>463</v>
      </c>
      <c r="N18" s="39" t="s">
        <v>463</v>
      </c>
      <c r="O18" s="39" t="s">
        <v>463</v>
      </c>
      <c r="P18" s="39"/>
      <c r="Q18" s="39"/>
      <c r="R18" s="39"/>
      <c r="S18" s="39"/>
      <c r="T18" s="39"/>
      <c r="U18" s="39"/>
      <c r="V18" s="39"/>
      <c r="W18" s="59"/>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2:E12"/>
  <sheetViews>
    <sheetView showGridLines="0" workbookViewId="0">
      <selection activeCell="E12" sqref="E12"/>
    </sheetView>
  </sheetViews>
  <sheetFormatPr baseColWidth="10" defaultColWidth="10.83203125" defaultRowHeight="16"/>
  <cols>
    <col min="1" max="1" width="5.5" customWidth="1"/>
    <col min="3" max="3" width="14" bestFit="1" customWidth="1"/>
    <col min="4" max="4" width="24.33203125" bestFit="1" customWidth="1"/>
    <col min="5" max="5" width="83.6640625" bestFit="1" customWidth="1"/>
  </cols>
  <sheetData>
    <row r="2" spans="2:5">
      <c r="C2" s="87" t="s">
        <v>464</v>
      </c>
      <c r="D2" s="87"/>
      <c r="E2" s="87"/>
    </row>
    <row r="3" spans="2:5" ht="34" customHeight="1"/>
    <row r="4" spans="2:5" ht="34" customHeight="1">
      <c r="C4" t="s">
        <v>465</v>
      </c>
    </row>
    <row r="5" spans="2:5" ht="34" customHeight="1">
      <c r="B5" s="94"/>
      <c r="C5" s="94" t="s">
        <v>466</v>
      </c>
      <c r="D5" s="94" t="s">
        <v>467</v>
      </c>
      <c r="E5" s="94" t="s">
        <v>468</v>
      </c>
    </row>
    <row r="6" spans="2:5" ht="34" customHeight="1">
      <c r="C6" t="s">
        <v>469</v>
      </c>
      <c r="D6" t="s">
        <v>470</v>
      </c>
      <c r="E6" t="s">
        <v>471</v>
      </c>
    </row>
    <row r="7" spans="2:5">
      <c r="D7" t="s">
        <v>472</v>
      </c>
      <c r="E7" t="s">
        <v>473</v>
      </c>
    </row>
    <row r="8" spans="2:5">
      <c r="D8" t="s">
        <v>474</v>
      </c>
      <c r="E8" t="s">
        <v>475</v>
      </c>
    </row>
    <row r="9" spans="2:5">
      <c r="D9" t="s">
        <v>476</v>
      </c>
      <c r="E9" t="s">
        <v>477</v>
      </c>
    </row>
    <row r="10" spans="2:5">
      <c r="D10" t="s">
        <v>478</v>
      </c>
      <c r="E10" t="s">
        <v>479</v>
      </c>
    </row>
    <row r="11" spans="2:5">
      <c r="D11" t="s">
        <v>480</v>
      </c>
      <c r="E11" t="s">
        <v>481</v>
      </c>
    </row>
    <row r="12" spans="2:5">
      <c r="D12" t="s">
        <v>482</v>
      </c>
      <c r="E12" t="s">
        <v>483</v>
      </c>
    </row>
  </sheetData>
  <mergeCells count="1">
    <mergeCell ref="C2:E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opLeftCell="B22" zoomScaleNormal="100" workbookViewId="0">
      <selection activeCell="C28" sqref="C28"/>
    </sheetView>
  </sheetViews>
  <sheetFormatPr baseColWidth="10" defaultColWidth="10.83203125" defaultRowHeight="20"/>
  <cols>
    <col min="1" max="1" width="4.1640625" style="54" customWidth="1"/>
    <col min="2" max="2" width="200.83203125" style="10" customWidth="1"/>
    <col min="3" max="3" width="67.5" style="13" customWidth="1"/>
    <col min="4" max="16384" width="10.83203125" style="48"/>
  </cols>
  <sheetData>
    <row r="2" spans="2:4" ht="21">
      <c r="B2" s="8" t="s">
        <v>232</v>
      </c>
      <c r="C2" s="11"/>
    </row>
    <row r="3" spans="2:4" ht="21">
      <c r="B3" s="41" t="s">
        <v>230</v>
      </c>
      <c r="C3" s="56"/>
    </row>
    <row r="4" spans="2:4" ht="21">
      <c r="B4" s="55" t="s">
        <v>259</v>
      </c>
      <c r="C4" s="56"/>
    </row>
    <row r="5" spans="2:4" ht="63">
      <c r="B5" s="53" t="s">
        <v>281</v>
      </c>
      <c r="C5" s="47" t="s">
        <v>36</v>
      </c>
      <c r="D5" s="49" t="s">
        <v>282</v>
      </c>
    </row>
    <row r="6" spans="2:4" ht="21">
      <c r="B6" s="55" t="s">
        <v>258</v>
      </c>
      <c r="C6" s="56"/>
      <c r="D6" s="49"/>
    </row>
    <row r="7" spans="2:4" ht="63">
      <c r="B7" s="53" t="s">
        <v>221</v>
      </c>
      <c r="C7" s="47" t="s">
        <v>36</v>
      </c>
      <c r="D7" s="49" t="s">
        <v>275</v>
      </c>
    </row>
    <row r="8" spans="2:4" ht="21">
      <c r="B8" s="55" t="s">
        <v>257</v>
      </c>
      <c r="C8" s="56"/>
    </row>
    <row r="9" spans="2:4" ht="63">
      <c r="B9" s="53" t="s">
        <v>222</v>
      </c>
      <c r="C9" s="47" t="s">
        <v>36</v>
      </c>
    </row>
    <row r="10" spans="2:4" ht="21">
      <c r="B10" s="55" t="s">
        <v>278</v>
      </c>
      <c r="C10" s="56"/>
    </row>
    <row r="11" spans="2:4" ht="63">
      <c r="B11" s="53" t="s">
        <v>315</v>
      </c>
      <c r="C11" s="47" t="s">
        <v>36</v>
      </c>
    </row>
    <row r="12" spans="2:4" ht="21">
      <c r="B12" s="41" t="s">
        <v>229</v>
      </c>
      <c r="C12" s="56"/>
    </row>
    <row r="13" spans="2:4" ht="21">
      <c r="B13" s="55" t="s">
        <v>231</v>
      </c>
      <c r="C13" s="56"/>
    </row>
    <row r="14" spans="2:4" ht="42">
      <c r="B14" s="53" t="s">
        <v>219</v>
      </c>
      <c r="C14" s="47" t="s">
        <v>36</v>
      </c>
    </row>
    <row r="15" spans="2:4" ht="21">
      <c r="B15" s="55" t="s">
        <v>227</v>
      </c>
      <c r="C15" s="56"/>
    </row>
    <row r="16" spans="2:4" ht="42">
      <c r="B16" s="53" t="s">
        <v>220</v>
      </c>
      <c r="C16" s="47" t="s">
        <v>36</v>
      </c>
    </row>
    <row r="17" spans="2:3" ht="21">
      <c r="B17" s="55" t="s">
        <v>228</v>
      </c>
      <c r="C17" s="56"/>
    </row>
    <row r="18" spans="2:3" ht="42">
      <c r="B18" s="53" t="s">
        <v>223</v>
      </c>
      <c r="C18" s="47" t="s">
        <v>36</v>
      </c>
    </row>
    <row r="19" spans="2:3" ht="21">
      <c r="B19" s="55" t="s">
        <v>260</v>
      </c>
      <c r="C19" s="56"/>
    </row>
    <row r="20" spans="2:3" ht="63">
      <c r="B20" s="53" t="s">
        <v>280</v>
      </c>
      <c r="C20" s="47" t="s">
        <v>36</v>
      </c>
    </row>
    <row r="21" spans="2:3" ht="21">
      <c r="B21" s="55" t="s">
        <v>297</v>
      </c>
      <c r="C21" s="56"/>
    </row>
    <row r="22" spans="2:3" ht="63">
      <c r="B22" s="53" t="s">
        <v>299</v>
      </c>
      <c r="C22" s="47" t="s">
        <v>36</v>
      </c>
    </row>
    <row r="23" spans="2:3" ht="21">
      <c r="B23" s="55" t="s">
        <v>302</v>
      </c>
      <c r="C23" s="56"/>
    </row>
    <row r="24" spans="2:3" ht="84">
      <c r="B24" s="53" t="s">
        <v>300</v>
      </c>
      <c r="C24" s="47" t="s">
        <v>36</v>
      </c>
    </row>
    <row r="25" spans="2:3" ht="21">
      <c r="B25" s="55" t="s">
        <v>298</v>
      </c>
      <c r="C25" s="56"/>
    </row>
    <row r="26" spans="2:3" ht="84">
      <c r="B26" s="53" t="s">
        <v>301</v>
      </c>
      <c r="C26" s="47" t="s">
        <v>36</v>
      </c>
    </row>
    <row r="27" spans="2:3" ht="21">
      <c r="B27" s="55" t="s">
        <v>312</v>
      </c>
      <c r="C27" s="56"/>
    </row>
    <row r="28" spans="2:3" ht="84">
      <c r="B28" s="53" t="s">
        <v>313</v>
      </c>
      <c r="C28" s="47" t="s">
        <v>36</v>
      </c>
    </row>
  </sheetData>
  <sheetProtection algorithmName="SHA-512" hashValue="XeW6bUAKnm43j4meWYPApqpxgIUvkc+kiljCp7h71QUV2ZgishBBRb5NF7kP+72LnQELXBDhMs+rLegAjSnArA==" saltValue="2/ZNlC/KVpLBc1AR6Z48Dw==" spinCount="100000" sheet="1" objects="1" scenarios="1"/>
  <conditionalFormatting sqref="C5">
    <cfRule type="containsText" dxfId="53" priority="70" operator="containsText" text="Yes">
      <formula>NOT(ISERROR(SEARCH("Yes",C5)))</formula>
    </cfRule>
    <cfRule type="containsText" dxfId="52" priority="71" operator="containsText" text="No">
      <formula>NOT(ISERROR(SEARCH("No",C5)))</formula>
    </cfRule>
    <cfRule type="notContainsBlanks" dxfId="51" priority="72" stopIfTrue="1">
      <formula>LEN(TRIM(C5))&gt;0</formula>
    </cfRule>
  </conditionalFormatting>
  <conditionalFormatting sqref="C7">
    <cfRule type="containsText" dxfId="50" priority="58" operator="containsText" text="Yes">
      <formula>NOT(ISERROR(SEARCH("Yes",C7)))</formula>
    </cfRule>
    <cfRule type="containsText" dxfId="49" priority="59" operator="containsText" text="No">
      <formula>NOT(ISERROR(SEARCH("No",C7)))</formula>
    </cfRule>
    <cfRule type="notContainsBlanks" dxfId="48" priority="60" stopIfTrue="1">
      <formula>LEN(TRIM(C7))&gt;0</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43" operator="containsText" text="Yes">
      <formula>NOT(ISERROR(SEARCH("Yes",C12)))</formula>
    </cfRule>
    <cfRule type="containsText" dxfId="43" priority="44" operator="containsText" text="No">
      <formula>NOT(ISERROR(SEARCH("No",C12)))</formula>
    </cfRule>
    <cfRule type="notContainsBlanks" dxfId="42" priority="45" stopIfTrue="1">
      <formula>LEN(TRIM(C12))&gt;0</formula>
    </cfRule>
    <cfRule type="containsText" dxfId="41" priority="52" operator="containsText" text="Yes">
      <formula>NOT(ISERROR(SEARCH("Yes",C12)))</formula>
    </cfRule>
    <cfRule type="containsText" dxfId="40" priority="53" operator="containsText" text="No">
      <formula>NOT(ISERROR(SEARCH("No",C12)))</formula>
    </cfRule>
    <cfRule type="notContainsBlanks" dxfId="39" priority="54" stopIfTrue="1">
      <formula>LEN(TRIM(C12))&gt;0</formula>
    </cfRule>
  </conditionalFormatting>
  <conditionalFormatting sqref="C14">
    <cfRule type="containsText" dxfId="38" priority="22" operator="containsText" text="Yes">
      <formula>NOT(ISERROR(SEARCH("Yes",C14)))</formula>
    </cfRule>
    <cfRule type="containsText" dxfId="37" priority="23" operator="containsText" text="No">
      <formula>NOT(ISERROR(SEARCH("No",C14)))</formula>
    </cfRule>
    <cfRule type="notContainsBlanks" dxfId="36" priority="24" stopIfTrue="1">
      <formula>LEN(TRIM(C14))&gt;0</formula>
    </cfRule>
    <cfRule type="containsText" dxfId="35" priority="31" operator="containsText" text="Yes">
      <formula>NOT(ISERROR(SEARCH("Yes",C14)))</formula>
    </cfRule>
    <cfRule type="containsText" dxfId="34" priority="32" operator="containsText" text="No">
      <formula>NOT(ISERROR(SEARCH("No",C14)))</formula>
    </cfRule>
    <cfRule type="notContainsBlanks" dxfId="33" priority="33" stopIfTrue="1">
      <formula>LEN(TRIM(C14))&gt;0</formula>
    </cfRule>
    <cfRule type="containsText" dxfId="32" priority="40" operator="containsText" text="Yes">
      <formula>NOT(ISERROR(SEARCH("Yes",C14)))</formula>
    </cfRule>
    <cfRule type="containsText" dxfId="31" priority="41" operator="containsText" text="No">
      <formula>NOT(ISERROR(SEARCH("No",C14)))</formula>
    </cfRule>
    <cfRule type="notContainsBlanks" dxfId="30" priority="42" stopIfTrue="1">
      <formula>LEN(TRIM(C14))&gt;0</formula>
    </cfRule>
    <cfRule type="containsText" dxfId="29" priority="49" operator="containsText" text="Yes">
      <formula>NOT(ISERROR(SEARCH("Yes",C14)))</formula>
    </cfRule>
    <cfRule type="containsText" dxfId="28" priority="50" operator="containsText" text="No">
      <formula>NOT(ISERROR(SEARCH("No",C14)))</formula>
    </cfRule>
    <cfRule type="notContainsBlanks" dxfId="27" priority="51" stopIfTrue="1">
      <formula>LEN(TRIM(C14))&gt;0</formula>
    </cfRule>
  </conditionalFormatting>
  <conditionalFormatting sqref="C16">
    <cfRule type="containsText" dxfId="26" priority="19" operator="containsText" text="Yes">
      <formula>NOT(ISERROR(SEARCH("Yes",C16)))</formula>
    </cfRule>
    <cfRule type="containsText" dxfId="25" priority="20" operator="containsText" text="No">
      <formula>NOT(ISERROR(SEARCH("No",C16)))</formula>
    </cfRule>
    <cfRule type="notContainsBlanks" dxfId="24" priority="21" stopIfTrue="1">
      <formula>LEN(TRIM(C16))&gt;0</formula>
    </cfRule>
    <cfRule type="containsText" dxfId="23" priority="28" operator="containsText" text="Yes">
      <formula>NOT(ISERROR(SEARCH("Yes",C16)))</formula>
    </cfRule>
    <cfRule type="containsText" dxfId="22" priority="29" operator="containsText" text="No">
      <formula>NOT(ISERROR(SEARCH("No",C16)))</formula>
    </cfRule>
    <cfRule type="notContainsBlanks" dxfId="21" priority="30" stopIfTrue="1">
      <formula>LEN(TRIM(C16))&gt;0</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containsText" dxfId="17" priority="16" operator="containsText" text="Yes">
      <formula>NOT(ISERROR(SEARCH("Yes",C18)))</formula>
    </cfRule>
    <cfRule type="containsText" dxfId="16" priority="17" operator="containsText" text="No">
      <formula>NOT(ISERROR(SEARCH("No",C18)))</formula>
    </cfRule>
    <cfRule type="notContainsBlanks" dxfId="15" priority="18" stopIfTrue="1">
      <formula>LEN(TRIM(C18))&gt;0</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containsText" dxfId="11" priority="10" operator="containsText" text="Yes">
      <formula>NOT(ISERROR(SEARCH("Yes",C22)))</formula>
    </cfRule>
    <cfRule type="containsText" dxfId="10" priority="11" operator="containsText" text="No">
      <formula>NOT(ISERROR(SEARCH("No",C22)))</formula>
    </cfRule>
    <cfRule type="notContainsBlanks" dxfId="9" priority="12" stopIfTrue="1">
      <formula>LEN(TRIM(C22))&gt;0</formula>
    </cfRule>
  </conditionalFormatting>
  <conditionalFormatting sqref="C24">
    <cfRule type="containsText" dxfId="8" priority="7" operator="containsText" text="Yes">
      <formula>NOT(ISERROR(SEARCH("Yes",C24)))</formula>
    </cfRule>
    <cfRule type="containsText" dxfId="7" priority="8" operator="containsText" text="No">
      <formula>NOT(ISERROR(SEARCH("No",C24)))</formula>
    </cfRule>
    <cfRule type="notContainsBlanks" dxfId="6" priority="9" stopIfTrue="1">
      <formula>LEN(TRIM(C24))&gt;0</formula>
    </cfRule>
  </conditionalFormatting>
  <conditionalFormatting sqref="C26">
    <cfRule type="containsText" dxfId="5" priority="4" operator="containsText" text="Yes">
      <formula>NOT(ISERROR(SEARCH("Yes",C26)))</formula>
    </cfRule>
    <cfRule type="containsText" dxfId="4" priority="5" operator="containsText" text="No">
      <formula>NOT(ISERROR(SEARCH("No",C26)))</formula>
    </cfRule>
    <cfRule type="notContainsBlanks" dxfId="3" priority="6" stopIfTrue="1">
      <formula>LEN(TRIM(C26))&gt;0</formula>
    </cfRule>
  </conditionalFormatting>
  <conditionalFormatting sqref="C28">
    <cfRule type="containsText" dxfId="2" priority="1" operator="containsText" text="Yes">
      <formula>NOT(ISERROR(SEARCH("Yes",C28)))</formula>
    </cfRule>
    <cfRule type="containsText" dxfId="1" priority="2" operator="containsText" text="No">
      <formula>NOT(ISERROR(SEARCH("No",C28)))</formula>
    </cfRule>
    <cfRule type="notContainsBlanks" dxfId="0" priority="3" stopIfTrue="1">
      <formula>LEN(TRIM(C28))&gt;0</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Rachna Joseph</cp:lastModifiedBy>
  <cp:lastPrinted>2018-09-13T16:04:18Z</cp:lastPrinted>
  <dcterms:created xsi:type="dcterms:W3CDTF">2018-09-10T17:18:27Z</dcterms:created>
  <dcterms:modified xsi:type="dcterms:W3CDTF">2025-11-29T12:59:50Z</dcterms:modified>
</cp:coreProperties>
</file>