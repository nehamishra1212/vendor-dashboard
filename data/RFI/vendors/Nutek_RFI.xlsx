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Joshua\QUOTATION TEMPLATE\ABC\RFI\"/>
    </mc:Choice>
  </mc:AlternateContent>
  <workbookProtection workbookAlgorithmName="SHA-512" workbookHashValue="DZ307OSwGf3RBgln30ohjK9cXpWpHHaHtd7yDeNi+Mrqi98RPfIMLB2jlZwwG/H9xWNSm6Szu+3goAXOg6dRiA==" workbookSaltValue="o4x2JKd6JvqWvCAbp3C4+Q==" workbookSpinCount="100000" lockStructure="1"/>
  <bookViews>
    <workbookView xWindow="0" yWindow="0" windowWidth="19196" windowHeight="7313" tabRatio="816"/>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<sst xmlns="http://schemas.openxmlformats.org/spreadsheetml/2006/main" count="617" uniqueCount="402">
  <si>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</si>
  <si>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</si>
  <si>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</si>
  <si>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</si>
  <si>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</si>
  <si>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</si>
  <si>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</si>
  <si>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</si>
  <si>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</si>
  <si>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</si>
  <si>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</si>
  <si>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</si>
  <si>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</si>
  <si>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</si>
  <si>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</si>
  <si>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</si>
  <si>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</si>
  <si>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</si>
  <si>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</si>
  <si>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</si>
  <si>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</si>
  <si>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</si>
  <si>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</si>
  <si>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</si>
  <si>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</si>
  <si>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</si>
  <si>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</si>
  <si>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</si>
  <si>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</si>
  <si>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</si>
  <si>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</si>
  <si>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</si>
  <si>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</si>
  <si>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</si>
  <si>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</si>
  <si>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</si>
  <si>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</si>
  <si>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</si>
  <si>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</si>
  <si>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</si>
  <si>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</si>
  <si>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</si>
  <si>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</si>
  <si>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</si>
  <si>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</si>
  <si>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</si>
  <si>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</si>
  <si>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</si>
  <si>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</si>
  <si>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</si>
  <si>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</si>
  <si>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</si>
  <si>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</si>
  <si>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</si>
  <si>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</si>
  <si>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</si>
  <si>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</si>
  <si>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</si>
  <si>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</si>
  <si>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</si>
  <si>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</si>
  <si>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</si>
  <si>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</si>
  <si>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</si>
  <si>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</si>
  <si>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</si>
  <si>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</si>
  <si>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</si>
  <si>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</si>
  <si>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</si>
  <si>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</si>
  <si>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</si>
  <si>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</si>
  <si>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</si>
  <si>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</si>
  <si>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</si>
  <si>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</si>
  <si>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</si>
  <si>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</si>
  <si>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</si>
  <si>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</si>
  <si>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</si>
  <si>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</si>
  <si>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</si>
  <si>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</si>
  <si>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</si>
  <si>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</si>
  <si>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</si>
  <si>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</si>
  <si>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</si>
  <si>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</si>
  <si>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</si>
  <si>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</si>
  <si>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</si>
  <si>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</si>
  <si>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</si>
  <si>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</si>
  <si>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</si>
  <si>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</si>
  <si>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</si>
  <si>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</si>
  <si>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</si>
  <si>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</si>
  <si>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</si>
  <si>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</si>
  <si>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</si>
  <si>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</si>
  <si>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</si>
  <si>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</si>
  <si>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</si>
  <si>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</si>
  <si>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</si>
  <si>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</si>
  <si>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</si>
  <si>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</si>
  <si>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</si>
  <si>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</si>
  <si>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</si>
  <si>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</si>
  <si>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</si>
  <si>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</si>
  <si>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</si>
  <si>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</si>
  <si>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</si>
  <si>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</si>
  <si>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</si>
  <si>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</si>
  <si>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</si>
  <si>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</si>
  <si>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</si>
  <si>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</si>
  <si>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</si>
  <si>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</si>
  <si>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</si>
  <si>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</si>
  <si>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</si>
  <si>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</si>
  <si>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</si>
  <si>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</si>
  <si>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</si>
  <si>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</si>
  <si>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</si>
  <si>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</si>
  <si>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</si>
  <si>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</si>
  <si>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</si>
  <si>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</si>
  <si>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</si>
  <si>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</si>
  <si>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</si>
  <si>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</si>
  <si>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</si>
  <si>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</si>
  <si>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</si>
  <si>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</si>
  <si>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</si>
  <si>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</si>
  <si>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</si>
  <si>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</si>
  <si>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</si>
  <si>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</si>
  <si>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</si>
  <si>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</si>
  <si>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</si>
  <si>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</si>
  <si>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</si>
  <si>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</si>
  <si>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</si>
  <si>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</si>
  <si>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</si>
  <si>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</si>
  <si>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</si>
  <si>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</si>
  <si>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</si>
  <si>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</si>
  <si>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</si>
  <si>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</si>
  <si>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</si>
  <si>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</si>
  <si>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</si>
  <si>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</si>
  <si>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</si>
  <si>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</si>
  <si>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</si>
  <si>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</si>
  <si>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</si>
  <si>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</si>
  <si>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</si>
  <si>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</si>
  <si>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</si>
  <si>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</si>
  <si>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</si>
  <si>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</si>
  <si>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</si>
  <si>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</si>
  <si>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</si>
  <si>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</si>
  <si>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</si>
  <si>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</si>
  <si>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</si>
  <si>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</si>
  <si>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</si>
  <si>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</si>
  <si>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</si>
  <si>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</si>
  <si>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</si>
  <si>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</si>
  <si>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</si>
  <si>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</si>
  <si>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</si>
  <si>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</si>
  <si>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</si>
  <si>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</si>
  <si>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</si>
  <si>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</si>
  <si>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</si>
  <si>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</si>
  <si>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</si>
  <si>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</si>
  <si>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</si>
  <si>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</si>
  <si>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</si>
  <si>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</si>
  <si>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</si>
  <si>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</si>
  <si>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</si>
  <si>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</si>
  <si>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</si>
  <si>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</si>
  <si>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</si>
  <si>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</si>
  <si>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</si>
  <si>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</si>
  <si>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</si>
  <si>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</si>
  <si>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</si>
  <si>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</si>
  <si>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</si>
  <si>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</si>
  <si>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</si>
  <si>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</si>
  <si>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</si>
  <si>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</si>
  <si>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</si>
  <si>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</si>
  <si>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</si>
  <si>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</si>
  <si>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</si>
  <si>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</si>
  <si>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</si>
  <si>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</si>
  <si>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</si>
  <si>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</si>
  <si>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</si>
  <si>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</si>
  <si>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</si>
  <si>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</si>
  <si>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</si>
  <si>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</si>
  <si>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</si>
  <si>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</si>
  <si>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</si>
  <si>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</si>
  <si>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</si>
  <si>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</si>
  <si>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</si>
  <si>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</si>
  <si>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</si>
  <si>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</si>
  <si>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</si>
  <si>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</si>
  <si>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</si>
  <si>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</si>
  <si>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</si>
  <si>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</si>
  <si>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</si>
  <si>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</si>
  <si>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</si>
  <si>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</si>
  <si>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</si>
  <si>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</si>
  <si>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</si>
  <si>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</si>
  <si>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</si>
  <si>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</si>
  <si>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</si>
  <si>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</si>
  <si>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</si>
  <si>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</si>
  <si>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</si>
  <si>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</si>
  <si>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</si>
  <si>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</si>
  <si>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</si>
  <si>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</si>
  <si>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</si>
  <si>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</si>
  <si>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</si>
  <si>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</si>
  <si>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</si>
  <si>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</si>
  <si>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</si>
  <si>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</si>
  <si>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</si>
  <si>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</si>
  <si>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</si>
  <si>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</si>
  <si>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</si>
  <si>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</si>
  <si>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</si>
  <si>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</si>
  <si>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</si>
  <si>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</si>
  <si>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</si>
  <si>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</si>
  <si>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</si>
  <si>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</si>
  <si>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</si>
  <si>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</si>
  <si>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</si>
  <si>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Nutek Private Limited</t>
  </si>
  <si>
    <t>www.nutek-sg.com</t>
  </si>
  <si>
    <t>NA</t>
  </si>
  <si>
    <t>Non-Component</t>
  </si>
  <si>
    <t>Liu Po, Yeo</t>
  </si>
  <si>
    <t>CEO</t>
  </si>
  <si>
    <t>lpyeo@nutek-sg.com</t>
  </si>
  <si>
    <t>+65 6862 0255</t>
  </si>
  <si>
    <t>Joshua,Chua</t>
  </si>
  <si>
    <t>Senior Business Manager</t>
  </si>
  <si>
    <t>joshua@nutek-sg.com</t>
  </si>
  <si>
    <t>+65 9839 8264</t>
  </si>
  <si>
    <t>Kiang Ann Lucas, Lee</t>
  </si>
  <si>
    <t>Director, Business</t>
  </si>
  <si>
    <t>lucas@nutek-sg.com</t>
  </si>
  <si>
    <t>+65 9747 0218</t>
  </si>
  <si>
    <t>Inderpal Singh</t>
  </si>
  <si>
    <t>CFO</t>
  </si>
  <si>
    <t>inderpal@nutek-sg.com</t>
  </si>
  <si>
    <t>Lian Hong, Eoh</t>
  </si>
  <si>
    <t>Director, Engineering</t>
  </si>
  <si>
    <t>lheoh@nutek-sg.com</t>
  </si>
  <si>
    <t>+65 9750 5433</t>
  </si>
  <si>
    <t>Siew Peng, Tan</t>
  </si>
  <si>
    <t>Senior Manager</t>
  </si>
  <si>
    <t>sptan@nutek-sg.com</t>
  </si>
  <si>
    <t>+65 9693 4338</t>
  </si>
  <si>
    <t>Kok Hong Nick. Chow</t>
  </si>
  <si>
    <t>Director, Manufacturing</t>
  </si>
  <si>
    <t>nickchow@nutek-sg.com</t>
  </si>
  <si>
    <t>+65 9171 3246</t>
  </si>
  <si>
    <t>39 Joo Koon Circle Singapore 629105</t>
  </si>
  <si>
    <t>9, Joo Koon Crescent, Singapore 629025</t>
  </si>
  <si>
    <t>Newton, Romeo</t>
  </si>
  <si>
    <t>Handeling equipments for Camera model and WI and Romeo projects</t>
  </si>
  <si>
    <t>Manufacture of : Board handling Equipment / Semi Con handling solution/ OEM ODM Solution/ Automation Solution</t>
  </si>
  <si>
    <t>Worldwide</t>
  </si>
  <si>
    <t>We have no plans for global expansion in manufacturing at this time. Our focus will remain in Singapore, where we are dedicated to design and manufacturing. We will continue to work with partners for sales and service support, but there are no plans to expand operations outside of Singapore</t>
  </si>
  <si>
    <t>PLC - Omron . Keyence (Japan), LN guide - Bosch (Germany), THK ( Japan), Motor and Drive  - Oriental Motor, Panasonic ( Japan), Pneumatic -SMC (Japan), CKD ( Japan)</t>
  </si>
  <si>
    <t>No ( Except Sanctions countries)</t>
  </si>
  <si>
    <t xml:space="preserve">Planning collaboratively:
Collaboration with suppliers and customers can help align supply chain activities, improving the flow of goods.
Just-in-Time (JIT) Inventory:
By limiting inventory and minimizing storage costs, JIT reduces excess inventory. 
To have strong supplier relationships and precise demand forecasting are required
Establishing Strong Supplier Relationships:
Partnering with key suppliers to ensure quality and reliability, fostering trust and collaboration.  
</t>
  </si>
  <si>
    <t>Identify Vulnerabilities:  
include natural disasters, supplier bankruptcies, geopolitical instability, cyber threats, and pandemics.
Supply Chain Mapping : 
Understand where your materials, products, and services come from and mark any weak links.
Multiple Suppliers / Local Sourcing: 
Avoid relying on a single supplier for critical products or materials.
Reduce your dependence on global supply chains by sourcing materials closer to your production or distribution facilities.
Inventory Management:
Understand the demand and to prevent shortages during a disruption, maintain a buffer stock of critical inventory. Based on demand variability and lead time from suppliers.</t>
  </si>
  <si>
    <t>50~80</t>
  </si>
  <si>
    <t>200~300</t>
  </si>
  <si>
    <t>Low</t>
  </si>
  <si>
    <t>R&amp;D Investment:</t>
  </si>
  <si>
    <t>Involvement of resources into research and development that is innovative and stays ahead of the curve. It may involve exploring new materials, improving the accuracy of automation systems, or developing new techniques for handling semiconductors that reduce costs or increase efficiency.</t>
  </si>
  <si>
    <t xml:space="preserve">Customer Collaboration: </t>
  </si>
  <si>
    <t>Develop a thorough understanding of the customer's needs, challenges, and goals. Establish a dedicated team to support joint development projects.</t>
  </si>
  <si>
    <t xml:space="preserve">Continuous Product Improvement: </t>
  </si>
  <si>
    <t>It is imperative that we constantly refine our products based on customer feedback and new market trends in order to remain competitive in a rapidly-evolving semiconductor industry. By providing regular updates, introducing new features, and maintaining rigorous testing processes, reliability and quality will be assured.</t>
  </si>
  <si>
    <t>Leverage Automation and AI</t>
  </si>
  <si>
    <t>With the semiconductor industry demanding ever-increasing precision and speed, it is critical to incorporate artificial intelligence and automation into solutions in order to remain competitive. AI and machine learning can provide optimization of workflows, predictive performance, and enhanced quality control.</t>
  </si>
  <si>
    <t xml:space="preserve">Focus on Sustainability: </t>
  </si>
  <si>
    <t>Energy-efficient and eco-friendly solutions are in growing demand as the world shifts towards more sustainable practices. Having sustainability integrated into our products and processes will differentiate our business while helping global environment.</t>
  </si>
  <si>
    <t>We have developed our own proprietary ERP system, called Veda. It functions similarly to other standard ERP platforms and is designed to efficiently manage and streamline core business operations. Veda helps us monitor and control key processes such as inventory management, supply chain movements, procurement, and other operational workflows.
By using Veda, we ensure real-time visibility, data accuracy, and better coordination across departments, enabling us to operate with greater efficiency and responsiveness.</t>
  </si>
  <si>
    <t>Our quality control process follows a structured approach:
1. Incoming Quality Control (IQC):**  
Upon receipt, all materials and components are inspected. We check for dimensional accuracy, material certification, and any visual defects. Non-conforming materials are quarantined and reviewed with suppliers.
2. In-Process Quality Control (IPQC):**  
During production, regular checks are carried out at critical stages. A visual inspection, functional testing, and dimension check is performed to ensure that the product is built according to specification. In the event of a deviation, it is immediately flagged and corrected before moving on to the next step.
3. Outgoing Quality Control (OQC):**  
Finished products are subjected to a final inspection before they are shipped. It includes verifying the functionality, appearance, packaging, and documentation of the product. A product is only approved for delivery if it meets all requirements.
Our ERP system (Veda) documents and tracks each step of the process, enabling full traceability and continuous improvement.</t>
  </si>
  <si>
    <t>High</t>
  </si>
  <si>
    <t>Medium</t>
  </si>
  <si>
    <t>N/A</t>
  </si>
  <si>
    <t xml:space="preserve">Full turn key capabilities with built to print arrangement
</t>
  </si>
  <si>
    <t>Handling solutions</t>
  </si>
  <si>
    <t>5 mil</t>
  </si>
  <si>
    <t>3 mil</t>
  </si>
  <si>
    <t>2mil</t>
  </si>
  <si>
    <t>1.5mil</t>
  </si>
  <si>
    <t>5 mi</t>
  </si>
  <si>
    <t>.5 mil</t>
  </si>
  <si>
    <t>,2 mil</t>
  </si>
  <si>
    <t>consigned</t>
  </si>
  <si>
    <t>1 mil</t>
  </si>
  <si>
    <t>8-12 weeks</t>
  </si>
  <si>
    <t>30~50 Yearly</t>
  </si>
  <si>
    <t>50~60 Yearly</t>
  </si>
  <si>
    <t>80~100 Yearly</t>
  </si>
  <si>
    <t>20~30 Yearly</t>
  </si>
  <si>
    <t>CMBU</t>
  </si>
  <si>
    <t>Foxconn Long Hua 19 units</t>
  </si>
  <si>
    <t>Sherraine X.Y. Jiang / sherraine.xy.jiang@rayprustech.com</t>
  </si>
  <si>
    <t>huang_jimmy@apple.com</t>
  </si>
  <si>
    <t>Jimmy Huang</t>
  </si>
  <si>
    <t>3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</si>
</sst>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64" formatCode="_-[$$-409]* #,##0_ ;_-[$$-409]* \-#,##0\ ;_-[$$-409]* &quot;-&quot;??_ ;_-@_ "/>
    <numFmt numFmtId="165"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u/>
      <sz val="12"/>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9E1F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9" borderId="1" xfId="0" applyFont="1" applyFill="1" applyBorder="1" applyAlignment="1" applyProtection="1">
      <alignment horizontal="center" vertical="center"/>
      <protection locked="0"/>
    </xf>
    <xf numFmtId="0" fontId="30" fillId="0" borderId="0" xfId="0" applyFont="1"/>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cellStyle name="Hyperlink" xfId="3" builtinId="8"/>
    <cellStyle name="Normal" xfId="0" builtinId="0"/>
    <cellStyle name="Normal 2" xfId="2"/>
    <cellStyle name="Percent" xfId="1" builtinId="5"/>
  </cellStyles>
  <dxfs count="92">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ill>
        <patternFill>
          <bgColor rgb="FFD9E1F2"/>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xdr:col>
      <xdr:colOff>310638</xdr:colOff>
      <xdr:row>49</xdr:row>
      <xdr:rowOff>148616</xdr:rowOff>
    </xdr:to>
    <xdr:pic>
      <xdr:nvPicPr>
        <xdr:cNvPr id="2" name="Picture 1"/>
        <xdr:cNvPicPr>
          <a:picLocks noChangeAspect="1"/>
        </xdr:cNvPicPr>
      </xdr:nvPicPr>
      <xdr:blipFill>
        <a:blip xmlns:r="http://schemas.openxmlformats.org/officeDocument/2006/relationships" r:embed="rId1"/>
        <a:stretch>
          <a:fillRect/>
        </a:stretch>
      </xdr:blipFill>
      <xdr:spPr>
        <a:xfrm>
          <a:off x="421419" y="2981739"/>
          <a:ext cx="5630061" cy="849748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B14"/>
  <sheetViews>
    <sheetView showGridLines="0" tabSelected="1" zoomScale="60" zoomScaleNormal="60" workbookViewId="0">
      <selection activeCell="B14" sqref="B14"/>
    </sheetView>
  </sheetViews>
  <sheetFormatPr defaultColWidth="10.796875" defaultRowHeight="20.7"/>
  <cols>
    <col min="1" max="1" width="10.796875" style="51"/>
    <col min="2" max="2" width="200.796875" style="10" customWidth="1"/>
    <col min="3" max="16384" width="10.796875" style="51"/>
  </cols>
  <sheetData>
    <row r="2" spans="2:2">
      <c r="B2" s="8" t="s">
        <v>214</v>
      </c>
    </row>
    <row r="3" spans="2:2">
      <c r="B3" s="44" t="s">
        <v>174</v>
      </c>
    </row>
    <row r="4" spans="2:2" ht="82.65">
      <c r="B4" s="9" t="s">
        <v>113</v>
      </c>
    </row>
    <row r="5" spans="2:2">
      <c r="B5" s="44" t="s">
        <v>175</v>
      </c>
    </row>
    <row r="6" spans="2:2" ht="41.35">
      <c r="B6" s="9" t="s">
        <v>114</v>
      </c>
    </row>
    <row r="7" spans="2:2">
      <c r="B7" s="44" t="s">
        <v>176</v>
      </c>
    </row>
    <row r="8" spans="2:2" ht="289.25">
      <c r="B8" s="9" t="s">
        <v>294</v>
      </c>
    </row>
    <row r="9" spans="2:2">
      <c r="B9" s="44" t="s">
        <v>177</v>
      </c>
    </row>
    <row r="10" spans="2:2">
      <c r="B10" s="9" t="s">
        <v>180</v>
      </c>
    </row>
    <row r="11" spans="2:2">
      <c r="B11" s="44" t="s">
        <v>178</v>
      </c>
    </row>
    <row r="12" spans="2:2" ht="41.35">
      <c r="B12" s="9" t="s">
        <v>115</v>
      </c>
    </row>
    <row r="13" spans="2:2">
      <c r="B13" s="44" t="s">
        <v>179</v>
      </c>
    </row>
    <row r="14" spans="2:2" ht="82.65">
      <c r="B14" s="71"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B30"/>
  <sheetViews>
    <sheetView showGridLines="0" zoomScale="60" zoomScaleNormal="60" workbookViewId="0">
      <selection activeCell="B14" sqref="B14"/>
    </sheetView>
  </sheetViews>
  <sheetFormatPr defaultColWidth="10.796875" defaultRowHeight="20.7"/>
  <cols>
    <col min="1" max="1" width="10.796875" style="51"/>
    <col min="2" max="2" width="200.796875" style="10" customWidth="1"/>
    <col min="3" max="16384" width="10.796875" style="51"/>
  </cols>
  <sheetData>
    <row r="2" spans="2:2">
      <c r="B2" s="8" t="s">
        <v>116</v>
      </c>
    </row>
    <row r="3" spans="2:2">
      <c r="B3" s="43" t="s">
        <v>160</v>
      </c>
    </row>
    <row r="4" spans="2:2" ht="41.35">
      <c r="B4" s="9" t="s">
        <v>117</v>
      </c>
    </row>
    <row r="5" spans="2:2">
      <c r="B5" s="44" t="s">
        <v>161</v>
      </c>
    </row>
    <row r="6" spans="2:2" ht="41.35">
      <c r="B6" s="9" t="s">
        <v>118</v>
      </c>
    </row>
    <row r="7" spans="2:2">
      <c r="B7" s="44" t="s">
        <v>162</v>
      </c>
    </row>
    <row r="8" spans="2:2" ht="62">
      <c r="B8" s="9" t="s">
        <v>181</v>
      </c>
    </row>
    <row r="9" spans="2:2">
      <c r="B9" s="44" t="s">
        <v>163</v>
      </c>
    </row>
    <row r="10" spans="2:2" ht="41.35">
      <c r="B10" s="9" t="s">
        <v>119</v>
      </c>
    </row>
    <row r="11" spans="2:2">
      <c r="B11" s="44" t="s">
        <v>164</v>
      </c>
    </row>
    <row r="12" spans="2:2" ht="124">
      <c r="B12" s="9" t="s">
        <v>120</v>
      </c>
    </row>
    <row r="13" spans="2:2">
      <c r="B13" s="44" t="s">
        <v>165</v>
      </c>
    </row>
    <row r="14" spans="2:2" ht="82.65">
      <c r="B14" s="9" t="s">
        <v>121</v>
      </c>
    </row>
    <row r="15" spans="2:2">
      <c r="B15" s="44" t="s">
        <v>166</v>
      </c>
    </row>
    <row r="16" spans="2:2" ht="165.3">
      <c r="B16" s="9" t="s">
        <v>122</v>
      </c>
    </row>
    <row r="17" spans="2:2">
      <c r="B17" s="44" t="s">
        <v>167</v>
      </c>
    </row>
    <row r="18" spans="2:2" ht="62">
      <c r="B18" s="9" t="s">
        <v>123</v>
      </c>
    </row>
    <row r="19" spans="2:2">
      <c r="B19" s="44" t="s">
        <v>168</v>
      </c>
    </row>
    <row r="20" spans="2:2" ht="124">
      <c r="B20" s="9" t="s">
        <v>124</v>
      </c>
    </row>
    <row r="21" spans="2:2">
      <c r="B21" s="44" t="s">
        <v>169</v>
      </c>
    </row>
    <row r="22" spans="2:2" ht="62">
      <c r="B22" s="9" t="s">
        <v>125</v>
      </c>
    </row>
    <row r="23" spans="2:2">
      <c r="B23" s="44" t="s">
        <v>170</v>
      </c>
    </row>
    <row r="24" spans="2:2" ht="206.65">
      <c r="B24" s="9" t="s">
        <v>126</v>
      </c>
    </row>
    <row r="25" spans="2:2">
      <c r="B25" s="44" t="s">
        <v>171</v>
      </c>
    </row>
    <row r="26" spans="2:2" ht="165.3">
      <c r="B26" s="9" t="s">
        <v>127</v>
      </c>
    </row>
    <row r="27" spans="2:2">
      <c r="B27" s="44" t="s">
        <v>172</v>
      </c>
    </row>
    <row r="28" spans="2:2" ht="41.35">
      <c r="B28" s="9" t="s">
        <v>128</v>
      </c>
    </row>
    <row r="29" spans="2:2">
      <c r="B29" s="44" t="s">
        <v>173</v>
      </c>
    </row>
    <row r="30" spans="2:2" ht="41.35">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C4"/>
  <sheetViews>
    <sheetView showGridLines="0" zoomScale="70" zoomScaleNormal="70" workbookViewId="0">
      <selection activeCell="B17" sqref="B17"/>
    </sheetView>
  </sheetViews>
  <sheetFormatPr defaultColWidth="10.796875" defaultRowHeight="20.7"/>
  <cols>
    <col min="1" max="1" width="10.796875" style="51"/>
    <col min="2" max="2" width="141.5" style="10" customWidth="1"/>
    <col min="3" max="3" width="40.796875" style="13" customWidth="1"/>
    <col min="4" max="16384" width="10.796875" style="51"/>
  </cols>
  <sheetData>
    <row r="2" spans="2:3">
      <c r="B2" s="8" t="s">
        <v>130</v>
      </c>
      <c r="C2" s="11"/>
    </row>
    <row r="3" spans="2:3">
      <c r="B3" s="43" t="s">
        <v>151</v>
      </c>
      <c r="C3" s="11"/>
    </row>
    <row r="4" spans="2:3" ht="206.65">
      <c r="B4" s="12" t="s">
        <v>131</v>
      </c>
      <c r="C4" s="50"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91" priority="1" operator="containsText" text="Yes">
      <formula>NOT(ISERROR(SEARCH("Yes",C4)))</formula>
    </cfRule>
    <cfRule type="containsText" dxfId="90" priority="2" operator="containsText" text="No">
      <formula>NOT(ISERROR(SEARCH("No",C4)))</formula>
    </cfRule>
    <cfRule type="notContainsBlanks" dxfId="89" priority="3" stopIfTrue="1">
      <formula>LEN(TRIM(C4))&gt;0</formula>
    </cfRule>
  </conditionalFormatting>
  <dataValidations count="1">
    <dataValidation type="list" allowBlank="1" showInputMessage="1" showErrorMessage="1" sqref="C4">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A1:G25"/>
  <sheetViews>
    <sheetView showGridLines="0" topLeftCell="A4" zoomScale="70" zoomScaleNormal="70" workbookViewId="0">
      <selection activeCell="F12" sqref="F12"/>
    </sheetView>
  </sheetViews>
  <sheetFormatPr defaultColWidth="10.796875" defaultRowHeight="18.2"/>
  <cols>
    <col min="1" max="1" width="3.5" style="15" customWidth="1"/>
    <col min="2" max="2" width="74.69921875" style="15" customWidth="1"/>
    <col min="3" max="4" width="29.19921875" style="15" customWidth="1"/>
    <col min="5" max="5" width="30.296875" style="15" bestFit="1" customWidth="1"/>
    <col min="6" max="6" width="29.19921875" style="15" customWidth="1"/>
    <col min="7" max="7" width="38.296875" style="15" customWidth="1"/>
    <col min="8" max="8" width="10.796875" style="3" customWidth="1"/>
    <col min="9" max="16384" width="10.796875" style="3"/>
  </cols>
  <sheetData>
    <row r="1" spans="1:7" ht="26" customHeight="1">
      <c r="B1" s="14" t="s">
        <v>236</v>
      </c>
    </row>
    <row r="2" spans="1:7" ht="26" customHeight="1">
      <c r="A2" s="15">
        <v>1</v>
      </c>
      <c r="B2" s="16" t="s">
        <v>132</v>
      </c>
      <c r="C2" s="17">
        <v>45771</v>
      </c>
    </row>
    <row r="3" spans="1:7" ht="26" customHeight="1">
      <c r="A3" s="15">
        <v>2</v>
      </c>
      <c r="B3" s="16" t="s">
        <v>14</v>
      </c>
      <c r="C3" s="18" t="s">
        <v>320</v>
      </c>
    </row>
    <row r="4" spans="1:7" ht="26" customHeight="1">
      <c r="A4" s="15">
        <v>3</v>
      </c>
      <c r="B4" s="16" t="s">
        <v>13</v>
      </c>
      <c r="C4" s="18" t="s">
        <v>320</v>
      </c>
      <c r="E4" s="19"/>
    </row>
    <row r="5" spans="1:7" ht="26" customHeight="1">
      <c r="A5" s="15">
        <v>4</v>
      </c>
      <c r="B5" s="16" t="s">
        <v>133</v>
      </c>
      <c r="C5" s="18" t="s">
        <v>91</v>
      </c>
      <c r="E5" s="19"/>
    </row>
    <row r="6" spans="1:7" ht="26" customHeight="1">
      <c r="A6" s="15">
        <v>5</v>
      </c>
      <c r="B6" s="16" t="s">
        <v>0</v>
      </c>
      <c r="C6" s="20" t="s">
        <v>321</v>
      </c>
      <c r="E6" s="19"/>
    </row>
    <row r="7" spans="1:7" ht="26" customHeight="1">
      <c r="A7" s="15">
        <v>6</v>
      </c>
      <c r="B7" s="16" t="s">
        <v>1</v>
      </c>
      <c r="C7" s="18" t="s">
        <v>105</v>
      </c>
      <c r="E7" s="19"/>
    </row>
    <row r="8" spans="1:7" ht="26" customHeight="1">
      <c r="A8" s="15">
        <v>7</v>
      </c>
      <c r="B8" s="16" t="s">
        <v>2</v>
      </c>
      <c r="C8" s="18" t="s">
        <v>322</v>
      </c>
    </row>
    <row r="9" spans="1:7" ht="26" customHeight="1">
      <c r="A9" s="15">
        <v>8</v>
      </c>
      <c r="B9" s="16" t="s">
        <v>134</v>
      </c>
      <c r="C9" s="18" t="s">
        <v>323</v>
      </c>
    </row>
    <row r="10" spans="1:7" ht="26" customHeight="1">
      <c r="A10" s="15">
        <v>9</v>
      </c>
      <c r="B10" s="16" t="s">
        <v>5</v>
      </c>
      <c r="C10" s="18">
        <v>466</v>
      </c>
    </row>
    <row r="11" spans="1:7">
      <c r="A11" s="15">
        <v>10</v>
      </c>
      <c r="B11" s="16" t="s">
        <v>3</v>
      </c>
      <c r="C11" s="18">
        <v>1989</v>
      </c>
    </row>
    <row r="12" spans="1:7">
      <c r="A12" s="15">
        <v>11</v>
      </c>
      <c r="B12" s="16" t="s">
        <v>4</v>
      </c>
      <c r="C12" s="18">
        <v>2012</v>
      </c>
      <c r="F12" s="21"/>
    </row>
    <row r="15" spans="1:7" ht="36.35">
      <c r="B15" s="24" t="s">
        <v>135</v>
      </c>
      <c r="C15" s="25" t="s">
        <v>136</v>
      </c>
      <c r="D15" s="25" t="s">
        <v>19</v>
      </c>
      <c r="E15" s="25" t="s">
        <v>112</v>
      </c>
      <c r="F15" s="25" t="s">
        <v>20</v>
      </c>
      <c r="G15" s="26" t="s">
        <v>137</v>
      </c>
    </row>
    <row r="16" spans="1:7">
      <c r="B16" s="27" t="s">
        <v>21</v>
      </c>
      <c r="C16" s="18" t="s">
        <v>324</v>
      </c>
      <c r="D16" s="18" t="s">
        <v>325</v>
      </c>
      <c r="E16" s="18" t="s">
        <v>91</v>
      </c>
      <c r="F16" s="20" t="s">
        <v>326</v>
      </c>
      <c r="G16" s="28" t="s">
        <v>327</v>
      </c>
    </row>
    <row r="17" spans="2:7">
      <c r="B17" s="27" t="s">
        <v>138</v>
      </c>
      <c r="C17" s="18" t="s">
        <v>328</v>
      </c>
      <c r="D17" s="18" t="s">
        <v>329</v>
      </c>
      <c r="E17" s="18" t="s">
        <v>91</v>
      </c>
      <c r="F17" s="20" t="s">
        <v>330</v>
      </c>
      <c r="G17" s="28" t="s">
        <v>331</v>
      </c>
    </row>
    <row r="18" spans="2:7">
      <c r="B18" s="27" t="s">
        <v>139</v>
      </c>
      <c r="C18" s="18" t="s">
        <v>332</v>
      </c>
      <c r="D18" s="18" t="s">
        <v>333</v>
      </c>
      <c r="E18" s="18" t="s">
        <v>91</v>
      </c>
      <c r="F18" s="20" t="s">
        <v>334</v>
      </c>
      <c r="G18" s="28" t="s">
        <v>335</v>
      </c>
    </row>
    <row r="19" spans="2:7">
      <c r="B19" s="27" t="s">
        <v>140</v>
      </c>
      <c r="C19" s="18" t="s">
        <v>336</v>
      </c>
      <c r="D19" s="18" t="s">
        <v>337</v>
      </c>
      <c r="E19" s="18" t="s">
        <v>91</v>
      </c>
      <c r="F19" s="20" t="s">
        <v>338</v>
      </c>
      <c r="G19" s="28" t="s">
        <v>327</v>
      </c>
    </row>
    <row r="20" spans="2:7">
      <c r="B20" s="29" t="s">
        <v>141</v>
      </c>
      <c r="C20" s="22" t="s">
        <v>339</v>
      </c>
      <c r="D20" s="22" t="s">
        <v>340</v>
      </c>
      <c r="E20" s="18" t="s">
        <v>91</v>
      </c>
      <c r="F20" s="23" t="s">
        <v>341</v>
      </c>
      <c r="G20" s="28" t="s">
        <v>342</v>
      </c>
    </row>
    <row r="21" spans="2:7">
      <c r="B21" s="27" t="s">
        <v>142</v>
      </c>
      <c r="C21" s="18" t="s">
        <v>343</v>
      </c>
      <c r="D21" s="18" t="s">
        <v>344</v>
      </c>
      <c r="E21" s="18" t="s">
        <v>91</v>
      </c>
      <c r="F21" s="20" t="s">
        <v>345</v>
      </c>
      <c r="G21" s="28" t="s">
        <v>346</v>
      </c>
    </row>
    <row r="22" spans="2:7">
      <c r="B22" s="27" t="s">
        <v>143</v>
      </c>
      <c r="C22" s="18" t="s">
        <v>347</v>
      </c>
      <c r="D22" s="22" t="s">
        <v>348</v>
      </c>
      <c r="E22" s="18" t="s">
        <v>91</v>
      </c>
      <c r="F22" s="20" t="s">
        <v>349</v>
      </c>
      <c r="G22" s="28" t="s">
        <v>350</v>
      </c>
    </row>
    <row r="23" spans="2:7">
      <c r="B23" s="27" t="s">
        <v>144</v>
      </c>
      <c r="C23" s="18" t="s">
        <v>347</v>
      </c>
      <c r="D23" s="22" t="s">
        <v>348</v>
      </c>
      <c r="E23" s="18" t="s">
        <v>91</v>
      </c>
      <c r="F23" s="20" t="s">
        <v>349</v>
      </c>
      <c r="G23" s="28" t="s">
        <v>350</v>
      </c>
    </row>
    <row r="24" spans="2:7">
      <c r="B24" s="27" t="s">
        <v>212</v>
      </c>
      <c r="C24" s="18"/>
      <c r="D24" s="18"/>
      <c r="E24" s="18"/>
      <c r="F24" s="20"/>
      <c r="G24" s="28"/>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88" priority="2">
      <formula>LEN(TRIM(C2))&gt;0</formula>
    </cfRule>
  </conditionalFormatting>
  <conditionalFormatting sqref="C16:G25">
    <cfRule type="notContainsBlanks" dxfId="87" priority="1">
      <formula>LEN(TRIM(C16))&gt;0</formula>
    </cfRule>
  </conditionalFormatting>
  <dataValidations count="1">
    <dataValidation type="whole" operator="greaterThan" allowBlank="1" showInputMessage="1" showErrorMessage="1" sqref="C10">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A1:I10"/>
  <sheetViews>
    <sheetView showGridLines="0" zoomScale="70" zoomScaleNormal="70" workbookViewId="0">
      <selection activeCell="C4" sqref="C4:E4"/>
    </sheetView>
  </sheetViews>
  <sheetFormatPr defaultColWidth="10.796875" defaultRowHeight="15.65"/>
  <cols>
    <col min="1" max="1" width="4.796875" customWidth="1"/>
    <col min="2" max="2" width="53.796875" customWidth="1"/>
    <col min="3" max="8" width="28.19921875" customWidth="1"/>
    <col min="9" max="16384" width="10.796875" style="1"/>
  </cols>
  <sheetData>
    <row r="1" spans="2:9" ht="51.05" customHeight="1">
      <c r="B1" s="14" t="s">
        <v>213</v>
      </c>
    </row>
    <row r="2" spans="2:9" ht="51.05" customHeight="1">
      <c r="B2" s="16" t="s">
        <v>145</v>
      </c>
      <c r="C2" s="16">
        <v>2022</v>
      </c>
      <c r="D2" s="16">
        <v>2023</v>
      </c>
      <c r="E2" s="16">
        <v>2024</v>
      </c>
      <c r="F2" s="16" t="s">
        <v>210</v>
      </c>
      <c r="G2" s="16" t="s">
        <v>146</v>
      </c>
      <c r="H2" s="16" t="s">
        <v>147</v>
      </c>
    </row>
    <row r="3" spans="2:9" ht="51.05" customHeight="1">
      <c r="B3" s="33" t="s">
        <v>9</v>
      </c>
      <c r="C3" s="61"/>
      <c r="D3" s="61"/>
      <c r="E3" s="61"/>
      <c r="F3" s="61"/>
      <c r="G3" s="61"/>
      <c r="H3" s="61"/>
    </row>
    <row r="4" spans="2:9" ht="51.05" customHeight="1">
      <c r="B4" s="33" t="s">
        <v>10</v>
      </c>
      <c r="C4" s="61">
        <v>97</v>
      </c>
      <c r="D4" s="61">
        <v>102</v>
      </c>
      <c r="E4" s="61">
        <v>63</v>
      </c>
      <c r="F4" s="61"/>
      <c r="G4" s="61"/>
      <c r="H4" s="61"/>
      <c r="I4" s="4"/>
    </row>
    <row r="5" spans="2:9" ht="51.05" customHeight="1">
      <c r="B5" s="33" t="s">
        <v>11</v>
      </c>
      <c r="C5" s="61">
        <v>0.11</v>
      </c>
      <c r="D5" s="61">
        <v>1.4E-2</v>
      </c>
      <c r="E5" s="61"/>
      <c r="F5" s="61"/>
      <c r="G5" s="61"/>
      <c r="H5" s="61"/>
      <c r="I5" s="4" t="s">
        <v>18</v>
      </c>
    </row>
    <row r="6" spans="2:9" ht="51.05" customHeight="1">
      <c r="B6" s="33" t="s">
        <v>287</v>
      </c>
      <c r="C6" s="61">
        <v>1.9</v>
      </c>
      <c r="D6" s="61">
        <v>2</v>
      </c>
      <c r="E6" s="61">
        <v>0.39500000000000002</v>
      </c>
      <c r="F6" s="61"/>
      <c r="G6" s="61"/>
      <c r="H6" s="61"/>
      <c r="I6" s="2" t="s">
        <v>150</v>
      </c>
    </row>
    <row r="8" spans="2:9" ht="18.2">
      <c r="B8" s="16" t="s">
        <v>145</v>
      </c>
      <c r="C8" s="16">
        <v>2023</v>
      </c>
      <c r="D8" s="16">
        <v>2023</v>
      </c>
      <c r="E8" s="16">
        <v>2024</v>
      </c>
      <c r="F8" s="16" t="s">
        <v>210</v>
      </c>
      <c r="G8" s="16" t="s">
        <v>146</v>
      </c>
      <c r="H8" s="16" t="s">
        <v>147</v>
      </c>
    </row>
    <row r="9" spans="2:9" ht="18.2">
      <c r="B9" s="33" t="s">
        <v>148</v>
      </c>
      <c r="C9" s="62">
        <v>33</v>
      </c>
      <c r="D9" s="62">
        <v>33</v>
      </c>
      <c r="E9" s="62">
        <v>16</v>
      </c>
      <c r="F9" s="62"/>
      <c r="G9" s="62"/>
      <c r="H9" s="62"/>
    </row>
    <row r="10" spans="2:9" ht="18.2">
      <c r="B10" s="33" t="s">
        <v>149</v>
      </c>
      <c r="C10" s="62">
        <v>24</v>
      </c>
      <c r="D10" s="62">
        <v>24</v>
      </c>
      <c r="E10" s="62">
        <v>10</v>
      </c>
      <c r="F10" s="62"/>
      <c r="G10" s="62"/>
      <c r="H10" s="62"/>
    </row>
  </sheetData>
  <sheetProtection algorithmName="SHA-512" hashValue="ADYHa84FNvxgDAPkQMA/ds4sXCGn4cmNRk+QJEHJSD6Mj+8x0KTQ9z3XQL2xdLYTVckdH232Lggvd0pM/Osjng==" saltValue="pjSFd/rHk5+ena2trvj3tA==" spinCount="100000" sheet="1" objects="1" scenarios="1"/>
  <conditionalFormatting sqref="C3:H3 F4:H6">
    <cfRule type="notContainsBlanks" dxfId="86" priority="6" stopIfTrue="1">
      <formula>LEN(TRIM(C3))&gt;0</formula>
    </cfRule>
  </conditionalFormatting>
  <conditionalFormatting sqref="F9:H10">
    <cfRule type="notContainsBlanks" dxfId="85" priority="5" stopIfTrue="1">
      <formula>LEN(TRIM(F9))&gt;0</formula>
    </cfRule>
  </conditionalFormatting>
  <conditionalFormatting sqref="C4:E6">
    <cfRule type="notContainsBlanks" dxfId="84" priority="2" stopIfTrue="1">
      <formula>LEN(TRIM(C4))&gt;0</formula>
    </cfRule>
  </conditionalFormatting>
  <conditionalFormatting sqref="C9:E10">
    <cfRule type="notContainsBlanks" dxfId="83" priority="1" stopIfTrue="1">
      <formula>LEN(TRIM(C9))&gt;0</formula>
    </cfRule>
  </conditionalFormatting>
  <dataValidations count="1">
    <dataValidation type="decimal" operator="greaterThan" allowBlank="1" showInputMessage="1" showErrorMessage="1" sqref="C9:H10 C3:H6">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A1:H29"/>
  <sheetViews>
    <sheetView showGridLines="0" topLeftCell="A10" zoomScale="70" zoomScaleNormal="70" workbookViewId="0">
      <selection activeCell="E13" sqref="E13"/>
    </sheetView>
  </sheetViews>
  <sheetFormatPr defaultColWidth="10.796875" defaultRowHeight="26" customHeight="1"/>
  <cols>
    <col min="1" max="1" width="6.19921875" style="66" customWidth="1"/>
    <col min="2" max="2" width="59" style="35" customWidth="1"/>
    <col min="3" max="3" width="38.5" style="3" customWidth="1"/>
    <col min="4" max="8" width="38.5" style="6" customWidth="1"/>
    <col min="9" max="11" width="29.19921875" style="3" customWidth="1"/>
    <col min="12" max="16384" width="10.796875" style="3"/>
  </cols>
  <sheetData>
    <row r="1" spans="1:8" s="15" customFormat="1" ht="51.05" customHeight="1">
      <c r="A1" s="64"/>
      <c r="B1" s="34" t="s">
        <v>296</v>
      </c>
    </row>
    <row r="2" spans="1:8" s="35" customFormat="1" ht="56.05" customHeight="1">
      <c r="A2" s="65"/>
      <c r="B2" s="16"/>
      <c r="C2" s="16" t="s">
        <v>15</v>
      </c>
      <c r="D2" s="36" t="s">
        <v>107</v>
      </c>
      <c r="E2" s="36" t="s">
        <v>108</v>
      </c>
      <c r="F2" s="36" t="s">
        <v>109</v>
      </c>
      <c r="G2" s="36" t="s">
        <v>110</v>
      </c>
      <c r="H2" s="36" t="s">
        <v>111</v>
      </c>
    </row>
    <row r="3" spans="1:8" ht="59.95" customHeight="1">
      <c r="A3" s="66">
        <v>1</v>
      </c>
      <c r="B3" s="16" t="s">
        <v>152</v>
      </c>
      <c r="C3" s="37" t="s">
        <v>320</v>
      </c>
      <c r="D3" s="37" t="s">
        <v>320</v>
      </c>
      <c r="E3" s="37" t="s">
        <v>320</v>
      </c>
      <c r="F3" s="18"/>
      <c r="G3" s="18"/>
      <c r="H3" s="18"/>
    </row>
    <row r="4" spans="1:8" ht="59.95" customHeight="1">
      <c r="A4" s="66">
        <v>2</v>
      </c>
      <c r="B4" s="16" t="s">
        <v>153</v>
      </c>
      <c r="C4" s="18" t="s">
        <v>91</v>
      </c>
      <c r="D4" s="18" t="s">
        <v>91</v>
      </c>
      <c r="E4" s="18" t="s">
        <v>91</v>
      </c>
      <c r="F4" s="18"/>
      <c r="G4" s="53"/>
      <c r="H4" s="18"/>
    </row>
    <row r="5" spans="1:8" ht="59.95" customHeight="1">
      <c r="A5" s="66">
        <v>3</v>
      </c>
      <c r="B5" s="16" t="s">
        <v>154</v>
      </c>
      <c r="C5" s="18" t="s">
        <v>351</v>
      </c>
      <c r="D5" s="18" t="s">
        <v>351</v>
      </c>
      <c r="E5" s="18" t="s">
        <v>352</v>
      </c>
      <c r="F5" s="18"/>
      <c r="G5" s="18"/>
      <c r="H5" s="18"/>
    </row>
    <row r="6" spans="1:8" ht="59.95" customHeight="1">
      <c r="A6" s="66">
        <v>4</v>
      </c>
      <c r="B6" s="36" t="s">
        <v>155</v>
      </c>
      <c r="C6" s="18" t="s">
        <v>353</v>
      </c>
      <c r="D6" s="18" t="s">
        <v>353</v>
      </c>
      <c r="E6" s="18" t="s">
        <v>353</v>
      </c>
      <c r="F6" s="18"/>
      <c r="G6" s="18"/>
      <c r="H6" s="18"/>
    </row>
    <row r="7" spans="1:8" ht="85.95" customHeight="1">
      <c r="A7" s="66">
        <v>5</v>
      </c>
      <c r="B7" s="36" t="s">
        <v>156</v>
      </c>
      <c r="C7" s="18" t="s">
        <v>354</v>
      </c>
      <c r="D7" s="18" t="s">
        <v>354</v>
      </c>
      <c r="E7" s="18" t="s">
        <v>354</v>
      </c>
      <c r="F7" s="18"/>
      <c r="G7" s="18"/>
      <c r="H7" s="18"/>
    </row>
    <row r="8" spans="1:8" ht="85.95" customHeight="1">
      <c r="A8" s="66">
        <v>6</v>
      </c>
      <c r="B8" s="36" t="s">
        <v>157</v>
      </c>
      <c r="C8" s="18" t="s">
        <v>355</v>
      </c>
      <c r="D8" s="18" t="s">
        <v>355</v>
      </c>
      <c r="E8" s="18" t="s">
        <v>355</v>
      </c>
      <c r="F8" s="18"/>
      <c r="G8" s="18"/>
      <c r="H8" s="18"/>
    </row>
    <row r="9" spans="1:8" ht="59.95" customHeight="1">
      <c r="A9" s="66">
        <v>7</v>
      </c>
      <c r="B9" s="16" t="s">
        <v>158</v>
      </c>
      <c r="C9" s="38">
        <v>9800</v>
      </c>
      <c r="D9" s="38">
        <v>9800</v>
      </c>
      <c r="E9" s="39">
        <v>4500</v>
      </c>
      <c r="F9" s="39"/>
      <c r="G9" s="39"/>
      <c r="H9" s="39"/>
    </row>
    <row r="10" spans="1:8" ht="59.95" customHeight="1">
      <c r="A10" s="66">
        <v>8</v>
      </c>
      <c r="B10" s="36" t="s">
        <v>279</v>
      </c>
      <c r="C10" s="18">
        <v>366</v>
      </c>
      <c r="D10" s="18">
        <v>366</v>
      </c>
      <c r="E10" s="18">
        <v>100</v>
      </c>
      <c r="F10" s="39"/>
      <c r="G10" s="39"/>
      <c r="H10" s="39"/>
    </row>
    <row r="11" spans="1:8" ht="59.95" customHeight="1">
      <c r="A11" s="66">
        <v>9</v>
      </c>
      <c r="B11" s="36" t="s">
        <v>208</v>
      </c>
      <c r="C11" s="18">
        <v>100</v>
      </c>
      <c r="D11" s="18">
        <v>100</v>
      </c>
      <c r="E11" s="18">
        <v>60</v>
      </c>
      <c r="F11" s="18"/>
      <c r="G11" s="18"/>
      <c r="H11" s="18"/>
    </row>
    <row r="12" spans="1:8" ht="59.95" customHeight="1">
      <c r="A12" s="66">
        <v>10</v>
      </c>
      <c r="B12" s="36" t="s">
        <v>207</v>
      </c>
      <c r="C12" s="18">
        <v>120</v>
      </c>
      <c r="D12" s="18">
        <v>120</v>
      </c>
      <c r="E12" s="18">
        <v>80</v>
      </c>
      <c r="F12" s="18"/>
      <c r="G12" s="18"/>
      <c r="H12" s="18"/>
    </row>
    <row r="13" spans="1:8" ht="59.95" customHeight="1">
      <c r="A13" s="66">
        <v>11</v>
      </c>
      <c r="B13" s="36" t="s">
        <v>280</v>
      </c>
      <c r="C13" s="18">
        <v>55</v>
      </c>
      <c r="D13" s="18">
        <v>55</v>
      </c>
      <c r="E13" s="18">
        <v>30</v>
      </c>
      <c r="F13" s="18"/>
      <c r="G13" s="18"/>
      <c r="H13" s="18"/>
    </row>
    <row r="14" spans="1:8" ht="59.95" customHeight="1">
      <c r="A14" s="66">
        <v>12</v>
      </c>
      <c r="B14" s="36" t="s">
        <v>205</v>
      </c>
      <c r="C14" s="18" t="s">
        <v>36</v>
      </c>
      <c r="D14" s="18" t="s">
        <v>36</v>
      </c>
      <c r="E14" s="18" t="s">
        <v>36</v>
      </c>
      <c r="F14" s="18"/>
      <c r="G14" s="18"/>
      <c r="H14" s="18"/>
    </row>
    <row r="15" spans="1:8" ht="59.95" customHeight="1">
      <c r="A15" s="66">
        <v>13</v>
      </c>
      <c r="B15" s="36" t="s">
        <v>283</v>
      </c>
      <c r="C15" s="18" t="s">
        <v>36</v>
      </c>
      <c r="D15" s="18" t="s">
        <v>36</v>
      </c>
      <c r="E15" s="18" t="s">
        <v>36</v>
      </c>
      <c r="F15" s="18"/>
      <c r="G15" s="18"/>
      <c r="H15" s="18"/>
    </row>
    <row r="16" spans="1:8" ht="59.95" customHeight="1">
      <c r="A16" s="66">
        <v>14</v>
      </c>
      <c r="B16" s="36" t="s">
        <v>206</v>
      </c>
      <c r="C16" s="18" t="s">
        <v>356</v>
      </c>
      <c r="D16" s="18" t="s">
        <v>356</v>
      </c>
      <c r="E16" s="18" t="s">
        <v>356</v>
      </c>
      <c r="F16" s="18"/>
      <c r="G16" s="18"/>
      <c r="H16" s="18"/>
    </row>
    <row r="18" spans="1:8" ht="61.05" customHeight="1">
      <c r="A18" s="66">
        <v>15</v>
      </c>
      <c r="B18" s="78" t="s">
        <v>229</v>
      </c>
      <c r="C18" s="78"/>
      <c r="D18" s="79" t="s">
        <v>357</v>
      </c>
      <c r="E18" s="80"/>
      <c r="F18" s="80"/>
      <c r="G18" s="80"/>
      <c r="H18" s="81"/>
    </row>
    <row r="19" spans="1:8" ht="61.05" customHeight="1">
      <c r="A19" s="66">
        <v>16</v>
      </c>
      <c r="B19" s="78" t="s">
        <v>215</v>
      </c>
      <c r="C19" s="78"/>
      <c r="D19" s="79" t="s">
        <v>358</v>
      </c>
      <c r="E19" s="80"/>
      <c r="F19" s="80"/>
      <c r="G19" s="80"/>
      <c r="H19" s="81"/>
    </row>
    <row r="20" spans="1:8" ht="61.05" customHeight="1">
      <c r="A20" s="66">
        <v>17</v>
      </c>
      <c r="B20" s="78" t="s">
        <v>202</v>
      </c>
      <c r="C20" s="78"/>
      <c r="D20" s="79" t="s">
        <v>359</v>
      </c>
      <c r="E20" s="80"/>
      <c r="F20" s="80"/>
      <c r="G20" s="80"/>
      <c r="H20" s="81"/>
    </row>
    <row r="21" spans="1:8" ht="61.05" customHeight="1">
      <c r="A21" s="66">
        <v>18</v>
      </c>
      <c r="B21" s="78" t="s">
        <v>159</v>
      </c>
      <c r="C21" s="78"/>
      <c r="D21" s="79" t="s">
        <v>360</v>
      </c>
      <c r="E21" s="80"/>
      <c r="F21" s="80"/>
      <c r="G21" s="80"/>
      <c r="H21" s="81"/>
    </row>
    <row r="22" spans="1:8" ht="61.05" customHeight="1">
      <c r="A22" s="66">
        <v>19</v>
      </c>
      <c r="B22" s="78" t="s">
        <v>203</v>
      </c>
      <c r="C22" s="78"/>
      <c r="D22" s="79" t="s">
        <v>36</v>
      </c>
      <c r="E22" s="80"/>
      <c r="F22" s="80"/>
      <c r="G22" s="80"/>
      <c r="H22" s="81"/>
    </row>
    <row r="23" spans="1:8" ht="61.05" customHeight="1">
      <c r="A23" s="66">
        <v>20</v>
      </c>
      <c r="B23" s="82" t="s">
        <v>227</v>
      </c>
      <c r="C23" s="83"/>
      <c r="D23" s="79" t="s">
        <v>376</v>
      </c>
      <c r="E23" s="80"/>
      <c r="F23" s="80"/>
      <c r="G23" s="80"/>
      <c r="H23" s="81"/>
    </row>
    <row r="24" spans="1:8" ht="61.05" customHeight="1">
      <c r="A24" s="66">
        <v>21</v>
      </c>
      <c r="B24" s="82" t="s">
        <v>228</v>
      </c>
      <c r="C24" s="83"/>
      <c r="D24" s="40" t="s">
        <v>375</v>
      </c>
      <c r="E24" s="41"/>
      <c r="F24" s="41"/>
      <c r="G24" s="41"/>
      <c r="H24" s="42"/>
    </row>
    <row r="25" spans="1:8" ht="187.85" customHeight="1">
      <c r="A25" s="66">
        <v>22</v>
      </c>
      <c r="B25" s="78" t="s">
        <v>204</v>
      </c>
      <c r="C25" s="78"/>
      <c r="D25" s="79" t="s">
        <v>361</v>
      </c>
      <c r="E25" s="80"/>
      <c r="F25" s="80"/>
      <c r="G25" s="80"/>
      <c r="H25" s="81"/>
    </row>
    <row r="26" spans="1:8" ht="61.05" customHeight="1"/>
    <row r="27" spans="1:8" ht="61.05" customHeight="1"/>
    <row r="28" spans="1:8" ht="61.05" customHeight="1"/>
    <row r="29" spans="1:8" ht="61.05" customHeight="1"/>
  </sheetData>
  <sheetProtection algorithmName="SHA-512" hashValue="MfMEAblZjKBqAPX9VPQm6sFACoYf1wgSCXTunSYdqxnUDVIBn7Ehzs0RsgzyRvt0O5q+B8a8sVj/VubePBmZ+w==" saltValue="i4XABQq/CBPEu2Kvm2yl+A==" spinCount="100000" sheet="1" selectLockedCells="1"/>
  <mergeCells count="15">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s>
  <conditionalFormatting sqref="C12:H15 F3:H11 F16:H16">
    <cfRule type="notContainsBlanks" dxfId="82" priority="13">
      <formula>LEN(TRIM(C3))&gt;0</formula>
    </cfRule>
  </conditionalFormatting>
  <conditionalFormatting sqref="D24">
    <cfRule type="notContainsBlanks" dxfId="81" priority="14">
      <formula>LEN(TRIM(D24))&gt;0</formula>
    </cfRule>
  </conditionalFormatting>
  <conditionalFormatting sqref="C4:E5">
    <cfRule type="notContainsBlanks" dxfId="80" priority="12">
      <formula>LEN(TRIM(C4))&gt;0</formula>
    </cfRule>
  </conditionalFormatting>
  <conditionalFormatting sqref="C3">
    <cfRule type="notContainsBlanks" dxfId="79" priority="11">
      <formula>LEN(TRIM(C3))&gt;0</formula>
    </cfRule>
  </conditionalFormatting>
  <conditionalFormatting sqref="D3">
    <cfRule type="notContainsBlanks" dxfId="78" priority="10">
      <formula>LEN(TRIM(D3))&gt;0</formula>
    </cfRule>
  </conditionalFormatting>
  <conditionalFormatting sqref="E3">
    <cfRule type="notContainsBlanks" dxfId="77" priority="9">
      <formula>LEN(TRIM(E3))&gt;0</formula>
    </cfRule>
  </conditionalFormatting>
  <conditionalFormatting sqref="C6:E7">
    <cfRule type="notContainsBlanks" dxfId="76" priority="8">
      <formula>LEN(TRIM(C6))&gt;0</formula>
    </cfRule>
  </conditionalFormatting>
  <conditionalFormatting sqref="E9 C8:E8">
    <cfRule type="notContainsBlanks" dxfId="75" priority="7">
      <formula>LEN(TRIM(C8))&gt;0</formula>
    </cfRule>
  </conditionalFormatting>
  <conditionalFormatting sqref="C9">
    <cfRule type="notContainsBlanks" dxfId="74" priority="6">
      <formula>LEN(TRIM(C9))&gt;0</formula>
    </cfRule>
  </conditionalFormatting>
  <conditionalFormatting sqref="D9">
    <cfRule type="notContainsBlanks" dxfId="73" priority="5">
      <formula>LEN(TRIM(D9))&gt;0</formula>
    </cfRule>
  </conditionalFormatting>
  <conditionalFormatting sqref="C10:E11">
    <cfRule type="notContainsBlanks" dxfId="72" priority="4">
      <formula>LEN(TRIM(C10))&gt;0</formula>
    </cfRule>
  </conditionalFormatting>
  <conditionalFormatting sqref="C16:E16">
    <cfRule type="notContainsBlanks" dxfId="71" priority="3">
      <formula>LEN(TRIM(C16))&gt;0</formula>
    </cfRule>
  </conditionalFormatting>
  <conditionalFormatting sqref="D18:D23">
    <cfRule type="notContainsBlanks" dxfId="70" priority="2">
      <formula>LEN(TRIM(D18))&gt;0</formula>
    </cfRule>
  </conditionalFormatting>
  <conditionalFormatting sqref="D25">
    <cfRule type="notContainsBlanks" dxfId="69" priority="1">
      <formula>LEN(TRIM(D25))&gt;0</formula>
    </cfRule>
  </conditionalFormatting>
  <dataValidations count="3">
    <dataValidation type="decimal" operator="greaterThan" allowBlank="1" showInputMessage="1" showErrorMessage="1" sqref="C9:H10">
      <formula1>0</formula1>
    </dataValidation>
    <dataValidation type="list" allowBlank="1" showInputMessage="1" showErrorMessage="1" sqref="C14:H15">
      <formula1>"Yes,No"</formula1>
    </dataValidation>
    <dataValidation type="whole" operator="greaterThan" allowBlank="1" showInputMessage="1" showErrorMessage="1" sqref="C11:H13">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B1:J25"/>
  <sheetViews>
    <sheetView showGridLines="0" zoomScale="60" zoomScaleNormal="60" workbookViewId="0">
      <selection activeCell="C12" sqref="C12"/>
    </sheetView>
  </sheetViews>
  <sheetFormatPr defaultColWidth="10.796875" defaultRowHeight="49.95" customHeight="1"/>
  <cols>
    <col min="1" max="1" width="5.19921875" style="3" customWidth="1"/>
    <col min="2" max="2" width="53.19921875" style="3" customWidth="1"/>
    <col min="3" max="10" width="32.69921875" style="3" customWidth="1"/>
    <col min="11" max="16384" width="10.796875" style="3"/>
  </cols>
  <sheetData>
    <row r="1" spans="2:10" ht="49.95" customHeight="1">
      <c r="B1" s="45" t="s">
        <v>297</v>
      </c>
    </row>
    <row r="2" spans="2:10" ht="49.95" customHeight="1">
      <c r="B2" s="46"/>
      <c r="C2" s="47" t="s">
        <v>6</v>
      </c>
      <c r="D2" s="47" t="s">
        <v>7</v>
      </c>
      <c r="E2" s="47" t="s">
        <v>8</v>
      </c>
      <c r="F2" s="47" t="s">
        <v>16</v>
      </c>
      <c r="G2" s="47" t="s">
        <v>17</v>
      </c>
      <c r="H2" s="47" t="s">
        <v>182</v>
      </c>
      <c r="I2" s="47" t="s">
        <v>217</v>
      </c>
      <c r="J2" s="47" t="s">
        <v>218</v>
      </c>
    </row>
    <row r="3" spans="2:10" ht="49.95" customHeight="1">
      <c r="B3" s="47" t="s">
        <v>183</v>
      </c>
      <c r="C3" s="76" t="s">
        <v>103</v>
      </c>
      <c r="D3" s="76" t="s">
        <v>58</v>
      </c>
      <c r="E3" s="76" t="s">
        <v>68</v>
      </c>
      <c r="F3" s="76" t="s">
        <v>69</v>
      </c>
      <c r="G3" s="72"/>
      <c r="H3" s="72"/>
      <c r="I3" s="72"/>
      <c r="J3" s="72"/>
    </row>
    <row r="4" spans="2:10" ht="49.95" customHeight="1">
      <c r="B4" s="48" t="s">
        <v>265</v>
      </c>
      <c r="C4" s="72"/>
      <c r="D4" s="72">
        <v>1</v>
      </c>
      <c r="E4" s="72">
        <v>5</v>
      </c>
      <c r="F4" s="72">
        <v>1</v>
      </c>
      <c r="G4" s="72"/>
      <c r="H4" s="72"/>
      <c r="I4" s="72"/>
      <c r="J4" s="72"/>
    </row>
    <row r="5" spans="2:10" ht="49.95" customHeight="1">
      <c r="B5" s="48" t="s">
        <v>264</v>
      </c>
      <c r="C5" s="72"/>
      <c r="D5" s="72">
        <v>2</v>
      </c>
      <c r="E5" s="72">
        <v>3</v>
      </c>
      <c r="F5" s="72">
        <v>2</v>
      </c>
      <c r="G5" s="72"/>
      <c r="H5" s="72"/>
      <c r="I5" s="72"/>
      <c r="J5" s="72"/>
    </row>
    <row r="6" spans="2:10" ht="49.95" customHeight="1">
      <c r="B6" s="48" t="s">
        <v>266</v>
      </c>
      <c r="C6" s="72">
        <v>4</v>
      </c>
      <c r="D6" s="72">
        <v>5</v>
      </c>
      <c r="E6" s="72">
        <v>2</v>
      </c>
      <c r="F6" s="72">
        <v>7</v>
      </c>
      <c r="G6" s="72"/>
      <c r="H6" s="72"/>
      <c r="I6" s="72"/>
      <c r="J6" s="72"/>
    </row>
    <row r="7" spans="2:10" ht="49.95" customHeight="1">
      <c r="B7" s="48" t="s">
        <v>267</v>
      </c>
      <c r="C7" s="72" t="s">
        <v>362</v>
      </c>
      <c r="D7" s="72" t="s">
        <v>363</v>
      </c>
      <c r="E7" s="72" t="s">
        <v>363</v>
      </c>
      <c r="F7" s="72" t="s">
        <v>363</v>
      </c>
      <c r="G7" s="72"/>
      <c r="H7" s="72"/>
      <c r="I7" s="72"/>
      <c r="J7" s="72"/>
    </row>
    <row r="8" spans="2:10" ht="49.95" customHeight="1">
      <c r="B8" s="48" t="s">
        <v>216</v>
      </c>
      <c r="C8" s="72" t="s">
        <v>364</v>
      </c>
      <c r="D8" s="72" t="s">
        <v>364</v>
      </c>
      <c r="E8" s="72" t="s">
        <v>364</v>
      </c>
      <c r="F8" s="72" t="s">
        <v>364</v>
      </c>
      <c r="G8" s="72"/>
      <c r="H8" s="72"/>
      <c r="I8" s="72"/>
      <c r="J8" s="72"/>
    </row>
    <row r="9" spans="2:10" ht="49.95" customHeight="1">
      <c r="B9" s="48" t="s">
        <v>299</v>
      </c>
      <c r="C9" s="72" t="s">
        <v>364</v>
      </c>
      <c r="D9" s="72" t="s">
        <v>364</v>
      </c>
      <c r="E9" s="72" t="s">
        <v>364</v>
      </c>
      <c r="F9" s="72" t="s">
        <v>364</v>
      </c>
      <c r="G9" s="72"/>
      <c r="H9" s="72"/>
      <c r="I9" s="72"/>
      <c r="J9" s="72"/>
    </row>
    <row r="10" spans="2:10" ht="49.95" customHeight="1">
      <c r="B10" s="67" t="s">
        <v>293</v>
      </c>
      <c r="C10" s="72" t="s">
        <v>392</v>
      </c>
      <c r="D10" s="72" t="s">
        <v>393</v>
      </c>
      <c r="E10" s="72" t="s">
        <v>394</v>
      </c>
      <c r="F10" s="72" t="s">
        <v>395</v>
      </c>
      <c r="G10" s="72"/>
      <c r="H10" s="72"/>
      <c r="I10" s="72"/>
      <c r="J10" s="72"/>
    </row>
    <row r="11" spans="2:10" ht="49.95" customHeight="1">
      <c r="B11" s="48" t="s">
        <v>106</v>
      </c>
      <c r="C11" s="73">
        <v>2</v>
      </c>
      <c r="D11" s="73">
        <v>2</v>
      </c>
      <c r="E11" s="73">
        <v>2</v>
      </c>
      <c r="F11" s="72">
        <v>2</v>
      </c>
      <c r="G11" s="72"/>
      <c r="H11" s="72"/>
      <c r="I11" s="72"/>
      <c r="J11" s="72"/>
    </row>
    <row r="12" spans="2:10" ht="49.95" customHeight="1">
      <c r="B12" s="48" t="s">
        <v>201</v>
      </c>
      <c r="C12" s="74">
        <v>5.0000000000000001E-3</v>
      </c>
      <c r="D12" s="75">
        <v>0.01</v>
      </c>
      <c r="E12" s="75">
        <v>0.01</v>
      </c>
      <c r="F12" s="75">
        <v>0.01</v>
      </c>
      <c r="G12" s="75"/>
      <c r="H12" s="75"/>
      <c r="I12" s="75"/>
      <c r="J12" s="75"/>
    </row>
    <row r="14" spans="2:10" ht="49.95" customHeight="1">
      <c r="B14" s="85" t="s">
        <v>184</v>
      </c>
      <c r="C14" s="85"/>
      <c r="D14" s="85"/>
    </row>
    <row r="15" spans="2:10" ht="49.95" customHeight="1">
      <c r="B15" s="16" t="s">
        <v>185</v>
      </c>
      <c r="C15" s="85" t="s">
        <v>186</v>
      </c>
      <c r="D15" s="85"/>
    </row>
    <row r="16" spans="2:10" ht="49.95" customHeight="1">
      <c r="B16" s="49" t="s">
        <v>187</v>
      </c>
      <c r="C16" s="86" t="s">
        <v>188</v>
      </c>
      <c r="D16" s="86"/>
    </row>
    <row r="17" spans="2:4" ht="49.95" customHeight="1">
      <c r="B17" s="84" t="s">
        <v>189</v>
      </c>
      <c r="C17" s="84" t="s">
        <v>190</v>
      </c>
      <c r="D17" s="84"/>
    </row>
    <row r="18" spans="2:4" ht="49.95" customHeight="1">
      <c r="B18" s="84"/>
      <c r="C18" s="84" t="s">
        <v>191</v>
      </c>
      <c r="D18" s="84"/>
    </row>
    <row r="19" spans="2:4" ht="49.95" customHeight="1">
      <c r="B19" s="84"/>
      <c r="C19" s="84" t="s">
        <v>192</v>
      </c>
      <c r="D19" s="84"/>
    </row>
    <row r="20" spans="2:4" ht="49.95" customHeight="1">
      <c r="B20" s="84"/>
      <c r="C20" s="84" t="s">
        <v>193</v>
      </c>
      <c r="D20" s="84"/>
    </row>
    <row r="21" spans="2:4" ht="49.95" customHeight="1">
      <c r="B21" s="84" t="s">
        <v>194</v>
      </c>
      <c r="C21" s="84" t="s">
        <v>195</v>
      </c>
      <c r="D21" s="84"/>
    </row>
    <row r="22" spans="2:4" ht="49.95" customHeight="1">
      <c r="B22" s="84"/>
      <c r="C22" s="84" t="s">
        <v>196</v>
      </c>
      <c r="D22" s="84"/>
    </row>
    <row r="23" spans="2:4" ht="49.95" customHeight="1">
      <c r="B23" s="84"/>
      <c r="C23" s="84" t="s">
        <v>197</v>
      </c>
      <c r="D23" s="84"/>
    </row>
    <row r="24" spans="2:4" ht="49.95" customHeight="1">
      <c r="B24" s="84" t="s">
        <v>198</v>
      </c>
      <c r="C24" s="84" t="s">
        <v>199</v>
      </c>
      <c r="D24" s="84"/>
    </row>
    <row r="25" spans="2:4" ht="49.95" customHeight="1">
      <c r="B25" s="84"/>
      <c r="C25" s="84" t="s">
        <v>200</v>
      </c>
      <c r="D25" s="84"/>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G3:J8 C9:J12">
    <cfRule type="containsBlanks" dxfId="68" priority="3" stopIfTrue="1">
      <formula>LEN(TRIM(C3))=0</formula>
    </cfRule>
  </conditionalFormatting>
  <conditionalFormatting sqref="C3:F8">
    <cfRule type="containsBlanks" dxfId="67" priority="1">
      <formula>LEN(TRIM(C3))=0</formula>
    </cfRule>
    <cfRule type="containsText" dxfId="66" priority="2" operator="containsText" text="&quot;&quot;">
      <formula>NOT(ISERROR(SEARCH("""""",C3)))</formula>
    </cfRule>
  </conditionalFormatting>
  <dataValidations count="2">
    <dataValidation type="list" allowBlank="1" showInputMessage="1" showErrorMessage="1" sqref="C8:J9">
      <formula1>"High,Medium,Low"</formula1>
    </dataValidation>
    <dataValidation type="decimal" operator="greaterThan" allowBlank="1" showInputMessage="1" showErrorMessage="1" sqref="C4:J7 C11:J12">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B1:K16"/>
  <sheetViews>
    <sheetView showGridLines="0" topLeftCell="A10" zoomScale="70" zoomScaleNormal="70" workbookViewId="0">
      <selection activeCell="F7" sqref="F7"/>
    </sheetView>
  </sheetViews>
  <sheetFormatPr defaultColWidth="10.796875" defaultRowHeight="15.05"/>
  <cols>
    <col min="1" max="1" width="4.19921875" style="1" customWidth="1"/>
    <col min="2" max="2" width="51.5" style="1" customWidth="1"/>
    <col min="3" max="9" width="29.19921875" style="1" customWidth="1"/>
    <col min="10" max="10" width="57.796875" style="1" customWidth="1"/>
    <col min="11" max="11" width="31.296875" style="1" bestFit="1" customWidth="1"/>
    <col min="12" max="15" width="29.19921875" style="1" customWidth="1"/>
    <col min="16" max="16384" width="10.796875" style="1"/>
  </cols>
  <sheetData>
    <row r="1" spans="2:11" ht="67" customHeight="1">
      <c r="B1" s="34" t="s">
        <v>291</v>
      </c>
    </row>
    <row r="2" spans="2:11" ht="67" customHeight="1">
      <c r="B2" s="33"/>
      <c r="C2" s="16">
        <v>2022</v>
      </c>
      <c r="D2" s="16">
        <v>2023</v>
      </c>
      <c r="E2" s="16">
        <v>2024</v>
      </c>
      <c r="F2" s="16" t="s">
        <v>210</v>
      </c>
      <c r="G2" s="16" t="s">
        <v>146</v>
      </c>
      <c r="H2" s="16" t="s">
        <v>147</v>
      </c>
      <c r="I2" s="16" t="s">
        <v>211</v>
      </c>
      <c r="J2" s="16" t="s">
        <v>209</v>
      </c>
    </row>
    <row r="3" spans="2:11" ht="67" customHeight="1">
      <c r="B3" s="16" t="s">
        <v>268</v>
      </c>
      <c r="C3" s="39">
        <v>28</v>
      </c>
      <c r="D3" s="39">
        <v>44</v>
      </c>
      <c r="E3" s="39">
        <v>44</v>
      </c>
      <c r="F3" s="39">
        <v>44</v>
      </c>
      <c r="G3" s="39"/>
      <c r="H3" s="39"/>
      <c r="I3" s="39"/>
      <c r="J3" s="63"/>
    </row>
    <row r="4" spans="2:11" ht="67" customHeight="1">
      <c r="B4" s="36" t="s">
        <v>269</v>
      </c>
      <c r="C4" s="39">
        <v>123</v>
      </c>
      <c r="D4" s="39">
        <v>126</v>
      </c>
      <c r="E4" s="39">
        <v>126</v>
      </c>
      <c r="F4" s="39">
        <v>122</v>
      </c>
      <c r="G4" s="39"/>
      <c r="H4" s="39"/>
      <c r="I4" s="39"/>
      <c r="J4" s="63"/>
    </row>
    <row r="5" spans="2:11" ht="67" customHeight="1">
      <c r="B5" s="16" t="s">
        <v>270</v>
      </c>
      <c r="C5" s="39">
        <v>296</v>
      </c>
      <c r="D5" s="39">
        <v>276</v>
      </c>
      <c r="E5" s="39">
        <v>270</v>
      </c>
      <c r="F5" s="39">
        <v>219</v>
      </c>
      <c r="G5" s="39"/>
      <c r="H5" s="39"/>
      <c r="I5" s="39"/>
      <c r="J5" s="63"/>
    </row>
    <row r="6" spans="2:11" ht="67" customHeight="1">
      <c r="B6" s="16" t="s">
        <v>271</v>
      </c>
      <c r="C6" s="39">
        <v>12</v>
      </c>
      <c r="D6" s="39">
        <v>18</v>
      </c>
      <c r="E6" s="39">
        <v>18</v>
      </c>
      <c r="F6" s="39">
        <v>11</v>
      </c>
      <c r="G6" s="39"/>
      <c r="H6" s="39"/>
      <c r="I6" s="39"/>
      <c r="J6" s="63"/>
      <c r="K6" s="4" t="s">
        <v>219</v>
      </c>
    </row>
    <row r="7" spans="2:11" ht="67" customHeight="1">
      <c r="B7" s="16" t="s">
        <v>272</v>
      </c>
      <c r="C7" s="39">
        <v>7</v>
      </c>
      <c r="D7" s="39">
        <v>7</v>
      </c>
      <c r="E7" s="39">
        <v>7</v>
      </c>
      <c r="F7" s="39">
        <v>7</v>
      </c>
      <c r="G7" s="39"/>
      <c r="H7" s="39"/>
      <c r="I7" s="39"/>
      <c r="J7" s="63"/>
    </row>
    <row r="8" spans="2:11" ht="67" customHeight="1">
      <c r="B8" s="16" t="s">
        <v>273</v>
      </c>
      <c r="C8" s="39">
        <v>20</v>
      </c>
      <c r="D8" s="39">
        <v>20</v>
      </c>
      <c r="E8" s="39">
        <v>20</v>
      </c>
      <c r="F8" s="39">
        <v>20</v>
      </c>
      <c r="G8" s="39"/>
      <c r="H8" s="39"/>
      <c r="I8" s="39"/>
      <c r="J8" s="63"/>
    </row>
    <row r="9" spans="2:11" ht="67" customHeight="1">
      <c r="B9" s="16" t="s">
        <v>274</v>
      </c>
      <c r="C9" s="39">
        <v>14</v>
      </c>
      <c r="D9" s="39">
        <v>14</v>
      </c>
      <c r="E9" s="39">
        <v>14</v>
      </c>
      <c r="F9" s="39">
        <v>14</v>
      </c>
      <c r="G9" s="39"/>
      <c r="H9" s="39"/>
      <c r="I9" s="39"/>
      <c r="J9" s="63"/>
    </row>
    <row r="10" spans="2:11" ht="67" customHeight="1">
      <c r="B10" s="36" t="s">
        <v>288</v>
      </c>
      <c r="C10" s="39">
        <v>9</v>
      </c>
      <c r="D10" s="39">
        <v>9</v>
      </c>
      <c r="E10" s="39">
        <v>9</v>
      </c>
      <c r="F10" s="39">
        <v>9</v>
      </c>
      <c r="G10" s="39"/>
      <c r="H10" s="39"/>
      <c r="I10" s="39"/>
      <c r="J10" s="63"/>
    </row>
    <row r="11" spans="2:11" ht="67" customHeight="1">
      <c r="B11" s="16" t="s">
        <v>289</v>
      </c>
      <c r="C11" s="39">
        <v>5</v>
      </c>
      <c r="D11" s="39">
        <v>5</v>
      </c>
      <c r="E11" s="39">
        <v>5</v>
      </c>
      <c r="F11" s="39">
        <v>5</v>
      </c>
      <c r="G11" s="39"/>
      <c r="H11" s="39"/>
      <c r="I11" s="39"/>
      <c r="J11" s="63"/>
    </row>
    <row r="12" spans="2:11" ht="67" customHeight="1">
      <c r="B12" s="16" t="s">
        <v>290</v>
      </c>
      <c r="C12" s="39">
        <v>15</v>
      </c>
      <c r="D12" s="39">
        <v>15</v>
      </c>
      <c r="E12" s="39">
        <v>15</v>
      </c>
      <c r="F12" s="39">
        <v>15</v>
      </c>
      <c r="G12" s="39"/>
      <c r="H12" s="39"/>
      <c r="I12" s="39"/>
      <c r="J12" s="63"/>
    </row>
    <row r="13" spans="2:11" ht="67" customHeight="1">
      <c r="B13" s="16" t="s">
        <v>212</v>
      </c>
      <c r="C13" s="39"/>
      <c r="D13" s="39"/>
      <c r="E13" s="39"/>
      <c r="F13" s="39"/>
      <c r="G13" s="39"/>
      <c r="H13" s="39"/>
      <c r="I13" s="39"/>
      <c r="J13" s="63"/>
    </row>
    <row r="14" spans="2:11" ht="67" customHeight="1">
      <c r="B14" s="16" t="s">
        <v>212</v>
      </c>
      <c r="C14" s="39"/>
      <c r="D14" s="39"/>
      <c r="E14" s="39"/>
      <c r="F14" s="39"/>
      <c r="G14" s="39"/>
      <c r="H14" s="39"/>
      <c r="I14" s="39"/>
      <c r="J14" s="63"/>
    </row>
    <row r="15" spans="2:11" ht="67" customHeight="1">
      <c r="B15" s="16" t="s">
        <v>212</v>
      </c>
      <c r="C15" s="39"/>
      <c r="D15" s="39"/>
      <c r="E15" s="39"/>
      <c r="F15" s="39"/>
      <c r="G15" s="39"/>
      <c r="H15" s="39"/>
      <c r="I15" s="39"/>
      <c r="J15" s="63"/>
    </row>
    <row r="16" spans="2:11" ht="18.2">
      <c r="B16" s="54" t="s">
        <v>220</v>
      </c>
      <c r="C16" s="55">
        <f t="shared" ref="C16:I16" si="0">SUM(C3:C15)</f>
        <v>529</v>
      </c>
      <c r="D16" s="55">
        <f t="shared" si="0"/>
        <v>534</v>
      </c>
      <c r="E16" s="55">
        <f t="shared" si="0"/>
        <v>528</v>
      </c>
      <c r="F16" s="55">
        <f t="shared" si="0"/>
        <v>466</v>
      </c>
      <c r="G16" s="55">
        <f t="shared" si="0"/>
        <v>0</v>
      </c>
      <c r="H16" s="55">
        <f t="shared" si="0"/>
        <v>0</v>
      </c>
      <c r="I16" s="55">
        <f t="shared" si="0"/>
        <v>0</v>
      </c>
    </row>
  </sheetData>
  <sheetProtection sheet="1" objects="1" scenarios="1"/>
  <conditionalFormatting sqref="C3:D6 C7:C9 C13:J15 C8:D12 G3:J12">
    <cfRule type="notContainsBlanks" dxfId="65" priority="11">
      <formula>LEN(TRIM(C3))&gt;0</formula>
    </cfRule>
  </conditionalFormatting>
  <conditionalFormatting sqref="D7">
    <cfRule type="notContainsBlanks" dxfId="63" priority="9">
      <formula>LEN(TRIM(D7))&gt;0</formula>
    </cfRule>
  </conditionalFormatting>
  <conditionalFormatting sqref="D7:D9">
    <cfRule type="notContainsBlanks" dxfId="62" priority="8">
      <formula>LEN(TRIM(D7))&gt;0</formula>
    </cfRule>
  </conditionalFormatting>
  <conditionalFormatting sqref="C7">
    <cfRule type="notContainsBlanks" dxfId="61" priority="7">
      <formula>LEN(TRIM(C7))&gt;0</formula>
    </cfRule>
  </conditionalFormatting>
  <conditionalFormatting sqref="C8:C9">
    <cfRule type="notContainsBlanks" dxfId="60" priority="6">
      <formula>LEN(TRIM(C8))&gt;0</formula>
    </cfRule>
  </conditionalFormatting>
  <conditionalFormatting sqref="F10:F12">
    <cfRule type="notContainsBlanks" dxfId="4" priority="5">
      <formula>LEN(TRIM(F10))&gt;0</formula>
    </cfRule>
  </conditionalFormatting>
  <conditionalFormatting sqref="F3:F9">
    <cfRule type="notContainsBlanks" dxfId="3" priority="4">
      <formula>LEN(TRIM(F3))&gt;0</formula>
    </cfRule>
  </conditionalFormatting>
  <conditionalFormatting sqref="E3:E6 E8:E12">
    <cfRule type="notContainsBlanks" dxfId="2" priority="3">
      <formula>LEN(TRIM(E3))&gt;0</formula>
    </cfRule>
  </conditionalFormatting>
  <conditionalFormatting sqref="E7">
    <cfRule type="notContainsBlanks" dxfId="1" priority="2">
      <formula>LEN(TRIM(E7))&gt;0</formula>
    </cfRule>
  </conditionalFormatting>
  <conditionalFormatting sqref="E7:E9">
    <cfRule type="notContainsBlanks" dxfId="0" priority="1">
      <formula>LEN(TRIM(E7))&gt;0</formula>
    </cfRule>
  </conditionalFormatting>
  <dataValidations count="1">
    <dataValidation type="whole" operator="greaterThan" allowBlank="1" showInputMessage="1" showErrorMessage="1" sqref="C3:I15">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B2:K5"/>
  <sheetViews>
    <sheetView showGridLines="0" topLeftCell="A23" zoomScale="70" zoomScaleNormal="70" workbookViewId="0">
      <selection activeCell="B14" sqref="B14"/>
    </sheetView>
  </sheetViews>
  <sheetFormatPr defaultColWidth="10.796875" defaultRowHeight="15.65"/>
  <cols>
    <col min="1" max="1" width="5.296875" customWidth="1"/>
    <col min="2" max="2" width="34.5" customWidth="1"/>
  </cols>
  <sheetData>
    <row r="2" spans="2:11" ht="47" customHeight="1">
      <c r="B2" s="87" t="s">
        <v>318</v>
      </c>
      <c r="C2" s="87"/>
      <c r="D2" s="87"/>
      <c r="E2" s="87"/>
      <c r="F2" s="87"/>
      <c r="G2" s="87"/>
      <c r="H2" s="87"/>
      <c r="I2" s="87"/>
      <c r="J2" s="87"/>
      <c r="K2" s="87"/>
    </row>
    <row r="3" spans="2:11" ht="47" customHeight="1">
      <c r="B3" s="87"/>
      <c r="C3" s="87"/>
      <c r="D3" s="87"/>
      <c r="E3" s="87"/>
      <c r="F3" s="87"/>
      <c r="G3" s="87"/>
      <c r="H3" s="87"/>
      <c r="I3" s="87"/>
      <c r="J3" s="87"/>
      <c r="K3" s="87"/>
    </row>
    <row r="4" spans="2:11" ht="47" customHeight="1">
      <c r="B4" s="87"/>
      <c r="C4" s="87"/>
      <c r="D4" s="87"/>
      <c r="E4" s="87"/>
      <c r="F4" s="87"/>
      <c r="G4" s="87"/>
      <c r="H4" s="87"/>
      <c r="I4" s="87"/>
      <c r="J4" s="87"/>
      <c r="K4" s="87"/>
    </row>
    <row r="5" spans="2:11" ht="47" customHeight="1">
      <c r="B5" s="87"/>
      <c r="C5" s="87"/>
      <c r="D5" s="87"/>
      <c r="E5" s="87"/>
      <c r="F5" s="87"/>
      <c r="G5" s="87"/>
      <c r="H5" s="87"/>
      <c r="I5" s="87"/>
      <c r="J5" s="87"/>
      <c r="K5" s="87"/>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A1:W18"/>
  <sheetViews>
    <sheetView zoomScale="50" zoomScaleNormal="50" workbookViewId="0">
      <selection activeCell="Q14" sqref="Q14"/>
    </sheetView>
  </sheetViews>
  <sheetFormatPr defaultColWidth="11.19921875" defaultRowHeight="15.65"/>
  <cols>
    <col min="1" max="1" width="4.19921875" style="1" customWidth="1"/>
    <col min="2" max="2" width="51.5" style="1" customWidth="1"/>
    <col min="3" max="22" width="29.19921875" style="1" customWidth="1"/>
    <col min="23" max="23" width="57.796875" style="1" customWidth="1"/>
  </cols>
  <sheetData>
    <row r="1" spans="2:23" ht="59.95" customHeight="1">
      <c r="B1" s="34" t="s">
        <v>249</v>
      </c>
    </row>
    <row r="2" spans="2:23" ht="59.95" customHeight="1">
      <c r="B2" s="68" t="s">
        <v>242</v>
      </c>
      <c r="C2" s="88" t="s">
        <v>244</v>
      </c>
      <c r="D2" s="88"/>
      <c r="E2" s="88"/>
      <c r="F2" s="88"/>
      <c r="G2" s="88" t="s">
        <v>245</v>
      </c>
      <c r="H2" s="88"/>
      <c r="I2" s="88"/>
      <c r="J2" s="88"/>
      <c r="K2" s="88"/>
      <c r="L2" s="88" t="s">
        <v>308</v>
      </c>
      <c r="M2" s="88"/>
      <c r="N2" s="88"/>
      <c r="O2" s="88"/>
      <c r="P2" s="88"/>
      <c r="Q2" s="88"/>
      <c r="R2" s="88"/>
      <c r="S2" s="88" t="s">
        <v>246</v>
      </c>
      <c r="T2" s="88"/>
      <c r="U2" s="88"/>
      <c r="V2" s="88"/>
    </row>
    <row r="3" spans="2:23" ht="59.95"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59.95" customHeight="1">
      <c r="B4" s="16" t="s">
        <v>256</v>
      </c>
      <c r="C4" s="39" t="s">
        <v>36</v>
      </c>
      <c r="D4" s="39" t="s">
        <v>36</v>
      </c>
      <c r="E4" s="39" t="s">
        <v>36</v>
      </c>
      <c r="F4" s="39" t="s">
        <v>36</v>
      </c>
      <c r="G4" s="39" t="s">
        <v>36</v>
      </c>
      <c r="H4" s="39" t="s">
        <v>36</v>
      </c>
      <c r="I4" s="39" t="s">
        <v>36</v>
      </c>
      <c r="J4" s="39" t="s">
        <v>36</v>
      </c>
      <c r="K4" s="39" t="s">
        <v>36</v>
      </c>
      <c r="L4" s="39" t="s">
        <v>37</v>
      </c>
      <c r="M4" s="39" t="s">
        <v>37</v>
      </c>
      <c r="N4" s="39" t="s">
        <v>37</v>
      </c>
      <c r="O4" s="39" t="s">
        <v>37</v>
      </c>
      <c r="P4" s="39" t="s">
        <v>37</v>
      </c>
      <c r="Q4" s="39" t="s">
        <v>37</v>
      </c>
      <c r="R4" s="39" t="s">
        <v>37</v>
      </c>
      <c r="S4" s="39" t="s">
        <v>37</v>
      </c>
      <c r="T4" s="39" t="s">
        <v>37</v>
      </c>
      <c r="U4" s="39" t="s">
        <v>37</v>
      </c>
      <c r="V4" s="39" t="s">
        <v>37</v>
      </c>
      <c r="W4" s="63"/>
    </row>
    <row r="5" spans="2:23" ht="59.95" customHeight="1">
      <c r="B5" s="36" t="s">
        <v>276</v>
      </c>
      <c r="C5" s="39" t="s">
        <v>377</v>
      </c>
      <c r="D5" s="39" t="s">
        <v>377</v>
      </c>
      <c r="E5" s="39" t="s">
        <v>378</v>
      </c>
      <c r="F5" s="39" t="s">
        <v>378</v>
      </c>
      <c r="G5" s="39" t="s">
        <v>364</v>
      </c>
      <c r="H5" s="39" t="s">
        <v>377</v>
      </c>
      <c r="I5" s="39" t="s">
        <v>378</v>
      </c>
      <c r="J5" s="39" t="s">
        <v>377</v>
      </c>
      <c r="K5" s="39" t="s">
        <v>377</v>
      </c>
      <c r="L5" s="39" t="s">
        <v>379</v>
      </c>
      <c r="M5" s="39" t="s">
        <v>379</v>
      </c>
      <c r="N5" s="39" t="s">
        <v>379</v>
      </c>
      <c r="O5" s="39" t="s">
        <v>379</v>
      </c>
      <c r="P5" s="39" t="s">
        <v>379</v>
      </c>
      <c r="Q5" s="39" t="s">
        <v>379</v>
      </c>
      <c r="R5" s="39" t="s">
        <v>379</v>
      </c>
      <c r="S5" s="39" t="s">
        <v>379</v>
      </c>
      <c r="T5" s="39" t="s">
        <v>364</v>
      </c>
      <c r="U5" s="39" t="s">
        <v>379</v>
      </c>
      <c r="V5" s="39" t="s">
        <v>379</v>
      </c>
      <c r="W5" s="63"/>
    </row>
    <row r="6" spans="2:23" ht="59.95" customHeight="1">
      <c r="B6" s="36" t="s">
        <v>257</v>
      </c>
      <c r="C6" s="39" t="s">
        <v>37</v>
      </c>
      <c r="D6" s="39" t="s">
        <v>37</v>
      </c>
      <c r="E6" s="39" t="s">
        <v>37</v>
      </c>
      <c r="F6" s="39" t="s">
        <v>37</v>
      </c>
      <c r="G6" s="39" t="s">
        <v>37</v>
      </c>
      <c r="H6" s="39" t="s">
        <v>37</v>
      </c>
      <c r="I6" s="39" t="s">
        <v>37</v>
      </c>
      <c r="J6" s="39" t="s">
        <v>37</v>
      </c>
      <c r="K6" s="39" t="s">
        <v>37</v>
      </c>
      <c r="L6" s="39" t="s">
        <v>37</v>
      </c>
      <c r="M6" s="39" t="s">
        <v>37</v>
      </c>
      <c r="N6" s="39" t="s">
        <v>37</v>
      </c>
      <c r="O6" s="39" t="s">
        <v>37</v>
      </c>
      <c r="P6" s="39" t="s">
        <v>37</v>
      </c>
      <c r="Q6" s="39" t="s">
        <v>37</v>
      </c>
      <c r="R6" s="39" t="s">
        <v>37</v>
      </c>
      <c r="S6" s="39" t="s">
        <v>37</v>
      </c>
      <c r="T6" s="39" t="s">
        <v>37</v>
      </c>
      <c r="U6" s="39" t="s">
        <v>37</v>
      </c>
      <c r="V6" s="39" t="s">
        <v>37</v>
      </c>
      <c r="W6" s="63"/>
    </row>
    <row r="7" spans="2:23" ht="59.95" customHeight="1">
      <c r="B7" s="36" t="s">
        <v>22</v>
      </c>
      <c r="C7" s="39" t="s">
        <v>380</v>
      </c>
      <c r="D7" s="39" t="s">
        <v>380</v>
      </c>
      <c r="E7" s="39" t="s">
        <v>380</v>
      </c>
      <c r="F7" s="39" t="s">
        <v>380</v>
      </c>
      <c r="G7" s="39" t="s">
        <v>380</v>
      </c>
      <c r="H7" s="39" t="s">
        <v>380</v>
      </c>
      <c r="I7" s="39" t="s">
        <v>380</v>
      </c>
      <c r="J7" s="39" t="s">
        <v>380</v>
      </c>
      <c r="K7" s="39" t="s">
        <v>380</v>
      </c>
      <c r="L7" s="39" t="s">
        <v>380</v>
      </c>
      <c r="M7" s="39" t="s">
        <v>380</v>
      </c>
      <c r="N7" s="39" t="s">
        <v>380</v>
      </c>
      <c r="O7" s="39" t="s">
        <v>380</v>
      </c>
      <c r="P7" s="39" t="s">
        <v>380</v>
      </c>
      <c r="Q7" s="39" t="s">
        <v>380</v>
      </c>
      <c r="R7" s="39" t="s">
        <v>380</v>
      </c>
      <c r="S7" s="39" t="s">
        <v>380</v>
      </c>
      <c r="T7" s="39" t="s">
        <v>322</v>
      </c>
      <c r="U7" s="39" t="s">
        <v>322</v>
      </c>
      <c r="V7" s="39" t="s">
        <v>322</v>
      </c>
      <c r="W7" s="63"/>
    </row>
    <row r="8" spans="2:23" ht="59.95" customHeight="1">
      <c r="B8" s="36" t="s">
        <v>275</v>
      </c>
      <c r="C8" s="39">
        <v>20</v>
      </c>
      <c r="D8" s="39">
        <v>10</v>
      </c>
      <c r="E8" s="39">
        <v>5</v>
      </c>
      <c r="F8" s="39">
        <v>5</v>
      </c>
      <c r="G8" s="39">
        <v>3</v>
      </c>
      <c r="H8" s="39">
        <v>5</v>
      </c>
      <c r="I8" s="39">
        <v>3</v>
      </c>
      <c r="J8" s="39">
        <v>3</v>
      </c>
      <c r="K8" s="39">
        <v>25</v>
      </c>
      <c r="L8" s="39">
        <v>2</v>
      </c>
      <c r="M8" s="39">
        <v>2</v>
      </c>
      <c r="N8" s="39">
        <v>2</v>
      </c>
      <c r="O8" s="39">
        <v>2</v>
      </c>
      <c r="P8" s="39">
        <v>2</v>
      </c>
      <c r="Q8" s="39">
        <v>1</v>
      </c>
      <c r="R8" s="39"/>
      <c r="S8" s="39">
        <v>2</v>
      </c>
      <c r="T8" s="39">
        <v>1</v>
      </c>
      <c r="U8" s="39"/>
      <c r="V8" s="39"/>
      <c r="W8" s="63"/>
    </row>
    <row r="9" spans="2:23" ht="59.95" customHeight="1">
      <c r="B9" s="36" t="s">
        <v>258</v>
      </c>
      <c r="C9" s="39" t="s">
        <v>381</v>
      </c>
      <c r="D9" s="39" t="s">
        <v>381</v>
      </c>
      <c r="E9" s="39" t="s">
        <v>381</v>
      </c>
      <c r="F9" s="39" t="s">
        <v>381</v>
      </c>
      <c r="G9" s="39" t="s">
        <v>381</v>
      </c>
      <c r="H9" s="39" t="s">
        <v>381</v>
      </c>
      <c r="I9" s="39" t="s">
        <v>381</v>
      </c>
      <c r="J9" s="39" t="s">
        <v>381</v>
      </c>
      <c r="K9" s="39" t="s">
        <v>381</v>
      </c>
      <c r="L9" s="39" t="s">
        <v>381</v>
      </c>
      <c r="M9" s="39" t="s">
        <v>381</v>
      </c>
      <c r="N9" s="39" t="s">
        <v>381</v>
      </c>
      <c r="O9" s="39" t="s">
        <v>381</v>
      </c>
      <c r="P9" s="39" t="s">
        <v>381</v>
      </c>
      <c r="Q9" s="39" t="s">
        <v>381</v>
      </c>
      <c r="R9" s="39" t="s">
        <v>381</v>
      </c>
      <c r="S9" s="39" t="s">
        <v>381</v>
      </c>
      <c r="T9" s="39" t="s">
        <v>381</v>
      </c>
      <c r="U9" s="39" t="s">
        <v>381</v>
      </c>
      <c r="V9" s="39" t="s">
        <v>381</v>
      </c>
      <c r="W9" s="63"/>
    </row>
    <row r="10" spans="2:23" ht="59.95" customHeight="1">
      <c r="B10" s="36" t="s">
        <v>307</v>
      </c>
      <c r="C10" s="39" t="s">
        <v>382</v>
      </c>
      <c r="D10" s="39" t="s">
        <v>382</v>
      </c>
      <c r="E10" s="39" t="s">
        <v>383</v>
      </c>
      <c r="F10" s="39" t="s">
        <v>384</v>
      </c>
      <c r="G10" s="39" t="s">
        <v>389</v>
      </c>
      <c r="H10" s="39" t="s">
        <v>383</v>
      </c>
      <c r="I10" s="39" t="s">
        <v>385</v>
      </c>
      <c r="J10" s="39" t="s">
        <v>384</v>
      </c>
      <c r="K10" s="39" t="s">
        <v>386</v>
      </c>
      <c r="L10" s="39"/>
      <c r="M10" s="39"/>
      <c r="N10" s="39"/>
      <c r="O10" s="39"/>
      <c r="P10" s="39" t="s">
        <v>390</v>
      </c>
      <c r="Q10" s="39"/>
      <c r="R10" s="39"/>
      <c r="S10" s="39" t="s">
        <v>387</v>
      </c>
      <c r="T10" s="39" t="s">
        <v>388</v>
      </c>
      <c r="U10" s="39"/>
      <c r="V10" s="39"/>
      <c r="W10" s="63"/>
    </row>
    <row r="11" spans="2:23" ht="59.95" customHeight="1">
      <c r="B11" s="36" t="s">
        <v>277</v>
      </c>
      <c r="C11" s="39" t="s">
        <v>391</v>
      </c>
      <c r="D11" s="39" t="s">
        <v>391</v>
      </c>
      <c r="E11" s="39" t="s">
        <v>391</v>
      </c>
      <c r="F11" s="39" t="s">
        <v>391</v>
      </c>
      <c r="G11" s="39" t="s">
        <v>391</v>
      </c>
      <c r="H11" s="39" t="s">
        <v>391</v>
      </c>
      <c r="I11" s="39" t="s">
        <v>391</v>
      </c>
      <c r="J11" s="39" t="s">
        <v>391</v>
      </c>
      <c r="K11" s="39" t="s">
        <v>391</v>
      </c>
      <c r="L11" s="39" t="s">
        <v>391</v>
      </c>
      <c r="M11" s="39" t="s">
        <v>391</v>
      </c>
      <c r="N11" s="39" t="s">
        <v>391</v>
      </c>
      <c r="O11" s="39" t="s">
        <v>391</v>
      </c>
      <c r="P11" s="39" t="s">
        <v>391</v>
      </c>
      <c r="Q11" s="39" t="s">
        <v>391</v>
      </c>
      <c r="R11" s="39" t="s">
        <v>391</v>
      </c>
      <c r="S11" s="39" t="s">
        <v>391</v>
      </c>
      <c r="T11" s="39" t="s">
        <v>391</v>
      </c>
      <c r="U11" s="39" t="s">
        <v>391</v>
      </c>
      <c r="V11" s="39" t="s">
        <v>391</v>
      </c>
      <c r="W11" s="63"/>
    </row>
    <row r="12" spans="2:23" ht="59.95" customHeight="1">
      <c r="B12" s="16" t="s">
        <v>259</v>
      </c>
      <c r="C12" s="39" t="s">
        <v>380</v>
      </c>
      <c r="D12" s="39" t="s">
        <v>380</v>
      </c>
      <c r="E12" s="39" t="s">
        <v>380</v>
      </c>
      <c r="F12" s="39" t="s">
        <v>380</v>
      </c>
      <c r="G12" s="39" t="s">
        <v>380</v>
      </c>
      <c r="H12" s="39" t="s">
        <v>380</v>
      </c>
      <c r="I12" s="39" t="s">
        <v>380</v>
      </c>
      <c r="J12" s="39" t="s">
        <v>380</v>
      </c>
      <c r="K12" s="39" t="s">
        <v>380</v>
      </c>
      <c r="L12" s="39" t="s">
        <v>380</v>
      </c>
      <c r="M12" s="39" t="s">
        <v>380</v>
      </c>
      <c r="N12" s="39" t="s">
        <v>380</v>
      </c>
      <c r="O12" s="39" t="s">
        <v>380</v>
      </c>
      <c r="P12" s="39" t="s">
        <v>380</v>
      </c>
      <c r="Q12" s="39" t="s">
        <v>380</v>
      </c>
      <c r="R12" s="39" t="s">
        <v>380</v>
      </c>
      <c r="S12" s="39" t="s">
        <v>380</v>
      </c>
      <c r="T12" s="39" t="s">
        <v>380</v>
      </c>
      <c r="U12" s="39" t="s">
        <v>380</v>
      </c>
      <c r="V12" s="39" t="s">
        <v>380</v>
      </c>
      <c r="W12" s="63"/>
    </row>
    <row r="13" spans="2:23" ht="59.95" customHeight="1">
      <c r="B13" s="36" t="s">
        <v>254</v>
      </c>
      <c r="C13" s="39"/>
      <c r="D13" s="39"/>
      <c r="E13" s="39" t="s">
        <v>397</v>
      </c>
      <c r="F13" s="39"/>
      <c r="G13" s="39"/>
      <c r="H13" s="39"/>
      <c r="I13" s="39"/>
      <c r="J13" s="39"/>
      <c r="K13" s="39"/>
      <c r="L13" s="39"/>
      <c r="M13" s="39"/>
      <c r="N13" s="39"/>
      <c r="O13" s="39"/>
      <c r="P13" s="39"/>
      <c r="Q13" s="39"/>
      <c r="R13" s="39"/>
      <c r="S13" s="39"/>
      <c r="T13" s="39"/>
      <c r="U13" s="39"/>
      <c r="V13" s="39"/>
      <c r="W13" s="63"/>
    </row>
    <row r="14" spans="2:23" ht="59.95" customHeight="1">
      <c r="B14" s="16" t="s">
        <v>250</v>
      </c>
      <c r="C14" s="39"/>
      <c r="D14" s="39"/>
      <c r="E14" s="39" t="s">
        <v>396</v>
      </c>
      <c r="F14" s="39"/>
      <c r="G14" s="39"/>
      <c r="H14" s="39"/>
      <c r="I14" s="39"/>
      <c r="J14" s="39"/>
      <c r="K14" s="39"/>
      <c r="L14" s="39"/>
      <c r="M14" s="39"/>
      <c r="N14" s="39"/>
      <c r="O14" s="39"/>
      <c r="P14" s="39"/>
      <c r="Q14" s="39"/>
      <c r="R14" s="39"/>
      <c r="S14" s="39"/>
      <c r="T14" s="39"/>
      <c r="U14" s="39"/>
      <c r="V14" s="39"/>
      <c r="W14" s="63"/>
    </row>
    <row r="15" spans="2:23" ht="59.95" customHeight="1">
      <c r="B15" s="16" t="s">
        <v>253</v>
      </c>
      <c r="C15" s="39"/>
      <c r="D15" s="39"/>
      <c r="E15" s="39" t="s">
        <v>398</v>
      </c>
      <c r="F15" s="39"/>
      <c r="G15" s="39"/>
      <c r="H15" s="39"/>
      <c r="I15" s="39"/>
      <c r="J15" s="39"/>
      <c r="K15" s="39"/>
      <c r="L15" s="39"/>
      <c r="M15" s="39"/>
      <c r="N15" s="39"/>
      <c r="O15" s="39"/>
      <c r="P15" s="39"/>
      <c r="Q15" s="39"/>
      <c r="R15" s="39"/>
      <c r="S15" s="39"/>
      <c r="T15" s="39"/>
      <c r="U15" s="39"/>
      <c r="V15" s="39"/>
      <c r="W15" s="63"/>
    </row>
    <row r="16" spans="2:23" ht="59.95" customHeight="1">
      <c r="B16" s="36" t="s">
        <v>255</v>
      </c>
      <c r="C16" s="39"/>
      <c r="D16" s="39"/>
      <c r="E16" s="39" t="s">
        <v>401</v>
      </c>
      <c r="F16" s="39"/>
      <c r="G16" s="39"/>
      <c r="H16" s="39"/>
      <c r="I16" s="39"/>
      <c r="J16" s="39"/>
      <c r="K16" s="39"/>
      <c r="L16" s="39"/>
      <c r="M16" s="39"/>
      <c r="N16" s="39"/>
      <c r="O16" s="39"/>
      <c r="P16" s="39"/>
      <c r="Q16" s="39"/>
      <c r="R16" s="39"/>
      <c r="S16" s="39"/>
      <c r="T16" s="39"/>
      <c r="U16" s="39"/>
      <c r="V16" s="39"/>
      <c r="W16" s="63"/>
    </row>
    <row r="17" spans="2:23" ht="59.95" customHeight="1">
      <c r="B17" s="16" t="s">
        <v>251</v>
      </c>
      <c r="C17" s="39"/>
      <c r="D17" s="39"/>
      <c r="E17" s="39" t="s">
        <v>400</v>
      </c>
      <c r="F17" s="39"/>
      <c r="G17" s="39"/>
      <c r="H17" s="39"/>
      <c r="I17" s="39"/>
      <c r="J17" s="39"/>
      <c r="K17" s="39"/>
      <c r="L17" s="39"/>
      <c r="M17" s="39"/>
      <c r="N17" s="39"/>
      <c r="O17" s="39"/>
      <c r="P17" s="39"/>
      <c r="Q17" s="39"/>
      <c r="R17" s="39"/>
      <c r="S17" s="39"/>
      <c r="T17" s="39"/>
      <c r="U17" s="39"/>
      <c r="V17" s="39"/>
      <c r="W17" s="63"/>
    </row>
    <row r="18" spans="2:23" ht="59.95" customHeight="1">
      <c r="B18" s="16" t="s">
        <v>252</v>
      </c>
      <c r="C18" s="39"/>
      <c r="D18" s="39"/>
      <c r="E18" s="39" t="s">
        <v>399</v>
      </c>
      <c r="F18" s="39"/>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9" priority="4" stopIfTrue="1">
      <formula>LEN(TRIM(C4))&gt;0</formula>
    </cfRule>
  </conditionalFormatting>
  <dataValidations count="3">
    <dataValidation type="list" allowBlank="1" showInputMessage="1" showErrorMessage="1" sqref="C4:V4 C6:V6">
      <formula1>"Yes,No"</formula1>
    </dataValidation>
    <dataValidation type="whole" operator="greaterThan" allowBlank="1" showInputMessage="1" showErrorMessage="1" sqref="C8:V8">
      <formula1>0</formula1>
    </dataValidation>
    <dataValidation type="list" allowBlank="1" showInputMessage="1" showErrorMessage="1" sqref="C5:V5">
      <formula1>"High,Medium,Low,N/A"</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B3:K24"/>
  <sheetViews>
    <sheetView showGridLines="0" topLeftCell="A2" zoomScale="70" zoomScaleNormal="70" workbookViewId="0">
      <selection activeCell="O30" sqref="O30"/>
    </sheetView>
  </sheetViews>
  <sheetFormatPr defaultColWidth="10.796875" defaultRowHeight="15.65"/>
  <cols>
    <col min="1" max="1" width="5.5" customWidth="1"/>
  </cols>
  <sheetData>
    <row r="3" spans="2:11" ht="34" customHeight="1">
      <c r="B3" s="87" t="s">
        <v>226</v>
      </c>
      <c r="C3" s="87"/>
      <c r="D3" s="87"/>
      <c r="E3" s="87"/>
      <c r="F3" s="87"/>
      <c r="G3" s="87"/>
      <c r="H3" s="87"/>
      <c r="I3" s="87"/>
      <c r="J3" s="87"/>
      <c r="K3" s="87"/>
    </row>
    <row r="4" spans="2:11" ht="34" customHeight="1">
      <c r="B4" s="87"/>
      <c r="C4" s="87"/>
      <c r="D4" s="87"/>
      <c r="E4" s="87"/>
      <c r="F4" s="87"/>
      <c r="G4" s="87"/>
      <c r="H4" s="87"/>
      <c r="I4" s="87"/>
      <c r="J4" s="87"/>
      <c r="K4" s="87"/>
    </row>
    <row r="5" spans="2:11" ht="34" customHeight="1">
      <c r="B5" s="87"/>
      <c r="C5" s="87"/>
      <c r="D5" s="87"/>
      <c r="E5" s="87"/>
      <c r="F5" s="87"/>
      <c r="G5" s="87"/>
      <c r="H5" s="87"/>
      <c r="I5" s="87"/>
      <c r="J5" s="87"/>
      <c r="K5" s="87"/>
    </row>
    <row r="6" spans="2:11" ht="34" customHeight="1">
      <c r="B6" s="87"/>
      <c r="C6" s="87"/>
      <c r="D6" s="87"/>
      <c r="E6" s="87"/>
      <c r="F6" s="87"/>
      <c r="G6" s="87"/>
      <c r="H6" s="87"/>
      <c r="I6" s="87"/>
      <c r="J6" s="87"/>
      <c r="K6" s="87"/>
    </row>
    <row r="8" spans="2:11">
      <c r="B8" s="77" t="s">
        <v>365</v>
      </c>
    </row>
    <row r="9" spans="2:11">
      <c r="B9" t="s">
        <v>366</v>
      </c>
    </row>
    <row r="11" spans="2:11">
      <c r="B11" s="77" t="s">
        <v>367</v>
      </c>
    </row>
    <row r="12" spans="2:11">
      <c r="B12" t="s">
        <v>368</v>
      </c>
    </row>
    <row r="14" spans="2:11">
      <c r="B14" s="77" t="s">
        <v>369</v>
      </c>
    </row>
    <row r="15" spans="2:11">
      <c r="B15" t="s">
        <v>370</v>
      </c>
    </row>
    <row r="17" spans="2:2">
      <c r="B17" s="77" t="s">
        <v>371</v>
      </c>
    </row>
    <row r="18" spans="2:2">
      <c r="B18" t="s">
        <v>372</v>
      </c>
    </row>
    <row r="20" spans="2:2">
      <c r="B20" s="77" t="s">
        <v>373</v>
      </c>
    </row>
    <row r="21" spans="2:2">
      <c r="B21" t="s">
        <v>374</v>
      </c>
    </row>
    <row r="24" spans="2:2">
      <c r="B24" s="60"/>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D28"/>
  <sheetViews>
    <sheetView zoomScale="70" zoomScaleNormal="70" workbookViewId="0">
      <selection activeCell="D16" sqref="D16"/>
    </sheetView>
  </sheetViews>
  <sheetFormatPr defaultColWidth="10.796875" defaultRowHeight="20.7"/>
  <cols>
    <col min="1" max="1" width="4.19921875" style="57" customWidth="1"/>
    <col min="2" max="2" width="200.796875" style="10" customWidth="1"/>
    <col min="3" max="3" width="67.5" style="13" customWidth="1"/>
    <col min="4" max="16384" width="10.796875" style="51"/>
  </cols>
  <sheetData>
    <row r="2" spans="2:4">
      <c r="B2" s="8" t="s">
        <v>235</v>
      </c>
      <c r="C2" s="11"/>
    </row>
    <row r="3" spans="2:4">
      <c r="B3" s="44" t="s">
        <v>233</v>
      </c>
      <c r="C3" s="59"/>
    </row>
    <row r="4" spans="2:4">
      <c r="B4" s="58" t="s">
        <v>262</v>
      </c>
      <c r="C4" s="59"/>
    </row>
    <row r="5" spans="2:4" ht="62">
      <c r="B5" s="56" t="s">
        <v>285</v>
      </c>
      <c r="C5" s="50" t="s">
        <v>36</v>
      </c>
      <c r="D5" s="52" t="s">
        <v>286</v>
      </c>
    </row>
    <row r="6" spans="2:4">
      <c r="B6" s="58" t="s">
        <v>261</v>
      </c>
      <c r="C6" s="59"/>
      <c r="D6" s="52"/>
    </row>
    <row r="7" spans="2:4" ht="62">
      <c r="B7" s="56" t="s">
        <v>223</v>
      </c>
      <c r="C7" s="50" t="s">
        <v>36</v>
      </c>
      <c r="D7" s="52" t="s">
        <v>278</v>
      </c>
    </row>
    <row r="8" spans="2:4">
      <c r="B8" s="58" t="s">
        <v>260</v>
      </c>
      <c r="C8" s="59"/>
    </row>
    <row r="9" spans="2:4" ht="62">
      <c r="B9" s="56" t="s">
        <v>224</v>
      </c>
      <c r="C9" s="50" t="s">
        <v>36</v>
      </c>
    </row>
    <row r="10" spans="2:4">
      <c r="B10" s="58" t="s">
        <v>281</v>
      </c>
      <c r="C10" s="59"/>
    </row>
    <row r="11" spans="2:4" ht="62">
      <c r="B11" s="56" t="s">
        <v>282</v>
      </c>
      <c r="C11" s="50" t="s">
        <v>36</v>
      </c>
    </row>
    <row r="12" spans="2:4">
      <c r="B12" s="44" t="s">
        <v>232</v>
      </c>
      <c r="C12" s="59"/>
    </row>
    <row r="13" spans="2:4">
      <c r="B13" s="58" t="s">
        <v>234</v>
      </c>
      <c r="C13" s="59"/>
    </row>
    <row r="14" spans="2:4" ht="41.35">
      <c r="B14" s="56" t="s">
        <v>221</v>
      </c>
      <c r="C14" s="50" t="s">
        <v>37</v>
      </c>
    </row>
    <row r="15" spans="2:4">
      <c r="B15" s="58" t="s">
        <v>230</v>
      </c>
      <c r="C15" s="59"/>
    </row>
    <row r="16" spans="2:4" ht="41.35">
      <c r="B16" s="56" t="s">
        <v>222</v>
      </c>
      <c r="C16" s="50" t="s">
        <v>37</v>
      </c>
    </row>
    <row r="17" spans="2:3">
      <c r="B17" s="58" t="s">
        <v>231</v>
      </c>
      <c r="C17" s="59"/>
    </row>
    <row r="18" spans="2:3" ht="41.35">
      <c r="B18" s="56" t="s">
        <v>225</v>
      </c>
      <c r="C18" s="50" t="s">
        <v>36</v>
      </c>
    </row>
    <row r="19" spans="2:3">
      <c r="B19" s="58" t="s">
        <v>263</v>
      </c>
      <c r="C19" s="59"/>
    </row>
    <row r="20" spans="2:3" ht="62">
      <c r="B20" s="56" t="s">
        <v>284</v>
      </c>
      <c r="C20" s="50" t="s">
        <v>36</v>
      </c>
    </row>
    <row r="21" spans="2:3">
      <c r="B21" s="58" t="s">
        <v>301</v>
      </c>
      <c r="C21" s="59"/>
    </row>
    <row r="22" spans="2:3" ht="62">
      <c r="B22" s="56" t="s">
        <v>303</v>
      </c>
      <c r="C22" s="50" t="s">
        <v>36</v>
      </c>
    </row>
    <row r="23" spans="2:3">
      <c r="B23" s="58" t="s">
        <v>306</v>
      </c>
      <c r="C23" s="59"/>
    </row>
    <row r="24" spans="2:3" ht="82.65">
      <c r="B24" s="56" t="s">
        <v>304</v>
      </c>
      <c r="C24" s="50" t="s">
        <v>36</v>
      </c>
    </row>
    <row r="25" spans="2:3">
      <c r="B25" s="58" t="s">
        <v>302</v>
      </c>
      <c r="C25" s="59"/>
    </row>
    <row r="26" spans="2:3" ht="82.65">
      <c r="B26" s="56" t="s">
        <v>305</v>
      </c>
      <c r="C26" s="50" t="s">
        <v>36</v>
      </c>
    </row>
    <row r="27" spans="2:3">
      <c r="B27" s="58" t="s">
        <v>316</v>
      </c>
      <c r="C27" s="59"/>
    </row>
    <row r="28" spans="2:3" ht="82.65">
      <c r="B28" s="56" t="s">
        <v>319</v>
      </c>
      <c r="C28" s="50"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8" priority="72" stopIfTrue="1">
      <formula>LEN(TRIM(C5))&gt;0</formula>
    </cfRule>
    <cfRule type="containsText" dxfId="57" priority="71" operator="containsText" text="No">
      <formula>NOT(ISERROR(SEARCH("No",C5)))</formula>
    </cfRule>
    <cfRule type="containsText" dxfId="56" priority="70" operator="containsText" text="Yes">
      <formula>NOT(ISERROR(SEARCH("Yes",C5)))</formula>
    </cfRule>
  </conditionalFormatting>
  <conditionalFormatting sqref="C7">
    <cfRule type="notContainsBlanks" dxfId="55" priority="60" stopIfTrue="1">
      <formula>LEN(TRIM(C7))&gt;0</formula>
    </cfRule>
    <cfRule type="containsText" dxfId="54" priority="59" operator="containsText" text="No">
      <formula>NOT(ISERROR(SEARCH("No",C7)))</formula>
    </cfRule>
    <cfRule type="containsText" dxfId="53" priority="58" operator="containsText" text="Yes">
      <formula>NOT(ISERROR(SEARCH("Yes",C7)))</formula>
    </cfRule>
  </conditionalFormatting>
  <conditionalFormatting sqref="C9:C12">
    <cfRule type="notContainsBlanks" dxfId="52" priority="27" stopIfTrue="1">
      <formula>LEN(TRIM(C9))&gt;0</formula>
    </cfRule>
    <cfRule type="containsText" dxfId="51" priority="25" operator="containsText" text="Yes">
      <formula>NOT(ISERROR(SEARCH("Yes",C9)))</formula>
    </cfRule>
    <cfRule type="containsText" dxfId="50" priority="26" operator="containsText" text="No">
      <formula>NOT(ISERROR(SEARCH("No",C9)))</formula>
    </cfRule>
  </conditionalFormatting>
  <conditionalFormatting sqref="C12">
    <cfRule type="containsText" dxfId="49" priority="53" operator="containsText" text="No">
      <formula>NOT(ISERROR(SEARCH("No",C12)))</formula>
    </cfRule>
    <cfRule type="containsText" dxfId="48" priority="52" operator="containsText" text="Yes">
      <formula>NOT(ISERROR(SEARCH("Yes",C12)))</formula>
    </cfRule>
    <cfRule type="notContainsBlanks" dxfId="47" priority="45" stopIfTrue="1">
      <formula>LEN(TRIM(C12))&gt;0</formula>
    </cfRule>
    <cfRule type="notContainsBlanks" dxfId="46" priority="54" stopIfTrue="1">
      <formula>LEN(TRIM(C12))&gt;0</formula>
    </cfRule>
    <cfRule type="containsText" dxfId="45" priority="43" operator="containsText" text="Yes">
      <formula>NOT(ISERROR(SEARCH("Yes",C12)))</formula>
    </cfRule>
    <cfRule type="containsText" dxfId="44" priority="44" operator="containsText" text="No">
      <formula>NOT(ISERROR(SEARCH("No",C12)))</formula>
    </cfRule>
  </conditionalFormatting>
  <conditionalFormatting sqref="C14">
    <cfRule type="notContainsBlanks" dxfId="43" priority="51" stopIfTrue="1">
      <formula>LEN(TRIM(C14))&gt;0</formula>
    </cfRule>
    <cfRule type="containsText" dxfId="42" priority="50" operator="containsText" text="No">
      <formula>NOT(ISERROR(SEARCH("No",C14)))</formula>
    </cfRule>
    <cfRule type="containsText" dxfId="41" priority="49" operator="containsText" text="Yes">
      <formula>NOT(ISERROR(SEARCH("Yes",C14)))</formula>
    </cfRule>
    <cfRule type="notContainsBlanks" dxfId="40" priority="42" stopIfTrue="1">
      <formula>LEN(TRIM(C14))&gt;0</formula>
    </cfRule>
    <cfRule type="containsText" dxfId="39" priority="41" operator="containsText" text="No">
      <formula>NOT(ISERROR(SEARCH("No",C14)))</formula>
    </cfRule>
    <cfRule type="containsText" dxfId="38" priority="40" operator="containsText" text="Yes">
      <formula>NOT(ISERROR(SEARCH("Yes",C14)))</formula>
    </cfRule>
    <cfRule type="notContainsBlanks" dxfId="37" priority="33" stopIfTrue="1">
      <formula>LEN(TRIM(C14))&gt;0</formula>
    </cfRule>
    <cfRule type="containsText" dxfId="36" priority="32" operator="containsText" text="No">
      <formula>NOT(ISERROR(SEARCH("No",C14)))</formula>
    </cfRule>
    <cfRule type="containsText" dxfId="35" priority="31" operator="containsText" text="Yes">
      <formula>NOT(ISERROR(SEARCH("Yes",C14)))</formula>
    </cfRule>
    <cfRule type="containsText" dxfId="34" priority="22" operator="containsText" text="Yes">
      <formula>NOT(ISERROR(SEARCH("Yes",C14)))</formula>
    </cfRule>
    <cfRule type="containsText" dxfId="33" priority="23" operator="containsText" text="No">
      <formula>NOT(ISERROR(SEARCH("No",C14)))</formula>
    </cfRule>
    <cfRule type="notContainsBlanks" dxfId="32" priority="24" stopIfTrue="1">
      <formula>LEN(TRIM(C14))&gt;0</formula>
    </cfRule>
  </conditionalFormatting>
  <conditionalFormatting sqref="C16">
    <cfRule type="containsText" dxfId="31" priority="28" operator="containsText" text="Yes">
      <formula>NOT(ISERROR(SEARCH("Yes",C16)))</formula>
    </cfRule>
    <cfRule type="containsText" dxfId="30" priority="29" operator="containsText" text="No">
      <formula>NOT(ISERROR(SEARCH("No",C16)))</formula>
    </cfRule>
    <cfRule type="notContainsBlanks" dxfId="29" priority="30" stopIfTrue="1">
      <formula>LEN(TRIM(C16))&gt;0</formula>
    </cfRule>
    <cfRule type="notContainsBlanks" dxfId="28" priority="21" stopIfTrue="1">
      <formula>LEN(TRIM(C16))&gt;0</formula>
    </cfRule>
    <cfRule type="containsText" dxfId="27" priority="20" operator="containsText" text="No">
      <formula>NOT(ISERROR(SEARCH("No",C16)))</formula>
    </cfRule>
    <cfRule type="containsText" dxfId="26" priority="19" operator="containsText" text="Yes">
      <formula>NOT(ISERROR(SEARCH("Yes",C16)))</formula>
    </cfRule>
    <cfRule type="containsText" dxfId="25" priority="37" operator="containsText" text="Yes">
      <formula>NOT(ISERROR(SEARCH("Yes",C16)))</formula>
    </cfRule>
    <cfRule type="containsText" dxfId="24" priority="38" operator="containsText" text="No">
      <formula>NOT(ISERROR(SEARCH("No",C16)))</formula>
    </cfRule>
    <cfRule type="notContainsBlanks" dxfId="23" priority="39" stopIfTrue="1">
      <formula>LEN(TRIM(C16))&gt;0</formula>
    </cfRule>
  </conditionalFormatting>
  <conditionalFormatting sqref="C18">
    <cfRule type="notContainsBlanks" dxfId="22" priority="18" stopIfTrue="1">
      <formula>LEN(TRIM(C18))&gt;0</formula>
    </cfRule>
    <cfRule type="containsText" dxfId="21" priority="17" operator="containsText" text="No">
      <formula>NOT(ISERROR(SEARCH("No",C18)))</formula>
    </cfRule>
    <cfRule type="containsText" dxfId="20" priority="16" operator="containsText" text="Yes">
      <formula>NOT(ISERROR(SEARCH("Yes",C18)))</formula>
    </cfRule>
  </conditionalFormatting>
  <conditionalFormatting sqref="C20">
    <cfRule type="containsText" dxfId="19" priority="13" operator="containsText" text="Yes">
      <formula>NOT(ISERROR(SEARCH("Yes",C20)))</formula>
    </cfRule>
    <cfRule type="containsText" dxfId="18" priority="14" operator="containsText" text="No">
      <formula>NOT(ISERROR(SEARCH("No",C20)))</formula>
    </cfRule>
    <cfRule type="notContainsBlanks" dxfId="17" priority="15" stopIfTrue="1">
      <formula>LEN(TRIM(C20))&gt;0</formula>
    </cfRule>
  </conditionalFormatting>
  <conditionalFormatting sqref="C22">
    <cfRule type="notContainsBlanks" dxfId="16" priority="12" stopIfTrue="1">
      <formula>LEN(TRIM(C22))&gt;0</formula>
    </cfRule>
    <cfRule type="containsText" dxfId="15" priority="11" operator="containsText" text="No">
      <formula>NOT(ISERROR(SEARCH("No",C22)))</formula>
    </cfRule>
    <cfRule type="containsText" dxfId="14" priority="10" operator="containsText" text="Yes">
      <formula>NOT(ISERROR(SEARCH("Yes",C22)))</formula>
    </cfRule>
  </conditionalFormatting>
  <conditionalFormatting sqref="C24">
    <cfRule type="notContainsBlanks" dxfId="13" priority="9" stopIfTrue="1">
      <formula>LEN(TRIM(C24))&gt;0</formula>
    </cfRule>
    <cfRule type="containsText" dxfId="12" priority="8" operator="containsText" text="No">
      <formula>NOT(ISERROR(SEARCH("No",C24)))</formula>
    </cfRule>
    <cfRule type="containsText" dxfId="11" priority="7" operator="containsText" text="Yes">
      <formula>NOT(ISERROR(SEARCH("Yes",C24)))</formula>
    </cfRule>
  </conditionalFormatting>
  <conditionalFormatting sqref="C26">
    <cfRule type="notContainsBlanks" dxfId="10" priority="6" stopIfTrue="1">
      <formula>LEN(TRIM(C26))&gt;0</formula>
    </cfRule>
    <cfRule type="containsText" dxfId="9" priority="5" operator="containsText" text="No">
      <formula>NOT(ISERROR(SEARCH("No",C26)))</formula>
    </cfRule>
    <cfRule type="containsText" dxfId="8" priority="4" operator="containsText" text="Yes">
      <formula>NOT(ISERROR(SEARCH("Yes",C26)))</formula>
    </cfRule>
  </conditionalFormatting>
  <conditionalFormatting sqref="C28">
    <cfRule type="notContainsBlanks" dxfId="7" priority="3" stopIfTrue="1">
      <formula>LEN(TRIM(C28))&gt;0</formula>
    </cfRule>
    <cfRule type="containsText" dxfId="6" priority="2" operator="containsText" text="No">
      <formula>NOT(ISERROR(SEARCH("No",C28)))</formula>
    </cfRule>
    <cfRule type="containsText" dxfId="5" priority="1" operator="containsText" text="Yes">
      <formula>NOT(ISERROR(SEARCH("Yes",C28)))</formula>
    </cfRule>
  </conditionalFormatting>
  <dataValidations count="1">
    <dataValidation type="list" allowBlank="1" showInputMessage="1" showErrorMessage="1" sqref="C5 C7 C9 C11 C14 C16 C18 C20 C22 C24 C26 C28">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defaultColWidth="10.796875" defaultRowHeight="15.05"/>
  <cols>
    <col min="1" max="1" width="14.69921875" style="1" bestFit="1" customWidth="1"/>
    <col min="2" max="2" width="10.796875" style="1"/>
    <col min="3" max="3" width="60" style="1" bestFit="1" customWidth="1"/>
    <col min="4" max="4" width="10.796875" style="1"/>
    <col min="5" max="5" width="7.19921875" style="1" bestFit="1" customWidth="1"/>
    <col min="6" max="6" width="10.796875" style="1"/>
    <col min="7" max="7" width="17" style="1" bestFit="1" customWidth="1"/>
    <col min="8" max="8" width="21" style="1" customWidth="1"/>
    <col min="9" max="10" width="10.796875" style="1"/>
    <col min="11" max="11" width="12" style="1" customWidth="1"/>
    <col min="12" max="16384" width="10.79687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Chua Joshua</cp:lastModifiedBy>
  <cp:lastPrinted>2018-09-13T16:04:18Z</cp:lastPrinted>
  <dcterms:created xsi:type="dcterms:W3CDTF">2018-09-10T17:18:27Z</dcterms:created>
  <dcterms:modified xsi:type="dcterms:W3CDTF">2025-04-24T04:05:32Z</dcterms:modified>
</cp:coreProperties>
</file>