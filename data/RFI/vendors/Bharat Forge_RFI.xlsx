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Apple\Docs from Apple\"/>
    </mc:Choice>
  </mc:AlternateContent>
  <xr:revisionPtr revIDLastSave="0" documentId="13_ncr:1_{B8A02698-6759-4B4F-BF76-FB14511CD727}"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120" yWindow="-120" windowWidth="20730" windowHeight="11040" firstSheet="8" activeTab="10"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<sst xmlns="http://schemas.openxmlformats.org/spreadsheetml/2006/main" count="522" uniqueCount="449">
  <si>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</si>
  <si>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</si>
  <si>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</si>
  <si>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</si>
  <si>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</si>
  <si>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</si>
  <si>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</si>
  <si>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</si>
  <si>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</si>
  <si>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</si>
  <si>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</si>
  <si>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</si>
  <si>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</si>
  <si>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</si>
  <si>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</si>
  <si>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</si>
  <si>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</si>
  <si>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</si>
  <si>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</si>
  <si>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</si>
  <si>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</si>
  <si>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</si>
  <si>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</si>
  <si>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</si>
  <si>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</si>
  <si>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</si>
  <si>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</si>
  <si>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</si>
  <si>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</si>
  <si>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</si>
  <si>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</si>
  <si>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</si>
  <si>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</si>
  <si>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</si>
  <si>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</si>
  <si>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</si>
  <si>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</si>
  <si>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</si>
  <si>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</si>
  <si>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</si>
  <si>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</si>
  <si>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</si>
  <si>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</si>
  <si>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</si>
  <si>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</si>
  <si>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</si>
  <si>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</si>
  <si>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</si>
  <si>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</si>
  <si>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</si>
  <si>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</si>
  <si>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</si>
  <si>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</si>
  <si>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</si>
  <si>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</si>
  <si>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</si>
  <si>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</si>
  <si>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</si>
  <si>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</si>
  <si>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</si>
  <si>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</si>
  <si>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</si>
  <si>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</si>
  <si>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</si>
  <si>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</si>
  <si>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</si>
  <si>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</si>
  <si>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</si>
  <si>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</si>
  <si>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</si>
  <si>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</si>
  <si>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</si>
  <si>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</si>
  <si>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</si>
  <si>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</si>
  <si>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</si>
  <si>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</si>
  <si>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</si>
  <si>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</si>
  <si>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</si>
  <si>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</si>
  <si>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</si>
  <si>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</si>
  <si>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</si>
  <si>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</si>
  <si>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</si>
  <si>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</si>
  <si>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</si>
  <si>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</si>
  <si>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</si>
  <si>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</si>
  <si>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</si>
  <si>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</si>
  <si>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</si>
  <si>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</si>
  <si>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</si>
  <si>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</si>
  <si>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</si>
  <si>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</si>
  <si>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</si>
  <si>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</si>
  <si>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</si>
  <si>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</si>
  <si>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</si>
  <si>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</si>
  <si>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</si>
  <si>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</si>
  <si>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</si>
  <si>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</si>
  <si>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</si>
  <si>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</si>
  <si>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</si>
  <si>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</si>
  <si>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</si>
  <si>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</si>
  <si>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</si>
  <si>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</si>
  <si>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</si>
  <si>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</si>
  <si>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</si>
  <si>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</si>
  <si>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</si>
  <si>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</si>
  <si>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</si>
  <si>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</si>
  <si>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</si>
  <si>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</si>
  <si>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</si>
  <si>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</si>
  <si>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</si>
  <si>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</si>
  <si>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</si>
  <si>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</si>
  <si>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</si>
  <si>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</si>
  <si>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</si>
  <si>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</si>
  <si>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</si>
  <si>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</si>
  <si>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</si>
  <si>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</si>
  <si>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</si>
  <si>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</si>
  <si>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</si>
  <si>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</si>
  <si>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</si>
  <si>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</si>
  <si>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</si>
  <si>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</si>
  <si>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</si>
  <si>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</si>
  <si>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</si>
  <si>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</si>
  <si>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</si>
  <si>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</si>
  <si>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</si>
  <si>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</si>
  <si>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</si>
  <si>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</si>
  <si>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</si>
  <si>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</si>
  <si>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</si>
  <si>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</si>
  <si>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</si>
  <si>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</si>
  <si>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</si>
  <si>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</si>
  <si>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</si>
  <si>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</si>
  <si>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</si>
  <si>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</si>
  <si>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</si>
  <si>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</si>
  <si>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</si>
  <si>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</si>
  <si>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</si>
  <si>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</si>
  <si>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</si>
  <si>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</si>
  <si>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</si>
  <si>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</si>
  <si>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</si>
  <si>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</si>
  <si>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</si>
  <si>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</si>
  <si>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</si>
  <si>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</si>
  <si>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</si>
  <si>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</si>
  <si>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</si>
  <si>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</si>
  <si>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</si>
  <si>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</si>
  <si>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</si>
  <si>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</si>
  <si>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</si>
  <si>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</si>
  <si>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</si>
  <si>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</si>
  <si>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</si>
  <si>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</si>
  <si>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</si>
  <si>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</si>
  <si>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</si>
  <si>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</si>
  <si>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</si>
  <si>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</si>
  <si>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</si>
  <si>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</si>
  <si>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</si>
  <si>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</si>
  <si>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</si>
  <si>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</si>
  <si>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</si>
  <si>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</si>
  <si>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</si>
  <si>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</si>
  <si>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</si>
  <si>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</si>
  <si>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</si>
  <si>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</si>
  <si>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</si>
  <si>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</si>
  <si>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</si>
  <si>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</si>
  <si>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</si>
  <si>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</si>
  <si>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</si>
  <si>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</si>
  <si>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</si>
  <si>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</si>
  <si>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</si>
  <si>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</si>
  <si>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</si>
  <si>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</si>
  <si>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</si>
  <si>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</si>
  <si>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</si>
  <si>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</si>
  <si>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</si>
  <si>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</si>
  <si>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</si>
  <si>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</si>
  <si>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</si>
  <si>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</si>
  <si>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</si>
  <si>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</si>
  <si>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</si>
  <si>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</si>
  <si>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</si>
  <si>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</si>
  <si>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</si>
  <si>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</si>
  <si>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</si>
  <si>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</si>
  <si>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</si>
  <si>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</si>
  <si>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</si>
  <si>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</si>
  <si>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</si>
  <si>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</si>
  <si>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</si>
  <si>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</si>
  <si>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</si>
  <si>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</si>
  <si>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</si>
  <si>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</si>
  <si>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</si>
  <si>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</si>
  <si>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</si>
  <si>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</si>
  <si>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</si>
  <si>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</si>
  <si>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</si>
  <si>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</si>
  <si>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</si>
  <si>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</si>
  <si>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</si>
  <si>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</si>
  <si>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</si>
  <si>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</si>
  <si>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</si>
  <si>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</si>
  <si>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</si>
  <si>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</si>
  <si>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</si>
  <si>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</si>
  <si>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</si>
  <si>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</si>
  <si>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</si>
  <si>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</si>
  <si>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</si>
  <si>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</si>
  <si>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</si>
  <si>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</si>
  <si>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</si>
  <si>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</si>
  <si>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</si>
  <si>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</si>
  <si>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</si>
  <si>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</si>
  <si>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</si>
  <si>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</si>
  <si>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</si>
  <si>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</si>
  <si>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</si>
  <si>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</si>
  <si>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</si>
  <si>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</si>
  <si>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</si>
  <si>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</si>
  <si>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</si>
  <si>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</si>
  <si>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</si>
  <si>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</si>
  <si>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</si>
  <si>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 xml:space="preserve">Kyle Boutin
Global Sourcing &amp; Supply Management
+1-415-352-9000
kboutin@apple.com   </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</si>
  <si>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</si>
  <si>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</si>
  <si>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r>
      <t xml:space="preserve">All Proposals shall be submitted via email to Procurement Contact no later than </t>
    </r>
    <r>
      <rPr>
        <b/>
        <sz val="16"/>
        <color rgb="FFFF0000"/>
        <rFont val="SF Hello Regular"/>
      </rPr>
      <t>Friday, May 23, 2025 by 23:00 GMT.</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</si>
  <si>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Kalyani Powertrain Limited</t>
  </si>
  <si>
    <t>Bharat forge</t>
  </si>
  <si>
    <t>Pune</t>
  </si>
  <si>
    <t>https://www.bharatforge.com/</t>
  </si>
  <si>
    <t>Amit Kalyani</t>
  </si>
  <si>
    <t>Vice-Chairman &amp; Joint Managing Director</t>
  </si>
  <si>
    <t>Abhijit Moharir</t>
  </si>
  <si>
    <t>Group CIO, Head P&amp;L</t>
  </si>
  <si>
    <t>Pramod Patil</t>
  </si>
  <si>
    <t>Kedar Dixit</t>
  </si>
  <si>
    <t>Abhijit Patil</t>
  </si>
  <si>
    <t>Abhishek Ranjan</t>
  </si>
  <si>
    <t>Pranav Mahamulkar</t>
  </si>
  <si>
    <t>Varsha Kadam</t>
  </si>
  <si>
    <t>Head, Sales &amp; Business Development</t>
  </si>
  <si>
    <t>Sr. VP, Operations</t>
  </si>
  <si>
    <t>Ashwini Shivaram</t>
  </si>
  <si>
    <t>Head, HR</t>
  </si>
  <si>
    <t>Group CFO</t>
  </si>
  <si>
    <t xml:space="preserve">Sr Manager, </t>
  </si>
  <si>
    <t>Dy. Manager, PMO</t>
  </si>
  <si>
    <t>Sr Manager, Design</t>
  </si>
  <si>
    <t>Abhijit.Moharir@kalyani.in</t>
  </si>
  <si>
    <t>pbPatil@bharatforge.com</t>
  </si>
  <si>
    <t>kpdixit@bharatforge.com</t>
  </si>
  <si>
    <t>Abhijit.Patil@bharatforge.com</t>
  </si>
  <si>
    <t>Abhishek.Ranjan@kalyanimotive.com</t>
  </si>
  <si>
    <t>Pranav.Mahamulkar@kalyani.in</t>
  </si>
  <si>
    <t>Varsha.Kadam@kalyanimotive.com</t>
  </si>
  <si>
    <t>Ashwini.Shivram@kalyani.in</t>
  </si>
  <si>
    <t>Bharat Forge Limited, Mundhwa, Pune</t>
  </si>
  <si>
    <t>Pune, India</t>
  </si>
  <si>
    <t>Kalyani Powertrain Limited, Sr no 49, Industry house, Bharat Forge Limited, Mundhwa, Pune</t>
  </si>
  <si>
    <t>Kalyani Powertrain Limited, Sr no 49, Industry house, Mundhwa, Pune</t>
  </si>
  <si>
    <t>V53, D23, V57, V54</t>
  </si>
  <si>
    <t>Install RCVR, Remove Rx TX, BG Heat Roll press, CG Heat roll press, Remove Centaur</t>
  </si>
  <si>
    <t>Tata Electronics TEMD, Chennai
Tata Electronics TEHR, Hosur
Foxconn FXBL, Bangalore
Foxconn FXCN, Kancheepuram</t>
  </si>
  <si>
    <t>Enclosures, Housings, Pune India</t>
  </si>
  <si>
    <t xml:space="preserve">Getting import material from China re routed through Vietnam </t>
  </si>
  <si>
    <t>Inhouse machining being planned from CY2026</t>
  </si>
  <si>
    <t>SAP is used for material procurement  and Invoicing</t>
  </si>
  <si>
    <t>Another facility of 4000 sqm space is ready for use in Lonikand, Pune (25 kms from current facility) for any disruption in supply from current location and also for expansion</t>
  </si>
  <si>
    <t>Medium</t>
  </si>
  <si>
    <t>Low</t>
  </si>
  <si>
    <t>1 &amp; 163</t>
  </si>
  <si>
    <t>High</t>
  </si>
  <si>
    <t>Can Integrate Mechanical assemblies with electrical, Electronics, Control Systems, Pnuematics and hydraulics</t>
  </si>
  <si>
    <t>1. PLC/HMI programming
2. Servo Systems - Design and Configuration</t>
  </si>
  <si>
    <t>Designing, programming and intergation as per requirement</t>
  </si>
  <si>
    <t>Design and Developing fixtures as per requirement</t>
  </si>
  <si>
    <t>ME, Semi-auto Fixtures, IOT integration</t>
  </si>
  <si>
    <t>Delta, Xinje, Siemens, Mitsubishi, Fanuc</t>
  </si>
  <si>
    <t>As per customer requirement</t>
  </si>
  <si>
    <t>Fixtures for ME, and semi-auto</t>
  </si>
  <si>
    <t>6-8 Weeks</t>
  </si>
  <si>
    <t>1. Highly skilled manpower
2. Structured Daily Work Management
3. Timely deliveries</t>
  </si>
  <si>
    <t>Expertise in development of complex programs as per system requirement to provide high-end solutions</t>
  </si>
  <si>
    <t xml:space="preserve">Highly efficient sustainable design with cost-effective solution  </t>
  </si>
  <si>
    <t xml:space="preserve">'- Year: since 1995
- Machine Desc: Auto components, moulds and die, cylinders, SPMs, Testing machines
 - Qty: 400+ metal cutting machines  </t>
  </si>
  <si>
    <t xml:space="preserve">'- Year: since 2001
- Machine Desc: Auto components, moulds and die, cylinders, SPMs, Testing machines
 - Qty: 400+ metal cutting machines  </t>
  </si>
  <si>
    <t>Bharat Forge - Various Divisions</t>
  </si>
  <si>
    <t>- Started in Jan 2025
- Total Machines delivered: 185
- Equipments Types: RCVR, RXTX, BG, CG and CENT
- Timeline: Jan-25 to Jun-25</t>
  </si>
  <si>
    <t>POC of IOT enabled stations
- Sesnor based data acquistion, monitoring and control for Semi-auto (Install RCVR &amp; Remove RXTX)</t>
  </si>
  <si>
    <t>- Started in May 2025
- Ongoing design pilots for 4 machines
- Timeline: May-25 to Jun-25</t>
  </si>
  <si>
    <t>Prashant Awadhiya</t>
  </si>
  <si>
    <t>Shravan R</t>
  </si>
  <si>
    <t>p_awadhiya@apple.com</t>
  </si>
  <si>
    <t>shravan_r@apple.com</t>
  </si>
  <si>
    <t>Project Management Process</t>
  </si>
  <si>
    <t>This outlines our end-to-end project management approach for capital equipment (e.g., semi-automatic machines, assembly stations) developed for high-volume electronics manufacturing customers.</t>
  </si>
  <si>
    <t>1. Concept Phase</t>
  </si>
  <si>
    <r>
      <t>Customer Engagement</t>
    </r>
    <r>
      <rPr>
        <sz val="11"/>
        <color theme="1"/>
        <rFont val="Aptos"/>
        <family val="2"/>
      </rPr>
      <t>: Projects typically begin with built-to-print specifications. Increasingly, we engage early in the concept phase as we localize design and supply chain functions in India.</t>
    </r>
  </si>
  <si>
    <r>
      <t>Cross-functional Evaluation</t>
    </r>
    <r>
      <rPr>
        <sz val="11"/>
        <color theme="1"/>
        <rFont val="Aptos"/>
        <family val="2"/>
      </rPr>
      <t>: Design, sourcing, and assembly teams evaluate feasibility, manufacturability, and associated risks.</t>
    </r>
  </si>
  <si>
    <r>
      <t>Risk Identification</t>
    </r>
    <r>
      <rPr>
        <sz val="11"/>
        <color theme="1"/>
        <rFont val="Aptos"/>
        <family val="2"/>
      </rPr>
      <t>: Early assessment of risks related to localization, supply chain shifts, and technical feasibility.</t>
    </r>
  </si>
  <si>
    <r>
      <t>Internal Approval</t>
    </r>
    <r>
      <rPr>
        <sz val="11"/>
        <color theme="1"/>
        <rFont val="Aptos"/>
        <family val="2"/>
      </rPr>
      <t>: Concepts are reviewed by the Design &amp; Ops Head with alignment from Program and Business Development teams.</t>
    </r>
  </si>
  <si>
    <t>2. Feasibility &amp; Engineering Phase</t>
  </si>
  <si>
    <r>
      <t>Detailed Engineering Review</t>
    </r>
    <r>
      <rPr>
        <sz val="11"/>
        <color theme="1"/>
        <rFont val="Aptos"/>
        <family val="2"/>
      </rPr>
      <t>: Mechanical, electrical, and controls teams conduct DFMA analysis, 3D modeling, and compliance verification.</t>
    </r>
  </si>
  <si>
    <r>
      <t>Customer Co-validation</t>
    </r>
    <r>
      <rPr>
        <sz val="11"/>
        <color theme="1"/>
        <rFont val="Aptos"/>
        <family val="2"/>
      </rPr>
      <t>: Prototypes or early simulations are reviewed and validated with customer engineering teams.</t>
    </r>
  </si>
  <si>
    <r>
      <t>Localization Feasibility</t>
    </r>
    <r>
      <rPr>
        <sz val="11"/>
        <color theme="1"/>
        <rFont val="Aptos"/>
        <family val="2"/>
      </rPr>
      <t>: The sourcing and engineering teams, along with the Program team, evaluate and onboard local vendors.</t>
    </r>
  </si>
  <si>
    <r>
      <t>Costing &amp; Timeline Finalization</t>
    </r>
    <r>
      <rPr>
        <sz val="11"/>
        <color theme="1"/>
        <rFont val="Aptos"/>
        <family val="2"/>
      </rPr>
      <t>: Finalized BOM and schedule are submitted for internal and customer approval.</t>
    </r>
  </si>
  <si>
    <t>3. Execution Phase</t>
  </si>
  <si>
    <r>
      <t>Dedicated Project Managers</t>
    </r>
    <r>
      <rPr>
        <sz val="11"/>
        <color theme="1"/>
        <rFont val="Aptos"/>
        <family val="2"/>
      </rPr>
      <t>: Each project vertical (e.g., 3D printing, semi-auto machines, manual stations) is assigned a dedicated Project Manager.</t>
    </r>
  </si>
  <si>
    <r>
      <t>Matrix Team Execution</t>
    </r>
    <r>
      <rPr>
        <sz val="11"/>
        <color theme="1"/>
        <rFont val="Aptos"/>
        <family val="2"/>
      </rPr>
      <t>: PMs coordinate with design, sourcing, and assembly teams to ensure execution.</t>
    </r>
  </si>
  <si>
    <r>
      <t>Program Management Oversight</t>
    </r>
    <r>
      <rPr>
        <sz val="11"/>
        <color theme="1"/>
        <rFont val="Aptos"/>
        <family val="2"/>
      </rPr>
      <t>: The Program Management team works above project managers to:</t>
    </r>
  </si>
  <si>
    <t>Ensure coordination and synergy across multiple concurrent projects.</t>
  </si>
  <si>
    <t>Drive cross-project standardization and optimization.</t>
  </si>
  <si>
    <r>
      <t xml:space="preserve">Identify and develop </t>
    </r>
    <r>
      <rPr>
        <b/>
        <sz val="11"/>
        <color theme="1"/>
        <rFont val="Aptos"/>
        <family val="2"/>
      </rPr>
      <t>value-add opportunities</t>
    </r>
    <r>
      <rPr>
        <sz val="11"/>
        <color theme="1"/>
        <rFont val="Aptos"/>
        <family val="2"/>
      </rPr>
      <t>, e.g., IoT-based predictive maintenance for semi-auto stations to reduce on-site support (OSS) needs and minimize unplanned downtimes.</t>
    </r>
  </si>
  <si>
    <r>
      <t>Progress Tracking</t>
    </r>
    <r>
      <rPr>
        <sz val="11"/>
        <color theme="1"/>
        <rFont val="Aptos"/>
        <family val="2"/>
      </rPr>
      <t>: Regular internal and customer reviews aligned to milestone deliverables.</t>
    </r>
  </si>
  <si>
    <r>
      <t>Change Management</t>
    </r>
    <r>
      <rPr>
        <sz val="11"/>
        <color theme="1"/>
        <rFont val="Aptos"/>
        <family val="2"/>
      </rPr>
      <t>: All changes undergo structured review, risk assessment, and customer approval.</t>
    </r>
  </si>
  <si>
    <t>4. Ramp-Up &amp; Bring-Up Phase</t>
  </si>
  <si>
    <r>
      <t>Dispatch &amp; Installation</t>
    </r>
    <r>
      <rPr>
        <sz val="11"/>
        <color theme="1"/>
        <rFont val="Aptos"/>
        <family val="2"/>
      </rPr>
      <t>: Coordinated logistics and installation aligned with customer production schedules.</t>
    </r>
  </si>
  <si>
    <r>
      <t>Final Testing &amp; Commissioning</t>
    </r>
    <r>
      <rPr>
        <sz val="11"/>
        <color theme="1"/>
        <rFont val="Aptos"/>
        <family val="2"/>
      </rPr>
      <t>: Performance verification, debug, and acceptance on-site.</t>
    </r>
  </si>
  <si>
    <r>
      <t>On-Site Support (OSS) Team</t>
    </r>
    <r>
      <rPr>
        <sz val="11"/>
        <color theme="1"/>
        <rFont val="Aptos"/>
        <family val="2"/>
      </rPr>
      <t>:</t>
    </r>
  </si>
  <si>
    <t>A dedicated OSS team is deployed across the 4-5 customer sites during line bring-up.</t>
  </si>
  <si>
    <t>Each site has a dedicated OSS Site Manager who reports to the HQ-based Sales Operations Manager.</t>
  </si>
  <si>
    <t>The Sales Ops Manager is the direct customer-facing interface and reports to the Head of Sales/BD.</t>
  </si>
  <si>
    <t>OSS personnel undergo rigorous in-house training at HQ covering basic mechanical, electrical, pneumatic, and PLC systems.</t>
  </si>
  <si>
    <t>Post-training, they achieve site-level certifications (L1, L2, L3) to ensure competence and readiness for issue resolution at various escalation tiers.</t>
  </si>
  <si>
    <r>
      <t>Documentation &amp; Handover</t>
    </r>
    <r>
      <rPr>
        <sz val="11"/>
        <color theme="1"/>
        <rFont val="Aptos"/>
        <family val="2"/>
      </rPr>
      <t>: Includes O&amp;M manuals, as-built drawings, and comprehensive training sessions.</t>
    </r>
  </si>
  <si>
    <r>
      <t>Post-deployment Review</t>
    </r>
    <r>
      <rPr>
        <sz val="11"/>
        <color theme="1"/>
        <rFont val="Aptos"/>
        <family val="2"/>
      </rPr>
      <t>: Feedback and lessons learned are gathered and fed back to engineering, program, and OSS teams for continuous improvement.</t>
    </r>
  </si>
  <si>
    <t>Organizational Model:</t>
  </si>
  <si>
    <t>Current Structure: Matrix-based setup with cross-functional teams reporting to respective functional heads.</t>
  </si>
  <si>
    <t>Evolving Model: Transitioning to a projectized structure with dedicated Project Managers by product type/vertical.</t>
  </si>
  <si>
    <t>Program Management Layer: Acts as a coordination and strategy layer across projects. Enables cross-project synergies, shared innovation (e.g., IoT integration), and unified reporting.</t>
  </si>
  <si>
    <r>
      <t xml:space="preserve">The </t>
    </r>
    <r>
      <rPr>
        <b/>
        <sz val="11"/>
        <color theme="1"/>
        <rFont val="Aptos"/>
        <family val="2"/>
      </rPr>
      <t>OSS Site Managers</t>
    </r>
    <r>
      <rPr>
        <sz val="11"/>
        <color theme="1"/>
        <rFont val="Aptos"/>
        <family val="2"/>
      </rPr>
      <t xml:space="preserve"> report operationally to the Sales Operations Manager at HQ.</t>
    </r>
  </si>
  <si>
    <t>Decision-Making Process</t>
  </si>
  <si>
    <r>
      <t>Operational Decisions</t>
    </r>
    <r>
      <rPr>
        <sz val="11"/>
        <color theme="1"/>
        <rFont val="Aptos"/>
        <family val="2"/>
      </rPr>
      <t>: Managed by Project Managers in coordination with functional leads and overseen by the Design &amp; Ops Head.</t>
    </r>
  </si>
  <si>
    <r>
      <t>Program-Level Guidance</t>
    </r>
    <r>
      <rPr>
        <sz val="11"/>
        <color theme="1"/>
        <rFont val="Aptos"/>
        <family val="2"/>
      </rPr>
      <t>: Handled by the Program Management team to ensure strategic alignment and long-term value capture.</t>
    </r>
  </si>
  <si>
    <r>
      <t>Executive Decisions</t>
    </r>
    <r>
      <rPr>
        <sz val="11"/>
        <color theme="1"/>
        <rFont val="Aptos"/>
        <family val="2"/>
      </rPr>
      <t>:</t>
    </r>
  </si>
  <si>
    <r>
      <t xml:space="preserve">Made by the </t>
    </r>
    <r>
      <rPr>
        <b/>
        <sz val="11"/>
        <color theme="1"/>
        <rFont val="Aptos"/>
        <family val="2"/>
      </rPr>
      <t>Executive Management Team</t>
    </r>
    <r>
      <rPr>
        <sz val="11"/>
        <color theme="1"/>
        <rFont val="Aptos"/>
        <family val="2"/>
      </rPr>
      <t>, which includes the P&amp;L Head (business unit leader), and is aligned with promoter directives.</t>
    </r>
  </si>
  <si>
    <r>
      <t xml:space="preserve">The </t>
    </r>
    <r>
      <rPr>
        <b/>
        <sz val="11"/>
        <color theme="1"/>
        <rFont val="Aptos"/>
        <family val="2"/>
      </rPr>
      <t>P&amp;L Head</t>
    </r>
    <r>
      <rPr>
        <sz val="11"/>
        <color theme="1"/>
        <rFont val="Aptos"/>
        <family val="2"/>
      </rPr>
      <t xml:space="preserve"> directly oversees the Heads of Sales/BD, Operations, HRBP, and Program Management.</t>
    </r>
  </si>
  <si>
    <t>Strategic priorities such as localization, automation, customer alignment, and innovation are driven at this level.</t>
  </si>
  <si>
    <t>Capabilities and plan ahead</t>
  </si>
  <si>
    <t>Able to do all types of fixtures (Semi and fully automatic)</t>
  </si>
  <si>
    <t>IOT pilot for manufacturing lines being undertaken</t>
  </si>
  <si>
    <t>PLC programming + sensor replacement to have better serviceability</t>
  </si>
  <si>
    <t>Component Mfg. and assembly to be taken up in the years ahead for new design</t>
  </si>
  <si>
    <t xml:space="preserve">Considering our capabilities in Aluminum casting we would be willing to partner for for enclosures and assemblies </t>
  </si>
  <si>
    <t>EMS capabilities - SMT lines for apple (PCB)</t>
  </si>
  <si>
    <r>
      <t>•</t>
    </r>
    <r>
      <rPr>
        <b/>
        <sz val="14"/>
        <color rgb="FF000000"/>
        <rFont val="Aptos"/>
        <family val="2"/>
      </rPr>
      <t>Initial discussions</t>
    </r>
    <r>
      <rPr>
        <sz val="14"/>
        <color rgb="FF000000"/>
        <rFont val="Aptos"/>
        <family val="2"/>
      </rPr>
      <t>: Oct’24-Dec’24</t>
    </r>
  </si>
  <si>
    <r>
      <t>•</t>
    </r>
    <r>
      <rPr>
        <b/>
        <sz val="14"/>
        <color rgb="FF000000"/>
        <rFont val="Aptos"/>
        <family val="2"/>
      </rPr>
      <t>First Samples: 4x stations delivered in 10 weeks with 100% BOM sourcing (no CKD kits from China)</t>
    </r>
  </si>
  <si>
    <r>
      <t>o</t>
    </r>
    <r>
      <rPr>
        <sz val="14"/>
        <color rgb="FF000000"/>
        <rFont val="Aptos"/>
        <family val="2"/>
      </rPr>
      <t xml:space="preserve">2x stations successfully delivered to FXBL on 01/30  </t>
    </r>
  </si>
  <si>
    <r>
      <t>o</t>
    </r>
    <r>
      <rPr>
        <sz val="14"/>
        <color rgb="FF000000"/>
        <rFont val="Aptos"/>
        <family val="2"/>
      </rPr>
      <t>2x stations successfully delivered to to PGMD by 03/05</t>
    </r>
  </si>
  <si>
    <r>
      <t>•</t>
    </r>
    <r>
      <rPr>
        <b/>
        <sz val="14"/>
        <color rgb="FF000000"/>
        <rFont val="Aptos"/>
        <family val="2"/>
      </rPr>
      <t>Scope &amp; Forecast</t>
    </r>
    <r>
      <rPr>
        <sz val="14"/>
        <color rgb="FF000000"/>
        <rFont val="Aptos"/>
        <family val="2"/>
      </rPr>
      <t xml:space="preserve">: Initial scope of </t>
    </r>
    <r>
      <rPr>
        <b/>
        <sz val="14"/>
        <color rgb="FF000000"/>
        <rFont val="Aptos"/>
        <family val="2"/>
      </rPr>
      <t>35x</t>
    </r>
    <r>
      <rPr>
        <sz val="14"/>
        <color rgb="FF000000"/>
        <rFont val="Aptos"/>
        <family val="2"/>
      </rPr>
      <t xml:space="preserve"> RCVR/RXTX stations allocated in Feb’25</t>
    </r>
  </si>
  <si>
    <r>
      <t>•</t>
    </r>
    <r>
      <rPr>
        <b/>
        <sz val="14"/>
        <color rgb="FF000000"/>
        <rFont val="Aptos"/>
        <family val="2"/>
      </rPr>
      <t>Scope Expansion</t>
    </r>
    <r>
      <rPr>
        <sz val="14"/>
        <color rgb="FF000000"/>
        <rFont val="Aptos"/>
        <family val="2"/>
      </rPr>
      <t xml:space="preserve">: </t>
    </r>
  </si>
  <si>
    <r>
      <t>o</t>
    </r>
    <r>
      <rPr>
        <sz val="14"/>
        <color rgb="FF000000"/>
        <rFont val="Aptos"/>
        <family val="2"/>
      </rPr>
      <t xml:space="preserve">Scope expanded to </t>
    </r>
    <r>
      <rPr>
        <b/>
        <sz val="14"/>
        <color rgb="FF000000"/>
        <rFont val="Aptos"/>
        <family val="2"/>
      </rPr>
      <t>81x</t>
    </r>
    <r>
      <rPr>
        <sz val="14"/>
        <color rgb="FF000000"/>
        <rFont val="Aptos"/>
        <family val="2"/>
      </rPr>
      <t xml:space="preserve"> RCVR/RXTX stations in Mar’25</t>
    </r>
  </si>
  <si>
    <r>
      <t>o</t>
    </r>
    <r>
      <rPr>
        <sz val="14"/>
        <color rgb="FF000000"/>
        <rFont val="Aptos"/>
        <family val="2"/>
      </rPr>
      <t xml:space="preserve">Completely new variety of </t>
    </r>
    <r>
      <rPr>
        <b/>
        <sz val="14"/>
        <color rgb="FF000000"/>
        <rFont val="Aptos"/>
        <family val="2"/>
      </rPr>
      <t xml:space="preserve">82x </t>
    </r>
    <r>
      <rPr>
        <sz val="14"/>
        <color rgb="FF000000"/>
        <rFont val="Aptos"/>
        <family val="2"/>
      </rPr>
      <t>BG/CG stations added to scope in Apr’25</t>
    </r>
  </si>
  <si>
    <r>
      <t>o</t>
    </r>
    <r>
      <rPr>
        <b/>
        <sz val="14"/>
        <color rgb="FF000000"/>
        <rFont val="Aptos"/>
        <family val="2"/>
      </rPr>
      <t>Total count: 163x | Delivered: 109x | WIP: 54x</t>
    </r>
  </si>
  <si>
    <t xml:space="preserve">Technical roadmap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</si>
</sst>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7">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12"/>
      <color rgb="FF5A6977"/>
      <name val="Gotham-Bold"/>
    </font>
    <font>
      <sz val="11"/>
      <color theme="1"/>
      <name val="Aptos"/>
      <family val="2"/>
    </font>
    <font>
      <b/>
      <sz val="11"/>
      <color theme="1"/>
      <name val="Aptos"/>
      <family val="2"/>
    </font>
    <font>
      <b/>
      <sz val="14"/>
      <color theme="1"/>
      <name val="Aptos"/>
      <family val="2"/>
    </font>
    <font>
      <sz val="14"/>
      <color theme="1"/>
      <name val="Aptos"/>
      <family val="2"/>
    </font>
    <font>
      <b/>
      <sz val="14"/>
      <color rgb="FF000000"/>
      <name val="Aptos"/>
      <family val="2"/>
    </font>
    <font>
      <sz val="14"/>
      <color rgb="FF000000"/>
      <name val="Aptos"/>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101">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30" fillId="5" borderId="1" xfId="0" applyFont="1" applyFill="1" applyBorder="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xf numFmtId="0" fontId="33"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32" fillId="0" borderId="0" xfId="0" applyFont="1" applyAlignment="1">
      <alignment horizontal="left" vertical="center" indent="1"/>
    </xf>
    <xf numFmtId="0" fontId="31" fillId="0" borderId="0" xfId="0" applyFont="1" applyAlignment="1">
      <alignment horizontal="left" vertical="center" indent="4"/>
    </xf>
    <xf numFmtId="0" fontId="31" fillId="0" borderId="0" xfId="0" applyFont="1" applyAlignment="1">
      <alignment horizontal="left" vertical="center" indent="2"/>
    </xf>
    <xf numFmtId="0" fontId="32" fillId="0" borderId="0" xfId="0" applyFont="1" applyAlignment="1">
      <alignment horizontal="left" vertical="center" indent="4"/>
    </xf>
    <xf numFmtId="0" fontId="31" fillId="0" borderId="0" xfId="0" applyFont="1" applyAlignment="1">
      <alignment horizontal="left" vertical="center" indent="1"/>
    </xf>
    <xf numFmtId="0" fontId="34" fillId="0" borderId="0" xfId="0" applyFont="1" applyAlignment="1">
      <alignment horizontal="left" vertical="center" indent="2" readingOrder="1"/>
    </xf>
    <xf numFmtId="0" fontId="34" fillId="0" borderId="0" xfId="0" applyFont="1"/>
    <xf numFmtId="0" fontId="34" fillId="0" borderId="0" xfId="0" applyFont="1" applyAlignment="1">
      <alignment horizontal="left" vertical="center" indent="6" readingOrder="1"/>
    </xf>
    <xf numFmtId="0" fontId="33" fillId="0" borderId="0" xfId="0" applyFont="1" applyAlignment="1">
      <alignment vertical="center" readingOrder="1"/>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762FC28-802E-4461-B0E7-1EC002AB2484}" type="doc">
      <dgm:prSet loTypeId="urn:microsoft.com/office/officeart/2005/8/layout/hProcess9" loCatId="process" qsTypeId="urn:microsoft.com/office/officeart/2005/8/quickstyle/simple1" qsCatId="simple" csTypeId="urn:microsoft.com/office/officeart/2005/8/colors/accent1_2" csCatId="accent1" phldr="1"/>
      <dgm:spPr/>
    </dgm:pt>
    <dgm:pt modelId="{CBAD6C1B-20F3-4B96-B505-2762707ADB68}">
      <dgm:prSet phldrT="[Text]"/>
      <dgm:spPr/>
      <dgm:t>
        <a:bodyPr/>
        <a:lstStyle/>
        <a:p>
          <a:r>
            <a:rPr lang="en-IN"/>
            <a:t>Semi auto stations - 4x station done with 50% non PRC parts</a:t>
          </a:r>
        </a:p>
      </dgm:t>
    </dgm:pt>
    <dgm:pt modelId="{46425ECC-4E08-419F-8F34-223DB8DB52C1}" type="parTrans" cxnId="{A5902110-D25E-4326-BD10-7CA91FE374DC}">
      <dgm:prSet/>
      <dgm:spPr/>
      <dgm:t>
        <a:bodyPr/>
        <a:lstStyle/>
        <a:p>
          <a:endParaRPr lang="en-IN"/>
        </a:p>
      </dgm:t>
    </dgm:pt>
    <dgm:pt modelId="{E3DED224-F4EC-4A90-B647-2222552A50F8}" type="sibTrans" cxnId="{A5902110-D25E-4326-BD10-7CA91FE374DC}">
      <dgm:prSet/>
      <dgm:spPr/>
      <dgm:t>
        <a:bodyPr/>
        <a:lstStyle/>
        <a:p>
          <a:endParaRPr lang="en-IN"/>
        </a:p>
      </dgm:t>
    </dgm:pt>
    <dgm:pt modelId="{BF14DBF5-3852-496E-A8EF-10239D9F05B3}">
      <dgm:prSet phldrT="[Text]"/>
      <dgm:spPr/>
      <dgm:t>
        <a:bodyPr/>
        <a:lstStyle/>
        <a:p>
          <a:r>
            <a:rPr lang="en-IN"/>
            <a:t>Semi Auto stations - 163x station with PRC parts</a:t>
          </a:r>
        </a:p>
      </dgm:t>
    </dgm:pt>
    <dgm:pt modelId="{DF3BF2D7-1CFD-4DFE-BA86-0C4AC2832225}" type="parTrans" cxnId="{83F33337-72BA-4BEF-954F-D1AC1BFAEB77}">
      <dgm:prSet/>
      <dgm:spPr/>
      <dgm:t>
        <a:bodyPr/>
        <a:lstStyle/>
        <a:p>
          <a:endParaRPr lang="en-IN"/>
        </a:p>
      </dgm:t>
    </dgm:pt>
    <dgm:pt modelId="{AD86A66D-48D8-47D7-8D7C-010B2E636096}" type="sibTrans" cxnId="{83F33337-72BA-4BEF-954F-D1AC1BFAEB77}">
      <dgm:prSet/>
      <dgm:spPr/>
      <dgm:t>
        <a:bodyPr/>
        <a:lstStyle/>
        <a:p>
          <a:endParaRPr lang="en-IN"/>
        </a:p>
      </dgm:t>
    </dgm:pt>
    <dgm:pt modelId="{3E96D2F1-D7CE-48CE-8A50-34337EA0627F}">
      <dgm:prSet phldrT="[Text]"/>
      <dgm:spPr/>
      <dgm:t>
        <a:bodyPr/>
        <a:lstStyle/>
        <a:p>
          <a:r>
            <a:rPr lang="en-IN"/>
            <a:t>Semi auto stations - Design pilots started with 100% non PRC parts</a:t>
          </a:r>
        </a:p>
      </dgm:t>
    </dgm:pt>
    <dgm:pt modelId="{CA636292-7124-45F1-904F-24CDF77A9BBC}" type="parTrans" cxnId="{C85D948B-F05F-41B8-8778-648D26B3229E}">
      <dgm:prSet/>
      <dgm:spPr/>
      <dgm:t>
        <a:bodyPr/>
        <a:lstStyle/>
        <a:p>
          <a:endParaRPr lang="en-IN"/>
        </a:p>
      </dgm:t>
    </dgm:pt>
    <dgm:pt modelId="{47769427-5D67-40C3-A939-43A986C9505B}" type="sibTrans" cxnId="{C85D948B-F05F-41B8-8778-648D26B3229E}">
      <dgm:prSet/>
      <dgm:spPr/>
      <dgm:t>
        <a:bodyPr/>
        <a:lstStyle/>
        <a:p>
          <a:endParaRPr lang="en-IN"/>
        </a:p>
      </dgm:t>
    </dgm:pt>
    <dgm:pt modelId="{E7898CC9-28E2-46B7-B977-D02560A10624}">
      <dgm:prSet phldrT="[Text]"/>
      <dgm:spPr/>
      <dgm:t>
        <a:bodyPr/>
        <a:lstStyle/>
        <a:p>
          <a:r>
            <a:rPr lang="en-IN"/>
            <a:t>Semi auto stations - New design with optimized cycle time and improved productivity</a:t>
          </a:r>
        </a:p>
      </dgm:t>
    </dgm:pt>
    <dgm:pt modelId="{A790659E-85B7-4F0D-8B8B-E217A9B8D80B}" type="parTrans" cxnId="{BC2CAF3B-FF97-421B-821B-01992C3EF80F}">
      <dgm:prSet/>
      <dgm:spPr/>
      <dgm:t>
        <a:bodyPr/>
        <a:lstStyle/>
        <a:p>
          <a:endParaRPr lang="en-IN"/>
        </a:p>
      </dgm:t>
    </dgm:pt>
    <dgm:pt modelId="{82A94319-0EF1-466C-9CD0-B63E79F50ECC}" type="sibTrans" cxnId="{BC2CAF3B-FF97-421B-821B-01992C3EF80F}">
      <dgm:prSet/>
      <dgm:spPr/>
      <dgm:t>
        <a:bodyPr/>
        <a:lstStyle/>
        <a:p>
          <a:endParaRPr lang="en-IN"/>
        </a:p>
      </dgm:t>
    </dgm:pt>
    <dgm:pt modelId="{3E00C467-CF75-44A4-B2AB-D754F8099B82}" type="pres">
      <dgm:prSet presAssocID="{6762FC28-802E-4461-B0E7-1EC002AB2484}" presName="CompostProcess" presStyleCnt="0">
        <dgm:presLayoutVars>
          <dgm:dir/>
          <dgm:resizeHandles val="exact"/>
        </dgm:presLayoutVars>
      </dgm:prSet>
      <dgm:spPr/>
    </dgm:pt>
    <dgm:pt modelId="{29510BBB-586F-442F-8D89-FD8EEED9CF01}" type="pres">
      <dgm:prSet presAssocID="{6762FC28-802E-4461-B0E7-1EC002AB2484}" presName="arrow" presStyleLbl="bgShp" presStyleIdx="0" presStyleCnt="1"/>
      <dgm:spPr/>
    </dgm:pt>
    <dgm:pt modelId="{681C197C-09BE-4803-99E6-4E8F4B4EFCF6}" type="pres">
      <dgm:prSet presAssocID="{6762FC28-802E-4461-B0E7-1EC002AB2484}" presName="linearProcess" presStyleCnt="0"/>
      <dgm:spPr/>
    </dgm:pt>
    <dgm:pt modelId="{AB5EB9D6-D7CF-4992-A0D6-E03CBFDBD2D6}" type="pres">
      <dgm:prSet presAssocID="{CBAD6C1B-20F3-4B96-B505-2762707ADB68}" presName="textNode" presStyleLbl="node1" presStyleIdx="0" presStyleCnt="4">
        <dgm:presLayoutVars>
          <dgm:bulletEnabled val="1"/>
        </dgm:presLayoutVars>
      </dgm:prSet>
      <dgm:spPr/>
    </dgm:pt>
    <dgm:pt modelId="{4B86AA65-6993-45B5-B692-D9A7B8BCB1F6}" type="pres">
      <dgm:prSet presAssocID="{E3DED224-F4EC-4A90-B647-2222552A50F8}" presName="sibTrans" presStyleCnt="0"/>
      <dgm:spPr/>
    </dgm:pt>
    <dgm:pt modelId="{C8CE338C-EB9F-4528-9F12-B27590CDB0A6}" type="pres">
      <dgm:prSet presAssocID="{BF14DBF5-3852-496E-A8EF-10239D9F05B3}" presName="textNode" presStyleLbl="node1" presStyleIdx="1" presStyleCnt="4">
        <dgm:presLayoutVars>
          <dgm:bulletEnabled val="1"/>
        </dgm:presLayoutVars>
      </dgm:prSet>
      <dgm:spPr/>
    </dgm:pt>
    <dgm:pt modelId="{324185FF-7C4C-461D-A809-8434B9B64DEC}" type="pres">
      <dgm:prSet presAssocID="{AD86A66D-48D8-47D7-8D7C-010B2E636096}" presName="sibTrans" presStyleCnt="0"/>
      <dgm:spPr/>
    </dgm:pt>
    <dgm:pt modelId="{DB1A68F2-3067-4F22-9CA5-BD0C7BDA480D}" type="pres">
      <dgm:prSet presAssocID="{3E96D2F1-D7CE-48CE-8A50-34337EA0627F}" presName="textNode" presStyleLbl="node1" presStyleIdx="2" presStyleCnt="4">
        <dgm:presLayoutVars>
          <dgm:bulletEnabled val="1"/>
        </dgm:presLayoutVars>
      </dgm:prSet>
      <dgm:spPr/>
    </dgm:pt>
    <dgm:pt modelId="{FD5174A8-F057-478B-AF3F-D9BF36D004C7}" type="pres">
      <dgm:prSet presAssocID="{47769427-5D67-40C3-A939-43A986C9505B}" presName="sibTrans" presStyleCnt="0"/>
      <dgm:spPr/>
    </dgm:pt>
    <dgm:pt modelId="{A1E095D2-0180-4162-9788-ED10A367D1CF}" type="pres">
      <dgm:prSet presAssocID="{E7898CC9-28E2-46B7-B977-D02560A10624}" presName="textNode" presStyleLbl="node1" presStyleIdx="3" presStyleCnt="4">
        <dgm:presLayoutVars>
          <dgm:bulletEnabled val="1"/>
        </dgm:presLayoutVars>
      </dgm:prSet>
      <dgm:spPr/>
    </dgm:pt>
  </dgm:ptLst>
  <dgm:cxnLst>
    <dgm:cxn modelId="{E2CF9203-E02B-462C-BB87-FD2783B41CD3}" type="presOf" srcId="{3E96D2F1-D7CE-48CE-8A50-34337EA0627F}" destId="{DB1A68F2-3067-4F22-9CA5-BD0C7BDA480D}" srcOrd="0" destOrd="0" presId="urn:microsoft.com/office/officeart/2005/8/layout/hProcess9"/>
    <dgm:cxn modelId="{A5902110-D25E-4326-BD10-7CA91FE374DC}" srcId="{6762FC28-802E-4461-B0E7-1EC002AB2484}" destId="{CBAD6C1B-20F3-4B96-B505-2762707ADB68}" srcOrd="0" destOrd="0" parTransId="{46425ECC-4E08-419F-8F34-223DB8DB52C1}" sibTransId="{E3DED224-F4EC-4A90-B647-2222552A50F8}"/>
    <dgm:cxn modelId="{83F33337-72BA-4BEF-954F-D1AC1BFAEB77}" srcId="{6762FC28-802E-4461-B0E7-1EC002AB2484}" destId="{BF14DBF5-3852-496E-A8EF-10239D9F05B3}" srcOrd="1" destOrd="0" parTransId="{DF3BF2D7-1CFD-4DFE-BA86-0C4AC2832225}" sibTransId="{AD86A66D-48D8-47D7-8D7C-010B2E636096}"/>
    <dgm:cxn modelId="{BC2CAF3B-FF97-421B-821B-01992C3EF80F}" srcId="{6762FC28-802E-4461-B0E7-1EC002AB2484}" destId="{E7898CC9-28E2-46B7-B977-D02560A10624}" srcOrd="3" destOrd="0" parTransId="{A790659E-85B7-4F0D-8B8B-E217A9B8D80B}" sibTransId="{82A94319-0EF1-466C-9CD0-B63E79F50ECC}"/>
    <dgm:cxn modelId="{8EACE142-F154-48A8-BCA7-88D8983165A8}" type="presOf" srcId="{6762FC28-802E-4461-B0E7-1EC002AB2484}" destId="{3E00C467-CF75-44A4-B2AB-D754F8099B82}" srcOrd="0" destOrd="0" presId="urn:microsoft.com/office/officeart/2005/8/layout/hProcess9"/>
    <dgm:cxn modelId="{879BDD81-886B-4912-9BFF-39CC0B0A6672}" type="presOf" srcId="{BF14DBF5-3852-496E-A8EF-10239D9F05B3}" destId="{C8CE338C-EB9F-4528-9F12-B27590CDB0A6}" srcOrd="0" destOrd="0" presId="urn:microsoft.com/office/officeart/2005/8/layout/hProcess9"/>
    <dgm:cxn modelId="{C85D948B-F05F-41B8-8778-648D26B3229E}" srcId="{6762FC28-802E-4461-B0E7-1EC002AB2484}" destId="{3E96D2F1-D7CE-48CE-8A50-34337EA0627F}" srcOrd="2" destOrd="0" parTransId="{CA636292-7124-45F1-904F-24CDF77A9BBC}" sibTransId="{47769427-5D67-40C3-A939-43A986C9505B}"/>
    <dgm:cxn modelId="{0EC4D3BB-0D7F-4DFB-BC4C-4A56E0C9FF0C}" type="presOf" srcId="{E7898CC9-28E2-46B7-B977-D02560A10624}" destId="{A1E095D2-0180-4162-9788-ED10A367D1CF}" srcOrd="0" destOrd="0" presId="urn:microsoft.com/office/officeart/2005/8/layout/hProcess9"/>
    <dgm:cxn modelId="{2B5EC7FD-32D9-47EF-9A43-80653242F6D1}" type="presOf" srcId="{CBAD6C1B-20F3-4B96-B505-2762707ADB68}" destId="{AB5EB9D6-D7CF-4992-A0D6-E03CBFDBD2D6}" srcOrd="0" destOrd="0" presId="urn:microsoft.com/office/officeart/2005/8/layout/hProcess9"/>
    <dgm:cxn modelId="{DCF3B781-603B-44FF-B7F2-2FBB54159C5B}" type="presParOf" srcId="{3E00C467-CF75-44A4-B2AB-D754F8099B82}" destId="{29510BBB-586F-442F-8D89-FD8EEED9CF01}" srcOrd="0" destOrd="0" presId="urn:microsoft.com/office/officeart/2005/8/layout/hProcess9"/>
    <dgm:cxn modelId="{F27F829D-F4E0-4040-8335-B8ABD11EB15C}" type="presParOf" srcId="{3E00C467-CF75-44A4-B2AB-D754F8099B82}" destId="{681C197C-09BE-4803-99E6-4E8F4B4EFCF6}" srcOrd="1" destOrd="0" presId="urn:microsoft.com/office/officeart/2005/8/layout/hProcess9"/>
    <dgm:cxn modelId="{84B1B983-A12F-4F77-A0BC-25CB7F5787B3}" type="presParOf" srcId="{681C197C-09BE-4803-99E6-4E8F4B4EFCF6}" destId="{AB5EB9D6-D7CF-4992-A0D6-E03CBFDBD2D6}" srcOrd="0" destOrd="0" presId="urn:microsoft.com/office/officeart/2005/8/layout/hProcess9"/>
    <dgm:cxn modelId="{C7763888-E0AA-44E7-B4BA-12EDAAA6DB56}" type="presParOf" srcId="{681C197C-09BE-4803-99E6-4E8F4B4EFCF6}" destId="{4B86AA65-6993-45B5-B692-D9A7B8BCB1F6}" srcOrd="1" destOrd="0" presId="urn:microsoft.com/office/officeart/2005/8/layout/hProcess9"/>
    <dgm:cxn modelId="{8A9A9679-6CAC-4E27-B8BC-C0FDA647CFE9}" type="presParOf" srcId="{681C197C-09BE-4803-99E6-4E8F4B4EFCF6}" destId="{C8CE338C-EB9F-4528-9F12-B27590CDB0A6}" srcOrd="2" destOrd="0" presId="urn:microsoft.com/office/officeart/2005/8/layout/hProcess9"/>
    <dgm:cxn modelId="{C7D40E5F-559B-43B8-AC0E-345A47A832DA}" type="presParOf" srcId="{681C197C-09BE-4803-99E6-4E8F4B4EFCF6}" destId="{324185FF-7C4C-461D-A809-8434B9B64DEC}" srcOrd="3" destOrd="0" presId="urn:microsoft.com/office/officeart/2005/8/layout/hProcess9"/>
    <dgm:cxn modelId="{2A2DA097-0152-4879-9154-AD3C834E30B5}" type="presParOf" srcId="{681C197C-09BE-4803-99E6-4E8F4B4EFCF6}" destId="{DB1A68F2-3067-4F22-9CA5-BD0C7BDA480D}" srcOrd="4" destOrd="0" presId="urn:microsoft.com/office/officeart/2005/8/layout/hProcess9"/>
    <dgm:cxn modelId="{595CF23C-067B-4A6D-956A-FC9229D55841}" type="presParOf" srcId="{681C197C-09BE-4803-99E6-4E8F4B4EFCF6}" destId="{FD5174A8-F057-478B-AF3F-D9BF36D004C7}" srcOrd="5" destOrd="0" presId="urn:microsoft.com/office/officeart/2005/8/layout/hProcess9"/>
    <dgm:cxn modelId="{D4E99DA8-5B4B-41B6-990C-C4C39EAB59DD}" type="presParOf" srcId="{681C197C-09BE-4803-99E6-4E8F4B4EFCF6}" destId="{A1E095D2-0180-4162-9788-ED10A367D1CF}" srcOrd="6" destOrd="0" presId="urn:microsoft.com/office/officeart/2005/8/layout/hProcess9"/>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9510BBB-586F-442F-8D89-FD8EEED9CF01}">
      <dsp:nvSpPr>
        <dsp:cNvPr id="0" name=""/>
        <dsp:cNvSpPr/>
      </dsp:nvSpPr>
      <dsp:spPr>
        <a:xfrm>
          <a:off x="342899" y="0"/>
          <a:ext cx="3886200" cy="2743200"/>
        </a:xfrm>
        <a:prstGeom prst="rightArrow">
          <a:avLst/>
        </a:prstGeom>
        <a:solidFill>
          <a:schemeClr val="accent1">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AB5EB9D6-D7CF-4992-A0D6-E03CBFDBD2D6}">
      <dsp:nvSpPr>
        <dsp:cNvPr id="0" name=""/>
        <dsp:cNvSpPr/>
      </dsp:nvSpPr>
      <dsp:spPr>
        <a:xfrm>
          <a:off x="2288" y="822960"/>
          <a:ext cx="1100583" cy="109728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en-IN" sz="900" kern="1200"/>
            <a:t>Semi auto stations - 4x station done with 50% non PRC parts</a:t>
          </a:r>
        </a:p>
      </dsp:txBody>
      <dsp:txXfrm>
        <a:off x="55853" y="876525"/>
        <a:ext cx="993453" cy="990150"/>
      </dsp:txXfrm>
    </dsp:sp>
    <dsp:sp modelId="{C8CE338C-EB9F-4528-9F12-B27590CDB0A6}">
      <dsp:nvSpPr>
        <dsp:cNvPr id="0" name=""/>
        <dsp:cNvSpPr/>
      </dsp:nvSpPr>
      <dsp:spPr>
        <a:xfrm>
          <a:off x="1157901" y="822960"/>
          <a:ext cx="1100583" cy="109728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en-IN" sz="900" kern="1200"/>
            <a:t>Semi Auto stations - 163x station with PRC parts</a:t>
          </a:r>
        </a:p>
      </dsp:txBody>
      <dsp:txXfrm>
        <a:off x="1211466" y="876525"/>
        <a:ext cx="993453" cy="990150"/>
      </dsp:txXfrm>
    </dsp:sp>
    <dsp:sp modelId="{DB1A68F2-3067-4F22-9CA5-BD0C7BDA480D}">
      <dsp:nvSpPr>
        <dsp:cNvPr id="0" name=""/>
        <dsp:cNvSpPr/>
      </dsp:nvSpPr>
      <dsp:spPr>
        <a:xfrm>
          <a:off x="2313514" y="822960"/>
          <a:ext cx="1100583" cy="109728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en-IN" sz="900" kern="1200"/>
            <a:t>Semi auto stations - Design pilots started with 100% non PRC parts</a:t>
          </a:r>
        </a:p>
      </dsp:txBody>
      <dsp:txXfrm>
        <a:off x="2367079" y="876525"/>
        <a:ext cx="993453" cy="990150"/>
      </dsp:txXfrm>
    </dsp:sp>
    <dsp:sp modelId="{A1E095D2-0180-4162-9788-ED10A367D1CF}">
      <dsp:nvSpPr>
        <dsp:cNvPr id="0" name=""/>
        <dsp:cNvSpPr/>
      </dsp:nvSpPr>
      <dsp:spPr>
        <a:xfrm>
          <a:off x="3469127" y="822960"/>
          <a:ext cx="1100583" cy="109728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en-IN" sz="900" kern="1200"/>
            <a:t>Semi auto stations - New design with optimized cycle time and improved productivity</a:t>
          </a:r>
        </a:p>
      </dsp:txBody>
      <dsp:txXfrm>
        <a:off x="3522692" y="876525"/>
        <a:ext cx="993453" cy="990150"/>
      </dsp:txXfrm>
    </dsp:sp>
  </dsp:spTree>
</dsp:drawing>
</file>

<file path=xl/diagrams/layout1.xml><?xml version="1.0" encoding="utf-8"?>
<dgm:layoutDef xmlns:dgm="http://schemas.openxmlformats.org/drawingml/2006/diagram" xmlns:a="http://schemas.openxmlformats.org/drawingml/2006/main" uniqueId="urn:microsoft.com/office/officeart/2005/8/layout/hProcess9">
  <dgm:title val=""/>
  <dgm:desc val=""/>
  <dgm:catLst>
    <dgm:cat type="process" pri="5000"/>
    <dgm:cat type="convert" pri="1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CompostProcess">
    <dgm:varLst>
      <dgm:dir/>
      <dgm:resizeHandles val="exact"/>
    </dgm:varLst>
    <dgm:alg type="composite">
      <dgm:param type="horzAlign" val="ctr"/>
      <dgm:param type="vertAlign" val="mid"/>
    </dgm:alg>
    <dgm:shape xmlns:r="http://schemas.openxmlformats.org/officeDocument/2006/relationships" r:blip="">
      <dgm:adjLst/>
    </dgm:shape>
    <dgm:presOf/>
    <dgm:constrLst>
      <dgm:constr type="w" for="ch" forName="arrow" refType="w" fact="0.85"/>
      <dgm:constr type="h" for="ch" forName="arrow" refType="h"/>
      <dgm:constr type="ctrX" for="ch" forName="arrow" refType="w" fact="0.5"/>
      <dgm:constr type="ctrY" for="ch" forName="arrow" refType="h" fact="0.5"/>
      <dgm:constr type="w" for="ch" forName="linearProcess" refType="w"/>
      <dgm:constr type="h" for="ch" forName="linearProcess" refType="h" fact="0.4"/>
      <dgm:constr type="ctrX" for="ch" forName="linearProcess" refType="w" fact="0.5"/>
      <dgm:constr type="ctrY" for="ch" forName="linearProcess" refType="h" fact="0.5"/>
    </dgm:constrLst>
    <dgm:ruleLst/>
    <dgm:layoutNode name="arrow" styleLbl="bgShp">
      <dgm:alg type="sp"/>
      <dgm:choose name="Name0">
        <dgm:if name="Name1" func="var" arg="dir" op="equ" val="norm">
          <dgm:shape xmlns:r="http://schemas.openxmlformats.org/officeDocument/2006/relationships" type="rightArrow" r:blip="">
            <dgm:adjLst/>
          </dgm:shape>
        </dgm:if>
        <dgm:else name="Name2">
          <dgm:shape xmlns:r="http://schemas.openxmlformats.org/officeDocument/2006/relationships" type="leftArrow" r:blip="">
            <dgm:adjLst/>
          </dgm:shape>
        </dgm:else>
      </dgm:choose>
      <dgm:presOf/>
      <dgm:constrLst/>
      <dgm:ruleLst/>
    </dgm:layoutNode>
    <dgm:layoutNode name="linearProcess">
      <dgm:choose name="Name3">
        <dgm:if name="Name4" func="var" arg="dir" op="equ" val="norm">
          <dgm:alg type="lin"/>
        </dgm:if>
        <dgm:else name="Name5">
          <dgm:alg type="lin">
            <dgm:param type="linDir" val="fromR"/>
          </dgm:alg>
        </dgm:else>
      </dgm:choose>
      <dgm:shape xmlns:r="http://schemas.openxmlformats.org/officeDocument/2006/relationships" r:blip="">
        <dgm:adjLst/>
      </dgm:shape>
      <dgm:presOf/>
      <dgm:constrLst>
        <dgm:constr type="userA" for="ch" ptType="node" refType="w"/>
        <dgm:constr type="h" for="ch" ptType="node" refType="h"/>
        <dgm:constr type="w" for="ch" ptType="node" op="equ"/>
        <dgm:constr type="w" for="ch" forName="sibTrans" refType="w" fact="0.05"/>
        <dgm:constr type="primFontSz" for="ch" ptType="node" op="equ" val="65"/>
      </dgm:constrLst>
      <dgm:ruleLst/>
      <dgm:forEach name="Name6" axis="ch" ptType="node">
        <dgm:layoutNode name="textNode" styleLbl="node1">
          <dgm:varLst>
            <dgm:bulletEnabled val="1"/>
          </dgm:varLst>
          <dgm:alg type="tx"/>
          <dgm:shape xmlns:r="http://schemas.openxmlformats.org/officeDocument/2006/relationships" type="roundRect" r:blip="">
            <dgm:adjLst/>
          </dgm:shape>
          <dgm:presOf axis="desOrSelf" ptType="node"/>
          <dgm:constrLst>
            <dgm:constr type="userA"/>
            <dgm:constr type="w" refType="userA" fact="0.3"/>
            <dgm:constr type="tMarg" refType="primFontSz" fact="0.3"/>
            <dgm:constr type="bMarg" refType="primFontSz" fact="0.3"/>
            <dgm:constr type="lMarg" refType="primFontSz" fact="0.3"/>
            <dgm:constr type="rMarg" refType="primFontSz" fact="0.3"/>
          </dgm:constrLst>
          <dgm:ruleLst>
            <dgm:rule type="w" val="NaN" fact="1" max="NaN"/>
            <dgm:rule type="primFontSz" val="5" fact="NaN" max="NaN"/>
          </dgm:ruleLst>
        </dgm:layoutNode>
        <dgm:forEach name="Name7" axis="followSib" ptType="sibTrans" cnt="1">
          <dgm:layoutNode name="sibTrans">
            <dgm:alg type="sp"/>
            <dgm:shape xmlns:r="http://schemas.openxmlformats.org/officeDocument/2006/relationships" r:blip="">
              <dgm:adjLst/>
            </dgm:shape>
            <dgm:presOf/>
            <dgm:constrLst/>
            <dgm:ruleLst/>
          </dgm:layoutNode>
        </dgm:forEach>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728662</xdr:colOff>
      <xdr:row>25</xdr:row>
      <xdr:rowOff>133350</xdr:rowOff>
    </xdr:from>
    <xdr:to>
      <xdr:col>7</xdr:col>
      <xdr:colOff>328612</xdr:colOff>
      <xdr:row>37</xdr:row>
      <xdr:rowOff>19050</xdr:rowOff>
    </xdr:to>
    <xdr:graphicFrame macro="">
      <xdr:nvGraphicFramePr>
        <xdr:cNvPr id="2" name="Diagram 1">
          <a:extLst>
            <a:ext uri="{FF2B5EF4-FFF2-40B4-BE49-F238E27FC236}">
              <a16:creationId xmlns:a16="http://schemas.microsoft.com/office/drawing/2014/main" id="{4FAA85B8-C1F0-439C-F32A-4B2FA7A302A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zoomScale="55" zoomScaleNormal="55" workbookViewId="0">
      <selection activeCell="B14" sqref="B14"/>
    </sheetView>
  </sheetViews>
  <sheetFormatPr defaultColWidth="10.875" defaultRowHeight="20.25"/>
  <cols>
    <col min="1" max="1" width="10.875" style="51"/>
    <col min="2" max="2" width="200.875" style="10" customWidth="1"/>
    <col min="3" max="16384" width="10.875" style="51"/>
  </cols>
  <sheetData>
    <row r="2" spans="2:2">
      <c r="B2" s="8" t="s">
        <v>213</v>
      </c>
    </row>
    <row r="3" spans="2:2">
      <c r="B3" s="44" t="s">
        <v>174</v>
      </c>
    </row>
    <row r="4" spans="2:2" ht="81">
      <c r="B4" s="9" t="s">
        <v>113</v>
      </c>
    </row>
    <row r="5" spans="2:2">
      <c r="B5" s="44" t="s">
        <v>175</v>
      </c>
    </row>
    <row r="6" spans="2:2" ht="40.5">
      <c r="B6" s="9" t="s">
        <v>114</v>
      </c>
    </row>
    <row r="7" spans="2:2">
      <c r="B7" s="44" t="s">
        <v>176</v>
      </c>
    </row>
    <row r="8" spans="2:2" ht="283.5">
      <c r="B8" s="9" t="s">
        <v>293</v>
      </c>
    </row>
    <row r="9" spans="2:2">
      <c r="B9" s="44" t="s">
        <v>177</v>
      </c>
    </row>
    <row r="10" spans="2:2">
      <c r="B10" s="9" t="s">
        <v>180</v>
      </c>
    </row>
    <row r="11" spans="2:2">
      <c r="B11" s="44" t="s">
        <v>178</v>
      </c>
    </row>
    <row r="12" spans="2:2" ht="40.5">
      <c r="B12" s="9" t="s">
        <v>115</v>
      </c>
    </row>
    <row r="13" spans="2:2">
      <c r="B13" s="44" t="s">
        <v>179</v>
      </c>
    </row>
    <row r="14" spans="2:2" ht="81">
      <c r="B14" s="72" t="s">
        <v>316</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23" zoomScale="55" zoomScaleNormal="55" workbookViewId="0">
      <selection activeCell="B12" sqref="B12"/>
    </sheetView>
  </sheetViews>
  <sheetFormatPr defaultColWidth="10.875" defaultRowHeight="20.25"/>
  <cols>
    <col min="1" max="1" width="10.875" style="51"/>
    <col min="2" max="2" width="200.875" style="10" customWidth="1"/>
    <col min="3" max="16384" width="10.875" style="51"/>
  </cols>
  <sheetData>
    <row r="2" spans="2:2">
      <c r="B2" s="8" t="s">
        <v>116</v>
      </c>
    </row>
    <row r="3" spans="2:2">
      <c r="B3" s="43" t="s">
        <v>160</v>
      </c>
    </row>
    <row r="4" spans="2:2" ht="60.75">
      <c r="B4" s="9" t="s">
        <v>117</v>
      </c>
    </row>
    <row r="5" spans="2:2">
      <c r="B5" s="44" t="s">
        <v>161</v>
      </c>
    </row>
    <row r="6" spans="2:2" ht="40.5">
      <c r="B6" s="9" t="s">
        <v>118</v>
      </c>
    </row>
    <row r="7" spans="2:2">
      <c r="B7" s="44" t="s">
        <v>162</v>
      </c>
    </row>
    <row r="8" spans="2:2" ht="60.75">
      <c r="B8" s="9" t="s">
        <v>319</v>
      </c>
    </row>
    <row r="9" spans="2:2">
      <c r="B9" s="44" t="s">
        <v>163</v>
      </c>
    </row>
    <row r="10" spans="2:2" ht="40.5">
      <c r="B10" s="9" t="s">
        <v>119</v>
      </c>
    </row>
    <row r="11" spans="2:2">
      <c r="B11" s="44" t="s">
        <v>164</v>
      </c>
    </row>
    <row r="12" spans="2:2" ht="121.5">
      <c r="B12" s="9" t="s">
        <v>120</v>
      </c>
    </row>
    <row r="13" spans="2:2">
      <c r="B13" s="44" t="s">
        <v>165</v>
      </c>
    </row>
    <row r="14" spans="2:2" ht="81">
      <c r="B14" s="9" t="s">
        <v>121</v>
      </c>
    </row>
    <row r="15" spans="2:2">
      <c r="B15" s="44" t="s">
        <v>166</v>
      </c>
    </row>
    <row r="16" spans="2:2" ht="162">
      <c r="B16" s="9" t="s">
        <v>122</v>
      </c>
    </row>
    <row r="17" spans="2:2">
      <c r="B17" s="44" t="s">
        <v>167</v>
      </c>
    </row>
    <row r="18" spans="2:2" ht="60.75">
      <c r="B18" s="9" t="s">
        <v>123</v>
      </c>
    </row>
    <row r="19" spans="2:2">
      <c r="B19" s="44" t="s">
        <v>168</v>
      </c>
    </row>
    <row r="20" spans="2:2" ht="121.5">
      <c r="B20" s="9" t="s">
        <v>124</v>
      </c>
    </row>
    <row r="21" spans="2:2">
      <c r="B21" s="44" t="s">
        <v>169</v>
      </c>
    </row>
    <row r="22" spans="2:2" ht="60.75">
      <c r="B22" s="9" t="s">
        <v>125</v>
      </c>
    </row>
    <row r="23" spans="2:2">
      <c r="B23" s="44" t="s">
        <v>170</v>
      </c>
    </row>
    <row r="24" spans="2:2" ht="222.75">
      <c r="B24" s="9" t="s">
        <v>126</v>
      </c>
    </row>
    <row r="25" spans="2:2">
      <c r="B25" s="44" t="s">
        <v>171</v>
      </c>
    </row>
    <row r="26" spans="2:2" ht="162">
      <c r="B26" s="9" t="s">
        <v>127</v>
      </c>
    </row>
    <row r="27" spans="2:2">
      <c r="B27" s="44" t="s">
        <v>172</v>
      </c>
    </row>
    <row r="28" spans="2:2" ht="40.5">
      <c r="B28" s="9" t="s">
        <v>128</v>
      </c>
    </row>
    <row r="29" spans="2:2">
      <c r="B29" s="44" t="s">
        <v>173</v>
      </c>
    </row>
    <row r="30" spans="2:2" ht="40.5">
      <c r="B30" s="9" t="s">
        <v>129</v>
      </c>
    </row>
  </sheetData>
  <sheetProtection algorithmName="SHA-512" hashValue="I2qo2Cp6HDpLbDs7Dg6TuuowdTSx//+DUU/bkYlCUIp22BNe3j5YZdy8oy5Sw0HQZBg/BUHq1TpHLySN0HzrWg==" saltValue="Czrl1fkovjxPAVh9X3JLkw=="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zoomScale="70" zoomScaleNormal="70" workbookViewId="0">
      <selection activeCell="C4" sqref="C4"/>
    </sheetView>
  </sheetViews>
  <sheetFormatPr defaultColWidth="10.875" defaultRowHeight="20.25"/>
  <cols>
    <col min="1" max="1" width="10.875" style="51"/>
    <col min="2" max="2" width="141.5" style="10" customWidth="1"/>
    <col min="3" max="3" width="40.875" style="13" customWidth="1"/>
    <col min="4" max="16384" width="10.875" style="51"/>
  </cols>
  <sheetData>
    <row r="2" spans="2:3">
      <c r="B2" s="8" t="s">
        <v>130</v>
      </c>
      <c r="C2" s="11"/>
    </row>
    <row r="3" spans="2:3">
      <c r="B3" s="43" t="s">
        <v>151</v>
      </c>
      <c r="C3" s="11"/>
    </row>
    <row r="4" spans="2:3" ht="202.5">
      <c r="B4" s="12" t="s">
        <v>131</v>
      </c>
      <c r="C4" s="50"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zoomScaleNormal="100" workbookViewId="0">
      <selection activeCell="C28" sqref="C28"/>
    </sheetView>
  </sheetViews>
  <sheetFormatPr defaultColWidth="10.875" defaultRowHeight="18.75"/>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235</v>
      </c>
    </row>
    <row r="2" spans="1:7" ht="26.1" customHeight="1">
      <c r="A2" s="15">
        <v>1</v>
      </c>
      <c r="B2" s="16" t="s">
        <v>132</v>
      </c>
      <c r="C2" s="17">
        <v>45804</v>
      </c>
    </row>
    <row r="3" spans="1:7" ht="26.1" customHeight="1">
      <c r="A3" s="15">
        <v>2</v>
      </c>
      <c r="B3" s="16" t="s">
        <v>14</v>
      </c>
      <c r="C3" s="18" t="s">
        <v>320</v>
      </c>
    </row>
    <row r="4" spans="1:7" ht="26.1" customHeight="1">
      <c r="A4" s="15">
        <v>3</v>
      </c>
      <c r="B4" s="16" t="s">
        <v>13</v>
      </c>
      <c r="C4" s="18" t="s">
        <v>321</v>
      </c>
      <c r="E4" s="19"/>
    </row>
    <row r="5" spans="1:7" ht="26.1" customHeight="1">
      <c r="A5" s="15">
        <v>4</v>
      </c>
      <c r="B5" s="16" t="s">
        <v>133</v>
      </c>
      <c r="C5" s="18" t="s">
        <v>322</v>
      </c>
      <c r="E5" s="19"/>
    </row>
    <row r="6" spans="1:7" ht="26.1" customHeight="1">
      <c r="A6" s="15">
        <v>5</v>
      </c>
      <c r="B6" s="16" t="s">
        <v>0</v>
      </c>
      <c r="C6" s="20" t="s">
        <v>323</v>
      </c>
      <c r="E6" s="19"/>
    </row>
    <row r="7" spans="1:7" ht="26.1" customHeight="1">
      <c r="A7" s="15">
        <v>6</v>
      </c>
      <c r="B7" s="16" t="s">
        <v>1</v>
      </c>
      <c r="C7" s="18" t="s">
        <v>105</v>
      </c>
      <c r="E7" s="19"/>
    </row>
    <row r="8" spans="1:7" ht="26.1" customHeight="1">
      <c r="A8" s="15">
        <v>7</v>
      </c>
      <c r="B8" s="16" t="s">
        <v>2</v>
      </c>
      <c r="C8" s="18"/>
    </row>
    <row r="9" spans="1:7" ht="26.1" customHeight="1">
      <c r="A9" s="15">
        <v>8</v>
      </c>
      <c r="B9" s="16" t="s">
        <v>134</v>
      </c>
      <c r="C9" s="18"/>
    </row>
    <row r="10" spans="1:7" ht="26.1" customHeight="1">
      <c r="A10" s="15">
        <v>9</v>
      </c>
      <c r="B10" s="16" t="s">
        <v>5</v>
      </c>
      <c r="C10" s="18">
        <v>14000</v>
      </c>
    </row>
    <row r="11" spans="1:7">
      <c r="A11" s="15">
        <v>10</v>
      </c>
      <c r="B11" s="16" t="s">
        <v>3</v>
      </c>
      <c r="C11" s="18">
        <v>1961</v>
      </c>
    </row>
    <row r="12" spans="1:7">
      <c r="A12" s="15">
        <v>11</v>
      </c>
      <c r="B12" s="16" t="s">
        <v>4</v>
      </c>
      <c r="C12" s="18">
        <v>2024</v>
      </c>
      <c r="F12" s="21"/>
    </row>
    <row r="15" spans="1:7" ht="37.5">
      <c r="B15" s="24" t="s">
        <v>135</v>
      </c>
      <c r="C15" s="25" t="s">
        <v>136</v>
      </c>
      <c r="D15" s="25" t="s">
        <v>19</v>
      </c>
      <c r="E15" s="25" t="s">
        <v>112</v>
      </c>
      <c r="F15" s="25" t="s">
        <v>20</v>
      </c>
      <c r="G15" s="26" t="s">
        <v>137</v>
      </c>
    </row>
    <row r="16" spans="1:7" ht="30">
      <c r="B16" s="27" t="s">
        <v>21</v>
      </c>
      <c r="C16" s="18" t="s">
        <v>324</v>
      </c>
      <c r="D16" s="77" t="s">
        <v>325</v>
      </c>
      <c r="E16" s="18" t="s">
        <v>68</v>
      </c>
      <c r="F16" s="20"/>
      <c r="G16" s="28"/>
    </row>
    <row r="17" spans="2:7">
      <c r="B17" s="27" t="s">
        <v>138</v>
      </c>
      <c r="C17" s="18" t="s">
        <v>326</v>
      </c>
      <c r="D17" s="18" t="s">
        <v>327</v>
      </c>
      <c r="E17" s="18" t="s">
        <v>68</v>
      </c>
      <c r="F17" s="20" t="s">
        <v>342</v>
      </c>
      <c r="G17" s="28">
        <v>9986644000</v>
      </c>
    </row>
    <row r="18" spans="2:7">
      <c r="B18" s="27" t="s">
        <v>139</v>
      </c>
      <c r="C18" s="18" t="s">
        <v>328</v>
      </c>
      <c r="D18" s="18" t="s">
        <v>335</v>
      </c>
      <c r="E18" s="18" t="s">
        <v>68</v>
      </c>
      <c r="F18" s="20" t="s">
        <v>343</v>
      </c>
      <c r="G18" s="28">
        <v>9881475936</v>
      </c>
    </row>
    <row r="19" spans="2:7">
      <c r="B19" s="27" t="s">
        <v>140</v>
      </c>
      <c r="C19" s="18" t="s">
        <v>329</v>
      </c>
      <c r="D19" s="18" t="s">
        <v>338</v>
      </c>
      <c r="E19" s="18" t="s">
        <v>68</v>
      </c>
      <c r="F19" s="20" t="s">
        <v>344</v>
      </c>
      <c r="G19" s="28">
        <v>9850091898</v>
      </c>
    </row>
    <row r="20" spans="2:7">
      <c r="B20" s="29" t="s">
        <v>141</v>
      </c>
      <c r="C20" s="22" t="s">
        <v>330</v>
      </c>
      <c r="D20" s="22" t="s">
        <v>341</v>
      </c>
      <c r="E20" s="18" t="s">
        <v>68</v>
      </c>
      <c r="F20" s="23" t="s">
        <v>345</v>
      </c>
      <c r="G20" s="28">
        <v>9922971090</v>
      </c>
    </row>
    <row r="21" spans="2:7" ht="31.5">
      <c r="B21" s="27" t="s">
        <v>142</v>
      </c>
      <c r="C21" s="18" t="s">
        <v>331</v>
      </c>
      <c r="D21" s="18" t="s">
        <v>339</v>
      </c>
      <c r="E21" s="18" t="s">
        <v>68</v>
      </c>
      <c r="F21" s="20" t="s">
        <v>346</v>
      </c>
      <c r="G21" s="28">
        <v>8605012779</v>
      </c>
    </row>
    <row r="22" spans="2:7">
      <c r="B22" s="27" t="s">
        <v>143</v>
      </c>
      <c r="C22" s="18" t="s">
        <v>332</v>
      </c>
      <c r="D22" s="22" t="s">
        <v>340</v>
      </c>
      <c r="E22" s="18" t="s">
        <v>68</v>
      </c>
      <c r="F22" s="20" t="s">
        <v>347</v>
      </c>
      <c r="G22" s="28">
        <v>9765745993</v>
      </c>
    </row>
    <row r="23" spans="2:7">
      <c r="B23" s="27" t="s">
        <v>144</v>
      </c>
      <c r="C23" s="18" t="s">
        <v>328</v>
      </c>
      <c r="D23" s="22" t="s">
        <v>335</v>
      </c>
      <c r="E23" s="18" t="s">
        <v>68</v>
      </c>
      <c r="F23" s="20" t="s">
        <v>343</v>
      </c>
      <c r="G23" s="28">
        <v>9881475936</v>
      </c>
    </row>
    <row r="24" spans="2:7" ht="37.5">
      <c r="B24" s="27" t="s">
        <v>211</v>
      </c>
      <c r="C24" s="18" t="s">
        <v>333</v>
      </c>
      <c r="D24" s="18" t="s">
        <v>334</v>
      </c>
      <c r="E24" s="18" t="s">
        <v>68</v>
      </c>
      <c r="F24" s="20" t="s">
        <v>348</v>
      </c>
      <c r="G24" s="28">
        <v>9739902442</v>
      </c>
    </row>
    <row r="25" spans="2:7">
      <c r="B25" s="27" t="s">
        <v>211</v>
      </c>
      <c r="C25" s="30" t="s">
        <v>336</v>
      </c>
      <c r="D25" s="30" t="s">
        <v>337</v>
      </c>
      <c r="E25" s="30" t="s">
        <v>68</v>
      </c>
      <c r="F25" s="31" t="s">
        <v>349</v>
      </c>
      <c r="G25" s="32">
        <v>8087444087</v>
      </c>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opLeftCell="A3" zoomScaleNormal="100" workbookViewId="0">
      <selection activeCell="F5" sqref="F5"/>
    </sheetView>
  </sheetViews>
  <sheetFormatPr defaultColWidth="10.875" defaultRowHeight="15.75"/>
  <cols>
    <col min="1" max="1" width="4.875" customWidth="1"/>
    <col min="2" max="2" width="53.875" customWidth="1"/>
    <col min="3" max="8" width="28.125" customWidth="1"/>
    <col min="9" max="16384" width="10.875" style="1"/>
  </cols>
  <sheetData>
    <row r="1" spans="2:9" ht="51" customHeight="1">
      <c r="B1" s="14" t="s">
        <v>212</v>
      </c>
    </row>
    <row r="2" spans="2:9" ht="51" customHeight="1">
      <c r="B2" s="16" t="s">
        <v>145</v>
      </c>
      <c r="C2" s="16">
        <v>2022</v>
      </c>
      <c r="D2" s="16">
        <v>2023</v>
      </c>
      <c r="E2" s="16">
        <v>2024</v>
      </c>
      <c r="F2" s="16" t="s">
        <v>209</v>
      </c>
      <c r="G2" s="16" t="s">
        <v>146</v>
      </c>
      <c r="H2" s="16" t="s">
        <v>147</v>
      </c>
    </row>
    <row r="3" spans="2:9" ht="51" customHeight="1">
      <c r="B3" s="33" t="s">
        <v>9</v>
      </c>
      <c r="C3" s="61"/>
      <c r="D3" s="61"/>
      <c r="E3" s="61"/>
      <c r="F3" s="61"/>
      <c r="G3" s="61"/>
      <c r="H3" s="61"/>
    </row>
    <row r="4" spans="2:9" ht="51" customHeight="1">
      <c r="B4" s="33" t="s">
        <v>10</v>
      </c>
      <c r="C4" s="61"/>
      <c r="D4" s="61"/>
      <c r="E4" s="61"/>
      <c r="F4" s="61"/>
      <c r="G4" s="61"/>
      <c r="H4" s="61"/>
      <c r="I4" s="4"/>
    </row>
    <row r="5" spans="2:9" ht="51" customHeight="1">
      <c r="B5" s="33" t="s">
        <v>11</v>
      </c>
      <c r="C5" s="61"/>
      <c r="D5" s="61"/>
      <c r="E5" s="61"/>
      <c r="F5" s="61">
        <v>7058823</v>
      </c>
      <c r="G5" s="61">
        <v>50000000</v>
      </c>
      <c r="H5" s="61"/>
      <c r="I5" s="4" t="s">
        <v>18</v>
      </c>
    </row>
    <row r="6" spans="2:9" ht="51" customHeight="1">
      <c r="B6" s="33" t="s">
        <v>286</v>
      </c>
      <c r="C6" s="61"/>
      <c r="D6" s="61"/>
      <c r="E6" s="61"/>
      <c r="F6" s="61"/>
      <c r="G6" s="61">
        <v>6000000</v>
      </c>
      <c r="H6" s="61"/>
      <c r="I6" s="2" t="s">
        <v>150</v>
      </c>
    </row>
    <row r="8" spans="2:9" ht="18.75">
      <c r="B8" s="16" t="s">
        <v>145</v>
      </c>
      <c r="C8" s="16">
        <v>2023</v>
      </c>
      <c r="D8" s="16">
        <v>2023</v>
      </c>
      <c r="E8" s="16">
        <v>2024</v>
      </c>
      <c r="F8" s="16" t="s">
        <v>209</v>
      </c>
      <c r="G8" s="16" t="s">
        <v>146</v>
      </c>
      <c r="H8" s="16" t="s">
        <v>147</v>
      </c>
    </row>
    <row r="9" spans="2:9" ht="18.75">
      <c r="B9" s="33" t="s">
        <v>148</v>
      </c>
      <c r="C9" s="62"/>
      <c r="D9" s="62"/>
      <c r="E9" s="62"/>
      <c r="F9" s="62"/>
      <c r="G9" s="62"/>
      <c r="H9" s="62"/>
    </row>
    <row r="10" spans="2:9" ht="18.75">
      <c r="B10" s="33" t="s">
        <v>149</v>
      </c>
      <c r="C10" s="62"/>
      <c r="D10" s="62"/>
      <c r="E10" s="62"/>
      <c r="F10" s="62"/>
      <c r="G10" s="62"/>
      <c r="H10" s="62"/>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68" zoomScaleNormal="100" workbookViewId="0">
      <selection activeCell="D23" sqref="D23"/>
    </sheetView>
  </sheetViews>
  <sheetFormatPr defaultColWidth="10.875" defaultRowHeight="26.1" customHeight="1"/>
  <cols>
    <col min="1" max="1" width="6.125" style="66" customWidth="1"/>
    <col min="2" max="2" width="59" style="35" customWidth="1"/>
    <col min="3" max="3" width="38.5" style="3" customWidth="1"/>
    <col min="4" max="8" width="38.5" style="6" customWidth="1"/>
    <col min="9" max="11" width="29.125" style="3" customWidth="1"/>
    <col min="12" max="16384" width="10.875" style="3"/>
  </cols>
  <sheetData>
    <row r="1" spans="1:8" s="15" customFormat="1" ht="51" customHeight="1">
      <c r="A1" s="64"/>
      <c r="B1" s="34" t="s">
        <v>295</v>
      </c>
    </row>
    <row r="2" spans="1:8" s="35" customFormat="1" ht="56.1" customHeight="1">
      <c r="A2" s="65"/>
      <c r="B2" s="16"/>
      <c r="C2" s="16" t="s">
        <v>15</v>
      </c>
      <c r="D2" s="36" t="s">
        <v>107</v>
      </c>
      <c r="E2" s="36" t="s">
        <v>108</v>
      </c>
      <c r="F2" s="36" t="s">
        <v>109</v>
      </c>
      <c r="G2" s="36" t="s">
        <v>110</v>
      </c>
      <c r="H2" s="36" t="s">
        <v>111</v>
      </c>
    </row>
    <row r="3" spans="1:8" ht="60" customHeight="1">
      <c r="A3" s="66">
        <v>1</v>
      </c>
      <c r="B3" s="16" t="s">
        <v>152</v>
      </c>
      <c r="C3" s="37" t="s">
        <v>353</v>
      </c>
      <c r="D3" s="37" t="s">
        <v>350</v>
      </c>
      <c r="E3" s="37"/>
      <c r="F3" s="18"/>
      <c r="G3" s="18"/>
      <c r="H3" s="18"/>
    </row>
    <row r="4" spans="1:8" ht="60" customHeight="1">
      <c r="A4" s="66">
        <v>2</v>
      </c>
      <c r="B4" s="16" t="s">
        <v>153</v>
      </c>
      <c r="C4" s="18" t="s">
        <v>351</v>
      </c>
      <c r="D4" s="18" t="s">
        <v>351</v>
      </c>
      <c r="E4" s="18"/>
      <c r="F4" s="18"/>
      <c r="G4" s="53"/>
      <c r="H4" s="18"/>
    </row>
    <row r="5" spans="1:8" ht="60" customHeight="1">
      <c r="A5" s="66">
        <v>3</v>
      </c>
      <c r="B5" s="16" t="s">
        <v>154</v>
      </c>
      <c r="C5" s="18"/>
      <c r="D5" s="18" t="s">
        <v>352</v>
      </c>
      <c r="E5" s="18"/>
      <c r="F5" s="18"/>
      <c r="G5" s="18"/>
      <c r="H5" s="18"/>
    </row>
    <row r="6" spans="1:8" ht="60" customHeight="1">
      <c r="A6" s="66">
        <v>4</v>
      </c>
      <c r="B6" s="36" t="s">
        <v>155</v>
      </c>
      <c r="C6" s="18"/>
      <c r="D6" s="18" t="s">
        <v>354</v>
      </c>
      <c r="E6" s="18"/>
      <c r="F6" s="18"/>
      <c r="G6" s="18"/>
      <c r="H6" s="18"/>
    </row>
    <row r="7" spans="1:8" ht="86.1" customHeight="1">
      <c r="A7" s="66">
        <v>5</v>
      </c>
      <c r="B7" s="36" t="s">
        <v>156</v>
      </c>
      <c r="C7" s="18"/>
      <c r="D7" s="18" t="s">
        <v>355</v>
      </c>
      <c r="E7" s="18"/>
      <c r="F7" s="18"/>
      <c r="G7" s="18"/>
      <c r="H7" s="18"/>
    </row>
    <row r="8" spans="1:8" ht="86.1" customHeight="1">
      <c r="A8" s="66">
        <v>6</v>
      </c>
      <c r="B8" s="36" t="s">
        <v>157</v>
      </c>
      <c r="C8" s="18"/>
      <c r="D8" s="18" t="s">
        <v>37</v>
      </c>
      <c r="E8" s="18"/>
      <c r="F8" s="18"/>
      <c r="G8" s="18"/>
      <c r="H8" s="18"/>
    </row>
    <row r="9" spans="1:8" ht="60" customHeight="1">
      <c r="A9" s="66">
        <v>7</v>
      </c>
      <c r="B9" s="16" t="s">
        <v>158</v>
      </c>
      <c r="C9" s="38"/>
      <c r="D9" s="38">
        <v>705</v>
      </c>
      <c r="E9" s="39"/>
      <c r="F9" s="39"/>
      <c r="G9" s="39"/>
      <c r="H9" s="39"/>
    </row>
    <row r="10" spans="1:8" ht="60" customHeight="1">
      <c r="A10" s="66">
        <v>8</v>
      </c>
      <c r="B10" s="36" t="s">
        <v>278</v>
      </c>
      <c r="C10" s="38"/>
      <c r="D10" s="38">
        <v>186</v>
      </c>
      <c r="E10" s="39"/>
      <c r="F10" s="39"/>
      <c r="G10" s="39"/>
      <c r="H10" s="39"/>
    </row>
    <row r="11" spans="1:8" ht="60" customHeight="1">
      <c r="A11" s="66">
        <v>9</v>
      </c>
      <c r="B11" s="36" t="s">
        <v>207</v>
      </c>
      <c r="C11" s="18"/>
      <c r="D11" s="18">
        <v>5</v>
      </c>
      <c r="E11" s="18"/>
      <c r="F11" s="18"/>
      <c r="G11" s="18"/>
      <c r="H11" s="18"/>
    </row>
    <row r="12" spans="1:8" ht="60" customHeight="1">
      <c r="A12" s="66">
        <v>10</v>
      </c>
      <c r="B12" s="36" t="s">
        <v>206</v>
      </c>
      <c r="C12" s="18"/>
      <c r="D12" s="18">
        <v>7</v>
      </c>
      <c r="E12" s="18"/>
      <c r="F12" s="18"/>
      <c r="G12" s="18"/>
      <c r="H12" s="18"/>
    </row>
    <row r="13" spans="1:8" ht="60" customHeight="1">
      <c r="A13" s="66">
        <v>11</v>
      </c>
      <c r="B13" s="36" t="s">
        <v>279</v>
      </c>
      <c r="C13" s="18"/>
      <c r="D13" s="18"/>
      <c r="E13" s="18"/>
      <c r="F13" s="18"/>
      <c r="G13" s="18"/>
      <c r="H13" s="18"/>
    </row>
    <row r="14" spans="1:8" ht="60" customHeight="1">
      <c r="A14" s="66">
        <v>12</v>
      </c>
      <c r="B14" s="36" t="s">
        <v>204</v>
      </c>
      <c r="C14" s="18"/>
      <c r="D14" s="18" t="s">
        <v>37</v>
      </c>
      <c r="E14" s="18"/>
      <c r="F14" s="18"/>
      <c r="G14" s="18"/>
      <c r="H14" s="18"/>
    </row>
    <row r="15" spans="1:8" ht="60" customHeight="1">
      <c r="A15" s="66">
        <v>13</v>
      </c>
      <c r="B15" s="36" t="s">
        <v>282</v>
      </c>
      <c r="C15" s="18"/>
      <c r="D15" s="18" t="s">
        <v>37</v>
      </c>
      <c r="E15" s="18"/>
      <c r="F15" s="18"/>
      <c r="G15" s="18"/>
      <c r="H15" s="18"/>
    </row>
    <row r="16" spans="1:8" ht="60" customHeight="1">
      <c r="A16" s="66">
        <v>14</v>
      </c>
      <c r="B16" s="36" t="s">
        <v>205</v>
      </c>
      <c r="C16" s="18"/>
      <c r="D16" s="18" t="s">
        <v>356</v>
      </c>
      <c r="E16" s="18"/>
      <c r="F16" s="18"/>
      <c r="G16" s="18"/>
      <c r="H16" s="18"/>
    </row>
    <row r="18" spans="1:8" ht="60.95" customHeight="1">
      <c r="A18" s="66">
        <v>15</v>
      </c>
      <c r="B18" s="78" t="s">
        <v>228</v>
      </c>
      <c r="C18" s="78"/>
      <c r="D18" s="79" t="s">
        <v>37</v>
      </c>
      <c r="E18" s="80"/>
      <c r="F18" s="80"/>
      <c r="G18" s="80"/>
      <c r="H18" s="81"/>
    </row>
    <row r="19" spans="1:8" ht="60.95" customHeight="1">
      <c r="A19" s="66">
        <v>16</v>
      </c>
      <c r="B19" s="78" t="s">
        <v>214</v>
      </c>
      <c r="C19" s="78"/>
      <c r="D19" s="79" t="s">
        <v>357</v>
      </c>
      <c r="E19" s="80"/>
      <c r="F19" s="80"/>
      <c r="G19" s="80"/>
      <c r="H19" s="81"/>
    </row>
    <row r="20" spans="1:8" ht="60.95" customHeight="1">
      <c r="A20" s="66">
        <v>17</v>
      </c>
      <c r="B20" s="78" t="s">
        <v>201</v>
      </c>
      <c r="C20" s="78"/>
      <c r="D20" s="79" t="s">
        <v>37</v>
      </c>
      <c r="E20" s="80"/>
      <c r="F20" s="80"/>
      <c r="G20" s="80"/>
      <c r="H20" s="81"/>
    </row>
    <row r="21" spans="1:8" ht="60.95" customHeight="1">
      <c r="A21" s="66">
        <v>18</v>
      </c>
      <c r="B21" s="78" t="s">
        <v>159</v>
      </c>
      <c r="C21" s="78"/>
      <c r="D21" s="79" t="s">
        <v>358</v>
      </c>
      <c r="E21" s="80"/>
      <c r="F21" s="80"/>
      <c r="G21" s="80"/>
      <c r="H21" s="81"/>
    </row>
    <row r="22" spans="1:8" ht="60.95" customHeight="1">
      <c r="A22" s="66">
        <v>19</v>
      </c>
      <c r="B22" s="78" t="s">
        <v>202</v>
      </c>
      <c r="C22" s="78"/>
      <c r="D22" s="79" t="s">
        <v>359</v>
      </c>
      <c r="E22" s="80"/>
      <c r="F22" s="80"/>
      <c r="G22" s="80"/>
      <c r="H22" s="81"/>
    </row>
    <row r="23" spans="1:8" ht="60.95" customHeight="1">
      <c r="A23" s="66">
        <v>20</v>
      </c>
      <c r="B23" s="82" t="s">
        <v>226</v>
      </c>
      <c r="C23" s="83"/>
      <c r="D23" s="40"/>
      <c r="E23" s="41"/>
      <c r="F23" s="41"/>
      <c r="G23" s="41"/>
      <c r="H23" s="42"/>
    </row>
    <row r="24" spans="1:8" ht="60.95" customHeight="1">
      <c r="A24" s="66">
        <v>21</v>
      </c>
      <c r="B24" s="82" t="s">
        <v>227</v>
      </c>
      <c r="C24" s="83"/>
      <c r="D24" s="40" t="s">
        <v>360</v>
      </c>
      <c r="E24" s="41"/>
      <c r="F24" s="41"/>
      <c r="G24" s="41"/>
      <c r="H24" s="42"/>
    </row>
    <row r="25" spans="1:8" ht="187.7" customHeight="1">
      <c r="A25" s="66">
        <v>22</v>
      </c>
      <c r="B25" s="78" t="s">
        <v>203</v>
      </c>
      <c r="C25" s="78"/>
      <c r="D25" s="79" t="s">
        <v>361</v>
      </c>
      <c r="E25" s="80"/>
      <c r="F25" s="80"/>
      <c r="G25" s="80"/>
      <c r="H25" s="81"/>
    </row>
    <row r="26" spans="1:8" ht="60.95" customHeight="1"/>
    <row r="27" spans="1:8" ht="60.95" customHeight="1"/>
    <row r="28" spans="1:8" ht="60.95" customHeight="1"/>
    <row r="29" spans="1:8" ht="60.95" customHeight="1"/>
  </sheetData>
  <sheetProtection algorithmName="SHA-512" hashValue="MfMEAblZjKBqAPX9VPQm6sFACoYf1wgSCXTunSYdqxnUDVIBn7Ehzs0RsgzyRvt0O5q+B8a8sVj/VubePBmZ+w==" saltValue="i4XABQq/CBPEu2Kvm2yl+A=="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A19" zoomScaleNormal="100" workbookViewId="0">
      <selection activeCell="C25" sqref="B16:D25"/>
    </sheetView>
  </sheetViews>
  <sheetFormatPr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5" t="s">
        <v>296</v>
      </c>
    </row>
    <row r="2" spans="2:10" ht="50.1" customHeight="1">
      <c r="B2" s="46"/>
      <c r="C2" s="47" t="s">
        <v>6</v>
      </c>
      <c r="D2" s="47" t="s">
        <v>7</v>
      </c>
      <c r="E2" s="47" t="s">
        <v>8</v>
      </c>
      <c r="F2" s="47" t="s">
        <v>16</v>
      </c>
      <c r="G2" s="47" t="s">
        <v>17</v>
      </c>
      <c r="H2" s="47" t="s">
        <v>181</v>
      </c>
      <c r="I2" s="47" t="s">
        <v>216</v>
      </c>
      <c r="J2" s="47" t="s">
        <v>217</v>
      </c>
    </row>
    <row r="3" spans="2:10" ht="50.1" customHeight="1">
      <c r="B3" s="47" t="s">
        <v>182</v>
      </c>
      <c r="C3" s="73" t="s">
        <v>68</v>
      </c>
      <c r="D3" s="73"/>
      <c r="E3" s="73"/>
      <c r="F3" s="73"/>
      <c r="G3" s="73"/>
      <c r="H3" s="73"/>
      <c r="I3" s="73"/>
      <c r="J3" s="73"/>
    </row>
    <row r="4" spans="2:10" ht="50.1" customHeight="1">
      <c r="B4" s="48" t="s">
        <v>264</v>
      </c>
      <c r="C4" s="73">
        <v>50</v>
      </c>
      <c r="D4" s="73"/>
      <c r="E4" s="73"/>
      <c r="F4" s="73"/>
      <c r="G4" s="73"/>
      <c r="H4" s="73"/>
      <c r="I4" s="73"/>
      <c r="J4" s="73"/>
    </row>
    <row r="5" spans="2:10" ht="50.1" customHeight="1">
      <c r="B5" s="48" t="s">
        <v>263</v>
      </c>
      <c r="C5" s="73">
        <v>15</v>
      </c>
      <c r="D5" s="73"/>
      <c r="E5" s="73"/>
      <c r="F5" s="73"/>
      <c r="G5" s="73"/>
      <c r="H5" s="73"/>
      <c r="I5" s="73"/>
      <c r="J5" s="73"/>
    </row>
    <row r="6" spans="2:10" ht="50.1" customHeight="1">
      <c r="B6" s="48" t="s">
        <v>265</v>
      </c>
      <c r="C6" s="73">
        <v>6</v>
      </c>
      <c r="D6" s="73"/>
      <c r="E6" s="73"/>
      <c r="F6" s="73"/>
      <c r="G6" s="73"/>
      <c r="H6" s="73"/>
      <c r="I6" s="73"/>
      <c r="J6" s="73"/>
    </row>
    <row r="7" spans="2:10" ht="50.1" customHeight="1">
      <c r="B7" s="48" t="s">
        <v>266</v>
      </c>
      <c r="C7" s="73">
        <v>71</v>
      </c>
      <c r="D7" s="73"/>
      <c r="E7" s="73"/>
      <c r="F7" s="73"/>
      <c r="G7" s="73"/>
      <c r="H7" s="73"/>
      <c r="I7" s="73"/>
      <c r="J7" s="73"/>
    </row>
    <row r="8" spans="2:10" ht="50.1" customHeight="1">
      <c r="B8" s="48" t="s">
        <v>215</v>
      </c>
      <c r="C8" s="73" t="s">
        <v>362</v>
      </c>
      <c r="D8" s="73"/>
      <c r="E8" s="73"/>
      <c r="F8" s="73"/>
      <c r="G8" s="73"/>
      <c r="H8" s="73"/>
      <c r="I8" s="73"/>
      <c r="J8" s="73"/>
    </row>
    <row r="9" spans="2:10" ht="50.1" customHeight="1">
      <c r="B9" s="48" t="s">
        <v>298</v>
      </c>
      <c r="C9" s="73" t="s">
        <v>363</v>
      </c>
      <c r="D9" s="73"/>
      <c r="E9" s="73"/>
      <c r="F9" s="73"/>
      <c r="G9" s="73"/>
      <c r="H9" s="73"/>
      <c r="I9" s="73"/>
      <c r="J9" s="73"/>
    </row>
    <row r="10" spans="2:10" ht="50.1" customHeight="1">
      <c r="B10" s="67" t="s">
        <v>292</v>
      </c>
      <c r="C10" s="73" t="s">
        <v>364</v>
      </c>
      <c r="D10" s="73"/>
      <c r="E10" s="73"/>
      <c r="F10" s="73"/>
      <c r="G10" s="73"/>
      <c r="H10" s="73"/>
      <c r="I10" s="73"/>
      <c r="J10" s="73"/>
    </row>
    <row r="11" spans="2:10" ht="50.1" customHeight="1">
      <c r="B11" s="48" t="s">
        <v>106</v>
      </c>
      <c r="C11" s="74">
        <v>8</v>
      </c>
      <c r="D11" s="74"/>
      <c r="E11" s="74"/>
      <c r="F11" s="73"/>
      <c r="G11" s="73"/>
      <c r="H11" s="73"/>
      <c r="I11" s="73"/>
      <c r="J11" s="73"/>
    </row>
    <row r="12" spans="2:10" ht="50.1" customHeight="1">
      <c r="B12" s="48" t="s">
        <v>200</v>
      </c>
      <c r="C12" s="75">
        <v>0.1</v>
      </c>
      <c r="D12" s="76"/>
      <c r="E12" s="76"/>
      <c r="F12" s="76"/>
      <c r="G12" s="76"/>
      <c r="H12" s="76"/>
      <c r="I12" s="76"/>
      <c r="J12" s="76"/>
    </row>
    <row r="14" spans="2:10" ht="50.1" customHeight="1">
      <c r="B14" s="84" t="s">
        <v>183</v>
      </c>
      <c r="C14" s="84"/>
      <c r="D14" s="84"/>
    </row>
    <row r="15" spans="2:10" ht="50.1" customHeight="1">
      <c r="B15" s="16" t="s">
        <v>184</v>
      </c>
      <c r="C15" s="84" t="s">
        <v>185</v>
      </c>
      <c r="D15" s="84"/>
    </row>
    <row r="16" spans="2:10" ht="50.1" customHeight="1">
      <c r="B16" s="49" t="s">
        <v>186</v>
      </c>
      <c r="C16" s="85" t="s">
        <v>187</v>
      </c>
      <c r="D16" s="85"/>
    </row>
    <row r="17" spans="2:4" ht="50.1" customHeight="1">
      <c r="B17" s="86" t="s">
        <v>188</v>
      </c>
      <c r="C17" s="86" t="s">
        <v>189</v>
      </c>
      <c r="D17" s="86"/>
    </row>
    <row r="18" spans="2:4" ht="50.1" customHeight="1">
      <c r="B18" s="86"/>
      <c r="C18" s="86" t="s">
        <v>190</v>
      </c>
      <c r="D18" s="86"/>
    </row>
    <row r="19" spans="2:4" ht="50.1" customHeight="1">
      <c r="B19" s="86"/>
      <c r="C19" s="86" t="s">
        <v>191</v>
      </c>
      <c r="D19" s="86"/>
    </row>
    <row r="20" spans="2:4" ht="50.1" customHeight="1">
      <c r="B20" s="86"/>
      <c r="C20" s="86" t="s">
        <v>192</v>
      </c>
      <c r="D20" s="86"/>
    </row>
    <row r="21" spans="2:4" ht="50.1" customHeight="1">
      <c r="B21" s="86" t="s">
        <v>193</v>
      </c>
      <c r="C21" s="86" t="s">
        <v>194</v>
      </c>
      <c r="D21" s="86"/>
    </row>
    <row r="22" spans="2:4" ht="50.1" customHeight="1">
      <c r="B22" s="86"/>
      <c r="C22" s="86" t="s">
        <v>195</v>
      </c>
      <c r="D22" s="86"/>
    </row>
    <row r="23" spans="2:4" ht="50.1" customHeight="1">
      <c r="B23" s="86"/>
      <c r="C23" s="86" t="s">
        <v>196</v>
      </c>
      <c r="D23" s="86"/>
    </row>
    <row r="24" spans="2:4" ht="50.1" customHeight="1">
      <c r="B24" s="86" t="s">
        <v>197</v>
      </c>
      <c r="C24" s="86" t="s">
        <v>198</v>
      </c>
      <c r="D24" s="86"/>
    </row>
    <row r="25" spans="2:4" ht="50.1" customHeight="1">
      <c r="B25" s="86"/>
      <c r="C25" s="86" t="s">
        <v>199</v>
      </c>
      <c r="D25" s="86"/>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13" zoomScaleNormal="100" workbookViewId="0">
      <selection activeCell="E3" sqref="E3"/>
    </sheetView>
  </sheetViews>
  <sheetFormatPr defaultColWidth="10.875" defaultRowHeight="15"/>
  <cols>
    <col min="1" max="1" width="4.125" style="1" customWidth="1"/>
    <col min="2" max="2" width="51.5" style="1" customWidth="1"/>
    <col min="3" max="9" width="29.125" style="1" customWidth="1"/>
    <col min="10" max="10" width="57.875" style="1" customWidth="1"/>
    <col min="11" max="11" width="31.375" style="1" bestFit="1" customWidth="1"/>
    <col min="12" max="15" width="29.125" style="1" customWidth="1"/>
    <col min="16" max="16384" width="10.875" style="1"/>
  </cols>
  <sheetData>
    <row r="1" spans="2:11" ht="66.95" customHeight="1">
      <c r="B1" s="34" t="s">
        <v>290</v>
      </c>
    </row>
    <row r="2" spans="2:11" ht="66.95" customHeight="1">
      <c r="B2" s="33"/>
      <c r="C2" s="16">
        <v>2022</v>
      </c>
      <c r="D2" s="16">
        <v>2023</v>
      </c>
      <c r="E2" s="16">
        <v>2024</v>
      </c>
      <c r="F2" s="16" t="s">
        <v>209</v>
      </c>
      <c r="G2" s="16" t="s">
        <v>146</v>
      </c>
      <c r="H2" s="16" t="s">
        <v>147</v>
      </c>
      <c r="I2" s="16" t="s">
        <v>210</v>
      </c>
      <c r="J2" s="16" t="s">
        <v>208</v>
      </c>
    </row>
    <row r="3" spans="2:11" ht="66.95" customHeight="1">
      <c r="B3" s="16" t="s">
        <v>267</v>
      </c>
      <c r="C3" s="39"/>
      <c r="D3" s="39"/>
      <c r="E3" s="39"/>
      <c r="F3" s="39">
        <v>3</v>
      </c>
      <c r="G3" s="39">
        <v>5</v>
      </c>
      <c r="H3" s="39">
        <v>5</v>
      </c>
      <c r="I3" s="39"/>
      <c r="J3" s="63"/>
    </row>
    <row r="4" spans="2:11" ht="66.95" customHeight="1">
      <c r="B4" s="36" t="s">
        <v>268</v>
      </c>
      <c r="C4" s="39"/>
      <c r="D4" s="39"/>
      <c r="E4" s="39"/>
      <c r="F4" s="39">
        <v>8</v>
      </c>
      <c r="G4" s="39">
        <v>50</v>
      </c>
      <c r="H4" s="39">
        <v>75</v>
      </c>
      <c r="I4" s="39"/>
      <c r="J4" s="63"/>
    </row>
    <row r="5" spans="2:11" ht="66.95" customHeight="1">
      <c r="B5" s="16" t="s">
        <v>269</v>
      </c>
      <c r="C5" s="39"/>
      <c r="D5" s="39"/>
      <c r="E5" s="39"/>
      <c r="F5" s="39">
        <v>100</v>
      </c>
      <c r="G5" s="39">
        <v>150</v>
      </c>
      <c r="H5" s="39">
        <v>175</v>
      </c>
      <c r="I5" s="39"/>
      <c r="J5" s="63"/>
    </row>
    <row r="6" spans="2:11" ht="66.95" customHeight="1">
      <c r="B6" s="16" t="s">
        <v>270</v>
      </c>
      <c r="C6" s="39"/>
      <c r="D6" s="39"/>
      <c r="E6" s="39"/>
      <c r="F6" s="39">
        <v>65</v>
      </c>
      <c r="G6" s="39">
        <v>65</v>
      </c>
      <c r="H6" s="39">
        <v>65</v>
      </c>
      <c r="I6" s="39"/>
      <c r="J6" s="63"/>
      <c r="K6" s="4" t="s">
        <v>218</v>
      </c>
    </row>
    <row r="7" spans="2:11" ht="66.95" customHeight="1">
      <c r="B7" s="16" t="s">
        <v>271</v>
      </c>
      <c r="C7" s="39"/>
      <c r="D7" s="39"/>
      <c r="E7" s="39"/>
      <c r="F7" s="39">
        <v>5</v>
      </c>
      <c r="G7" s="39">
        <v>12</v>
      </c>
      <c r="H7" s="39">
        <v>15</v>
      </c>
      <c r="I7" s="39"/>
      <c r="J7" s="63"/>
    </row>
    <row r="8" spans="2:11" ht="66.95" customHeight="1">
      <c r="B8" s="16" t="s">
        <v>272</v>
      </c>
      <c r="C8" s="39"/>
      <c r="D8" s="39"/>
      <c r="E8" s="39"/>
      <c r="F8" s="39">
        <v>4</v>
      </c>
      <c r="G8" s="39">
        <v>10</v>
      </c>
      <c r="H8" s="39">
        <v>15</v>
      </c>
      <c r="I8" s="39"/>
      <c r="J8" s="63"/>
    </row>
    <row r="9" spans="2:11" ht="66.95" customHeight="1">
      <c r="B9" s="16" t="s">
        <v>273</v>
      </c>
      <c r="C9" s="39"/>
      <c r="D9" s="39"/>
      <c r="E9" s="39"/>
      <c r="F9" s="39">
        <v>2</v>
      </c>
      <c r="G9" s="39">
        <v>4</v>
      </c>
      <c r="H9" s="39">
        <v>4</v>
      </c>
      <c r="I9" s="39"/>
      <c r="J9" s="63"/>
    </row>
    <row r="10" spans="2:11" ht="66.95" customHeight="1">
      <c r="B10" s="36" t="s">
        <v>287</v>
      </c>
      <c r="C10" s="39"/>
      <c r="D10" s="39"/>
      <c r="E10" s="39"/>
      <c r="F10" s="39">
        <v>8</v>
      </c>
      <c r="G10" s="39">
        <v>50</v>
      </c>
      <c r="H10" s="39">
        <v>60</v>
      </c>
      <c r="I10" s="39"/>
      <c r="J10" s="63"/>
    </row>
    <row r="11" spans="2:11" ht="66.95" customHeight="1">
      <c r="B11" s="16" t="s">
        <v>288</v>
      </c>
      <c r="C11" s="39"/>
      <c r="D11" s="39"/>
      <c r="E11" s="39"/>
      <c r="F11" s="39">
        <v>2</v>
      </c>
      <c r="G11" s="39">
        <v>4</v>
      </c>
      <c r="H11" s="39">
        <v>4</v>
      </c>
      <c r="I11" s="39"/>
      <c r="J11" s="63"/>
    </row>
    <row r="12" spans="2:11" ht="66.95" customHeight="1">
      <c r="B12" s="16" t="s">
        <v>289</v>
      </c>
      <c r="C12" s="39"/>
      <c r="D12" s="39"/>
      <c r="E12" s="39"/>
      <c r="F12" s="39"/>
      <c r="G12" s="39"/>
      <c r="H12" s="39"/>
      <c r="I12" s="39"/>
      <c r="J12" s="63"/>
    </row>
    <row r="13" spans="2:11" ht="66.95" customHeight="1">
      <c r="B13" s="16" t="s">
        <v>211</v>
      </c>
      <c r="C13" s="39"/>
      <c r="D13" s="39"/>
      <c r="E13" s="39"/>
      <c r="F13" s="39">
        <v>17</v>
      </c>
      <c r="G13" s="39">
        <v>21</v>
      </c>
      <c r="H13" s="39">
        <v>25</v>
      </c>
      <c r="I13" s="39"/>
      <c r="J13" s="63"/>
    </row>
    <row r="14" spans="2:11" ht="66.95" customHeight="1">
      <c r="B14" s="16" t="s">
        <v>211</v>
      </c>
      <c r="C14" s="39"/>
      <c r="D14" s="39"/>
      <c r="E14" s="39"/>
      <c r="F14" s="39"/>
      <c r="G14" s="39"/>
      <c r="H14" s="39"/>
      <c r="I14" s="39"/>
      <c r="J14" s="63"/>
    </row>
    <row r="15" spans="2:11" ht="66.95" customHeight="1">
      <c r="B15" s="16" t="s">
        <v>211</v>
      </c>
      <c r="C15" s="39"/>
      <c r="D15" s="39"/>
      <c r="E15" s="39"/>
      <c r="F15" s="39"/>
      <c r="G15" s="39"/>
      <c r="H15" s="39"/>
      <c r="I15" s="39"/>
      <c r="J15" s="63"/>
    </row>
    <row r="16" spans="2:11" ht="18.75">
      <c r="B16" s="54" t="s">
        <v>219</v>
      </c>
      <c r="C16" s="55">
        <f t="shared" ref="C16:I16" si="0">SUM(C3:C15)</f>
        <v>0</v>
      </c>
      <c r="D16" s="55">
        <f t="shared" si="0"/>
        <v>0</v>
      </c>
      <c r="E16" s="55">
        <f t="shared" si="0"/>
        <v>0</v>
      </c>
      <c r="F16" s="55">
        <f t="shared" si="0"/>
        <v>214</v>
      </c>
      <c r="G16" s="55">
        <f t="shared" si="0"/>
        <v>371</v>
      </c>
      <c r="H16" s="55">
        <f t="shared" si="0"/>
        <v>443</v>
      </c>
      <c r="I16" s="55">
        <f t="shared" si="0"/>
        <v>0</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60"/>
  <sheetViews>
    <sheetView showGridLines="0" topLeftCell="A6" workbookViewId="0">
      <selection activeCell="D45" sqref="D45"/>
    </sheetView>
  </sheetViews>
  <sheetFormatPr defaultColWidth="10.875" defaultRowHeight="15.75"/>
  <cols>
    <col min="1" max="1" width="5.375" customWidth="1"/>
    <col min="2" max="2" width="34.5" customWidth="1"/>
  </cols>
  <sheetData>
    <row r="2" spans="2:11" ht="47.1" customHeight="1">
      <c r="B2" s="87" t="s">
        <v>317</v>
      </c>
      <c r="C2" s="87"/>
      <c r="D2" s="87"/>
      <c r="E2" s="87"/>
      <c r="F2" s="87"/>
      <c r="G2" s="87"/>
      <c r="H2" s="87"/>
      <c r="I2" s="87"/>
      <c r="J2" s="87"/>
      <c r="K2" s="87"/>
    </row>
    <row r="3" spans="2:11" ht="47.1" customHeight="1">
      <c r="B3" s="87"/>
      <c r="C3" s="87"/>
      <c r="D3" s="87"/>
      <c r="E3" s="87"/>
      <c r="F3" s="87"/>
      <c r="G3" s="87"/>
      <c r="H3" s="87"/>
      <c r="I3" s="87"/>
      <c r="J3" s="87"/>
      <c r="K3" s="87"/>
    </row>
    <row r="4" spans="2:11" ht="47.1" customHeight="1">
      <c r="B4" s="87"/>
      <c r="C4" s="87"/>
      <c r="D4" s="87"/>
      <c r="E4" s="87"/>
      <c r="F4" s="87"/>
      <c r="G4" s="87"/>
      <c r="H4" s="87"/>
      <c r="I4" s="87"/>
      <c r="J4" s="87"/>
      <c r="K4" s="87"/>
    </row>
    <row r="5" spans="2:11" ht="47.1" customHeight="1">
      <c r="B5" s="87"/>
      <c r="C5" s="87"/>
      <c r="D5" s="87"/>
      <c r="E5" s="87"/>
      <c r="F5" s="87"/>
      <c r="G5" s="87"/>
      <c r="H5" s="87"/>
      <c r="I5" s="87"/>
      <c r="J5" s="87"/>
      <c r="K5" s="87"/>
    </row>
    <row r="9" spans="2:11" ht="18.75">
      <c r="B9" s="89" t="s">
        <v>388</v>
      </c>
    </row>
    <row r="10" spans="2:11">
      <c r="B10" s="90" t="s">
        <v>389</v>
      </c>
    </row>
    <row r="11" spans="2:11">
      <c r="B11" s="91" t="s">
        <v>390</v>
      </c>
    </row>
    <row r="12" spans="2:11">
      <c r="B12" s="92" t="s">
        <v>391</v>
      </c>
    </row>
    <row r="13" spans="2:11">
      <c r="B13" s="92" t="s">
        <v>392</v>
      </c>
    </row>
    <row r="14" spans="2:11">
      <c r="B14" s="92" t="s">
        <v>393</v>
      </c>
    </row>
    <row r="15" spans="2:11">
      <c r="B15" s="92" t="s">
        <v>394</v>
      </c>
    </row>
    <row r="16" spans="2:11">
      <c r="B16" s="93"/>
    </row>
    <row r="17" spans="2:2">
      <c r="B17" s="91" t="s">
        <v>395</v>
      </c>
    </row>
    <row r="18" spans="2:2">
      <c r="B18" s="92" t="s">
        <v>396</v>
      </c>
    </row>
    <row r="19" spans="2:2">
      <c r="B19" s="92" t="s">
        <v>397</v>
      </c>
    </row>
    <row r="20" spans="2:2">
      <c r="B20" s="92" t="s">
        <v>398</v>
      </c>
    </row>
    <row r="21" spans="2:2">
      <c r="B21" s="92" t="s">
        <v>399</v>
      </c>
    </row>
    <row r="22" spans="2:2">
      <c r="B22" s="93"/>
    </row>
    <row r="23" spans="2:2">
      <c r="B23" s="91" t="s">
        <v>400</v>
      </c>
    </row>
    <row r="24" spans="2:2">
      <c r="B24" s="92" t="s">
        <v>401</v>
      </c>
    </row>
    <row r="25" spans="2:2">
      <c r="B25" s="92" t="s">
        <v>402</v>
      </c>
    </row>
    <row r="26" spans="2:2">
      <c r="B26" s="92" t="s">
        <v>403</v>
      </c>
    </row>
    <row r="27" spans="2:2">
      <c r="B27" s="94" t="s">
        <v>404</v>
      </c>
    </row>
    <row r="28" spans="2:2">
      <c r="B28" s="94" t="s">
        <v>405</v>
      </c>
    </row>
    <row r="29" spans="2:2">
      <c r="B29" s="94" t="s">
        <v>406</v>
      </c>
    </row>
    <row r="30" spans="2:2">
      <c r="B30" s="92" t="s">
        <v>407</v>
      </c>
    </row>
    <row r="31" spans="2:2">
      <c r="B31" s="92" t="s">
        <v>408</v>
      </c>
    </row>
    <row r="32" spans="2:2">
      <c r="B32" s="95"/>
    </row>
    <row r="33" spans="2:2">
      <c r="B33" s="95"/>
    </row>
    <row r="34" spans="2:2">
      <c r="B34" s="93"/>
    </row>
    <row r="35" spans="2:2">
      <c r="B35" s="91" t="s">
        <v>409</v>
      </c>
    </row>
    <row r="36" spans="2:2">
      <c r="B36" s="92" t="s">
        <v>410</v>
      </c>
    </row>
    <row r="37" spans="2:2">
      <c r="B37" s="92" t="s">
        <v>411</v>
      </c>
    </row>
    <row r="38" spans="2:2">
      <c r="B38" s="92" t="s">
        <v>412</v>
      </c>
    </row>
    <row r="39" spans="2:2">
      <c r="B39" s="94" t="s">
        <v>413</v>
      </c>
    </row>
    <row r="40" spans="2:2">
      <c r="B40" s="94" t="s">
        <v>414</v>
      </c>
    </row>
    <row r="41" spans="2:2">
      <c r="B41" s="94" t="s">
        <v>415</v>
      </c>
    </row>
    <row r="42" spans="2:2">
      <c r="B42" s="94" t="s">
        <v>416</v>
      </c>
    </row>
    <row r="43" spans="2:2">
      <c r="B43" s="94" t="s">
        <v>417</v>
      </c>
    </row>
    <row r="44" spans="2:2">
      <c r="B44" s="92" t="s">
        <v>418</v>
      </c>
    </row>
    <row r="45" spans="2:2">
      <c r="B45" s="92" t="s">
        <v>419</v>
      </c>
    </row>
    <row r="46" spans="2:2">
      <c r="B46" s="93"/>
    </row>
    <row r="47" spans="2:2">
      <c r="B47" s="91" t="s">
        <v>420</v>
      </c>
    </row>
    <row r="48" spans="2:2">
      <c r="B48" s="96" t="s">
        <v>421</v>
      </c>
    </row>
    <row r="49" spans="2:2">
      <c r="B49" s="96" t="s">
        <v>422</v>
      </c>
    </row>
    <row r="50" spans="2:2">
      <c r="B50" s="96" t="s">
        <v>423</v>
      </c>
    </row>
    <row r="51" spans="2:2">
      <c r="B51" s="96" t="s">
        <v>424</v>
      </c>
    </row>
    <row r="52" spans="2:2">
      <c r="B52" s="91"/>
    </row>
    <row r="53" spans="2:2">
      <c r="B53" s="91" t="s">
        <v>425</v>
      </c>
    </row>
    <row r="54" spans="2:2">
      <c r="B54" s="92" t="s">
        <v>426</v>
      </c>
    </row>
    <row r="55" spans="2:2">
      <c r="B55" s="92" t="s">
        <v>427</v>
      </c>
    </row>
    <row r="56" spans="2:2">
      <c r="B56" s="92" t="s">
        <v>428</v>
      </c>
    </row>
    <row r="57" spans="2:2">
      <c r="B57" s="94" t="s">
        <v>429</v>
      </c>
    </row>
    <row r="58" spans="2:2">
      <c r="B58" s="94" t="s">
        <v>430</v>
      </c>
    </row>
    <row r="59" spans="2:2">
      <c r="B59" s="94" t="s">
        <v>431</v>
      </c>
    </row>
    <row r="60" spans="2:2">
      <c r="B60" s="90"/>
    </row>
  </sheetData>
  <mergeCells count="1">
    <mergeCell ref="B2:K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A13" zoomScale="60" zoomScaleNormal="60" workbookViewId="0">
      <selection activeCell="D10" sqref="D10"/>
    </sheetView>
  </sheetViews>
  <sheetFormatPr defaultColWidth="11" defaultRowHeight="15.75"/>
  <cols>
    <col min="1" max="1" width="4.125" style="1" customWidth="1"/>
    <col min="2" max="2" width="51.5" style="1" customWidth="1"/>
    <col min="3" max="22" width="29.125" style="1" customWidth="1"/>
    <col min="23" max="23" width="57.875" style="1" customWidth="1"/>
  </cols>
  <sheetData>
    <row r="1" spans="2:23" ht="60" customHeight="1">
      <c r="B1" s="34" t="s">
        <v>248</v>
      </c>
    </row>
    <row r="2" spans="2:23" ht="60" customHeight="1">
      <c r="B2" s="68" t="s">
        <v>241</v>
      </c>
      <c r="C2" s="88" t="s">
        <v>243</v>
      </c>
      <c r="D2" s="88"/>
      <c r="E2" s="88"/>
      <c r="F2" s="88"/>
      <c r="G2" s="88" t="s">
        <v>244</v>
      </c>
      <c r="H2" s="88"/>
      <c r="I2" s="88"/>
      <c r="J2" s="88"/>
      <c r="K2" s="88"/>
      <c r="L2" s="88" t="s">
        <v>307</v>
      </c>
      <c r="M2" s="88"/>
      <c r="N2" s="88"/>
      <c r="O2" s="88"/>
      <c r="P2" s="88"/>
      <c r="Q2" s="88"/>
      <c r="R2" s="88"/>
      <c r="S2" s="88" t="s">
        <v>245</v>
      </c>
      <c r="T2" s="88"/>
      <c r="U2" s="88"/>
      <c r="V2" s="88"/>
    </row>
    <row r="3" spans="2:23" ht="60" customHeight="1">
      <c r="B3" s="16" t="s">
        <v>242</v>
      </c>
      <c r="C3" s="69" t="s">
        <v>246</v>
      </c>
      <c r="D3" s="69" t="s">
        <v>299</v>
      </c>
      <c r="E3" s="69" t="s">
        <v>236</v>
      </c>
      <c r="F3" s="69" t="s">
        <v>294</v>
      </c>
      <c r="G3" s="69" t="s">
        <v>41</v>
      </c>
      <c r="H3" s="69" t="s">
        <v>247</v>
      </c>
      <c r="I3" s="69" t="s">
        <v>237</v>
      </c>
      <c r="J3" s="69" t="s">
        <v>238</v>
      </c>
      <c r="K3" s="69" t="s">
        <v>291</v>
      </c>
      <c r="L3" s="69" t="s">
        <v>308</v>
      </c>
      <c r="M3" s="70" t="s">
        <v>314</v>
      </c>
      <c r="N3" s="69" t="s">
        <v>309</v>
      </c>
      <c r="O3" s="69" t="s">
        <v>313</v>
      </c>
      <c r="P3" s="69" t="s">
        <v>310</v>
      </c>
      <c r="Q3" s="69" t="s">
        <v>311</v>
      </c>
      <c r="R3" s="69" t="s">
        <v>312</v>
      </c>
      <c r="S3" s="69" t="s">
        <v>24</v>
      </c>
      <c r="T3" s="69" t="s">
        <v>239</v>
      </c>
      <c r="U3" s="69" t="s">
        <v>297</v>
      </c>
      <c r="V3" s="69" t="s">
        <v>240</v>
      </c>
      <c r="W3" s="16" t="s">
        <v>208</v>
      </c>
    </row>
    <row r="4" spans="2:23" ht="60" customHeight="1">
      <c r="B4" s="16" t="s">
        <v>255</v>
      </c>
      <c r="C4" s="39" t="s">
        <v>36</v>
      </c>
      <c r="D4" s="39" t="s">
        <v>36</v>
      </c>
      <c r="E4" s="39" t="s">
        <v>36</v>
      </c>
      <c r="F4" s="39" t="s">
        <v>36</v>
      </c>
      <c r="G4" s="39"/>
      <c r="H4" s="39"/>
      <c r="I4" s="39"/>
      <c r="J4" s="39"/>
      <c r="K4" s="39"/>
      <c r="L4" s="39"/>
      <c r="M4" s="39"/>
      <c r="N4" s="39"/>
      <c r="O4" s="39"/>
      <c r="P4" s="39"/>
      <c r="Q4" s="39"/>
      <c r="R4" s="39"/>
      <c r="S4" s="39"/>
      <c r="T4" s="39"/>
      <c r="U4" s="39"/>
      <c r="V4" s="39"/>
      <c r="W4" s="63"/>
    </row>
    <row r="5" spans="2:23" ht="60" customHeight="1">
      <c r="B5" s="36" t="s">
        <v>275</v>
      </c>
      <c r="C5" s="39" t="s">
        <v>365</v>
      </c>
      <c r="D5" s="39" t="s">
        <v>365</v>
      </c>
      <c r="E5" s="39" t="s">
        <v>365</v>
      </c>
      <c r="F5" s="39" t="s">
        <v>365</v>
      </c>
      <c r="G5" s="39"/>
      <c r="H5" s="39"/>
      <c r="I5" s="39"/>
      <c r="J5" s="39"/>
      <c r="K5" s="39"/>
      <c r="L5" s="39"/>
      <c r="M5" s="39"/>
      <c r="N5" s="39"/>
      <c r="O5" s="39"/>
      <c r="P5" s="39"/>
      <c r="Q5" s="39"/>
      <c r="R5" s="39"/>
      <c r="S5" s="39"/>
      <c r="T5" s="39"/>
      <c r="U5" s="39"/>
      <c r="V5" s="39"/>
      <c r="W5" s="63"/>
    </row>
    <row r="6" spans="2:23" ht="60" customHeight="1">
      <c r="B6" s="36" t="s">
        <v>256</v>
      </c>
      <c r="C6" s="39" t="s">
        <v>37</v>
      </c>
      <c r="D6" s="39" t="s">
        <v>37</v>
      </c>
      <c r="E6" s="39" t="s">
        <v>37</v>
      </c>
      <c r="F6" s="39" t="s">
        <v>36</v>
      </c>
      <c r="G6" s="39"/>
      <c r="H6" s="39"/>
      <c r="I6" s="39"/>
      <c r="J6" s="39"/>
      <c r="K6" s="39"/>
      <c r="L6" s="39"/>
      <c r="M6" s="39"/>
      <c r="N6" s="39"/>
      <c r="O6" s="39"/>
      <c r="P6" s="39"/>
      <c r="Q6" s="39"/>
      <c r="R6" s="39"/>
      <c r="S6" s="39"/>
      <c r="T6" s="39"/>
      <c r="U6" s="39"/>
      <c r="V6" s="39"/>
      <c r="W6" s="63"/>
    </row>
    <row r="7" spans="2:23" ht="60" customHeight="1">
      <c r="B7" s="36" t="s">
        <v>22</v>
      </c>
      <c r="C7" s="39" t="s">
        <v>366</v>
      </c>
      <c r="D7" s="39" t="s">
        <v>367</v>
      </c>
      <c r="E7" s="39" t="s">
        <v>368</v>
      </c>
      <c r="F7" s="39" t="s">
        <v>369</v>
      </c>
      <c r="G7" s="39"/>
      <c r="H7" s="39"/>
      <c r="I7" s="39"/>
      <c r="J7" s="39"/>
      <c r="K7" s="39"/>
      <c r="L7" s="39"/>
      <c r="M7" s="39"/>
      <c r="N7" s="39"/>
      <c r="O7" s="39"/>
      <c r="P7" s="39"/>
      <c r="Q7" s="39"/>
      <c r="R7" s="39"/>
      <c r="S7" s="39"/>
      <c r="T7" s="39"/>
      <c r="U7" s="39"/>
      <c r="V7" s="39"/>
      <c r="W7" s="63"/>
    </row>
    <row r="8" spans="2:23" ht="60" customHeight="1">
      <c r="B8" s="36" t="s">
        <v>274</v>
      </c>
      <c r="C8" s="39">
        <v>60</v>
      </c>
      <c r="D8" s="39">
        <v>7</v>
      </c>
      <c r="E8" s="39">
        <v>10</v>
      </c>
      <c r="F8" s="39">
        <v>10</v>
      </c>
      <c r="G8" s="39"/>
      <c r="H8" s="39"/>
      <c r="I8" s="39"/>
      <c r="J8" s="39"/>
      <c r="K8" s="39"/>
      <c r="L8" s="39"/>
      <c r="M8" s="39"/>
      <c r="N8" s="39"/>
      <c r="O8" s="39"/>
      <c r="P8" s="39"/>
      <c r="Q8" s="39"/>
      <c r="R8" s="39"/>
      <c r="S8" s="39"/>
      <c r="T8" s="39"/>
      <c r="U8" s="39"/>
      <c r="V8" s="39"/>
      <c r="W8" s="63"/>
    </row>
    <row r="9" spans="2:23" ht="60" customHeight="1">
      <c r="B9" s="36" t="s">
        <v>257</v>
      </c>
      <c r="C9" s="39" t="s">
        <v>370</v>
      </c>
      <c r="D9" s="39" t="s">
        <v>371</v>
      </c>
      <c r="E9" s="39" t="s">
        <v>372</v>
      </c>
      <c r="F9" s="39" t="s">
        <v>373</v>
      </c>
      <c r="G9" s="39"/>
      <c r="H9" s="39"/>
      <c r="I9" s="39"/>
      <c r="J9" s="39"/>
      <c r="K9" s="39"/>
      <c r="L9" s="39"/>
      <c r="M9" s="39"/>
      <c r="N9" s="39"/>
      <c r="O9" s="39"/>
      <c r="P9" s="39"/>
      <c r="Q9" s="39"/>
      <c r="R9" s="39"/>
      <c r="S9" s="39"/>
      <c r="T9" s="39"/>
      <c r="U9" s="39"/>
      <c r="V9" s="39"/>
      <c r="W9" s="63"/>
    </row>
    <row r="10" spans="2:23" ht="60" customHeight="1">
      <c r="B10" s="36" t="s">
        <v>306</v>
      </c>
      <c r="C10" s="39"/>
      <c r="D10" s="39"/>
      <c r="E10" s="39"/>
      <c r="F10" s="39"/>
      <c r="G10" s="39"/>
      <c r="H10" s="39"/>
      <c r="I10" s="39"/>
      <c r="J10" s="39"/>
      <c r="K10" s="39"/>
      <c r="L10" s="39"/>
      <c r="M10" s="39"/>
      <c r="N10" s="39"/>
      <c r="O10" s="39"/>
      <c r="P10" s="39"/>
      <c r="Q10" s="39"/>
      <c r="R10" s="39"/>
      <c r="S10" s="39"/>
      <c r="T10" s="39"/>
      <c r="U10" s="39"/>
      <c r="V10" s="39"/>
      <c r="W10" s="63"/>
    </row>
    <row r="11" spans="2:23" ht="60" customHeight="1">
      <c r="B11" s="36" t="s">
        <v>276</v>
      </c>
      <c r="C11" s="39" t="s">
        <v>374</v>
      </c>
      <c r="D11" s="39" t="s">
        <v>374</v>
      </c>
      <c r="E11" s="39" t="s">
        <v>374</v>
      </c>
      <c r="F11" s="39" t="s">
        <v>374</v>
      </c>
      <c r="G11" s="71"/>
      <c r="H11" s="39"/>
      <c r="I11" s="39"/>
      <c r="J11" s="39"/>
      <c r="K11" s="39"/>
      <c r="L11" s="39"/>
      <c r="M11" s="39"/>
      <c r="N11" s="39"/>
      <c r="O11" s="39"/>
      <c r="P11" s="39"/>
      <c r="Q11" s="39"/>
      <c r="R11" s="39"/>
      <c r="S11" s="39"/>
      <c r="T11" s="39"/>
      <c r="U11" s="39"/>
      <c r="V11" s="39"/>
      <c r="W11" s="63"/>
    </row>
    <row r="12" spans="2:23" ht="60" customHeight="1">
      <c r="B12" s="16" t="s">
        <v>258</v>
      </c>
      <c r="C12" s="39" t="s">
        <v>375</v>
      </c>
      <c r="D12" s="39" t="s">
        <v>376</v>
      </c>
      <c r="E12" s="39" t="s">
        <v>377</v>
      </c>
      <c r="F12" s="39" t="s">
        <v>377</v>
      </c>
      <c r="G12" s="39"/>
      <c r="H12" s="39"/>
      <c r="I12" s="39"/>
      <c r="J12" s="39"/>
      <c r="K12" s="39"/>
      <c r="L12" s="39"/>
      <c r="M12" s="39"/>
      <c r="N12" s="39"/>
      <c r="O12" s="39"/>
      <c r="P12" s="39"/>
      <c r="Q12" s="39"/>
      <c r="R12" s="39"/>
      <c r="S12" s="39"/>
      <c r="T12" s="39"/>
      <c r="U12" s="39"/>
      <c r="V12" s="39"/>
      <c r="W12" s="63"/>
    </row>
    <row r="13" spans="2:23" ht="60" customHeight="1">
      <c r="B13" s="36" t="s">
        <v>253</v>
      </c>
      <c r="C13" s="39" t="s">
        <v>378</v>
      </c>
      <c r="D13" s="39" t="s">
        <v>379</v>
      </c>
      <c r="E13" s="39" t="s">
        <v>379</v>
      </c>
      <c r="F13" s="39" t="s">
        <v>378</v>
      </c>
      <c r="G13" s="39"/>
      <c r="H13" s="39"/>
      <c r="I13" s="39"/>
      <c r="J13" s="39"/>
      <c r="K13" s="39"/>
      <c r="L13" s="39"/>
      <c r="M13" s="39"/>
      <c r="N13" s="39"/>
      <c r="O13" s="39"/>
      <c r="P13" s="39"/>
      <c r="Q13" s="39"/>
      <c r="R13" s="39"/>
      <c r="S13" s="39"/>
      <c r="T13" s="39"/>
      <c r="U13" s="39"/>
      <c r="V13" s="39"/>
      <c r="W13" s="63"/>
    </row>
    <row r="14" spans="2:23" ht="60" customHeight="1">
      <c r="B14" s="16" t="s">
        <v>249</v>
      </c>
      <c r="C14" s="39" t="s">
        <v>380</v>
      </c>
      <c r="D14" s="39" t="s">
        <v>380</v>
      </c>
      <c r="E14" s="39" t="s">
        <v>380</v>
      </c>
      <c r="F14" s="39" t="s">
        <v>380</v>
      </c>
      <c r="G14" s="39"/>
      <c r="H14" s="39"/>
      <c r="I14" s="39"/>
      <c r="J14" s="39"/>
      <c r="K14" s="39"/>
      <c r="L14" s="39"/>
      <c r="M14" s="39"/>
      <c r="N14" s="39"/>
      <c r="O14" s="39"/>
      <c r="P14" s="39"/>
      <c r="Q14" s="39"/>
      <c r="R14" s="39"/>
      <c r="S14" s="39"/>
      <c r="T14" s="39"/>
      <c r="U14" s="39"/>
      <c r="V14" s="39"/>
      <c r="W14" s="63"/>
    </row>
    <row r="15" spans="2:23" ht="60" customHeight="1">
      <c r="B15" s="16" t="s">
        <v>252</v>
      </c>
      <c r="C15" s="39"/>
      <c r="D15" s="39"/>
      <c r="E15" s="39"/>
      <c r="F15" s="39"/>
      <c r="G15" s="39"/>
      <c r="H15" s="39"/>
      <c r="I15" s="39"/>
      <c r="J15" s="39"/>
      <c r="K15" s="39"/>
      <c r="L15" s="39"/>
      <c r="M15" s="39"/>
      <c r="N15" s="39"/>
      <c r="O15" s="39"/>
      <c r="P15" s="39"/>
      <c r="Q15" s="39"/>
      <c r="R15" s="39"/>
      <c r="S15" s="39"/>
      <c r="T15" s="39"/>
      <c r="U15" s="39"/>
      <c r="V15" s="39"/>
      <c r="W15" s="63"/>
    </row>
    <row r="16" spans="2:23" ht="60" customHeight="1">
      <c r="B16" s="36" t="s">
        <v>254</v>
      </c>
      <c r="C16" s="39" t="s">
        <v>381</v>
      </c>
      <c r="D16" s="39" t="s">
        <v>381</v>
      </c>
      <c r="E16" s="39" t="s">
        <v>382</v>
      </c>
      <c r="F16" s="39" t="s">
        <v>383</v>
      </c>
      <c r="G16" s="39"/>
      <c r="H16" s="39"/>
      <c r="I16" s="39"/>
      <c r="J16" s="39"/>
      <c r="K16" s="39"/>
      <c r="L16" s="39"/>
      <c r="M16" s="39"/>
      <c r="N16" s="39"/>
      <c r="O16" s="39"/>
      <c r="P16" s="39"/>
      <c r="Q16" s="39"/>
      <c r="R16" s="39"/>
      <c r="S16" s="39"/>
      <c r="T16" s="39"/>
      <c r="U16" s="39"/>
      <c r="V16" s="39"/>
      <c r="W16" s="63"/>
    </row>
    <row r="17" spans="2:23" ht="60" customHeight="1">
      <c r="B17" s="16" t="s">
        <v>250</v>
      </c>
      <c r="C17" s="39" t="s">
        <v>384</v>
      </c>
      <c r="D17" s="39" t="s">
        <v>385</v>
      </c>
      <c r="E17" s="39" t="s">
        <v>385</v>
      </c>
      <c r="F17" s="39" t="s">
        <v>385</v>
      </c>
      <c r="G17" s="39"/>
      <c r="H17" s="39"/>
      <c r="I17" s="39"/>
      <c r="J17" s="39"/>
      <c r="K17" s="39"/>
      <c r="L17" s="39"/>
      <c r="M17" s="39"/>
      <c r="N17" s="39"/>
      <c r="O17" s="39"/>
      <c r="P17" s="39"/>
      <c r="Q17" s="39"/>
      <c r="R17" s="39"/>
      <c r="S17" s="39"/>
      <c r="T17" s="39"/>
      <c r="U17" s="39"/>
      <c r="V17" s="39"/>
      <c r="W17" s="63"/>
    </row>
    <row r="18" spans="2:23" ht="60" customHeight="1">
      <c r="B18" s="16" t="s">
        <v>251</v>
      </c>
      <c r="C18" s="39" t="s">
        <v>386</v>
      </c>
      <c r="D18" s="39" t="s">
        <v>387</v>
      </c>
      <c r="E18" s="39" t="s">
        <v>387</v>
      </c>
      <c r="F18" s="39" t="s">
        <v>387</v>
      </c>
      <c r="G18" s="39"/>
      <c r="H18" s="39"/>
      <c r="I18" s="39"/>
      <c r="J18" s="39"/>
      <c r="K18" s="39"/>
      <c r="L18" s="39"/>
      <c r="M18" s="39"/>
      <c r="N18" s="39"/>
      <c r="O18" s="39"/>
      <c r="P18" s="39"/>
      <c r="Q18" s="39"/>
      <c r="R18" s="39"/>
      <c r="S18" s="39"/>
      <c r="T18" s="39"/>
      <c r="U18" s="39"/>
      <c r="V18" s="39"/>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40"/>
  <sheetViews>
    <sheetView showGridLines="0" tabSelected="1" topLeftCell="A7" workbookViewId="0">
      <selection activeCell="B35" sqref="B35"/>
    </sheetView>
  </sheetViews>
  <sheetFormatPr defaultColWidth="10.875" defaultRowHeight="15.75"/>
  <cols>
    <col min="1" max="1" width="5.5" customWidth="1"/>
  </cols>
  <sheetData>
    <row r="3" spans="2:11" ht="33.950000000000003" customHeight="1">
      <c r="B3" s="87" t="s">
        <v>225</v>
      </c>
      <c r="C3" s="87"/>
      <c r="D3" s="87"/>
      <c r="E3" s="87"/>
      <c r="F3" s="87"/>
      <c r="G3" s="87"/>
      <c r="H3" s="87"/>
      <c r="I3" s="87"/>
      <c r="J3" s="87"/>
      <c r="K3" s="87"/>
    </row>
    <row r="4" spans="2:11" ht="33.950000000000003" customHeight="1">
      <c r="B4" s="87"/>
      <c r="C4" s="87"/>
      <c r="D4" s="87"/>
      <c r="E4" s="87"/>
      <c r="F4" s="87"/>
      <c r="G4" s="87"/>
      <c r="H4" s="87"/>
      <c r="I4" s="87"/>
      <c r="J4" s="87"/>
      <c r="K4" s="87"/>
    </row>
    <row r="5" spans="2:11" ht="33.950000000000003" customHeight="1">
      <c r="B5" s="87"/>
      <c r="C5" s="87"/>
      <c r="D5" s="87"/>
      <c r="E5" s="87"/>
      <c r="F5" s="87"/>
      <c r="G5" s="87"/>
      <c r="H5" s="87"/>
      <c r="I5" s="87"/>
      <c r="J5" s="87"/>
      <c r="K5" s="87"/>
    </row>
    <row r="6" spans="2:11" ht="33.950000000000003" customHeight="1">
      <c r="B6" s="87"/>
      <c r="C6" s="87"/>
      <c r="D6" s="87"/>
      <c r="E6" s="87"/>
      <c r="F6" s="87"/>
      <c r="G6" s="87"/>
      <c r="H6" s="87"/>
      <c r="I6" s="87"/>
      <c r="J6" s="87"/>
      <c r="K6" s="87"/>
    </row>
    <row r="9" spans="2:11" ht="18.75">
      <c r="C9" s="97" t="s">
        <v>439</v>
      </c>
      <c r="D9" s="98"/>
      <c r="E9" s="98"/>
      <c r="F9" s="98"/>
      <c r="G9" s="98"/>
    </row>
    <row r="10" spans="2:11" ht="18.75">
      <c r="C10" s="97" t="s">
        <v>440</v>
      </c>
      <c r="D10" s="98"/>
      <c r="E10" s="98"/>
      <c r="F10" s="98"/>
      <c r="G10" s="98"/>
    </row>
    <row r="11" spans="2:11" ht="18.75">
      <c r="C11" s="99" t="s">
        <v>441</v>
      </c>
      <c r="D11" s="98"/>
      <c r="E11" s="98"/>
      <c r="F11" s="98"/>
      <c r="G11" s="98"/>
    </row>
    <row r="12" spans="2:11" ht="18.75">
      <c r="B12" s="60"/>
      <c r="C12" s="99" t="s">
        <v>442</v>
      </c>
      <c r="D12" s="98"/>
      <c r="E12" s="98"/>
      <c r="F12" s="98"/>
      <c r="G12" s="98"/>
    </row>
    <row r="13" spans="2:11" ht="18.75">
      <c r="C13" s="97" t="s">
        <v>443</v>
      </c>
      <c r="D13" s="98"/>
      <c r="E13" s="98"/>
      <c r="F13" s="98"/>
      <c r="G13" s="98"/>
    </row>
    <row r="14" spans="2:11" ht="18.75">
      <c r="C14" s="97" t="s">
        <v>444</v>
      </c>
      <c r="D14" s="98"/>
      <c r="E14" s="98"/>
      <c r="F14" s="98"/>
      <c r="G14" s="98"/>
    </row>
    <row r="15" spans="2:11" ht="18.75">
      <c r="B15" s="60"/>
      <c r="C15" s="99" t="s">
        <v>445</v>
      </c>
      <c r="D15" s="98"/>
      <c r="E15" s="98"/>
      <c r="F15" s="98"/>
      <c r="G15" s="98"/>
    </row>
    <row r="16" spans="2:11" ht="18.75">
      <c r="C16" s="99" t="s">
        <v>446</v>
      </c>
      <c r="D16" s="98"/>
      <c r="E16" s="98"/>
      <c r="F16" s="98"/>
      <c r="G16" s="98"/>
    </row>
    <row r="17" spans="2:7" ht="18.75">
      <c r="C17" s="99" t="s">
        <v>447</v>
      </c>
      <c r="D17" s="98"/>
      <c r="E17" s="98"/>
      <c r="F17" s="98"/>
      <c r="G17" s="98"/>
    </row>
    <row r="18" spans="2:7" ht="18.75">
      <c r="B18" s="60"/>
      <c r="C18" s="98"/>
      <c r="D18" s="98"/>
      <c r="E18" s="98"/>
      <c r="F18" s="98"/>
      <c r="G18" s="98"/>
    </row>
    <row r="19" spans="2:7" ht="18.75">
      <c r="C19" s="100" t="s">
        <v>432</v>
      </c>
      <c r="D19" s="98"/>
      <c r="E19" s="98"/>
      <c r="F19" s="98"/>
      <c r="G19" s="98"/>
    </row>
    <row r="20" spans="2:7" ht="18.75">
      <c r="C20" s="98" t="s">
        <v>433</v>
      </c>
      <c r="D20" s="98"/>
      <c r="E20" s="98"/>
      <c r="F20" s="98"/>
      <c r="G20" s="98"/>
    </row>
    <row r="21" spans="2:7" ht="18.75">
      <c r="C21" s="98" t="s">
        <v>434</v>
      </c>
      <c r="D21" s="98"/>
      <c r="E21" s="98"/>
      <c r="F21" s="98"/>
      <c r="G21" s="98"/>
    </row>
    <row r="22" spans="2:7" ht="18.75">
      <c r="B22" s="60"/>
      <c r="C22" s="98" t="s">
        <v>435</v>
      </c>
      <c r="D22" s="98"/>
      <c r="E22" s="98"/>
      <c r="F22" s="98"/>
      <c r="G22" s="98"/>
    </row>
    <row r="23" spans="2:7" ht="18.75">
      <c r="C23" s="98" t="s">
        <v>436</v>
      </c>
      <c r="D23" s="98"/>
      <c r="E23" s="98"/>
      <c r="F23" s="98"/>
      <c r="G23" s="98"/>
    </row>
    <row r="24" spans="2:7" ht="18.75">
      <c r="C24" s="98" t="s">
        <v>437</v>
      </c>
      <c r="D24" s="98"/>
      <c r="E24" s="98"/>
      <c r="F24" s="98"/>
      <c r="G24" s="98"/>
    </row>
    <row r="25" spans="2:7" ht="18.75">
      <c r="C25" s="98" t="s">
        <v>438</v>
      </c>
      <c r="D25" s="98"/>
      <c r="E25" s="98"/>
      <c r="F25" s="98"/>
      <c r="G25" s="98"/>
    </row>
    <row r="26" spans="2:7" ht="18.75">
      <c r="C26" s="98"/>
      <c r="D26" s="98"/>
      <c r="E26" s="98"/>
      <c r="F26" s="98"/>
      <c r="G26" s="98"/>
    </row>
    <row r="27" spans="2:7" ht="18.75">
      <c r="C27" s="98" t="s">
        <v>448</v>
      </c>
      <c r="D27" s="98"/>
      <c r="E27" s="98"/>
      <c r="F27" s="98"/>
      <c r="G27" s="98"/>
    </row>
    <row r="28" spans="2:7" ht="18.75">
      <c r="C28" s="98"/>
      <c r="D28" s="98"/>
      <c r="E28" s="98"/>
      <c r="F28" s="98"/>
      <c r="G28" s="98"/>
    </row>
    <row r="29" spans="2:7" ht="18.75">
      <c r="C29" s="98"/>
      <c r="D29" s="98"/>
      <c r="E29" s="98"/>
      <c r="F29" s="98"/>
      <c r="G29" s="98"/>
    </row>
    <row r="30" spans="2:7" ht="18.75">
      <c r="C30" s="98"/>
      <c r="D30" s="98"/>
      <c r="E30" s="98"/>
      <c r="F30" s="98"/>
      <c r="G30" s="98"/>
    </row>
    <row r="31" spans="2:7" ht="18.75">
      <c r="C31" s="98"/>
      <c r="D31" s="98"/>
      <c r="E31" s="98"/>
      <c r="F31" s="98"/>
      <c r="G31" s="98"/>
    </row>
    <row r="32" spans="2:7" ht="18.75">
      <c r="C32" s="98"/>
      <c r="D32" s="98"/>
      <c r="E32" s="98"/>
      <c r="F32" s="98"/>
      <c r="G32" s="98"/>
    </row>
    <row r="33" spans="3:7" ht="18.75">
      <c r="C33" s="98"/>
      <c r="D33" s="98"/>
      <c r="E33" s="98"/>
      <c r="F33" s="98"/>
      <c r="G33" s="98"/>
    </row>
    <row r="34" spans="3:7" ht="18.75">
      <c r="C34" s="98"/>
      <c r="D34" s="98"/>
      <c r="E34" s="98"/>
      <c r="F34" s="98"/>
      <c r="G34" s="98"/>
    </row>
    <row r="35" spans="3:7" ht="18.75">
      <c r="C35" s="98"/>
      <c r="D35" s="98"/>
      <c r="E35" s="98"/>
      <c r="F35" s="98"/>
      <c r="G35" s="98"/>
    </row>
    <row r="36" spans="3:7" ht="18.75">
      <c r="C36" s="98"/>
      <c r="D36" s="98"/>
      <c r="E36" s="98"/>
      <c r="F36" s="98"/>
      <c r="G36" s="98"/>
    </row>
    <row r="37" spans="3:7" ht="18.75">
      <c r="C37" s="98"/>
      <c r="D37" s="98"/>
      <c r="E37" s="98"/>
      <c r="F37" s="98"/>
      <c r="G37" s="98"/>
    </row>
    <row r="38" spans="3:7" ht="18.75">
      <c r="C38" s="98"/>
      <c r="D38" s="98"/>
      <c r="E38" s="98"/>
      <c r="F38" s="98"/>
      <c r="G38" s="98"/>
    </row>
    <row r="39" spans="3:7" ht="18.75">
      <c r="C39" s="98"/>
      <c r="D39" s="98"/>
      <c r="E39" s="98"/>
      <c r="F39" s="98"/>
      <c r="G39" s="98"/>
    </row>
    <row r="40" spans="3:7" ht="18.75">
      <c r="C40" s="98"/>
      <c r="D40" s="98"/>
      <c r="E40" s="98"/>
      <c r="F40" s="98"/>
      <c r="G40" s="98"/>
    </row>
  </sheetData>
  <mergeCells count="1">
    <mergeCell ref="B3:K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opLeftCell="B16" zoomScale="69" zoomScaleNormal="100" workbookViewId="0">
      <selection activeCell="B36" sqref="B36"/>
    </sheetView>
  </sheetViews>
  <sheetFormatPr defaultColWidth="10.875" defaultRowHeight="20.25"/>
  <cols>
    <col min="1" max="1" width="4.125" style="57" customWidth="1"/>
    <col min="2" max="2" width="200.875" style="10" customWidth="1"/>
    <col min="3" max="3" width="67.5" style="13" customWidth="1"/>
    <col min="4" max="16384" width="10.875" style="51"/>
  </cols>
  <sheetData>
    <row r="2" spans="2:4">
      <c r="B2" s="8" t="s">
        <v>234</v>
      </c>
      <c r="C2" s="11"/>
    </row>
    <row r="3" spans="2:4">
      <c r="B3" s="44" t="s">
        <v>232</v>
      </c>
      <c r="C3" s="59"/>
    </row>
    <row r="4" spans="2:4">
      <c r="B4" s="58" t="s">
        <v>261</v>
      </c>
      <c r="C4" s="59"/>
    </row>
    <row r="5" spans="2:4" ht="60.75">
      <c r="B5" s="56" t="s">
        <v>284</v>
      </c>
      <c r="C5" s="50" t="s">
        <v>36</v>
      </c>
      <c r="D5" s="52" t="s">
        <v>285</v>
      </c>
    </row>
    <row r="6" spans="2:4">
      <c r="B6" s="58" t="s">
        <v>260</v>
      </c>
      <c r="C6" s="59"/>
      <c r="D6" s="52"/>
    </row>
    <row r="7" spans="2:4" ht="60.75">
      <c r="B7" s="56" t="s">
        <v>222</v>
      </c>
      <c r="C7" s="50" t="s">
        <v>36</v>
      </c>
      <c r="D7" s="52" t="s">
        <v>277</v>
      </c>
    </row>
    <row r="8" spans="2:4">
      <c r="B8" s="58" t="s">
        <v>259</v>
      </c>
      <c r="C8" s="59"/>
    </row>
    <row r="9" spans="2:4" ht="60.75">
      <c r="B9" s="56" t="s">
        <v>223</v>
      </c>
      <c r="C9" s="50" t="s">
        <v>36</v>
      </c>
    </row>
    <row r="10" spans="2:4">
      <c r="B10" s="58" t="s">
        <v>280</v>
      </c>
      <c r="C10" s="59"/>
    </row>
    <row r="11" spans="2:4" ht="60.75">
      <c r="B11" s="56" t="s">
        <v>281</v>
      </c>
      <c r="C11" s="50" t="s">
        <v>36</v>
      </c>
    </row>
    <row r="12" spans="2:4">
      <c r="B12" s="44" t="s">
        <v>231</v>
      </c>
      <c r="C12" s="59"/>
    </row>
    <row r="13" spans="2:4">
      <c r="B13" s="58" t="s">
        <v>233</v>
      </c>
      <c r="C13" s="59"/>
    </row>
    <row r="14" spans="2:4" ht="60.75">
      <c r="B14" s="56" t="s">
        <v>220</v>
      </c>
      <c r="C14" s="50" t="s">
        <v>36</v>
      </c>
    </row>
    <row r="15" spans="2:4">
      <c r="B15" s="58" t="s">
        <v>229</v>
      </c>
      <c r="C15" s="59"/>
    </row>
    <row r="16" spans="2:4" ht="60.75">
      <c r="B16" s="56" t="s">
        <v>221</v>
      </c>
      <c r="C16" s="50" t="s">
        <v>36</v>
      </c>
    </row>
    <row r="17" spans="2:3">
      <c r="B17" s="58" t="s">
        <v>230</v>
      </c>
      <c r="C17" s="59"/>
    </row>
    <row r="18" spans="2:3" ht="60.75">
      <c r="B18" s="56" t="s">
        <v>224</v>
      </c>
      <c r="C18" s="50" t="s">
        <v>36</v>
      </c>
    </row>
    <row r="19" spans="2:3">
      <c r="B19" s="58" t="s">
        <v>262</v>
      </c>
      <c r="C19" s="59"/>
    </row>
    <row r="20" spans="2:3" ht="60.75">
      <c r="B20" s="56" t="s">
        <v>283</v>
      </c>
      <c r="C20" s="50" t="s">
        <v>36</v>
      </c>
    </row>
    <row r="21" spans="2:3">
      <c r="B21" s="58" t="s">
        <v>300</v>
      </c>
      <c r="C21" s="59"/>
    </row>
    <row r="22" spans="2:3" ht="81">
      <c r="B22" s="56" t="s">
        <v>302</v>
      </c>
      <c r="C22" s="50" t="s">
        <v>36</v>
      </c>
    </row>
    <row r="23" spans="2:3">
      <c r="B23" s="58" t="s">
        <v>305</v>
      </c>
      <c r="C23" s="59"/>
    </row>
    <row r="24" spans="2:3" ht="81">
      <c r="B24" s="56" t="s">
        <v>303</v>
      </c>
      <c r="C24" s="50" t="s">
        <v>36</v>
      </c>
    </row>
    <row r="25" spans="2:3">
      <c r="B25" s="58" t="s">
        <v>301</v>
      </c>
      <c r="C25" s="59"/>
    </row>
    <row r="26" spans="2:3" ht="81">
      <c r="B26" s="56" t="s">
        <v>304</v>
      </c>
      <c r="C26" s="50" t="s">
        <v>36</v>
      </c>
    </row>
    <row r="27" spans="2:3">
      <c r="B27" s="58" t="s">
        <v>315</v>
      </c>
      <c r="C27" s="59"/>
    </row>
    <row r="28" spans="2:3" ht="81">
      <c r="B28" s="56" t="s">
        <v>318</v>
      </c>
      <c r="C28" s="50" t="s">
        <v>36</v>
      </c>
    </row>
  </sheetData>
  <sheetProtection algorithmName="SHA-512" hashValue="Q1tIzZW4q1svot2fTtUaZdE5Z769zrGxjL5mh+I++440Oe5SSDlQ+Yw1B8wb5grTlGVqFQYapO2TrAXiTNZB8Q==" saltValue="1MRRozV0QtnVfVJaMmG8Jg==" spinCount="100000" sheet="1" objects="1" scenarios="1"/>
  <conditionalFormatting sqref="C5">
    <cfRule type="containsText" dxfId="53" priority="70" operator="containsText" text="Yes">
      <formula>NOT(ISERROR(SEARCH("Yes",C5)))</formula>
    </cfRule>
    <cfRule type="containsText" dxfId="52" priority="71" operator="containsText" text="No">
      <formula>NOT(ISERROR(SEARCH("No",C5)))</formula>
    </cfRule>
    <cfRule type="notContainsBlanks" dxfId="51" priority="72" stopIfTrue="1">
      <formula>LEN(TRIM(C5))&gt;0</formula>
    </cfRule>
  </conditionalFormatting>
  <conditionalFormatting sqref="C7">
    <cfRule type="containsText" dxfId="50" priority="58" operator="containsText" text="Yes">
      <formula>NOT(ISERROR(SEARCH("Yes",C7)))</formula>
    </cfRule>
    <cfRule type="containsText" dxfId="49" priority="59" operator="containsText" text="No">
      <formula>NOT(ISERROR(SEARCH("No",C7)))</formula>
    </cfRule>
    <cfRule type="notContainsBlanks" dxfId="48" priority="60" stopIfTrue="1">
      <formula>LEN(TRIM(C7))&gt;0</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43" operator="containsText" text="Yes">
      <formula>NOT(ISERROR(SEARCH("Yes",C12)))</formula>
    </cfRule>
    <cfRule type="containsText" dxfId="43" priority="44" operator="containsText" text="No">
      <formula>NOT(ISERROR(SEARCH("No",C12)))</formula>
    </cfRule>
    <cfRule type="notContainsBlanks" dxfId="42" priority="45" stopIfTrue="1">
      <formula>LEN(TRIM(C12))&gt;0</formula>
    </cfRule>
    <cfRule type="containsText" dxfId="41" priority="52" operator="containsText" text="Yes">
      <formula>NOT(ISERROR(SEARCH("Yes",C12)))</formula>
    </cfRule>
    <cfRule type="containsText" dxfId="40" priority="53" operator="containsText" text="No">
      <formula>NOT(ISERROR(SEARCH("No",C12)))</formula>
    </cfRule>
    <cfRule type="notContainsBlanks" dxfId="39" priority="54" stopIfTrue="1">
      <formula>LEN(TRIM(C12))&gt;0</formula>
    </cfRule>
  </conditionalFormatting>
  <conditionalFormatting sqref="C14">
    <cfRule type="containsText" dxfId="38" priority="22" operator="containsText" text="Yes">
      <formula>NOT(ISERROR(SEARCH("Yes",C14)))</formula>
    </cfRule>
    <cfRule type="containsText" dxfId="37" priority="23" operator="containsText" text="No">
      <formula>NOT(ISERROR(SEARCH("No",C14)))</formula>
    </cfRule>
    <cfRule type="notContainsBlanks" dxfId="36" priority="24" stopIfTrue="1">
      <formula>LEN(TRIM(C14))&gt;0</formula>
    </cfRule>
    <cfRule type="containsText" dxfId="35" priority="31" operator="containsText" text="Yes">
      <formula>NOT(ISERROR(SEARCH("Yes",C14)))</formula>
    </cfRule>
    <cfRule type="containsText" dxfId="34" priority="32" operator="containsText" text="No">
      <formula>NOT(ISERROR(SEARCH("No",C14)))</formula>
    </cfRule>
    <cfRule type="notContainsBlanks" dxfId="33" priority="33" stopIfTrue="1">
      <formula>LEN(TRIM(C14))&gt;0</formula>
    </cfRule>
    <cfRule type="containsText" dxfId="32" priority="40" operator="containsText" text="Yes">
      <formula>NOT(ISERROR(SEARCH("Yes",C14)))</formula>
    </cfRule>
    <cfRule type="containsText" dxfId="31" priority="41" operator="containsText" text="No">
      <formula>NOT(ISERROR(SEARCH("No",C14)))</formula>
    </cfRule>
    <cfRule type="notContainsBlanks" dxfId="30" priority="42" stopIfTrue="1">
      <formula>LEN(TRIM(C14))&gt;0</formula>
    </cfRule>
    <cfRule type="containsText" dxfId="29" priority="49" operator="containsText" text="Yes">
      <formula>NOT(ISERROR(SEARCH("Yes",C14)))</formula>
    </cfRule>
    <cfRule type="containsText" dxfId="28" priority="50" operator="containsText" text="No">
      <formula>NOT(ISERROR(SEARCH("No",C14)))</formula>
    </cfRule>
    <cfRule type="notContainsBlanks" dxfId="27" priority="51" stopIfTrue="1">
      <formula>LEN(TRIM(C14))&gt;0</formula>
    </cfRule>
  </conditionalFormatting>
  <conditionalFormatting sqref="C16">
    <cfRule type="containsText" dxfId="26" priority="19" operator="containsText" text="Yes">
      <formula>NOT(ISERROR(SEARCH("Yes",C16)))</formula>
    </cfRule>
    <cfRule type="containsText" dxfId="25" priority="20" operator="containsText" text="No">
      <formula>NOT(ISERROR(SEARCH("No",C16)))</formula>
    </cfRule>
    <cfRule type="notContainsBlanks" dxfId="24" priority="21" stopIfTrue="1">
      <formula>LEN(TRIM(C16))&gt;0</formula>
    </cfRule>
    <cfRule type="containsText" dxfId="23" priority="28" operator="containsText" text="Yes">
      <formula>NOT(ISERROR(SEARCH("Yes",C16)))</formula>
    </cfRule>
    <cfRule type="containsText" dxfId="22" priority="29" operator="containsText" text="No">
      <formula>NOT(ISERROR(SEARCH("No",C16)))</formula>
    </cfRule>
    <cfRule type="notContainsBlanks" dxfId="21" priority="30" stopIfTrue="1">
      <formula>LEN(TRIM(C16))&gt;0</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containsText" dxfId="17" priority="16" operator="containsText" text="Yes">
      <formula>NOT(ISERROR(SEARCH("Yes",C18)))</formula>
    </cfRule>
    <cfRule type="containsText" dxfId="16" priority="17" operator="containsText" text="No">
      <formula>NOT(ISERROR(SEARCH("No",C18)))</formula>
    </cfRule>
    <cfRule type="notContainsBlanks" dxfId="15" priority="18" stopIfTrue="1">
      <formula>LEN(TRIM(C18))&gt;0</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containsText" dxfId="11" priority="10" operator="containsText" text="Yes">
      <formula>NOT(ISERROR(SEARCH("Yes",C22)))</formula>
    </cfRule>
    <cfRule type="containsText" dxfId="10" priority="11" operator="containsText" text="No">
      <formula>NOT(ISERROR(SEARCH("No",C22)))</formula>
    </cfRule>
    <cfRule type="notContainsBlanks" dxfId="9" priority="12" stopIfTrue="1">
      <formula>LEN(TRIM(C22))&gt;0</formula>
    </cfRule>
  </conditionalFormatting>
  <conditionalFormatting sqref="C24">
    <cfRule type="containsText" dxfId="8" priority="7" operator="containsText" text="Yes">
      <formula>NOT(ISERROR(SEARCH("Yes",C24)))</formula>
    </cfRule>
    <cfRule type="containsText" dxfId="7" priority="8" operator="containsText" text="No">
      <formula>NOT(ISERROR(SEARCH("No",C24)))</formula>
    </cfRule>
    <cfRule type="notContainsBlanks" dxfId="6" priority="9" stopIfTrue="1">
      <formula>LEN(TRIM(C24))&gt;0</formula>
    </cfRule>
  </conditionalFormatting>
  <conditionalFormatting sqref="C26">
    <cfRule type="containsText" dxfId="5" priority="4" operator="containsText" text="Yes">
      <formula>NOT(ISERROR(SEARCH("Yes",C26)))</formula>
    </cfRule>
    <cfRule type="containsText" dxfId="4" priority="5" operator="containsText" text="No">
      <formula>NOT(ISERROR(SEARCH("No",C26)))</formula>
    </cfRule>
    <cfRule type="notContainsBlanks" dxfId="3" priority="6" stopIfTrue="1">
      <formula>LEN(TRIM(C26))&gt;0</formula>
    </cfRule>
  </conditionalFormatting>
  <conditionalFormatting sqref="C28">
    <cfRule type="containsText" dxfId="2" priority="1" operator="containsText" text="Yes">
      <formula>NOT(ISERROR(SEARCH("Yes",C28)))</formula>
    </cfRule>
    <cfRule type="containsText" dxfId="1" priority="2" operator="containsText" text="No">
      <formula>NOT(ISERROR(SEARCH("No",C28)))</formula>
    </cfRule>
    <cfRule type="notContainsBlanks" dxfId="0" priority="3" stopIfTrue="1">
      <formula>LEN(TRIM(C28))&gt;0</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5"/>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ht="15.75">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Abhishek Ranjan</cp:lastModifiedBy>
  <cp:lastPrinted>2018-09-13T16:04:18Z</cp:lastPrinted>
  <dcterms:created xsi:type="dcterms:W3CDTF">2018-09-10T17:18:27Z</dcterms:created>
  <dcterms:modified xsi:type="dcterms:W3CDTF">2025-05-28T11:53:52Z</dcterms:modified>
</cp:coreProperties>
</file>