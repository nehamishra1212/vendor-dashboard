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https://anoralabs-my.sharepoint.com/personal/hari_anoralabs_com/Documents/Sandbox/myWork/Hari/Alto/2025/"/>
    </mc:Choice>
  </mc:AlternateContent>
  <xr:revisionPtr revIDLastSave="4" documentId="8_{03D12737-8096-FF4E-901C-3A4D560614BA}" xr6:coauthVersionLast="47" xr6:coauthVersionMax="47" xr10:uidLastSave="{9BF15A4B-CE4E-2244-836F-8D39128A547C}"/>
  <workbookProtection workbookAlgorithmName="SHA-512" workbookHashValue="DZ307OSwGf3RBgln30ohjK9cXpWpHHaHtd7yDeNi+Mrqi98RPfIMLB2jlZwwG/H9xWNSm6Szu+3goAXOg6dRiA==" workbookSaltValue="o4x2JKd6JvqWvCAbp3C4+Q==" workbookSpinCount="100000" lockStructure="1"/>
  <bookViews>
    <workbookView xWindow="0" yWindow="760" windowWidth="29400" windowHeight="17660"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6" l="1"/>
  <c r="H5" i="6"/>
  <c r="G6" i="6"/>
  <c r="I16" i="20" l="1"/>
  <c r="H16" i="20"/>
  <c r="G16" i="20"/>
  <c r="F16" i="20"/>
  <c r="E16" i="20"/>
  <c r="D16" i="20"/>
  <c r="C16" i="20"/>
</calcChain>
</file>

<file path=xl/sharedStrings.xml><?xml version="1.0" encoding="utf-8"?>
<sst xmlns="http://schemas.openxmlformats.org/spreadsheetml/2006/main" count="519" uniqueCount="404">
  <si>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</si>
  <si>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</si>
  <si>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</si>
  <si>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</si>
  <si>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</si>
  <si>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</si>
  <si>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</si>
  <si>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</si>
  <si>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</si>
  <si>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</si>
  <si>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</si>
  <si>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</si>
  <si>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</si>
  <si>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</si>
  <si>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</si>
  <si>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</si>
  <si>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</si>
  <si>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</si>
  <si>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</si>
  <si>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</si>
  <si>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</si>
  <si>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</si>
  <si>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</si>
  <si>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</si>
  <si>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</si>
  <si>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</si>
  <si>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</si>
  <si>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</si>
  <si>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</si>
  <si>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</si>
  <si>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</si>
  <si>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</si>
  <si>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</si>
  <si>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</si>
  <si>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</si>
  <si>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</si>
  <si>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</si>
  <si>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</si>
  <si>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</si>
  <si>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</si>
  <si>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</si>
  <si>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</si>
  <si>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</si>
  <si>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</si>
  <si>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</si>
  <si>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</si>
  <si>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</si>
  <si>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</si>
  <si>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</si>
  <si>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</si>
  <si>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</si>
  <si>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</si>
  <si>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</si>
  <si>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</si>
  <si>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</si>
  <si>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</si>
  <si>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</si>
  <si>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</si>
  <si>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</si>
  <si>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</si>
  <si>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</si>
  <si>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</si>
  <si>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</si>
  <si>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</si>
  <si>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</si>
  <si>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</si>
  <si>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</si>
  <si>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</si>
  <si>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</si>
  <si>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</si>
  <si>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</si>
  <si>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</si>
  <si>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</si>
  <si>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</si>
  <si>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</si>
  <si>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</si>
  <si>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</si>
  <si>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</si>
  <si>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</si>
  <si>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</si>
  <si>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</si>
  <si>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</si>
  <si>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</si>
  <si>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</si>
  <si>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</si>
  <si>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</si>
  <si>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</si>
  <si>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</si>
  <si>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</si>
  <si>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</si>
  <si>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</si>
  <si>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</si>
  <si>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</si>
  <si>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</si>
  <si>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</si>
  <si>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</si>
  <si>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</si>
  <si>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</si>
  <si>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</si>
  <si>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</si>
  <si>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</si>
  <si>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</si>
  <si>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</si>
  <si>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</si>
  <si>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</si>
  <si>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</si>
  <si>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</si>
  <si>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</si>
  <si>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</si>
  <si>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</si>
  <si>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</si>
  <si>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</si>
  <si>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</si>
  <si>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</si>
  <si>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</si>
  <si>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</si>
  <si>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</si>
  <si>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</si>
  <si>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</si>
  <si>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</si>
  <si>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</si>
  <si>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</si>
  <si>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</si>
  <si>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</si>
  <si>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</si>
  <si>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</si>
  <si>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</si>
  <si>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</si>
  <si>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</si>
  <si>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</si>
  <si>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</si>
  <si>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</si>
  <si>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</si>
  <si>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</si>
  <si>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</si>
  <si>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</si>
  <si>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</si>
  <si>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</si>
  <si>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</si>
  <si>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</si>
  <si>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</si>
  <si>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</si>
  <si>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</si>
  <si>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</si>
  <si>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</si>
  <si>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</si>
  <si>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</si>
  <si>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</si>
  <si>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</si>
  <si>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</si>
  <si>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</si>
  <si>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</si>
  <si>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</si>
  <si>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</si>
  <si>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</si>
  <si>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</si>
  <si>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</si>
  <si>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</si>
  <si>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</si>
  <si>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</si>
  <si>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</si>
  <si>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</si>
  <si>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</si>
  <si>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</si>
  <si>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</si>
  <si>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</si>
  <si>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</si>
  <si>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</si>
  <si>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</si>
  <si>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</si>
  <si>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</si>
  <si>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</si>
  <si>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</si>
  <si>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</si>
  <si>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</si>
  <si>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</si>
  <si>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</si>
  <si>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</si>
  <si>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</si>
  <si>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</si>
  <si>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</si>
  <si>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</si>
  <si>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</si>
  <si>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</si>
  <si>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</si>
  <si>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</si>
  <si>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</si>
  <si>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</si>
  <si>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</si>
  <si>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</si>
  <si>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</si>
  <si>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</si>
  <si>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</si>
  <si>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</si>
  <si>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</si>
  <si>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</si>
  <si>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</si>
  <si>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</si>
  <si>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</si>
  <si>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</si>
  <si>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</si>
  <si>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</si>
  <si>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</si>
  <si>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</si>
  <si>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</si>
  <si>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</si>
  <si>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</si>
  <si>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</si>
  <si>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</si>
  <si>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</si>
  <si>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</si>
  <si>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</si>
  <si>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</si>
  <si>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</si>
  <si>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</si>
  <si>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</si>
  <si>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</si>
  <si>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</si>
  <si>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</si>
  <si>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</si>
  <si>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</si>
  <si>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</si>
  <si>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</si>
  <si>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</si>
  <si>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</si>
  <si>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</si>
  <si>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Use the blank page to detail your company's technical roadmap for apple or other customers</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</si>
  <si>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</si>
  <si>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</si>
  <si>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</si>
  <si>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</si>
  <si>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</si>
  <si>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</si>
  <si>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</si>
  <si>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</si>
  <si>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</si>
  <si>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</si>
  <si>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</si>
  <si>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</si>
  <si>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</si>
  <si>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</si>
  <si>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</si>
  <si>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</si>
  <si>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</si>
  <si>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</si>
  <si>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</si>
  <si>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</si>
  <si>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</si>
  <si>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</si>
  <si>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</si>
  <si>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</si>
  <si>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</si>
  <si>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</si>
  <si>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</si>
  <si>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</si>
  <si>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</si>
  <si>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</si>
  <si>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</si>
  <si>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</si>
  <si>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</si>
  <si>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</si>
  <si>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</si>
  <si>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</si>
  <si>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</si>
  <si>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</si>
  <si>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</si>
  <si>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</si>
  <si>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</si>
  <si>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</si>
  <si>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</si>
  <si>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</si>
  <si>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</si>
  <si>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</si>
  <si>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</si>
  <si>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</si>
  <si>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</si>
  <si>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</si>
  <si>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</si>
  <si>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</si>
  <si>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</si>
  <si>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</si>
  <si>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</si>
  <si>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</si>
  <si>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</si>
  <si>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</si>
  <si>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</si>
  <si>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</si>
  <si>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</si>
  <si>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</si>
  <si>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</si>
  <si>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</si>
  <si>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</si>
  <si>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</si>
  <si>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</si>
  <si>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</si>
  <si>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</si>
  <si>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</si>
  <si>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</si>
  <si>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</si>
  <si>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</si>
  <si>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</si>
  <si>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</si>
  <si>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</si>
  <si>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</si>
  <si>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</si>
  <si>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</si>
  <si>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</si>
  <si>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</si>
  <si>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</si>
  <si>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</si>
  <si>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</si>
  <si>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</si>
  <si>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</si>
  <si>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</si>
  <si>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</si>
  <si>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</si>
  <si>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</si>
  <si>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t xml:space="preserve">Kyle Boutin
Global Sourcing &amp; Supply Management
+1-415-352-9000
kboutin@apple.com   </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</si>
  <si>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</si>
  <si>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</si>
  <si>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Anora LLC</t>
  </si>
  <si>
    <t>Allen, Texas</t>
  </si>
  <si>
    <t>www.anoralabs.com</t>
  </si>
  <si>
    <t>NA</t>
  </si>
  <si>
    <t>Hari Chandran
Pramod Variyam</t>
  </si>
  <si>
    <t>Co-Founder and Co-CEO</t>
  </si>
  <si>
    <t>US</t>
  </si>
  <si>
    <t>hari@anorlabs.com
pramod@anoralabs.com</t>
  </si>
  <si>
    <t>(+1) 469 733 3538
(+1) 214 240 8758</t>
  </si>
  <si>
    <t>Karthikeyan Sundaram</t>
  </si>
  <si>
    <t>Robbie Robertson</t>
  </si>
  <si>
    <t>R S Pugalendhi</t>
  </si>
  <si>
    <t>Siddharthan</t>
  </si>
  <si>
    <t>Thirumoorthy Dhayanidhi
Abilash Gopinathan</t>
  </si>
  <si>
    <t>Raju S</t>
  </si>
  <si>
    <t>Director and GM</t>
  </si>
  <si>
    <t>pugal@anoralabs.com</t>
  </si>
  <si>
    <t>(+91) 98407 20340</t>
  </si>
  <si>
    <t>VP of Finance</t>
  </si>
  <si>
    <t>robbie@anoralabs.com</t>
  </si>
  <si>
    <t>(+1) 702 816 1514</t>
  </si>
  <si>
    <t>Engineering Manager</t>
  </si>
  <si>
    <t>Procurement Manager</t>
  </si>
  <si>
    <t>siddharthan@anoralabs.com</t>
  </si>
  <si>
    <t>karthikeyan@anoralabs.com</t>
  </si>
  <si>
    <t>Operations Program Manager</t>
  </si>
  <si>
    <t>thirumoorthy@anoralabs.com
abilashgopinathan@anoralabs.com</t>
  </si>
  <si>
    <t>(91) 96006 04156</t>
  </si>
  <si>
    <t>(91) 97104 38287</t>
  </si>
  <si>
    <t>(91) 95004 60754
(91) 70108 34189</t>
  </si>
  <si>
    <t>Manufacturing Manager</t>
  </si>
  <si>
    <t>raju.s@anoralabs.com</t>
  </si>
  <si>
    <t>(91) 98403 60300</t>
  </si>
  <si>
    <t>Allen, TX, USA</t>
  </si>
  <si>
    <t>19 Prestige Circle, Allen, TX 75002</t>
  </si>
  <si>
    <t>Assembly, Test</t>
  </si>
  <si>
    <t>California, US
North Caolina, US</t>
  </si>
  <si>
    <t>AIPL-P1</t>
  </si>
  <si>
    <t>Chennai, India</t>
  </si>
  <si>
    <t>AIPL-P2</t>
  </si>
  <si>
    <t>AIPL-P4</t>
  </si>
  <si>
    <t>RF Fixtures</t>
  </si>
  <si>
    <t>Anora-HQ</t>
  </si>
  <si>
    <t>72 Ambattur Industrial Estate Rd, Mogappair, Chennai, Tamil Nadu 600058</t>
  </si>
  <si>
    <t>77 Ambattur Industrial Estate Rd, Mogappair, Chennai, Tamil Nadu 600058</t>
  </si>
  <si>
    <t>VMC, CNC, Laser, Assembly, Test</t>
  </si>
  <si>
    <t>PCB Assemby</t>
  </si>
  <si>
    <t>US, India, China, Europe, SE Asia</t>
  </si>
  <si>
    <t>US, India</t>
  </si>
  <si>
    <t>CNC, Laser, Deburr</t>
  </si>
  <si>
    <t>CNC lathe, VMC - $100K
Anodizing, screen printing - $25K</t>
  </si>
  <si>
    <t>None</t>
  </si>
  <si>
    <t>Continuous sourcing and qualifying vendors, Buiding partnership with top suppliers (multi-source) with open PO
RM procurement and sourcing RM to supplier as well, Tools and ERP. ERP implementation in progress</t>
  </si>
  <si>
    <t>VMC - 36; Lathe - 1, Laser - 1; Bending - 1; 3D printing - 3; CMM - 1
PCB assembly (state of the art) - 1</t>
  </si>
  <si>
    <t>We do have manufacturing assembly ERP. Sub assembly and final assembly goes through ERP</t>
  </si>
  <si>
    <t>In house quality tool to capture IPQC and OQC</t>
  </si>
  <si>
    <t>IQC with CMM to measure critical dimension, Fitment etc</t>
  </si>
  <si>
    <t>Sales, Procurement, shipping, Design, manufacturing, Assembly, Inventory all is managed through ERP</t>
  </si>
  <si>
    <t xml:space="preserve">Multi source vendors
Localized sourcing
Complete material CTB well in advance with customer alignment
Risk buy
Collobarting and partnering with suppliers (open PO, longer and continued contracts)
</t>
  </si>
  <si>
    <t xml:space="preserve">There is a plan to look at molding manufacturing to improve cycle time and cost. This is a topic under discussion. Need to perform ROI and work with the customer to execute if there is a need. </t>
  </si>
  <si>
    <t>Low</t>
  </si>
  <si>
    <t>Medium</t>
  </si>
  <si>
    <t>US, 10</t>
  </si>
  <si>
    <t>India, 25</t>
  </si>
  <si>
    <t>We will increase the OSS hiring depending on the need.</t>
  </si>
  <si>
    <t>High</t>
  </si>
  <si>
    <t>System architecture, conveptual design, feasibility study, electronic system design, mechanical design, embedded and firmare design and development, Manufacturing engineering, System assembly, System level test and validation</t>
  </si>
  <si>
    <t>Functional testers, Handlers, Automation equipment</t>
  </si>
  <si>
    <t>$5M to $8M</t>
  </si>
  <si>
    <t>Depends on the complexity of the product. Medium complex FCT
RFP to DFM: 12 wks
KO to ETA: 6 wks
ETA to SAT: Few wks</t>
  </si>
  <si>
    <t>RF Engineering and Production. Since Aug 2024. RF MLB and FATP. 2200 units. Investment/CapEx of ~$4M. OpEx: ~2.7M</t>
  </si>
  <si>
    <t>David Chen
Jon McCormick
Shiva Selvarajan
Adil Syed
YK Leong</t>
  </si>
  <si>
    <t>Embedded programming of muliple platforms</t>
  </si>
  <si>
    <t>Specification for a customer specific product is gathered from the customer and follows the proecss as shown in Design phase work flow. During the feasibility study phase, concept and ideas are formed. During this phase as much work is done with mock designs, simulations. The data is reviewed iwth the customer along with the cost and schedule in an iterative manner until it is approved by the Customer. In some cases, the customer is very involved in the process and in some cases the customer are involved only in the final review and approval.  Once the feasibility study is approved, project kick-off happens. In the next phase, Anora works on de-risking the project by aggressively engaging in proto-typing module level and at complete system level. This includes electrical, mechanical, embedded, test firmware and software. Proto is validaed and taken through approval process. This entire process is governed by design phase process work flow.</t>
  </si>
  <si>
    <t>Several of work flows are controlled in ERP process. Sales Order, Assembly Order of a system, Manufacturing Order, Procurement, Shipping, PCB design process etc. Some of those work flow are shown below as an example</t>
  </si>
  <si>
    <t>Apart from few catalog products that we have, rest all are custom and application specific products that we have built for customers.</t>
  </si>
  <si>
    <t xml:space="preserve">chen_d@apple.com
jon.mccormick@apple.com
yk_leong@apple.com
selvarajan@apple.com
adil@apple.com
</t>
  </si>
  <si>
    <t>N/A</t>
  </si>
  <si>
    <t>developed and deployed P&amp;P/attach for various applications</t>
  </si>
  <si>
    <t>RF fixtures, change kits, functional test fixtures</t>
  </si>
  <si>
    <t>Strong engineering. Trainsition to strong engineering and strog manufcturing.
Vertical integration
Global presence</t>
  </si>
  <si>
    <t>16 years in Test and Validation.</t>
  </si>
  <si>
    <t>PCB handling, final form factor handlng, semiconductors</t>
  </si>
  <si>
    <t>Added slide deck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</si>
</sst>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164" formatCode="_-[$$-409]* #,##0_ ;_-[$$-409]* \-#,##0\ ;_-[$$-409]* &quot;-&quot;??_ ;_-@_ "/>
    <numFmt numFmtId="165" formatCode="_-* #,##0_-;\-* #,##0_-;_-* &quot;-&quot;_-;_-@_-"/>
    <numFmt numFmtId="166" formatCode="_-[$$-409]* #,##0.00_ ;_-[$$-409]* \-#,##0.00\ ;_-[$$-409]* &quot;-&quot;_ ;_-@_ "/>
  </numFmts>
  <fonts count="30">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92">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6" fontId="12" fillId="5" borderId="1" xfId="0" applyNumberFormat="1" applyFont="1" applyFill="1" applyBorder="1" applyAlignment="1" applyProtection="1">
      <alignment horizontal="center" vertical="center" wrapText="1"/>
      <protection locked="0"/>
    </xf>
    <xf numFmtId="0" fontId="2" fillId="0" borderId="0" xfId="0" applyFont="1" applyAlignment="1" applyProtection="1">
      <alignment horizontal="center" vertical="center"/>
      <protection locked="0"/>
    </xf>
    <xf numFmtId="0" fontId="14" fillId="0" borderId="0" xfId="0" applyFont="1" applyAlignment="1">
      <alignment horizontal="center" vertical="center" wrapText="1"/>
    </xf>
    <xf numFmtId="0" fontId="10" fillId="0" borderId="0" xfId="0" applyFont="1" applyAlignment="1">
      <alignment horizontal="left" vertical="center" wrapText="1"/>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0" fillId="0" borderId="0" xfId="0" applyFont="1" applyAlignment="1">
      <alignment horizontal="left"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279400</xdr:colOff>
      <xdr:row>34</xdr:row>
      <xdr:rowOff>76200</xdr:rowOff>
    </xdr:from>
    <xdr:to>
      <xdr:col>17</xdr:col>
      <xdr:colOff>673100</xdr:colOff>
      <xdr:row>46</xdr:row>
      <xdr:rowOff>140972</xdr:rowOff>
    </xdr:to>
    <xdr:pic>
      <xdr:nvPicPr>
        <xdr:cNvPr id="2" name="Picture 1">
          <a:extLst>
            <a:ext uri="{FF2B5EF4-FFF2-40B4-BE49-F238E27FC236}">
              <a16:creationId xmlns:a16="http://schemas.microsoft.com/office/drawing/2014/main" id="{35E2D24A-DA43-1031-2983-FDE1CD02761D}"/>
            </a:ext>
          </a:extLst>
        </xdr:cNvPr>
        <xdr:cNvPicPr>
          <a:picLocks noChangeAspect="1"/>
        </xdr:cNvPicPr>
      </xdr:nvPicPr>
      <xdr:blipFill>
        <a:blip xmlns:r="http://schemas.openxmlformats.org/officeDocument/2006/relationships" r:embed="rId1"/>
        <a:stretch>
          <a:fillRect/>
        </a:stretch>
      </xdr:blipFill>
      <xdr:spPr>
        <a:xfrm>
          <a:off x="279400" y="8864600"/>
          <a:ext cx="15811500" cy="2503172"/>
        </a:xfrm>
        <a:prstGeom prst="rect">
          <a:avLst/>
        </a:prstGeom>
      </xdr:spPr>
    </xdr:pic>
    <xdr:clientData/>
  </xdr:twoCellAnchor>
  <xdr:twoCellAnchor editAs="oneCell">
    <xdr:from>
      <xdr:col>1</xdr:col>
      <xdr:colOff>12699</xdr:colOff>
      <xdr:row>77</xdr:row>
      <xdr:rowOff>38100</xdr:rowOff>
    </xdr:from>
    <xdr:to>
      <xdr:col>18</xdr:col>
      <xdr:colOff>457200</xdr:colOff>
      <xdr:row>82</xdr:row>
      <xdr:rowOff>202664</xdr:rowOff>
    </xdr:to>
    <xdr:pic>
      <xdr:nvPicPr>
        <xdr:cNvPr id="3" name="Picture 2">
          <a:extLst>
            <a:ext uri="{FF2B5EF4-FFF2-40B4-BE49-F238E27FC236}">
              <a16:creationId xmlns:a16="http://schemas.microsoft.com/office/drawing/2014/main" id="{4FBFE2C0-E396-88FB-5F26-F3FCD1351D36}"/>
            </a:ext>
          </a:extLst>
        </xdr:cNvPr>
        <xdr:cNvPicPr>
          <a:picLocks noChangeAspect="1"/>
        </xdr:cNvPicPr>
      </xdr:nvPicPr>
      <xdr:blipFill>
        <a:blip xmlns:r="http://schemas.openxmlformats.org/officeDocument/2006/relationships" r:embed="rId2"/>
        <a:stretch>
          <a:fillRect/>
        </a:stretch>
      </xdr:blipFill>
      <xdr:spPr>
        <a:xfrm>
          <a:off x="419099" y="17564100"/>
          <a:ext cx="16281401" cy="1180564"/>
        </a:xfrm>
        <a:prstGeom prst="rect">
          <a:avLst/>
        </a:prstGeom>
      </xdr:spPr>
    </xdr:pic>
    <xdr:clientData/>
  </xdr:twoCellAnchor>
  <xdr:twoCellAnchor editAs="oneCell">
    <xdr:from>
      <xdr:col>0</xdr:col>
      <xdr:colOff>304799</xdr:colOff>
      <xdr:row>55</xdr:row>
      <xdr:rowOff>139700</xdr:rowOff>
    </xdr:from>
    <xdr:to>
      <xdr:col>18</xdr:col>
      <xdr:colOff>139700</xdr:colOff>
      <xdr:row>60</xdr:row>
      <xdr:rowOff>74009</xdr:rowOff>
    </xdr:to>
    <xdr:pic>
      <xdr:nvPicPr>
        <xdr:cNvPr id="4" name="Picture 3">
          <a:extLst>
            <a:ext uri="{FF2B5EF4-FFF2-40B4-BE49-F238E27FC236}">
              <a16:creationId xmlns:a16="http://schemas.microsoft.com/office/drawing/2014/main" id="{98B078F5-4E9D-6F92-FF33-BDD6144F9235}"/>
            </a:ext>
          </a:extLst>
        </xdr:cNvPr>
        <xdr:cNvPicPr>
          <a:picLocks noChangeAspect="1"/>
        </xdr:cNvPicPr>
      </xdr:nvPicPr>
      <xdr:blipFill>
        <a:blip xmlns:r="http://schemas.openxmlformats.org/officeDocument/2006/relationships" r:embed="rId3"/>
        <a:stretch>
          <a:fillRect/>
        </a:stretch>
      </xdr:blipFill>
      <xdr:spPr>
        <a:xfrm>
          <a:off x="304799" y="13195300"/>
          <a:ext cx="16078201" cy="950309"/>
        </a:xfrm>
        <a:prstGeom prst="rect">
          <a:avLst/>
        </a:prstGeom>
      </xdr:spPr>
    </xdr:pic>
    <xdr:clientData/>
  </xdr:twoCellAnchor>
  <xdr:twoCellAnchor editAs="oneCell">
    <xdr:from>
      <xdr:col>0</xdr:col>
      <xdr:colOff>304799</xdr:colOff>
      <xdr:row>61</xdr:row>
      <xdr:rowOff>76200</xdr:rowOff>
    </xdr:from>
    <xdr:to>
      <xdr:col>18</xdr:col>
      <xdr:colOff>114300</xdr:colOff>
      <xdr:row>65</xdr:row>
      <xdr:rowOff>194181</xdr:rowOff>
    </xdr:to>
    <xdr:pic>
      <xdr:nvPicPr>
        <xdr:cNvPr id="6" name="Picture 5">
          <a:extLst>
            <a:ext uri="{FF2B5EF4-FFF2-40B4-BE49-F238E27FC236}">
              <a16:creationId xmlns:a16="http://schemas.microsoft.com/office/drawing/2014/main" id="{AFA23F04-CB94-0513-B5C1-26B7B41B1987}"/>
            </a:ext>
          </a:extLst>
        </xdr:cNvPr>
        <xdr:cNvPicPr>
          <a:picLocks noChangeAspect="1"/>
        </xdr:cNvPicPr>
      </xdr:nvPicPr>
      <xdr:blipFill>
        <a:blip xmlns:r="http://schemas.openxmlformats.org/officeDocument/2006/relationships" r:embed="rId4"/>
        <a:stretch>
          <a:fillRect/>
        </a:stretch>
      </xdr:blipFill>
      <xdr:spPr>
        <a:xfrm>
          <a:off x="304799" y="14351000"/>
          <a:ext cx="16052801" cy="930781"/>
        </a:xfrm>
        <a:prstGeom prst="rect">
          <a:avLst/>
        </a:prstGeom>
      </xdr:spPr>
    </xdr:pic>
    <xdr:clientData/>
  </xdr:twoCellAnchor>
  <xdr:twoCellAnchor editAs="oneCell">
    <xdr:from>
      <xdr:col>0</xdr:col>
      <xdr:colOff>330200</xdr:colOff>
      <xdr:row>47</xdr:row>
      <xdr:rowOff>177800</xdr:rowOff>
    </xdr:from>
    <xdr:to>
      <xdr:col>18</xdr:col>
      <xdr:colOff>12700</xdr:colOff>
      <xdr:row>53</xdr:row>
      <xdr:rowOff>168960</xdr:rowOff>
    </xdr:to>
    <xdr:pic>
      <xdr:nvPicPr>
        <xdr:cNvPr id="7" name="Picture 6">
          <a:extLst>
            <a:ext uri="{FF2B5EF4-FFF2-40B4-BE49-F238E27FC236}">
              <a16:creationId xmlns:a16="http://schemas.microsoft.com/office/drawing/2014/main" id="{8F9E5C84-A1A9-74D3-CA20-ACCEA0C4B171}"/>
            </a:ext>
          </a:extLst>
        </xdr:cNvPr>
        <xdr:cNvPicPr>
          <a:picLocks noChangeAspect="1"/>
        </xdr:cNvPicPr>
      </xdr:nvPicPr>
      <xdr:blipFill>
        <a:blip xmlns:r="http://schemas.openxmlformats.org/officeDocument/2006/relationships" r:embed="rId5"/>
        <a:stretch>
          <a:fillRect/>
        </a:stretch>
      </xdr:blipFill>
      <xdr:spPr>
        <a:xfrm>
          <a:off x="330200" y="11607800"/>
          <a:ext cx="15925800" cy="1210360"/>
        </a:xfrm>
        <a:prstGeom prst="rect">
          <a:avLst/>
        </a:prstGeom>
      </xdr:spPr>
    </xdr:pic>
    <xdr:clientData/>
  </xdr:twoCellAnchor>
  <xdr:twoCellAnchor editAs="oneCell">
    <xdr:from>
      <xdr:col>1</xdr:col>
      <xdr:colOff>203200</xdr:colOff>
      <xdr:row>83</xdr:row>
      <xdr:rowOff>152400</xdr:rowOff>
    </xdr:from>
    <xdr:to>
      <xdr:col>18</xdr:col>
      <xdr:colOff>520700</xdr:colOff>
      <xdr:row>93</xdr:row>
      <xdr:rowOff>17122</xdr:rowOff>
    </xdr:to>
    <xdr:pic>
      <xdr:nvPicPr>
        <xdr:cNvPr id="8" name="Picture 7">
          <a:extLst>
            <a:ext uri="{FF2B5EF4-FFF2-40B4-BE49-F238E27FC236}">
              <a16:creationId xmlns:a16="http://schemas.microsoft.com/office/drawing/2014/main" id="{913FEC53-EE60-A1E1-394C-5705E8BF5898}"/>
            </a:ext>
          </a:extLst>
        </xdr:cNvPr>
        <xdr:cNvPicPr>
          <a:picLocks noChangeAspect="1"/>
        </xdr:cNvPicPr>
      </xdr:nvPicPr>
      <xdr:blipFill>
        <a:blip xmlns:r="http://schemas.openxmlformats.org/officeDocument/2006/relationships" r:embed="rId6"/>
        <a:stretch>
          <a:fillRect/>
        </a:stretch>
      </xdr:blipFill>
      <xdr:spPr>
        <a:xfrm>
          <a:off x="609600" y="18897600"/>
          <a:ext cx="16154400" cy="1896722"/>
        </a:xfrm>
        <a:prstGeom prst="rect">
          <a:avLst/>
        </a:prstGeom>
      </xdr:spPr>
    </xdr:pic>
    <xdr:clientData/>
  </xdr:twoCellAnchor>
  <xdr:twoCellAnchor editAs="oneCell">
    <xdr:from>
      <xdr:col>0</xdr:col>
      <xdr:colOff>368299</xdr:colOff>
      <xdr:row>66</xdr:row>
      <xdr:rowOff>127000</xdr:rowOff>
    </xdr:from>
    <xdr:to>
      <xdr:col>18</xdr:col>
      <xdr:colOff>330200</xdr:colOff>
      <xdr:row>76</xdr:row>
      <xdr:rowOff>90797</xdr:rowOff>
    </xdr:to>
    <xdr:pic>
      <xdr:nvPicPr>
        <xdr:cNvPr id="10" name="Picture 9">
          <a:extLst>
            <a:ext uri="{FF2B5EF4-FFF2-40B4-BE49-F238E27FC236}">
              <a16:creationId xmlns:a16="http://schemas.microsoft.com/office/drawing/2014/main" id="{11E6DE9E-9EFB-A691-DE68-12FF496C799C}"/>
            </a:ext>
          </a:extLst>
        </xdr:cNvPr>
        <xdr:cNvPicPr>
          <a:picLocks noChangeAspect="1"/>
        </xdr:cNvPicPr>
      </xdr:nvPicPr>
      <xdr:blipFill>
        <a:blip xmlns:r="http://schemas.openxmlformats.org/officeDocument/2006/relationships" r:embed="rId7"/>
        <a:stretch>
          <a:fillRect/>
        </a:stretch>
      </xdr:blipFill>
      <xdr:spPr>
        <a:xfrm>
          <a:off x="368299" y="15417800"/>
          <a:ext cx="16205201" cy="1995797"/>
        </a:xfrm>
        <a:prstGeom prst="rect">
          <a:avLst/>
        </a:prstGeom>
      </xdr:spPr>
    </xdr:pic>
    <xdr:clientData/>
  </xdr:twoCellAnchor>
  <xdr:twoCellAnchor editAs="oneCell">
    <xdr:from>
      <xdr:col>1</xdr:col>
      <xdr:colOff>12700</xdr:colOff>
      <xdr:row>12</xdr:row>
      <xdr:rowOff>342900</xdr:rowOff>
    </xdr:from>
    <xdr:to>
      <xdr:col>12</xdr:col>
      <xdr:colOff>700486</xdr:colOff>
      <xdr:row>36</xdr:row>
      <xdr:rowOff>38100</xdr:rowOff>
    </xdr:to>
    <xdr:pic>
      <xdr:nvPicPr>
        <xdr:cNvPr id="11" name="Picture 10">
          <a:extLst>
            <a:ext uri="{FF2B5EF4-FFF2-40B4-BE49-F238E27FC236}">
              <a16:creationId xmlns:a16="http://schemas.microsoft.com/office/drawing/2014/main" id="{4C7B1EF7-D5C0-9059-5340-CFB6BC3CD57C}"/>
            </a:ext>
          </a:extLst>
        </xdr:cNvPr>
        <xdr:cNvPicPr>
          <a:picLocks noChangeAspect="1"/>
        </xdr:cNvPicPr>
      </xdr:nvPicPr>
      <xdr:blipFill>
        <a:blip xmlns:r="http://schemas.openxmlformats.org/officeDocument/2006/relationships" r:embed="rId8"/>
        <a:stretch>
          <a:fillRect/>
        </a:stretch>
      </xdr:blipFill>
      <xdr:spPr>
        <a:xfrm>
          <a:off x="419100" y="4127500"/>
          <a:ext cx="11571686" cy="4711700"/>
        </a:xfrm>
        <a:prstGeom prst="rect">
          <a:avLst/>
        </a:prstGeom>
      </xdr:spPr>
    </xdr:pic>
    <xdr:clientData/>
  </xdr:twoCellAnchor>
  <xdr:twoCellAnchor editAs="oneCell">
    <xdr:from>
      <xdr:col>14</xdr:col>
      <xdr:colOff>228600</xdr:colOff>
      <xdr:row>13</xdr:row>
      <xdr:rowOff>50800</xdr:rowOff>
    </xdr:from>
    <xdr:to>
      <xdr:col>29</xdr:col>
      <xdr:colOff>38100</xdr:colOff>
      <xdr:row>29</xdr:row>
      <xdr:rowOff>76412</xdr:rowOff>
    </xdr:to>
    <xdr:pic>
      <xdr:nvPicPr>
        <xdr:cNvPr id="12" name="Picture 11" descr="A screenshot of a computer&#10;&#10;AI-generated content may be incorrect.">
          <a:extLst>
            <a:ext uri="{FF2B5EF4-FFF2-40B4-BE49-F238E27FC236}">
              <a16:creationId xmlns:a16="http://schemas.microsoft.com/office/drawing/2014/main" id="{ACE3FDCC-FEE2-E3D6-86C1-1908FC690DE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3169900" y="4572000"/>
          <a:ext cx="12192000" cy="3276812"/>
        </a:xfrm>
        <a:prstGeom prst="rect">
          <a:avLst/>
        </a:prstGeom>
      </xdr:spPr>
    </xdr:pic>
    <xdr:clientData/>
  </xdr:twoCellAnchor>
  <xdr:twoCellAnchor editAs="oneCell">
    <xdr:from>
      <xdr:col>19</xdr:col>
      <xdr:colOff>762000</xdr:colOff>
      <xdr:row>32</xdr:row>
      <xdr:rowOff>127000</xdr:rowOff>
    </xdr:from>
    <xdr:to>
      <xdr:col>27</xdr:col>
      <xdr:colOff>67776</xdr:colOff>
      <xdr:row>48</xdr:row>
      <xdr:rowOff>165100</xdr:rowOff>
    </xdr:to>
    <xdr:pic>
      <xdr:nvPicPr>
        <xdr:cNvPr id="13" name="Picture 12">
          <a:extLst>
            <a:ext uri="{FF2B5EF4-FFF2-40B4-BE49-F238E27FC236}">
              <a16:creationId xmlns:a16="http://schemas.microsoft.com/office/drawing/2014/main" id="{47EA5A34-6F7F-8595-6B23-2635A6CBF7B9}"/>
            </a:ext>
          </a:extLst>
        </xdr:cNvPr>
        <xdr:cNvPicPr>
          <a:picLocks noChangeAspect="1"/>
        </xdr:cNvPicPr>
      </xdr:nvPicPr>
      <xdr:blipFill>
        <a:blip xmlns:r="http://schemas.openxmlformats.org/officeDocument/2006/relationships" r:embed="rId10"/>
        <a:stretch>
          <a:fillRect/>
        </a:stretch>
      </xdr:blipFill>
      <xdr:spPr>
        <a:xfrm>
          <a:off x="17830800" y="8509000"/>
          <a:ext cx="5909776" cy="3289300"/>
        </a:xfrm>
        <a:prstGeom prst="rect">
          <a:avLst/>
        </a:prstGeom>
      </xdr:spPr>
    </xdr:pic>
    <xdr:clientData/>
  </xdr:twoCellAnchor>
  <xdr:twoCellAnchor editAs="oneCell">
    <xdr:from>
      <xdr:col>19</xdr:col>
      <xdr:colOff>800100</xdr:colOff>
      <xdr:row>49</xdr:row>
      <xdr:rowOff>190500</xdr:rowOff>
    </xdr:from>
    <xdr:to>
      <xdr:col>27</xdr:col>
      <xdr:colOff>123178</xdr:colOff>
      <xdr:row>65</xdr:row>
      <xdr:rowOff>152400</xdr:rowOff>
    </xdr:to>
    <xdr:pic>
      <xdr:nvPicPr>
        <xdr:cNvPr id="14" name="Picture 13">
          <a:extLst>
            <a:ext uri="{FF2B5EF4-FFF2-40B4-BE49-F238E27FC236}">
              <a16:creationId xmlns:a16="http://schemas.microsoft.com/office/drawing/2014/main" id="{F21D2E5C-7700-0A9B-9B11-1F5EB2E5953B}"/>
            </a:ext>
          </a:extLst>
        </xdr:cNvPr>
        <xdr:cNvPicPr>
          <a:picLocks noChangeAspect="1"/>
        </xdr:cNvPicPr>
      </xdr:nvPicPr>
      <xdr:blipFill>
        <a:blip xmlns:r="http://schemas.openxmlformats.org/officeDocument/2006/relationships" r:embed="rId11"/>
        <a:stretch>
          <a:fillRect/>
        </a:stretch>
      </xdr:blipFill>
      <xdr:spPr>
        <a:xfrm>
          <a:off x="17868900" y="12026900"/>
          <a:ext cx="5927078" cy="32131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abSelected="1" topLeftCell="A8" workbookViewId="0">
      <selection activeCell="B14" sqref="B14"/>
    </sheetView>
  </sheetViews>
  <sheetFormatPr baseColWidth="10" defaultRowHeight="20"/>
  <cols>
    <col min="1" max="1" width="10.83203125" style="51"/>
    <col min="2" max="2" width="200.83203125" style="10" customWidth="1"/>
    <col min="3" max="16384" width="10.83203125" style="51"/>
  </cols>
  <sheetData>
    <row r="2" spans="2:2" ht="22">
      <c r="B2" s="8" t="s">
        <v>214</v>
      </c>
    </row>
    <row r="3" spans="2:2" ht="22">
      <c r="B3" s="44" t="s">
        <v>174</v>
      </c>
    </row>
    <row r="4" spans="2:2" ht="84">
      <c r="B4" s="9" t="s">
        <v>113</v>
      </c>
    </row>
    <row r="5" spans="2:2" ht="22">
      <c r="B5" s="44" t="s">
        <v>175</v>
      </c>
    </row>
    <row r="6" spans="2:2" ht="42">
      <c r="B6" s="9" t="s">
        <v>114</v>
      </c>
    </row>
    <row r="7" spans="2:2" ht="22">
      <c r="B7" s="44" t="s">
        <v>176</v>
      </c>
    </row>
    <row r="8" spans="2:2" ht="294">
      <c r="B8" s="9" t="s">
        <v>294</v>
      </c>
    </row>
    <row r="9" spans="2:2" ht="22">
      <c r="B9" s="44" t="s">
        <v>177</v>
      </c>
    </row>
    <row r="10" spans="2:2" ht="22">
      <c r="B10" s="9" t="s">
        <v>180</v>
      </c>
    </row>
    <row r="11" spans="2:2" ht="22">
      <c r="B11" s="44" t="s">
        <v>178</v>
      </c>
    </row>
    <row r="12" spans="2:2" ht="42">
      <c r="B12" s="9" t="s">
        <v>115</v>
      </c>
    </row>
    <row r="13" spans="2:2" ht="22">
      <c r="B13" s="44" t="s">
        <v>179</v>
      </c>
    </row>
    <row r="14" spans="2:2" ht="84">
      <c r="B14" s="72" t="s">
        <v>317</v>
      </c>
    </row>
  </sheetData>
  <sheetProtection algorithmName="SHA-512" hashValue="oqQmTTL1TGDehFTcAOr2PQzV2AF19eG2fsUcc8MPwK3DeUGnHmuByNhhMgg5CE2BrggHILzN+R4S0gsFxK+kfw==" saltValue="b/vDCHd/sP/Ufj+9MTyig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opLeftCell="A25" workbookViewId="0">
      <selection activeCell="A16" sqref="A1:XFD1048576"/>
    </sheetView>
  </sheetViews>
  <sheetFormatPr baseColWidth="10" defaultRowHeight="20"/>
  <cols>
    <col min="1" max="1" width="10.83203125" style="51"/>
    <col min="2" max="2" width="200.83203125" style="10" customWidth="1"/>
    <col min="3" max="16384" width="10.83203125" style="51"/>
  </cols>
  <sheetData>
    <row r="2" spans="2:2" ht="22">
      <c r="B2" s="8" t="s">
        <v>116</v>
      </c>
    </row>
    <row r="3" spans="2:2" ht="22">
      <c r="B3" s="43" t="s">
        <v>160</v>
      </c>
    </row>
    <row r="4" spans="2:2" ht="42">
      <c r="B4" s="9" t="s">
        <v>117</v>
      </c>
    </row>
    <row r="5" spans="2:2" ht="22">
      <c r="B5" s="44" t="s">
        <v>161</v>
      </c>
    </row>
    <row r="6" spans="2:2" ht="42">
      <c r="B6" s="9" t="s">
        <v>118</v>
      </c>
    </row>
    <row r="7" spans="2:2" ht="22">
      <c r="B7" s="44" t="s">
        <v>162</v>
      </c>
    </row>
    <row r="8" spans="2:2" ht="64">
      <c r="B8" s="9" t="s">
        <v>181</v>
      </c>
    </row>
    <row r="9" spans="2:2" ht="22">
      <c r="B9" s="44" t="s">
        <v>163</v>
      </c>
    </row>
    <row r="10" spans="2:2" ht="42">
      <c r="B10" s="9" t="s">
        <v>119</v>
      </c>
    </row>
    <row r="11" spans="2:2" ht="22">
      <c r="B11" s="44" t="s">
        <v>164</v>
      </c>
    </row>
    <row r="12" spans="2:2" ht="105">
      <c r="B12" s="9" t="s">
        <v>120</v>
      </c>
    </row>
    <row r="13" spans="2:2" ht="22">
      <c r="B13" s="44" t="s">
        <v>165</v>
      </c>
    </row>
    <row r="14" spans="2:2" ht="84">
      <c r="B14" s="9" t="s">
        <v>121</v>
      </c>
    </row>
    <row r="15" spans="2:2" ht="22">
      <c r="B15" s="44" t="s">
        <v>166</v>
      </c>
    </row>
    <row r="16" spans="2:2" ht="168">
      <c r="B16" s="9" t="s">
        <v>122</v>
      </c>
    </row>
    <row r="17" spans="2:2" ht="22">
      <c r="B17" s="44" t="s">
        <v>167</v>
      </c>
    </row>
    <row r="18" spans="2:2" ht="42">
      <c r="B18" s="9" t="s">
        <v>123</v>
      </c>
    </row>
    <row r="19" spans="2:2" ht="22">
      <c r="B19" s="44" t="s">
        <v>168</v>
      </c>
    </row>
    <row r="20" spans="2:2" ht="105">
      <c r="B20" s="9" t="s">
        <v>124</v>
      </c>
    </row>
    <row r="21" spans="2:2" ht="22">
      <c r="B21" s="44" t="s">
        <v>169</v>
      </c>
    </row>
    <row r="22" spans="2:2" ht="63">
      <c r="B22" s="9" t="s">
        <v>125</v>
      </c>
    </row>
    <row r="23" spans="2:2" ht="22">
      <c r="B23" s="44" t="s">
        <v>170</v>
      </c>
    </row>
    <row r="24" spans="2:2" ht="210">
      <c r="B24" s="9" t="s">
        <v>126</v>
      </c>
    </row>
    <row r="25" spans="2:2" ht="22">
      <c r="B25" s="44" t="s">
        <v>171</v>
      </c>
    </row>
    <row r="26" spans="2:2" ht="147">
      <c r="B26" s="9" t="s">
        <v>127</v>
      </c>
    </row>
    <row r="27" spans="2:2" ht="22">
      <c r="B27" s="44" t="s">
        <v>172</v>
      </c>
    </row>
    <row r="28" spans="2:2" ht="42">
      <c r="B28" s="9" t="s">
        <v>128</v>
      </c>
    </row>
    <row r="29" spans="2:2" ht="22">
      <c r="B29" s="44" t="s">
        <v>173</v>
      </c>
    </row>
    <row r="30" spans="2:2" ht="42">
      <c r="B30" s="9" t="s">
        <v>129</v>
      </c>
    </row>
  </sheetData>
  <sheetProtection algorithmName="SHA-512" hashValue="16lh0SMdOYpgz3mnq1FR8VPhkQB9WkH38CSEnYhumJ7oOgzraD5PFwCtlNgfhiodXtWpUFbS52RGhhbDqUMGuw==" saltValue="TscPftiJMrKjkcTdY+qO4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election activeCell="C4" sqref="C4"/>
    </sheetView>
  </sheetViews>
  <sheetFormatPr baseColWidth="10" defaultRowHeight="20"/>
  <cols>
    <col min="1" max="1" width="10.83203125" style="51"/>
    <col min="2" max="2" width="141.5" style="10" customWidth="1"/>
    <col min="3" max="3" width="40.83203125" style="13" customWidth="1"/>
    <col min="4" max="16384" width="10.83203125" style="51"/>
  </cols>
  <sheetData>
    <row r="2" spans="2:3" ht="22">
      <c r="B2" s="8" t="s">
        <v>130</v>
      </c>
      <c r="C2" s="11"/>
    </row>
    <row r="3" spans="2:3" ht="22">
      <c r="B3" s="43" t="s">
        <v>151</v>
      </c>
      <c r="C3" s="11"/>
    </row>
    <row r="4" spans="2:3" ht="210">
      <c r="B4" s="12" t="s">
        <v>131</v>
      </c>
      <c r="C4" s="50"/>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zoomScaleNormal="100" workbookViewId="0">
      <selection activeCell="D24" sqref="D24"/>
    </sheetView>
  </sheetViews>
  <sheetFormatPr baseColWidth="10" defaultRowHeight="19"/>
  <cols>
    <col min="1" max="1" width="3.5" style="15" customWidth="1"/>
    <col min="2" max="2" width="74.6640625" style="15" customWidth="1"/>
    <col min="3" max="4" width="29.1640625" style="15" customWidth="1"/>
    <col min="5" max="5" width="30.33203125" style="15" bestFit="1" customWidth="1"/>
    <col min="6" max="6" width="29.1640625" style="15" customWidth="1"/>
    <col min="7" max="7" width="38.33203125" style="15" customWidth="1"/>
    <col min="8" max="8" width="10.83203125" style="3" customWidth="1"/>
    <col min="9" max="16384" width="10.83203125" style="3"/>
  </cols>
  <sheetData>
    <row r="1" spans="1:7" ht="26" customHeight="1">
      <c r="B1" s="14" t="s">
        <v>236</v>
      </c>
    </row>
    <row r="2" spans="1:7" ht="26" customHeight="1">
      <c r="A2" s="15">
        <v>1</v>
      </c>
      <c r="B2" s="16" t="s">
        <v>132</v>
      </c>
      <c r="C2" s="17">
        <v>45796</v>
      </c>
    </row>
    <row r="3" spans="1:7" ht="26" customHeight="1">
      <c r="A3" s="15">
        <v>2</v>
      </c>
      <c r="B3" s="16" t="s">
        <v>14</v>
      </c>
      <c r="C3" s="18" t="s">
        <v>320</v>
      </c>
    </row>
    <row r="4" spans="1:7" ht="26" customHeight="1">
      <c r="A4" s="15">
        <v>3</v>
      </c>
      <c r="B4" s="16" t="s">
        <v>13</v>
      </c>
      <c r="C4" s="18" t="s">
        <v>320</v>
      </c>
      <c r="E4" s="19"/>
    </row>
    <row r="5" spans="1:7" ht="26" customHeight="1">
      <c r="A5" s="15">
        <v>4</v>
      </c>
      <c r="B5" s="16" t="s">
        <v>133</v>
      </c>
      <c r="C5" s="18" t="s">
        <v>321</v>
      </c>
      <c r="E5" s="19"/>
    </row>
    <row r="6" spans="1:7" ht="26" customHeight="1">
      <c r="A6" s="15">
        <v>5</v>
      </c>
      <c r="B6" s="16" t="s">
        <v>0</v>
      </c>
      <c r="C6" s="20" t="s">
        <v>322</v>
      </c>
      <c r="E6" s="19"/>
    </row>
    <row r="7" spans="1:7" ht="26" customHeight="1">
      <c r="A7" s="15">
        <v>6</v>
      </c>
      <c r="B7" s="16" t="s">
        <v>1</v>
      </c>
      <c r="C7" s="18" t="s">
        <v>105</v>
      </c>
      <c r="E7" s="19"/>
    </row>
    <row r="8" spans="1:7" ht="26" customHeight="1">
      <c r="A8" s="15">
        <v>7</v>
      </c>
      <c r="B8" s="16" t="s">
        <v>2</v>
      </c>
      <c r="C8" s="18" t="s">
        <v>323</v>
      </c>
    </row>
    <row r="9" spans="1:7" ht="26" customHeight="1">
      <c r="A9" s="15">
        <v>8</v>
      </c>
      <c r="B9" s="16" t="s">
        <v>134</v>
      </c>
      <c r="C9" s="18"/>
    </row>
    <row r="10" spans="1:7" ht="26" customHeight="1">
      <c r="A10" s="15">
        <v>9</v>
      </c>
      <c r="B10" s="16" t="s">
        <v>5</v>
      </c>
      <c r="C10" s="18">
        <v>475</v>
      </c>
    </row>
    <row r="11" spans="1:7">
      <c r="A11" s="15">
        <v>10</v>
      </c>
      <c r="B11" s="16" t="s">
        <v>3</v>
      </c>
      <c r="C11" s="18">
        <v>2008</v>
      </c>
    </row>
    <row r="12" spans="1:7">
      <c r="A12" s="15">
        <v>11</v>
      </c>
      <c r="B12" s="16" t="s">
        <v>4</v>
      </c>
      <c r="C12" s="18">
        <v>2024</v>
      </c>
      <c r="F12" s="21"/>
    </row>
    <row r="15" spans="1:7" ht="40">
      <c r="B15" s="24" t="s">
        <v>135</v>
      </c>
      <c r="C15" s="25" t="s">
        <v>136</v>
      </c>
      <c r="D15" s="25" t="s">
        <v>19</v>
      </c>
      <c r="E15" s="25" t="s">
        <v>112</v>
      </c>
      <c r="F15" s="25" t="s">
        <v>20</v>
      </c>
      <c r="G15" s="26" t="s">
        <v>137</v>
      </c>
    </row>
    <row r="16" spans="1:7" ht="40">
      <c r="B16" s="27" t="s">
        <v>21</v>
      </c>
      <c r="C16" s="18" t="s">
        <v>324</v>
      </c>
      <c r="D16" s="18" t="s">
        <v>325</v>
      </c>
      <c r="E16" s="18" t="s">
        <v>326</v>
      </c>
      <c r="F16" s="20" t="s">
        <v>327</v>
      </c>
      <c r="G16" s="28" t="s">
        <v>328</v>
      </c>
    </row>
    <row r="17" spans="2:7" ht="40">
      <c r="B17" s="27" t="s">
        <v>138</v>
      </c>
      <c r="C17" s="18" t="s">
        <v>324</v>
      </c>
      <c r="D17" s="18" t="s">
        <v>325</v>
      </c>
      <c r="E17" s="18" t="s">
        <v>326</v>
      </c>
      <c r="F17" s="20" t="s">
        <v>327</v>
      </c>
      <c r="G17" s="28" t="s">
        <v>328</v>
      </c>
    </row>
    <row r="18" spans="2:7" ht="20">
      <c r="B18" s="27" t="s">
        <v>139</v>
      </c>
      <c r="C18" s="18" t="s">
        <v>331</v>
      </c>
      <c r="D18" s="18" t="s">
        <v>335</v>
      </c>
      <c r="E18" s="18" t="s">
        <v>68</v>
      </c>
      <c r="F18" s="20" t="s">
        <v>336</v>
      </c>
      <c r="G18" s="28" t="s">
        <v>337</v>
      </c>
    </row>
    <row r="19" spans="2:7" ht="20">
      <c r="B19" s="27" t="s">
        <v>140</v>
      </c>
      <c r="C19" s="18" t="s">
        <v>330</v>
      </c>
      <c r="D19" s="18" t="s">
        <v>338</v>
      </c>
      <c r="E19" s="18" t="s">
        <v>326</v>
      </c>
      <c r="F19" s="20" t="s">
        <v>339</v>
      </c>
      <c r="G19" s="28" t="s">
        <v>340</v>
      </c>
    </row>
    <row r="20" spans="2:7" ht="20">
      <c r="B20" s="29" t="s">
        <v>141</v>
      </c>
      <c r="C20" s="22" t="s">
        <v>329</v>
      </c>
      <c r="D20" s="22" t="s">
        <v>341</v>
      </c>
      <c r="E20" s="18" t="s">
        <v>68</v>
      </c>
      <c r="F20" s="23" t="s">
        <v>344</v>
      </c>
      <c r="G20" s="28" t="s">
        <v>347</v>
      </c>
    </row>
    <row r="21" spans="2:7" ht="20">
      <c r="B21" s="27" t="s">
        <v>142</v>
      </c>
      <c r="C21" s="18" t="s">
        <v>332</v>
      </c>
      <c r="D21" s="18" t="s">
        <v>342</v>
      </c>
      <c r="E21" s="18" t="s">
        <v>68</v>
      </c>
      <c r="F21" s="20" t="s">
        <v>343</v>
      </c>
      <c r="G21" s="28" t="s">
        <v>348</v>
      </c>
    </row>
    <row r="22" spans="2:7" ht="51">
      <c r="B22" s="27" t="s">
        <v>143</v>
      </c>
      <c r="C22" s="18" t="s">
        <v>333</v>
      </c>
      <c r="D22" s="22" t="s">
        <v>345</v>
      </c>
      <c r="E22" s="18" t="s">
        <v>68</v>
      </c>
      <c r="F22" s="20" t="s">
        <v>346</v>
      </c>
      <c r="G22" s="28" t="s">
        <v>349</v>
      </c>
    </row>
    <row r="23" spans="2:7" ht="20">
      <c r="B23" s="27" t="s">
        <v>144</v>
      </c>
      <c r="C23" s="18" t="s">
        <v>334</v>
      </c>
      <c r="D23" s="22" t="s">
        <v>350</v>
      </c>
      <c r="E23" s="18" t="s">
        <v>68</v>
      </c>
      <c r="F23" s="20" t="s">
        <v>351</v>
      </c>
      <c r="G23" s="28" t="s">
        <v>352</v>
      </c>
    </row>
    <row r="24" spans="2:7">
      <c r="B24" s="27" t="s">
        <v>212</v>
      </c>
      <c r="C24" s="18"/>
      <c r="D24" s="18"/>
      <c r="E24" s="18"/>
      <c r="F24" s="20"/>
      <c r="G24" s="28"/>
    </row>
    <row r="25" spans="2:7">
      <c r="B25" s="27" t="s">
        <v>212</v>
      </c>
      <c r="C25" s="30"/>
      <c r="D25" s="30"/>
      <c r="E25" s="30"/>
      <c r="F25" s="31"/>
      <c r="G25" s="32"/>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topLeftCell="B1" zoomScaleNormal="100" workbookViewId="0">
      <selection activeCell="H6" sqref="H6"/>
    </sheetView>
  </sheetViews>
  <sheetFormatPr baseColWidth="10" defaultRowHeight="16"/>
  <cols>
    <col min="1" max="1" width="4.83203125" customWidth="1"/>
    <col min="2" max="2" width="53.83203125" customWidth="1"/>
    <col min="3" max="8" width="28.1640625" customWidth="1"/>
    <col min="9" max="16384" width="10.83203125" style="1"/>
  </cols>
  <sheetData>
    <row r="1" spans="2:9" ht="51" customHeight="1">
      <c r="B1" s="14" t="s">
        <v>213</v>
      </c>
    </row>
    <row r="2" spans="2:9" ht="51" customHeight="1">
      <c r="B2" s="16" t="s">
        <v>145</v>
      </c>
      <c r="C2" s="16">
        <v>2022</v>
      </c>
      <c r="D2" s="16">
        <v>2023</v>
      </c>
      <c r="E2" s="16">
        <v>2024</v>
      </c>
      <c r="F2" s="16" t="s">
        <v>210</v>
      </c>
      <c r="G2" s="16" t="s">
        <v>146</v>
      </c>
      <c r="H2" s="16" t="s">
        <v>147</v>
      </c>
    </row>
    <row r="3" spans="2:9" ht="51" customHeight="1">
      <c r="B3" s="33" t="s">
        <v>9</v>
      </c>
      <c r="C3" s="61"/>
      <c r="D3" s="61"/>
      <c r="E3" s="61"/>
      <c r="F3" s="61"/>
      <c r="G3" s="61"/>
      <c r="H3" s="61"/>
    </row>
    <row r="4" spans="2:9" ht="51" customHeight="1">
      <c r="B4" s="33" t="s">
        <v>10</v>
      </c>
      <c r="C4" s="61">
        <v>13.2</v>
      </c>
      <c r="D4" s="61">
        <v>32.92</v>
      </c>
      <c r="E4" s="61">
        <v>16.239999999999998</v>
      </c>
      <c r="F4" s="61">
        <v>25</v>
      </c>
      <c r="G4" s="61">
        <v>33</v>
      </c>
      <c r="H4" s="61">
        <v>45</v>
      </c>
      <c r="I4" s="4"/>
    </row>
    <row r="5" spans="2:9" ht="51" customHeight="1">
      <c r="B5" s="33" t="s">
        <v>11</v>
      </c>
      <c r="C5" s="61"/>
      <c r="D5" s="61"/>
      <c r="E5" s="61"/>
      <c r="F5" s="61"/>
      <c r="G5" s="61">
        <v>2</v>
      </c>
      <c r="H5" s="61">
        <f>3*G5</f>
        <v>6</v>
      </c>
      <c r="I5" s="4" t="s">
        <v>18</v>
      </c>
    </row>
    <row r="6" spans="2:9" ht="51" customHeight="1">
      <c r="B6" s="33" t="s">
        <v>287</v>
      </c>
      <c r="C6" s="61">
        <v>0.01</v>
      </c>
      <c r="D6" s="61">
        <v>0.01</v>
      </c>
      <c r="E6" s="61">
        <v>0.01</v>
      </c>
      <c r="F6" s="61">
        <v>1.8</v>
      </c>
      <c r="G6" s="61">
        <f>F6*3</f>
        <v>5.4</v>
      </c>
      <c r="H6" s="61">
        <f>1.5*G6</f>
        <v>8.1000000000000014</v>
      </c>
      <c r="I6" s="2" t="s">
        <v>150</v>
      </c>
    </row>
    <row r="8" spans="2:9" ht="19">
      <c r="B8" s="16" t="s">
        <v>145</v>
      </c>
      <c r="C8" s="16">
        <v>2023</v>
      </c>
      <c r="D8" s="16">
        <v>2023</v>
      </c>
      <c r="E8" s="16">
        <v>2024</v>
      </c>
      <c r="F8" s="16" t="s">
        <v>210</v>
      </c>
      <c r="G8" s="16" t="s">
        <v>146</v>
      </c>
      <c r="H8" s="16" t="s">
        <v>147</v>
      </c>
    </row>
    <row r="9" spans="2:9" ht="19">
      <c r="B9" s="33" t="s">
        <v>148</v>
      </c>
      <c r="C9" s="62">
        <v>7.1529999999999996</v>
      </c>
      <c r="D9" s="62">
        <v>7.89</v>
      </c>
      <c r="E9" s="62">
        <v>4.6399999999999997</v>
      </c>
      <c r="F9" s="62">
        <v>5.8</v>
      </c>
      <c r="G9" s="62">
        <v>7.71</v>
      </c>
      <c r="H9" s="62">
        <v>10.51</v>
      </c>
    </row>
    <row r="10" spans="2:9" ht="19">
      <c r="B10" s="33" t="s">
        <v>149</v>
      </c>
      <c r="C10" s="62">
        <v>2.42</v>
      </c>
      <c r="D10" s="62">
        <v>4.01</v>
      </c>
      <c r="E10" s="62">
        <v>1.61</v>
      </c>
      <c r="F10" s="62">
        <v>2.7</v>
      </c>
      <c r="G10" s="62">
        <v>3.55</v>
      </c>
      <c r="H10" s="62">
        <v>4.84</v>
      </c>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opLeftCell="A9" zoomScaleNormal="100" workbookViewId="0">
      <selection activeCell="D19" sqref="D19:H19"/>
    </sheetView>
  </sheetViews>
  <sheetFormatPr baseColWidth="10" defaultColWidth="10.83203125" defaultRowHeight="26" customHeight="1"/>
  <cols>
    <col min="1" max="1" width="6.1640625" style="66" customWidth="1"/>
    <col min="2" max="2" width="59" style="35" customWidth="1"/>
    <col min="3" max="3" width="38.5" style="3" customWidth="1"/>
    <col min="4" max="8" width="38.5" style="6" customWidth="1"/>
    <col min="9" max="11" width="29.1640625" style="3" customWidth="1"/>
    <col min="12" max="16384" width="10.83203125" style="3"/>
  </cols>
  <sheetData>
    <row r="1" spans="1:8" s="15" customFormat="1" ht="51" customHeight="1">
      <c r="A1" s="64"/>
      <c r="B1" s="34" t="s">
        <v>296</v>
      </c>
    </row>
    <row r="2" spans="1:8" s="35" customFormat="1" ht="56" customHeight="1">
      <c r="A2" s="65"/>
      <c r="B2" s="16"/>
      <c r="C2" s="16" t="s">
        <v>15</v>
      </c>
      <c r="D2" s="36" t="s">
        <v>107</v>
      </c>
      <c r="E2" s="36" t="s">
        <v>108</v>
      </c>
      <c r="F2" s="36" t="s">
        <v>109</v>
      </c>
      <c r="G2" s="36" t="s">
        <v>110</v>
      </c>
      <c r="H2" s="36" t="s">
        <v>111</v>
      </c>
    </row>
    <row r="3" spans="1:8" ht="60" customHeight="1">
      <c r="A3" s="66">
        <v>1</v>
      </c>
      <c r="B3" s="16" t="s">
        <v>152</v>
      </c>
      <c r="C3" s="37" t="s">
        <v>362</v>
      </c>
      <c r="D3" s="37" t="s">
        <v>357</v>
      </c>
      <c r="E3" s="37" t="s">
        <v>359</v>
      </c>
      <c r="F3" s="18" t="s">
        <v>360</v>
      </c>
      <c r="G3" s="18"/>
      <c r="H3" s="18"/>
    </row>
    <row r="4" spans="1:8" ht="60" customHeight="1">
      <c r="A4" s="66">
        <v>2</v>
      </c>
      <c r="B4" s="16" t="s">
        <v>153</v>
      </c>
      <c r="C4" s="18" t="s">
        <v>353</v>
      </c>
      <c r="D4" s="18" t="s">
        <v>358</v>
      </c>
      <c r="E4" s="18" t="s">
        <v>358</v>
      </c>
      <c r="F4" s="18" t="s">
        <v>358</v>
      </c>
      <c r="G4" s="53"/>
      <c r="H4" s="18"/>
    </row>
    <row r="5" spans="1:8" ht="60" customHeight="1">
      <c r="A5" s="66">
        <v>3</v>
      </c>
      <c r="B5" s="16" t="s">
        <v>154</v>
      </c>
      <c r="C5" s="18" t="s">
        <v>354</v>
      </c>
      <c r="D5" s="18" t="s">
        <v>364</v>
      </c>
      <c r="E5" s="18" t="s">
        <v>364</v>
      </c>
      <c r="F5" s="18" t="s">
        <v>363</v>
      </c>
      <c r="G5" s="18"/>
      <c r="H5" s="18"/>
    </row>
    <row r="6" spans="1:8" ht="60" customHeight="1">
      <c r="A6" s="66">
        <v>4</v>
      </c>
      <c r="B6" s="36" t="s">
        <v>155</v>
      </c>
      <c r="C6" s="18" t="s">
        <v>361</v>
      </c>
      <c r="D6" s="18"/>
      <c r="E6" s="18"/>
      <c r="F6" s="18" t="s">
        <v>361</v>
      </c>
      <c r="G6" s="18"/>
      <c r="H6" s="18"/>
    </row>
    <row r="7" spans="1:8" ht="86" customHeight="1">
      <c r="A7" s="66">
        <v>5</v>
      </c>
      <c r="B7" s="36" t="s">
        <v>156</v>
      </c>
      <c r="C7" s="18"/>
      <c r="D7" s="18" t="s">
        <v>369</v>
      </c>
      <c r="E7" s="18" t="s">
        <v>366</v>
      </c>
      <c r="F7" s="18" t="s">
        <v>365</v>
      </c>
      <c r="G7" s="18"/>
      <c r="H7" s="18"/>
    </row>
    <row r="8" spans="1:8" ht="86" customHeight="1">
      <c r="A8" s="66">
        <v>6</v>
      </c>
      <c r="B8" s="36" t="s">
        <v>157</v>
      </c>
      <c r="C8" s="18" t="s">
        <v>355</v>
      </c>
      <c r="D8" s="18" t="s">
        <v>365</v>
      </c>
      <c r="E8" s="18" t="s">
        <v>366</v>
      </c>
      <c r="F8" s="18"/>
      <c r="G8" s="18"/>
      <c r="H8" s="18"/>
    </row>
    <row r="9" spans="1:8" ht="60" customHeight="1">
      <c r="A9" s="66">
        <v>7</v>
      </c>
      <c r="B9" s="16" t="s">
        <v>158</v>
      </c>
      <c r="C9" s="38">
        <v>1580</v>
      </c>
      <c r="D9" s="38">
        <v>2600</v>
      </c>
      <c r="E9" s="39">
        <v>200</v>
      </c>
      <c r="F9" s="39">
        <v>2800</v>
      </c>
      <c r="G9" s="39"/>
      <c r="H9" s="39"/>
    </row>
    <row r="10" spans="1:8" ht="60" customHeight="1">
      <c r="A10" s="66">
        <v>8</v>
      </c>
      <c r="B10" s="36" t="s">
        <v>279</v>
      </c>
      <c r="C10" s="38">
        <v>48</v>
      </c>
      <c r="D10" s="38">
        <v>175</v>
      </c>
      <c r="E10" s="39">
        <v>20</v>
      </c>
      <c r="F10" s="39">
        <v>200</v>
      </c>
      <c r="G10" s="39"/>
      <c r="H10" s="39"/>
    </row>
    <row r="11" spans="1:8" ht="60" customHeight="1">
      <c r="A11" s="66">
        <v>9</v>
      </c>
      <c r="B11" s="36" t="s">
        <v>208</v>
      </c>
      <c r="C11" s="18"/>
      <c r="D11" s="18"/>
      <c r="E11" s="18"/>
      <c r="F11" s="18">
        <v>110</v>
      </c>
      <c r="G11" s="18"/>
      <c r="H11" s="18"/>
    </row>
    <row r="12" spans="1:8" ht="60" customHeight="1">
      <c r="A12" s="66">
        <v>10</v>
      </c>
      <c r="B12" s="36" t="s">
        <v>207</v>
      </c>
      <c r="C12" s="18"/>
      <c r="D12" s="18"/>
      <c r="E12" s="18"/>
      <c r="F12" s="18">
        <v>160</v>
      </c>
      <c r="G12" s="18"/>
      <c r="H12" s="18"/>
    </row>
    <row r="13" spans="1:8" ht="60" customHeight="1">
      <c r="A13" s="66">
        <v>11</v>
      </c>
      <c r="B13" s="36" t="s">
        <v>280</v>
      </c>
      <c r="C13" s="18"/>
      <c r="D13" s="76">
        <v>3000000</v>
      </c>
      <c r="E13" s="18"/>
      <c r="F13" s="76">
        <v>5000000</v>
      </c>
      <c r="G13" s="18"/>
      <c r="H13" s="18"/>
    </row>
    <row r="14" spans="1:8" ht="60" customHeight="1">
      <c r="A14" s="66">
        <v>12</v>
      </c>
      <c r="B14" s="36" t="s">
        <v>205</v>
      </c>
      <c r="C14" s="18" t="s">
        <v>37</v>
      </c>
      <c r="D14" s="18" t="s">
        <v>37</v>
      </c>
      <c r="E14" s="18" t="s">
        <v>37</v>
      </c>
      <c r="F14" s="18" t="s">
        <v>36</v>
      </c>
      <c r="G14" s="18"/>
      <c r="H14" s="18"/>
    </row>
    <row r="15" spans="1:8" ht="60" customHeight="1">
      <c r="A15" s="66">
        <v>13</v>
      </c>
      <c r="B15" s="36" t="s">
        <v>283</v>
      </c>
      <c r="C15" s="18" t="s">
        <v>37</v>
      </c>
      <c r="D15" s="18" t="s">
        <v>37</v>
      </c>
      <c r="E15" s="18" t="s">
        <v>37</v>
      </c>
      <c r="F15" s="18" t="s">
        <v>36</v>
      </c>
      <c r="G15" s="18"/>
      <c r="H15" s="18"/>
    </row>
    <row r="16" spans="1:8" ht="60" customHeight="1">
      <c r="A16" s="66">
        <v>14</v>
      </c>
      <c r="B16" s="36" t="s">
        <v>206</v>
      </c>
      <c r="C16" s="18" t="s">
        <v>356</v>
      </c>
      <c r="D16" s="18" t="s">
        <v>367</v>
      </c>
      <c r="E16" s="18" t="s">
        <v>368</v>
      </c>
      <c r="F16" s="18" t="s">
        <v>368</v>
      </c>
      <c r="G16" s="18"/>
      <c r="H16" s="18"/>
    </row>
    <row r="18" spans="1:8" ht="61" customHeight="1">
      <c r="A18" s="66">
        <v>15</v>
      </c>
      <c r="B18" s="80" t="s">
        <v>229</v>
      </c>
      <c r="C18" s="80"/>
      <c r="D18" s="81" t="s">
        <v>379</v>
      </c>
      <c r="E18" s="82"/>
      <c r="F18" s="82"/>
      <c r="G18" s="82"/>
      <c r="H18" s="83"/>
    </row>
    <row r="19" spans="1:8" ht="61" customHeight="1">
      <c r="A19" s="66">
        <v>16</v>
      </c>
      <c r="B19" s="80" t="s">
        <v>215</v>
      </c>
      <c r="C19" s="80"/>
      <c r="D19" s="81" t="s">
        <v>370</v>
      </c>
      <c r="E19" s="82"/>
      <c r="F19" s="82"/>
      <c r="G19" s="82"/>
      <c r="H19" s="83"/>
    </row>
    <row r="20" spans="1:8" ht="61" customHeight="1">
      <c r="A20" s="66">
        <v>17</v>
      </c>
      <c r="B20" s="80" t="s">
        <v>202</v>
      </c>
      <c r="C20" s="80"/>
      <c r="D20" s="81" t="s">
        <v>371</v>
      </c>
      <c r="E20" s="82"/>
      <c r="F20" s="82"/>
      <c r="G20" s="82"/>
      <c r="H20" s="83"/>
    </row>
    <row r="21" spans="1:8" ht="61" customHeight="1">
      <c r="A21" s="66">
        <v>18</v>
      </c>
      <c r="B21" s="80" t="s">
        <v>159</v>
      </c>
      <c r="C21" s="80"/>
      <c r="D21" s="81" t="s">
        <v>372</v>
      </c>
      <c r="E21" s="82"/>
      <c r="F21" s="82"/>
      <c r="G21" s="82"/>
      <c r="H21" s="83"/>
    </row>
    <row r="22" spans="1:8" ht="61" customHeight="1">
      <c r="A22" s="66">
        <v>19</v>
      </c>
      <c r="B22" s="80" t="s">
        <v>203</v>
      </c>
      <c r="C22" s="80"/>
      <c r="D22" s="81" t="s">
        <v>373</v>
      </c>
      <c r="E22" s="82"/>
      <c r="F22" s="82"/>
      <c r="G22" s="82"/>
      <c r="H22" s="83"/>
    </row>
    <row r="23" spans="1:8" ht="61" customHeight="1">
      <c r="A23" s="66">
        <v>20</v>
      </c>
      <c r="B23" s="84" t="s">
        <v>227</v>
      </c>
      <c r="C23" s="85"/>
      <c r="D23" s="40" t="s">
        <v>374</v>
      </c>
      <c r="E23" s="41" t="s">
        <v>376</v>
      </c>
      <c r="F23" s="41" t="s">
        <v>375</v>
      </c>
      <c r="G23" s="41"/>
      <c r="H23" s="42"/>
    </row>
    <row r="24" spans="1:8" ht="61" customHeight="1">
      <c r="A24" s="66">
        <v>21</v>
      </c>
      <c r="B24" s="84" t="s">
        <v>228</v>
      </c>
      <c r="C24" s="85"/>
      <c r="D24" s="40" t="s">
        <v>377</v>
      </c>
      <c r="E24" s="41"/>
      <c r="F24" s="41"/>
      <c r="G24" s="41"/>
      <c r="H24" s="42"/>
    </row>
    <row r="25" spans="1:8" ht="187.75" customHeight="1">
      <c r="A25" s="66">
        <v>22</v>
      </c>
      <c r="B25" s="80" t="s">
        <v>204</v>
      </c>
      <c r="C25" s="80"/>
      <c r="D25" s="81" t="s">
        <v>378</v>
      </c>
      <c r="E25" s="82"/>
      <c r="F25" s="82"/>
      <c r="G25" s="82"/>
      <c r="H25" s="83"/>
    </row>
    <row r="26" spans="1:8" ht="61" customHeight="1"/>
    <row r="27" spans="1:8" ht="61" customHeight="1"/>
    <row r="28" spans="1:8" ht="61" customHeight="1"/>
    <row r="29" spans="1:8" ht="61" customHeight="1"/>
  </sheetData>
  <sheetProtection algorithmName="SHA-512" hashValue="MfMEAblZjKBqAPX9VPQm6sFACoYf1wgSCXTunSYdqxnUDVIBn7Ehzs0RsgzyRvt0O5q+B8a8sVj/VubePBmZ+w==" saltValue="i4XABQq/CBPEu2Kvm2yl+A==" spinCount="100000" sheet="1" selectLockedCells="1"/>
  <mergeCells count="14">
    <mergeCell ref="B21:C21"/>
    <mergeCell ref="D21:H21"/>
    <mergeCell ref="B22:C22"/>
    <mergeCell ref="D22:H22"/>
    <mergeCell ref="B25:C25"/>
    <mergeCell ref="D25:H25"/>
    <mergeCell ref="B24:C24"/>
    <mergeCell ref="B23:C23"/>
    <mergeCell ref="B18:C18"/>
    <mergeCell ref="D18:H18"/>
    <mergeCell ref="B19:C19"/>
    <mergeCell ref="D19:H19"/>
    <mergeCell ref="B20:C20"/>
    <mergeCell ref="D20:H20"/>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Normal="100" workbookViewId="0">
      <selection activeCell="C5" sqref="C5"/>
    </sheetView>
  </sheetViews>
  <sheetFormatPr baseColWidth="10" defaultRowHeight="50" customHeight="1"/>
  <cols>
    <col min="1" max="1" width="5.1640625" style="3" customWidth="1"/>
    <col min="2" max="2" width="53.1640625" style="3" customWidth="1"/>
    <col min="3" max="10" width="32.6640625" style="3" customWidth="1"/>
    <col min="11" max="16384" width="10.83203125" style="3"/>
  </cols>
  <sheetData>
    <row r="1" spans="2:10" ht="50" customHeight="1">
      <c r="B1" s="45" t="s">
        <v>297</v>
      </c>
    </row>
    <row r="2" spans="2:10" ht="50" customHeight="1">
      <c r="B2" s="46"/>
      <c r="C2" s="47" t="s">
        <v>6</v>
      </c>
      <c r="D2" s="47" t="s">
        <v>7</v>
      </c>
      <c r="E2" s="47" t="s">
        <v>8</v>
      </c>
      <c r="F2" s="47" t="s">
        <v>16</v>
      </c>
      <c r="G2" s="47" t="s">
        <v>17</v>
      </c>
      <c r="H2" s="47" t="s">
        <v>182</v>
      </c>
      <c r="I2" s="47" t="s">
        <v>217</v>
      </c>
      <c r="J2" s="47" t="s">
        <v>218</v>
      </c>
    </row>
    <row r="3" spans="2:10" ht="50" customHeight="1">
      <c r="B3" s="47" t="s">
        <v>183</v>
      </c>
      <c r="C3" s="73" t="s">
        <v>326</v>
      </c>
      <c r="D3" s="73" t="s">
        <v>68</v>
      </c>
      <c r="E3" s="73"/>
      <c r="F3" s="73"/>
      <c r="G3" s="73"/>
      <c r="H3" s="73"/>
      <c r="I3" s="73"/>
      <c r="J3" s="73"/>
    </row>
    <row r="4" spans="2:10" ht="50" customHeight="1">
      <c r="B4" s="48" t="s">
        <v>265</v>
      </c>
      <c r="C4" s="73"/>
      <c r="D4" s="73"/>
      <c r="E4" s="73"/>
      <c r="F4" s="73"/>
      <c r="G4" s="73"/>
      <c r="H4" s="73"/>
      <c r="I4" s="73"/>
      <c r="J4" s="73"/>
    </row>
    <row r="5" spans="2:10" ht="50" customHeight="1">
      <c r="B5" s="48" t="s">
        <v>264</v>
      </c>
      <c r="C5" s="73">
        <v>14</v>
      </c>
      <c r="D5" s="73">
        <v>20</v>
      </c>
      <c r="E5" s="73"/>
      <c r="F5" s="73"/>
      <c r="G5" s="73"/>
      <c r="H5" s="73"/>
      <c r="I5" s="73"/>
      <c r="J5" s="73"/>
    </row>
    <row r="6" spans="2:10" ht="50" customHeight="1">
      <c r="B6" s="48" t="s">
        <v>266</v>
      </c>
      <c r="C6" s="73">
        <v>4</v>
      </c>
      <c r="D6" s="73">
        <v>10</v>
      </c>
      <c r="E6" s="73"/>
      <c r="F6" s="73"/>
      <c r="G6" s="73"/>
      <c r="H6" s="73"/>
      <c r="I6" s="73"/>
      <c r="J6" s="73"/>
    </row>
    <row r="7" spans="2:10" ht="50" customHeight="1">
      <c r="B7" s="48" t="s">
        <v>267</v>
      </c>
      <c r="C7" s="73"/>
      <c r="D7" s="73"/>
      <c r="E7" s="73"/>
      <c r="F7" s="73"/>
      <c r="G7" s="73"/>
      <c r="H7" s="73"/>
      <c r="I7" s="73"/>
      <c r="J7" s="73"/>
    </row>
    <row r="8" spans="2:10" ht="50" customHeight="1">
      <c r="B8" s="48" t="s">
        <v>216</v>
      </c>
      <c r="C8" s="73" t="s">
        <v>381</v>
      </c>
      <c r="D8" s="73" t="s">
        <v>380</v>
      </c>
      <c r="E8" s="73"/>
      <c r="F8" s="73"/>
      <c r="G8" s="73"/>
      <c r="H8" s="73"/>
      <c r="I8" s="73"/>
      <c r="J8" s="73"/>
    </row>
    <row r="9" spans="2:10" ht="50" customHeight="1">
      <c r="B9" s="48" t="s">
        <v>299</v>
      </c>
      <c r="C9" s="73" t="s">
        <v>381</v>
      </c>
      <c r="D9" s="73" t="s">
        <v>380</v>
      </c>
      <c r="E9" s="73"/>
      <c r="F9" s="73"/>
      <c r="G9" s="73"/>
      <c r="H9" s="73"/>
      <c r="I9" s="73"/>
      <c r="J9" s="73"/>
    </row>
    <row r="10" spans="2:10" ht="50" customHeight="1">
      <c r="B10" s="67" t="s">
        <v>293</v>
      </c>
      <c r="C10" s="73" t="s">
        <v>382</v>
      </c>
      <c r="D10" s="73" t="s">
        <v>383</v>
      </c>
      <c r="E10" s="73"/>
      <c r="F10" s="73"/>
      <c r="G10" s="73"/>
      <c r="H10" s="73"/>
      <c r="I10" s="73"/>
      <c r="J10" s="73"/>
    </row>
    <row r="11" spans="2:10" ht="50" customHeight="1">
      <c r="B11" s="48" t="s">
        <v>106</v>
      </c>
      <c r="C11" s="77">
        <v>2</v>
      </c>
      <c r="D11" s="74">
        <v>2</v>
      </c>
      <c r="E11" s="74"/>
      <c r="F11" s="73"/>
      <c r="G11" s="73"/>
      <c r="H11" s="73"/>
      <c r="I11" s="73"/>
      <c r="J11" s="73"/>
    </row>
    <row r="12" spans="2:10" ht="50" customHeight="1">
      <c r="B12" s="48" t="s">
        <v>201</v>
      </c>
      <c r="C12" s="74">
        <v>10</v>
      </c>
      <c r="D12" s="75">
        <v>0.2</v>
      </c>
      <c r="E12" s="75"/>
      <c r="F12" s="75"/>
      <c r="G12" s="75"/>
      <c r="H12" s="75"/>
      <c r="I12" s="75"/>
      <c r="J12" s="75"/>
    </row>
    <row r="14" spans="2:10" ht="50" customHeight="1">
      <c r="B14" s="86" t="s">
        <v>184</v>
      </c>
      <c r="C14" s="86"/>
      <c r="D14" s="86"/>
    </row>
    <row r="15" spans="2:10" ht="50" customHeight="1">
      <c r="B15" s="16" t="s">
        <v>185</v>
      </c>
      <c r="C15" s="86" t="s">
        <v>186</v>
      </c>
      <c r="D15" s="86"/>
    </row>
    <row r="16" spans="2:10" ht="50" customHeight="1">
      <c r="B16" s="49" t="s">
        <v>187</v>
      </c>
      <c r="C16" s="87" t="s">
        <v>188</v>
      </c>
      <c r="D16" s="87"/>
    </row>
    <row r="17" spans="2:4" ht="50" customHeight="1">
      <c r="B17" s="88" t="s">
        <v>189</v>
      </c>
      <c r="C17" s="88" t="s">
        <v>190</v>
      </c>
      <c r="D17" s="88"/>
    </row>
    <row r="18" spans="2:4" ht="50" customHeight="1">
      <c r="B18" s="88"/>
      <c r="C18" s="88" t="s">
        <v>191</v>
      </c>
      <c r="D18" s="88"/>
    </row>
    <row r="19" spans="2:4" ht="50" customHeight="1">
      <c r="B19" s="88"/>
      <c r="C19" s="88" t="s">
        <v>192</v>
      </c>
      <c r="D19" s="88"/>
    </row>
    <row r="20" spans="2:4" ht="50" customHeight="1">
      <c r="B20" s="88"/>
      <c r="C20" s="88" t="s">
        <v>193</v>
      </c>
      <c r="D20" s="88"/>
    </row>
    <row r="21" spans="2:4" ht="50" customHeight="1">
      <c r="B21" s="88" t="s">
        <v>194</v>
      </c>
      <c r="C21" s="88" t="s">
        <v>195</v>
      </c>
      <c r="D21" s="88"/>
    </row>
    <row r="22" spans="2:4" ht="50" customHeight="1">
      <c r="B22" s="88"/>
      <c r="C22" s="88" t="s">
        <v>196</v>
      </c>
      <c r="D22" s="88"/>
    </row>
    <row r="23" spans="2:4" ht="50" customHeight="1">
      <c r="B23" s="88"/>
      <c r="C23" s="88" t="s">
        <v>197</v>
      </c>
      <c r="D23" s="88"/>
    </row>
    <row r="24" spans="2:4" ht="50" customHeight="1">
      <c r="B24" s="88" t="s">
        <v>198</v>
      </c>
      <c r="C24" s="88" t="s">
        <v>199</v>
      </c>
      <c r="D24" s="88"/>
    </row>
    <row r="25" spans="2:4" ht="50" customHeight="1">
      <c r="B25" s="88"/>
      <c r="C25" s="88" t="s">
        <v>200</v>
      </c>
      <c r="D25" s="88"/>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conditionalFormatting sqref="C3:J10 D11:J11 C12: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2 D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B1" zoomScaleNormal="100" workbookViewId="0">
      <selection activeCell="F10" sqref="F10"/>
    </sheetView>
  </sheetViews>
  <sheetFormatPr baseColWidth="10" defaultColWidth="10.83203125" defaultRowHeight="16"/>
  <cols>
    <col min="1" max="1" width="4.1640625" style="1" customWidth="1"/>
    <col min="2" max="2" width="51.5" style="1" customWidth="1"/>
    <col min="3" max="9" width="29.1640625" style="1" customWidth="1"/>
    <col min="10" max="10" width="57.83203125" style="1" customWidth="1"/>
    <col min="11" max="11" width="31.33203125" style="1" bestFit="1" customWidth="1"/>
    <col min="12" max="15" width="29.1640625" style="1" customWidth="1"/>
    <col min="16" max="16384" width="10.83203125" style="1"/>
  </cols>
  <sheetData>
    <row r="1" spans="2:11" ht="67" customHeight="1">
      <c r="B1" s="34" t="s">
        <v>291</v>
      </c>
    </row>
    <row r="2" spans="2:11" ht="67" customHeight="1">
      <c r="B2" s="33"/>
      <c r="C2" s="16">
        <v>2022</v>
      </c>
      <c r="D2" s="16">
        <v>2023</v>
      </c>
      <c r="E2" s="16">
        <v>2024</v>
      </c>
      <c r="F2" s="16" t="s">
        <v>210</v>
      </c>
      <c r="G2" s="16" t="s">
        <v>146</v>
      </c>
      <c r="H2" s="16" t="s">
        <v>147</v>
      </c>
      <c r="I2" s="16" t="s">
        <v>211</v>
      </c>
      <c r="J2" s="16" t="s">
        <v>209</v>
      </c>
    </row>
    <row r="3" spans="2:11" ht="67" customHeight="1">
      <c r="B3" s="16" t="s">
        <v>268</v>
      </c>
      <c r="C3" s="39">
        <v>5</v>
      </c>
      <c r="D3" s="39">
        <v>7</v>
      </c>
      <c r="E3" s="39">
        <v>10</v>
      </c>
      <c r="F3" s="39">
        <v>20</v>
      </c>
      <c r="G3" s="39">
        <v>30</v>
      </c>
      <c r="H3" s="39">
        <v>40</v>
      </c>
      <c r="I3" s="39">
        <v>50</v>
      </c>
      <c r="J3" s="63"/>
    </row>
    <row r="4" spans="2:11" ht="67" customHeight="1">
      <c r="B4" s="36" t="s">
        <v>269</v>
      </c>
      <c r="C4" s="39">
        <v>110</v>
      </c>
      <c r="D4" s="39">
        <v>125</v>
      </c>
      <c r="E4" s="39">
        <v>150</v>
      </c>
      <c r="F4" s="39">
        <v>200</v>
      </c>
      <c r="G4" s="39">
        <v>250</v>
      </c>
      <c r="H4" s="39">
        <v>300</v>
      </c>
      <c r="I4" s="39">
        <v>400</v>
      </c>
      <c r="J4" s="63"/>
    </row>
    <row r="5" spans="2:11" ht="67" customHeight="1">
      <c r="B5" s="16" t="s">
        <v>270</v>
      </c>
      <c r="C5" s="39">
        <v>36</v>
      </c>
      <c r="D5" s="39">
        <v>48</v>
      </c>
      <c r="E5" s="39">
        <v>48</v>
      </c>
      <c r="F5" s="39">
        <v>120</v>
      </c>
      <c r="G5" s="39">
        <v>150</v>
      </c>
      <c r="H5" s="39">
        <v>200</v>
      </c>
      <c r="I5" s="39">
        <v>240</v>
      </c>
      <c r="J5" s="63"/>
    </row>
    <row r="6" spans="2:11" ht="67" customHeight="1">
      <c r="B6" s="16" t="s">
        <v>271</v>
      </c>
      <c r="C6" s="39">
        <v>20</v>
      </c>
      <c r="D6" s="39">
        <v>30</v>
      </c>
      <c r="E6" s="39">
        <v>35</v>
      </c>
      <c r="F6" s="39">
        <v>60</v>
      </c>
      <c r="G6" s="39">
        <v>80</v>
      </c>
      <c r="H6" s="39">
        <v>110</v>
      </c>
      <c r="I6" s="39">
        <v>150</v>
      </c>
      <c r="J6" s="63" t="s">
        <v>384</v>
      </c>
      <c r="K6" s="4" t="s">
        <v>219</v>
      </c>
    </row>
    <row r="7" spans="2:11" ht="67" customHeight="1">
      <c r="B7" s="16" t="s">
        <v>272</v>
      </c>
      <c r="C7" s="39">
        <v>3</v>
      </c>
      <c r="D7" s="39">
        <v>5</v>
      </c>
      <c r="E7" s="39">
        <v>5</v>
      </c>
      <c r="F7" s="39">
        <v>10</v>
      </c>
      <c r="G7" s="39">
        <v>14</v>
      </c>
      <c r="H7" s="39">
        <v>25</v>
      </c>
      <c r="I7" s="39">
        <v>30</v>
      </c>
      <c r="J7" s="63"/>
    </row>
    <row r="8" spans="2:11" ht="67" customHeight="1">
      <c r="B8" s="16" t="s">
        <v>273</v>
      </c>
      <c r="C8" s="39">
        <v>3</v>
      </c>
      <c r="D8" s="39">
        <v>3</v>
      </c>
      <c r="E8" s="39">
        <v>3</v>
      </c>
      <c r="F8" s="39">
        <v>10</v>
      </c>
      <c r="G8" s="39">
        <v>15</v>
      </c>
      <c r="H8" s="39">
        <v>20</v>
      </c>
      <c r="I8" s="39">
        <v>30</v>
      </c>
      <c r="J8" s="63"/>
    </row>
    <row r="9" spans="2:11" ht="67" customHeight="1">
      <c r="B9" s="16" t="s">
        <v>274</v>
      </c>
      <c r="C9" s="39">
        <v>3</v>
      </c>
      <c r="D9" s="39">
        <v>3</v>
      </c>
      <c r="E9" s="39">
        <v>3</v>
      </c>
      <c r="F9" s="39">
        <v>6</v>
      </c>
      <c r="G9" s="39">
        <v>10</v>
      </c>
      <c r="H9" s="39">
        <v>15</v>
      </c>
      <c r="I9" s="39">
        <v>20</v>
      </c>
      <c r="J9" s="63"/>
    </row>
    <row r="10" spans="2:11" ht="67" customHeight="1">
      <c r="B10" s="36" t="s">
        <v>288</v>
      </c>
      <c r="C10" s="39">
        <v>12</v>
      </c>
      <c r="D10" s="39">
        <v>12</v>
      </c>
      <c r="E10" s="39">
        <v>12</v>
      </c>
      <c r="F10" s="39">
        <v>12</v>
      </c>
      <c r="G10" s="39">
        <v>15</v>
      </c>
      <c r="H10" s="39">
        <v>15</v>
      </c>
      <c r="I10" s="39">
        <v>20</v>
      </c>
      <c r="J10" s="63"/>
    </row>
    <row r="11" spans="2:11" ht="67" customHeight="1">
      <c r="B11" s="16" t="s">
        <v>289</v>
      </c>
      <c r="C11" s="39">
        <v>6</v>
      </c>
      <c r="D11" s="39">
        <v>4</v>
      </c>
      <c r="E11" s="39">
        <v>6</v>
      </c>
      <c r="F11" s="39">
        <v>6</v>
      </c>
      <c r="G11" s="39">
        <v>6</v>
      </c>
      <c r="H11" s="39">
        <v>6</v>
      </c>
      <c r="I11" s="39">
        <v>6</v>
      </c>
      <c r="J11" s="63"/>
    </row>
    <row r="12" spans="2:11" ht="67" customHeight="1">
      <c r="B12" s="16" t="s">
        <v>290</v>
      </c>
      <c r="C12" s="39">
        <v>10</v>
      </c>
      <c r="D12" s="39">
        <v>10</v>
      </c>
      <c r="E12" s="39">
        <v>10</v>
      </c>
      <c r="F12" s="39">
        <v>12</v>
      </c>
      <c r="G12" s="39">
        <v>15</v>
      </c>
      <c r="H12" s="39">
        <v>15</v>
      </c>
      <c r="I12" s="39">
        <v>15</v>
      </c>
      <c r="J12" s="63"/>
    </row>
    <row r="13" spans="2:11" ht="67" customHeight="1">
      <c r="B13" s="16" t="s">
        <v>212</v>
      </c>
      <c r="C13" s="39"/>
      <c r="D13" s="39"/>
      <c r="E13" s="39"/>
      <c r="F13" s="39"/>
      <c r="G13" s="39"/>
      <c r="H13" s="39"/>
      <c r="I13" s="39"/>
      <c r="J13" s="63"/>
    </row>
    <row r="14" spans="2:11" ht="67" customHeight="1">
      <c r="B14" s="16" t="s">
        <v>212</v>
      </c>
      <c r="C14" s="39"/>
      <c r="D14" s="39"/>
      <c r="E14" s="39"/>
      <c r="F14" s="39"/>
      <c r="G14" s="39"/>
      <c r="H14" s="39"/>
      <c r="I14" s="39"/>
      <c r="J14" s="63"/>
    </row>
    <row r="15" spans="2:11" ht="67" customHeight="1">
      <c r="B15" s="16" t="s">
        <v>212</v>
      </c>
      <c r="C15" s="39"/>
      <c r="D15" s="39"/>
      <c r="E15" s="39"/>
      <c r="F15" s="39"/>
      <c r="G15" s="39"/>
      <c r="H15" s="39"/>
      <c r="I15" s="39"/>
      <c r="J15" s="63"/>
    </row>
    <row r="16" spans="2:11" ht="19">
      <c r="B16" s="54" t="s">
        <v>220</v>
      </c>
      <c r="C16" s="55">
        <f t="shared" ref="C16:I16" si="0">SUM(C3:C15)</f>
        <v>208</v>
      </c>
      <c r="D16" s="55">
        <f t="shared" si="0"/>
        <v>247</v>
      </c>
      <c r="E16" s="55">
        <f t="shared" si="0"/>
        <v>282</v>
      </c>
      <c r="F16" s="55">
        <f t="shared" si="0"/>
        <v>456</v>
      </c>
      <c r="G16" s="55">
        <f t="shared" si="0"/>
        <v>585</v>
      </c>
      <c r="H16" s="55">
        <f t="shared" si="0"/>
        <v>746</v>
      </c>
      <c r="I16" s="55">
        <f t="shared" si="0"/>
        <v>961</v>
      </c>
    </row>
  </sheetData>
  <sheetProtection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N13"/>
  <sheetViews>
    <sheetView showGridLines="0" topLeftCell="A7" workbookViewId="0">
      <selection activeCell="B8" sqref="B8:N8"/>
    </sheetView>
  </sheetViews>
  <sheetFormatPr baseColWidth="10" defaultColWidth="10.83203125" defaultRowHeight="16"/>
  <cols>
    <col min="1" max="1" width="5.33203125" customWidth="1"/>
    <col min="2" max="2" width="34.5" customWidth="1"/>
  </cols>
  <sheetData>
    <row r="2" spans="2:14" ht="47" customHeight="1">
      <c r="B2" s="89" t="s">
        <v>318</v>
      </c>
      <c r="C2" s="89"/>
      <c r="D2" s="89"/>
      <c r="E2" s="89"/>
      <c r="F2" s="89"/>
      <c r="G2" s="89"/>
      <c r="H2" s="89"/>
      <c r="I2" s="89"/>
      <c r="J2" s="89"/>
      <c r="K2" s="89"/>
    </row>
    <row r="3" spans="2:14" ht="47" customHeight="1">
      <c r="B3" s="89"/>
      <c r="C3" s="89"/>
      <c r="D3" s="89"/>
      <c r="E3" s="89"/>
      <c r="F3" s="89"/>
      <c r="G3" s="89"/>
      <c r="H3" s="89"/>
      <c r="I3" s="89"/>
      <c r="J3" s="89"/>
      <c r="K3" s="89"/>
    </row>
    <row r="4" spans="2:14" ht="47" customHeight="1">
      <c r="B4" s="89"/>
      <c r="C4" s="89"/>
      <c r="D4" s="89"/>
      <c r="E4" s="89"/>
      <c r="F4" s="89"/>
      <c r="G4" s="89"/>
      <c r="H4" s="89"/>
      <c r="I4" s="89"/>
      <c r="J4" s="89"/>
      <c r="K4" s="89"/>
    </row>
    <row r="5" spans="2:14" ht="47" customHeight="1">
      <c r="B5" s="89"/>
      <c r="C5" s="89"/>
      <c r="D5" s="89"/>
      <c r="E5" s="89"/>
      <c r="F5" s="89"/>
      <c r="G5" s="89"/>
      <c r="H5" s="89"/>
      <c r="I5" s="89"/>
      <c r="J5" s="89"/>
      <c r="K5" s="89"/>
    </row>
    <row r="6" spans="2:14" ht="19">
      <c r="B6" s="78"/>
      <c r="C6" s="78"/>
      <c r="D6" s="78"/>
      <c r="E6" s="78"/>
      <c r="F6" s="78"/>
      <c r="G6" s="78"/>
      <c r="H6" s="78"/>
      <c r="I6" s="78"/>
      <c r="J6" s="78"/>
      <c r="K6" s="78"/>
    </row>
    <row r="7" spans="2:14" ht="132" customHeight="1">
      <c r="B7" s="90" t="s">
        <v>393</v>
      </c>
      <c r="C7" s="90"/>
      <c r="D7" s="90"/>
      <c r="E7" s="90"/>
      <c r="F7" s="90"/>
      <c r="G7" s="90"/>
      <c r="H7" s="90"/>
      <c r="I7" s="90"/>
      <c r="J7" s="90"/>
      <c r="K7" s="90"/>
      <c r="L7" s="90"/>
      <c r="M7" s="90"/>
      <c r="N7" s="90"/>
    </row>
    <row r="8" spans="2:14" ht="40" customHeight="1">
      <c r="B8" s="90" t="s">
        <v>394</v>
      </c>
      <c r="C8" s="90"/>
      <c r="D8" s="90"/>
      <c r="E8" s="90"/>
      <c r="F8" s="90"/>
      <c r="G8" s="90"/>
      <c r="H8" s="90"/>
      <c r="I8" s="90"/>
      <c r="J8" s="90"/>
      <c r="K8" s="90"/>
      <c r="L8" s="90"/>
      <c r="M8" s="90"/>
      <c r="N8" s="90"/>
    </row>
    <row r="9" spans="2:14" ht="19">
      <c r="B9" s="78"/>
      <c r="C9" s="78"/>
      <c r="D9" s="78"/>
      <c r="E9" s="78"/>
      <c r="F9" s="78"/>
      <c r="G9" s="78"/>
      <c r="H9" s="78"/>
      <c r="I9" s="78"/>
      <c r="J9" s="78"/>
      <c r="K9" s="78"/>
    </row>
    <row r="10" spans="2:14" ht="19">
      <c r="B10" s="78"/>
      <c r="C10" s="78"/>
      <c r="D10" s="78"/>
      <c r="E10" s="78"/>
      <c r="F10" s="78"/>
      <c r="G10" s="78"/>
      <c r="H10" s="78"/>
      <c r="I10" s="78"/>
      <c r="J10" s="78"/>
      <c r="K10" s="78"/>
    </row>
    <row r="11" spans="2:14" ht="19">
      <c r="B11" s="78"/>
      <c r="C11" s="78"/>
      <c r="D11" s="78"/>
      <c r="E11" s="78"/>
      <c r="F11" s="78"/>
      <c r="G11" s="78"/>
      <c r="H11" s="78"/>
      <c r="I11" s="78"/>
      <c r="J11" s="78"/>
      <c r="K11" s="78"/>
    </row>
    <row r="12" spans="2:14" ht="19">
      <c r="B12" s="79"/>
      <c r="C12" s="78"/>
      <c r="D12" s="78"/>
      <c r="E12" s="78"/>
      <c r="F12" s="78"/>
      <c r="G12" s="78"/>
      <c r="H12" s="78"/>
      <c r="I12" s="78"/>
      <c r="J12" s="78"/>
      <c r="K12" s="78"/>
    </row>
    <row r="13" spans="2:14" ht="19">
      <c r="B13" s="78"/>
      <c r="C13" s="78"/>
      <c r="D13" s="78"/>
      <c r="E13" s="78"/>
      <c r="F13" s="78"/>
      <c r="G13" s="78"/>
      <c r="H13" s="78"/>
      <c r="I13" s="78"/>
      <c r="J13" s="78"/>
      <c r="K13" s="78"/>
    </row>
  </sheetData>
  <mergeCells count="3">
    <mergeCell ref="B2:K5"/>
    <mergeCell ref="B7:N7"/>
    <mergeCell ref="B8:N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opLeftCell="A2" zoomScaleNormal="100" workbookViewId="0">
      <selection activeCell="U5" sqref="U5"/>
    </sheetView>
  </sheetViews>
  <sheetFormatPr baseColWidth="10" defaultRowHeight="16"/>
  <cols>
    <col min="1" max="1" width="4.1640625" style="1" customWidth="1"/>
    <col min="2" max="2" width="51.5" style="1" customWidth="1"/>
    <col min="3" max="22" width="29.1640625" style="1" customWidth="1"/>
    <col min="23" max="23" width="57.83203125" style="1" customWidth="1"/>
  </cols>
  <sheetData>
    <row r="1" spans="2:23" ht="60" customHeight="1">
      <c r="B1" s="34" t="s">
        <v>249</v>
      </c>
    </row>
    <row r="2" spans="2:23" ht="60" customHeight="1">
      <c r="B2" s="68" t="s">
        <v>242</v>
      </c>
      <c r="C2" s="91" t="s">
        <v>244</v>
      </c>
      <c r="D2" s="91"/>
      <c r="E2" s="91"/>
      <c r="F2" s="91"/>
      <c r="G2" s="91" t="s">
        <v>245</v>
      </c>
      <c r="H2" s="91"/>
      <c r="I2" s="91"/>
      <c r="J2" s="91"/>
      <c r="K2" s="91"/>
      <c r="L2" s="91" t="s">
        <v>308</v>
      </c>
      <c r="M2" s="91"/>
      <c r="N2" s="91"/>
      <c r="O2" s="91"/>
      <c r="P2" s="91"/>
      <c r="Q2" s="91"/>
      <c r="R2" s="91"/>
      <c r="S2" s="91" t="s">
        <v>246</v>
      </c>
      <c r="T2" s="91"/>
      <c r="U2" s="91"/>
      <c r="V2" s="91"/>
    </row>
    <row r="3" spans="2:23" ht="60" customHeight="1">
      <c r="B3" s="16" t="s">
        <v>243</v>
      </c>
      <c r="C3" s="69" t="s">
        <v>247</v>
      </c>
      <c r="D3" s="69" t="s">
        <v>300</v>
      </c>
      <c r="E3" s="69" t="s">
        <v>237</v>
      </c>
      <c r="F3" s="69" t="s">
        <v>295</v>
      </c>
      <c r="G3" s="69" t="s">
        <v>41</v>
      </c>
      <c r="H3" s="69" t="s">
        <v>248</v>
      </c>
      <c r="I3" s="69" t="s">
        <v>238</v>
      </c>
      <c r="J3" s="69" t="s">
        <v>239</v>
      </c>
      <c r="K3" s="69" t="s">
        <v>292</v>
      </c>
      <c r="L3" s="69" t="s">
        <v>309</v>
      </c>
      <c r="M3" s="70" t="s">
        <v>315</v>
      </c>
      <c r="N3" s="69" t="s">
        <v>310</v>
      </c>
      <c r="O3" s="69" t="s">
        <v>314</v>
      </c>
      <c r="P3" s="69" t="s">
        <v>311</v>
      </c>
      <c r="Q3" s="69" t="s">
        <v>312</v>
      </c>
      <c r="R3" s="69" t="s">
        <v>313</v>
      </c>
      <c r="S3" s="69" t="s">
        <v>24</v>
      </c>
      <c r="T3" s="69" t="s">
        <v>240</v>
      </c>
      <c r="U3" s="69" t="s">
        <v>298</v>
      </c>
      <c r="V3" s="69" t="s">
        <v>241</v>
      </c>
      <c r="W3" s="16" t="s">
        <v>209</v>
      </c>
    </row>
    <row r="4" spans="2:23" ht="60" customHeight="1">
      <c r="B4" s="16" t="s">
        <v>256</v>
      </c>
      <c r="C4" s="39" t="s">
        <v>36</v>
      </c>
      <c r="D4" s="39" t="s">
        <v>36</v>
      </c>
      <c r="E4" s="39" t="s">
        <v>36</v>
      </c>
      <c r="F4" s="39" t="s">
        <v>36</v>
      </c>
      <c r="G4" s="39" t="s">
        <v>37</v>
      </c>
      <c r="H4" s="39" t="s">
        <v>37</v>
      </c>
      <c r="I4" s="39" t="s">
        <v>37</v>
      </c>
      <c r="J4" s="39" t="s">
        <v>36</v>
      </c>
      <c r="K4" s="39" t="s">
        <v>36</v>
      </c>
      <c r="L4" s="39" t="s">
        <v>37</v>
      </c>
      <c r="M4" s="39" t="s">
        <v>37</v>
      </c>
      <c r="N4" s="39" t="s">
        <v>37</v>
      </c>
      <c r="O4" s="39" t="s">
        <v>37</v>
      </c>
      <c r="P4" s="39" t="s">
        <v>37</v>
      </c>
      <c r="Q4" s="39" t="s">
        <v>36</v>
      </c>
      <c r="R4" s="39" t="s">
        <v>37</v>
      </c>
      <c r="S4" s="39" t="s">
        <v>36</v>
      </c>
      <c r="T4" s="39" t="s">
        <v>36</v>
      </c>
      <c r="U4" s="39" t="s">
        <v>36</v>
      </c>
      <c r="V4" s="39" t="s">
        <v>37</v>
      </c>
      <c r="W4" s="63"/>
    </row>
    <row r="5" spans="2:23" ht="60" customHeight="1">
      <c r="B5" s="36" t="s">
        <v>276</v>
      </c>
      <c r="C5" s="39" t="s">
        <v>385</v>
      </c>
      <c r="D5" s="39" t="s">
        <v>385</v>
      </c>
      <c r="E5" s="39" t="s">
        <v>385</v>
      </c>
      <c r="F5" s="39" t="s">
        <v>385</v>
      </c>
      <c r="G5" s="39" t="s">
        <v>397</v>
      </c>
      <c r="H5" s="39" t="s">
        <v>397</v>
      </c>
      <c r="I5" s="39" t="s">
        <v>397</v>
      </c>
      <c r="J5" s="39" t="s">
        <v>385</v>
      </c>
      <c r="K5" s="39" t="s">
        <v>385</v>
      </c>
      <c r="L5" s="39" t="s">
        <v>397</v>
      </c>
      <c r="M5" s="39" t="s">
        <v>397</v>
      </c>
      <c r="N5" s="39" t="s">
        <v>397</v>
      </c>
      <c r="O5" s="39" t="s">
        <v>397</v>
      </c>
      <c r="P5" s="39" t="s">
        <v>397</v>
      </c>
      <c r="Q5" s="39" t="s">
        <v>380</v>
      </c>
      <c r="R5" s="39" t="s">
        <v>397</v>
      </c>
      <c r="S5" s="39" t="s">
        <v>381</v>
      </c>
      <c r="T5" s="39" t="s">
        <v>381</v>
      </c>
      <c r="U5" s="39" t="s">
        <v>381</v>
      </c>
      <c r="V5" s="39" t="s">
        <v>397</v>
      </c>
      <c r="W5" s="63"/>
    </row>
    <row r="6" spans="2:23" ht="60" customHeight="1">
      <c r="B6" s="36" t="s">
        <v>257</v>
      </c>
      <c r="C6" s="39" t="s">
        <v>37</v>
      </c>
      <c r="D6" s="39" t="s">
        <v>37</v>
      </c>
      <c r="E6" s="39" t="s">
        <v>37</v>
      </c>
      <c r="F6" s="39" t="s">
        <v>37</v>
      </c>
      <c r="G6" s="39" t="s">
        <v>37</v>
      </c>
      <c r="H6" s="39" t="s">
        <v>37</v>
      </c>
      <c r="I6" s="39" t="s">
        <v>37</v>
      </c>
      <c r="J6" s="39" t="s">
        <v>37</v>
      </c>
      <c r="K6" s="39" t="s">
        <v>37</v>
      </c>
      <c r="L6" s="39" t="s">
        <v>37</v>
      </c>
      <c r="M6" s="39" t="s">
        <v>37</v>
      </c>
      <c r="N6" s="39" t="s">
        <v>37</v>
      </c>
      <c r="O6" s="39" t="s">
        <v>37</v>
      </c>
      <c r="P6" s="39" t="s">
        <v>37</v>
      </c>
      <c r="Q6" s="39" t="s">
        <v>37</v>
      </c>
      <c r="R6" s="39" t="s">
        <v>37</v>
      </c>
      <c r="S6" s="39" t="s">
        <v>37</v>
      </c>
      <c r="T6" s="39" t="s">
        <v>37</v>
      </c>
      <c r="U6" s="39" t="s">
        <v>37</v>
      </c>
      <c r="V6" s="39" t="s">
        <v>37</v>
      </c>
      <c r="W6" s="63"/>
    </row>
    <row r="7" spans="2:23" ht="60" customHeight="1">
      <c r="B7" s="36" t="s">
        <v>22</v>
      </c>
      <c r="C7" s="39" t="s">
        <v>386</v>
      </c>
      <c r="D7" s="39" t="s">
        <v>392</v>
      </c>
      <c r="E7" s="39" t="s">
        <v>395</v>
      </c>
      <c r="F7" s="39" t="s">
        <v>395</v>
      </c>
      <c r="G7" s="39"/>
      <c r="H7" s="39"/>
      <c r="I7" s="39"/>
      <c r="J7" s="39" t="s">
        <v>398</v>
      </c>
      <c r="K7" s="39"/>
      <c r="L7" s="39"/>
      <c r="M7" s="39"/>
      <c r="N7" s="39"/>
      <c r="O7" s="39"/>
      <c r="P7" s="39"/>
      <c r="Q7" s="39"/>
      <c r="R7" s="39"/>
      <c r="S7" s="39"/>
      <c r="T7" s="39"/>
      <c r="U7" s="39"/>
      <c r="V7" s="39"/>
      <c r="W7" s="63"/>
    </row>
    <row r="8" spans="2:23" ht="60" customHeight="1">
      <c r="B8" s="36" t="s">
        <v>275</v>
      </c>
      <c r="C8" s="39">
        <v>75</v>
      </c>
      <c r="D8" s="39">
        <v>20</v>
      </c>
      <c r="E8" s="39">
        <v>150</v>
      </c>
      <c r="F8" s="39">
        <v>150</v>
      </c>
      <c r="G8" s="39"/>
      <c r="H8" s="39"/>
      <c r="I8" s="39"/>
      <c r="J8" s="39">
        <v>20</v>
      </c>
      <c r="K8" s="39"/>
      <c r="L8" s="39"/>
      <c r="M8" s="39"/>
      <c r="N8" s="39"/>
      <c r="O8" s="39"/>
      <c r="P8" s="39"/>
      <c r="Q8" s="39"/>
      <c r="R8" s="39"/>
      <c r="S8" s="39"/>
      <c r="T8" s="39"/>
      <c r="U8" s="39"/>
      <c r="V8" s="39"/>
      <c r="W8" s="63"/>
    </row>
    <row r="9" spans="2:23" ht="60" customHeight="1">
      <c r="B9" s="36" t="s">
        <v>258</v>
      </c>
      <c r="C9" s="39" t="s">
        <v>387</v>
      </c>
      <c r="D9" s="39"/>
      <c r="E9" s="39" t="s">
        <v>387</v>
      </c>
      <c r="F9" s="39" t="s">
        <v>399</v>
      </c>
      <c r="G9" s="39"/>
      <c r="H9" s="39"/>
      <c r="I9" s="39"/>
      <c r="J9" s="39" t="s">
        <v>402</v>
      </c>
      <c r="K9" s="39"/>
      <c r="L9" s="39"/>
      <c r="M9" s="39"/>
      <c r="N9" s="39"/>
      <c r="O9" s="39"/>
      <c r="P9" s="39"/>
      <c r="Q9" s="39"/>
      <c r="R9" s="39"/>
      <c r="S9" s="39"/>
      <c r="T9" s="39"/>
      <c r="U9" s="39"/>
      <c r="V9" s="39"/>
      <c r="W9" s="63"/>
    </row>
    <row r="10" spans="2:23" ht="60" customHeight="1">
      <c r="B10" s="36" t="s">
        <v>307</v>
      </c>
      <c r="C10" s="39" t="s">
        <v>388</v>
      </c>
      <c r="D10" s="39"/>
      <c r="E10" s="39" t="s">
        <v>388</v>
      </c>
      <c r="F10" s="39" t="s">
        <v>388</v>
      </c>
      <c r="G10" s="39"/>
      <c r="H10" s="39"/>
      <c r="I10" s="39"/>
      <c r="J10" s="39"/>
      <c r="K10" s="39"/>
      <c r="L10" s="39"/>
      <c r="M10" s="39"/>
      <c r="N10" s="39"/>
      <c r="O10" s="39"/>
      <c r="P10" s="39"/>
      <c r="Q10" s="39"/>
      <c r="R10" s="39"/>
      <c r="S10" s="39"/>
      <c r="T10" s="39"/>
      <c r="U10" s="39"/>
      <c r="V10" s="39"/>
      <c r="W10" s="63"/>
    </row>
    <row r="11" spans="2:23" ht="60" customHeight="1">
      <c r="B11" s="36" t="s">
        <v>277</v>
      </c>
      <c r="C11" s="39" t="s">
        <v>389</v>
      </c>
      <c r="D11" s="39"/>
      <c r="E11" s="39"/>
      <c r="F11" s="39"/>
      <c r="G11" s="71"/>
      <c r="H11" s="39"/>
      <c r="I11" s="39"/>
      <c r="J11" s="39"/>
      <c r="K11" s="39"/>
      <c r="L11" s="39"/>
      <c r="M11" s="39"/>
      <c r="N11" s="39"/>
      <c r="O11" s="39"/>
      <c r="P11" s="39"/>
      <c r="Q11" s="39"/>
      <c r="R11" s="39"/>
      <c r="S11" s="39"/>
      <c r="T11" s="39"/>
      <c r="U11" s="39"/>
      <c r="V11" s="39"/>
      <c r="W11" s="63"/>
    </row>
    <row r="12" spans="2:23" ht="60" customHeight="1">
      <c r="B12" s="16" t="s">
        <v>259</v>
      </c>
      <c r="C12" s="39" t="s">
        <v>400</v>
      </c>
      <c r="D12" s="39"/>
      <c r="E12" s="39" t="s">
        <v>400</v>
      </c>
      <c r="F12" s="39" t="s">
        <v>400</v>
      </c>
      <c r="G12" s="39"/>
      <c r="H12" s="39"/>
      <c r="I12" s="39"/>
      <c r="J12" s="39"/>
      <c r="K12" s="39"/>
      <c r="L12" s="39"/>
      <c r="M12" s="39"/>
      <c r="N12" s="39"/>
      <c r="O12" s="39"/>
      <c r="P12" s="39"/>
      <c r="Q12" s="39"/>
      <c r="R12" s="39"/>
      <c r="S12" s="39"/>
      <c r="T12" s="39"/>
      <c r="U12" s="39"/>
      <c r="V12" s="39"/>
      <c r="W12" s="63"/>
    </row>
    <row r="13" spans="2:23" ht="60" customHeight="1">
      <c r="B13" s="36" t="s">
        <v>254</v>
      </c>
      <c r="C13" s="39" t="s">
        <v>401</v>
      </c>
      <c r="D13" s="39"/>
      <c r="E13" s="39" t="s">
        <v>401</v>
      </c>
      <c r="F13" s="39" t="s">
        <v>401</v>
      </c>
      <c r="G13" s="39"/>
      <c r="H13" s="39"/>
      <c r="I13" s="39"/>
      <c r="J13" s="39"/>
      <c r="K13" s="39"/>
      <c r="L13" s="39"/>
      <c r="M13" s="39"/>
      <c r="N13" s="39"/>
      <c r="O13" s="39"/>
      <c r="P13" s="39"/>
      <c r="Q13" s="39"/>
      <c r="R13" s="39"/>
      <c r="S13" s="39"/>
      <c r="T13" s="39"/>
      <c r="U13" s="39"/>
      <c r="V13" s="39"/>
      <c r="W13" s="63"/>
    </row>
    <row r="14" spans="2:23" ht="60" customHeight="1">
      <c r="B14" s="16" t="s">
        <v>250</v>
      </c>
      <c r="C14" s="39"/>
      <c r="D14" s="39"/>
      <c r="E14" s="39"/>
      <c r="F14" s="39"/>
      <c r="G14" s="39"/>
      <c r="H14" s="39"/>
      <c r="I14" s="39"/>
      <c r="J14" s="39"/>
      <c r="K14" s="39"/>
      <c r="L14" s="39"/>
      <c r="M14" s="39"/>
      <c r="N14" s="39"/>
      <c r="O14" s="39"/>
      <c r="P14" s="39"/>
      <c r="Q14" s="39"/>
      <c r="R14" s="39"/>
      <c r="S14" s="39"/>
      <c r="T14" s="39"/>
      <c r="U14" s="39"/>
      <c r="V14" s="39"/>
      <c r="W14" s="63"/>
    </row>
    <row r="15" spans="2:23" ht="60" customHeight="1">
      <c r="B15" s="16" t="s">
        <v>253</v>
      </c>
      <c r="C15" s="39"/>
      <c r="D15" s="39"/>
      <c r="E15" s="39"/>
      <c r="F15" s="39"/>
      <c r="G15" s="39"/>
      <c r="H15" s="39"/>
      <c r="I15" s="39"/>
      <c r="J15" s="39"/>
      <c r="K15" s="39"/>
      <c r="L15" s="39"/>
      <c r="M15" s="39"/>
      <c r="N15" s="39"/>
      <c r="O15" s="39"/>
      <c r="P15" s="39"/>
      <c r="Q15" s="39"/>
      <c r="R15" s="39"/>
      <c r="S15" s="39"/>
      <c r="T15" s="39"/>
      <c r="U15" s="39"/>
      <c r="V15" s="39"/>
      <c r="W15" s="63"/>
    </row>
    <row r="16" spans="2:23" ht="60" customHeight="1">
      <c r="B16" s="36" t="s">
        <v>255</v>
      </c>
      <c r="C16" s="39" t="s">
        <v>390</v>
      </c>
      <c r="D16" s="39"/>
      <c r="E16" s="39"/>
      <c r="F16" s="39" t="s">
        <v>390</v>
      </c>
      <c r="G16" s="39"/>
      <c r="H16" s="39"/>
      <c r="I16" s="39"/>
      <c r="J16" s="39"/>
      <c r="K16" s="39"/>
      <c r="L16" s="39"/>
      <c r="M16" s="39"/>
      <c r="N16" s="39"/>
      <c r="O16" s="39"/>
      <c r="P16" s="39"/>
      <c r="Q16" s="39"/>
      <c r="R16" s="39"/>
      <c r="S16" s="39"/>
      <c r="T16" s="39"/>
      <c r="U16" s="39"/>
      <c r="V16" s="39"/>
      <c r="W16" s="63"/>
    </row>
    <row r="17" spans="2:23" ht="60" customHeight="1">
      <c r="B17" s="16" t="s">
        <v>251</v>
      </c>
      <c r="C17" s="39" t="s">
        <v>391</v>
      </c>
      <c r="D17" s="39"/>
      <c r="E17" s="39"/>
      <c r="F17" s="39" t="s">
        <v>391</v>
      </c>
      <c r="G17" s="39"/>
      <c r="H17" s="39"/>
      <c r="I17" s="39"/>
      <c r="J17" s="39"/>
      <c r="K17" s="39"/>
      <c r="L17" s="39"/>
      <c r="M17" s="39"/>
      <c r="N17" s="39"/>
      <c r="O17" s="39"/>
      <c r="P17" s="39"/>
      <c r="Q17" s="39"/>
      <c r="R17" s="39"/>
      <c r="S17" s="39"/>
      <c r="T17" s="39"/>
      <c r="U17" s="39"/>
      <c r="V17" s="39"/>
      <c r="W17" s="63"/>
    </row>
    <row r="18" spans="2:23" ht="60" customHeight="1">
      <c r="B18" s="16" t="s">
        <v>252</v>
      </c>
      <c r="C18" s="39" t="s">
        <v>396</v>
      </c>
      <c r="D18" s="39"/>
      <c r="E18" s="39"/>
      <c r="F18" s="39" t="s">
        <v>396</v>
      </c>
      <c r="G18" s="39"/>
      <c r="H18" s="39"/>
      <c r="I18" s="39"/>
      <c r="J18" s="39"/>
      <c r="K18" s="39"/>
      <c r="L18" s="39"/>
      <c r="M18" s="39"/>
      <c r="N18" s="39"/>
      <c r="O18" s="39"/>
      <c r="P18" s="39"/>
      <c r="Q18" s="39"/>
      <c r="R18" s="39"/>
      <c r="S18" s="39"/>
      <c r="T18" s="39"/>
      <c r="U18" s="39"/>
      <c r="V18" s="39"/>
      <c r="W18" s="63"/>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workbookViewId="0">
      <selection activeCell="C12" sqref="C12"/>
    </sheetView>
  </sheetViews>
  <sheetFormatPr baseColWidth="10" defaultColWidth="10.83203125" defaultRowHeight="16"/>
  <cols>
    <col min="1" max="1" width="5.5" customWidth="1"/>
  </cols>
  <sheetData>
    <row r="3" spans="2:11" ht="34" customHeight="1">
      <c r="B3" s="89" t="s">
        <v>226</v>
      </c>
      <c r="C3" s="89"/>
      <c r="D3" s="89"/>
      <c r="E3" s="89"/>
      <c r="F3" s="89"/>
      <c r="G3" s="89"/>
      <c r="H3" s="89"/>
      <c r="I3" s="89"/>
      <c r="J3" s="89"/>
      <c r="K3" s="89"/>
    </row>
    <row r="4" spans="2:11" ht="34" customHeight="1">
      <c r="B4" s="89"/>
      <c r="C4" s="89"/>
      <c r="D4" s="89"/>
      <c r="E4" s="89"/>
      <c r="F4" s="89"/>
      <c r="G4" s="89"/>
      <c r="H4" s="89"/>
      <c r="I4" s="89"/>
      <c r="J4" s="89"/>
      <c r="K4" s="89"/>
    </row>
    <row r="5" spans="2:11" ht="34" customHeight="1">
      <c r="B5" s="89"/>
      <c r="C5" s="89"/>
      <c r="D5" s="89"/>
      <c r="E5" s="89"/>
      <c r="F5" s="89"/>
      <c r="G5" s="89"/>
      <c r="H5" s="89"/>
      <c r="I5" s="89"/>
      <c r="J5" s="89"/>
      <c r="K5" s="89"/>
    </row>
    <row r="6" spans="2:11" ht="34" customHeight="1">
      <c r="B6" s="89"/>
      <c r="C6" s="89"/>
      <c r="D6" s="89"/>
      <c r="E6" s="89"/>
      <c r="F6" s="89"/>
      <c r="G6" s="89"/>
      <c r="H6" s="89"/>
      <c r="I6" s="89"/>
      <c r="J6" s="89"/>
      <c r="K6" s="89"/>
    </row>
    <row r="9" spans="2:11">
      <c r="B9" t="s">
        <v>403</v>
      </c>
    </row>
    <row r="12" spans="2:11">
      <c r="B12" s="60"/>
    </row>
    <row r="15" spans="2:11">
      <c r="B15" s="60"/>
    </row>
    <row r="18" spans="2:2">
      <c r="B18" s="60"/>
    </row>
    <row r="21" spans="2:2">
      <c r="B21" s="60"/>
    </row>
    <row r="24" spans="2:2">
      <c r="B24" s="60"/>
    </row>
  </sheetData>
  <mergeCells count="1">
    <mergeCell ref="B3:K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Normal="100" workbookViewId="0">
      <selection activeCell="E7" sqref="E7"/>
    </sheetView>
  </sheetViews>
  <sheetFormatPr baseColWidth="10" defaultRowHeight="20"/>
  <cols>
    <col min="1" max="1" width="4.1640625" style="57" customWidth="1"/>
    <col min="2" max="2" width="200.83203125" style="10" customWidth="1"/>
    <col min="3" max="3" width="67.5" style="13" customWidth="1"/>
    <col min="4" max="16384" width="10.83203125" style="51"/>
  </cols>
  <sheetData>
    <row r="2" spans="2:4" ht="22">
      <c r="B2" s="8" t="s">
        <v>235</v>
      </c>
      <c r="C2" s="11"/>
    </row>
    <row r="3" spans="2:4" ht="22">
      <c r="B3" s="44" t="s">
        <v>233</v>
      </c>
      <c r="C3" s="59"/>
    </row>
    <row r="4" spans="2:4" ht="22">
      <c r="B4" s="58" t="s">
        <v>262</v>
      </c>
      <c r="C4" s="59"/>
    </row>
    <row r="5" spans="2:4" ht="63">
      <c r="B5" s="56" t="s">
        <v>285</v>
      </c>
      <c r="C5" s="50"/>
      <c r="D5" s="52" t="s">
        <v>286</v>
      </c>
    </row>
    <row r="6" spans="2:4" ht="22">
      <c r="B6" s="58" t="s">
        <v>261</v>
      </c>
      <c r="C6" s="59"/>
      <c r="D6" s="52"/>
    </row>
    <row r="7" spans="2:4" ht="63">
      <c r="B7" s="56" t="s">
        <v>223</v>
      </c>
      <c r="C7" s="50"/>
      <c r="D7" s="52" t="s">
        <v>278</v>
      </c>
    </row>
    <row r="8" spans="2:4" ht="22">
      <c r="B8" s="58" t="s">
        <v>260</v>
      </c>
      <c r="C8" s="59"/>
    </row>
    <row r="9" spans="2:4" ht="63">
      <c r="B9" s="56" t="s">
        <v>224</v>
      </c>
      <c r="C9" s="50"/>
    </row>
    <row r="10" spans="2:4" ht="22">
      <c r="B10" s="58" t="s">
        <v>281</v>
      </c>
      <c r="C10" s="59"/>
    </row>
    <row r="11" spans="2:4" ht="63">
      <c r="B11" s="56" t="s">
        <v>282</v>
      </c>
      <c r="C11" s="50"/>
    </row>
    <row r="12" spans="2:4" ht="22">
      <c r="B12" s="44" t="s">
        <v>232</v>
      </c>
      <c r="C12" s="59"/>
    </row>
    <row r="13" spans="2:4" ht="22">
      <c r="B13" s="58" t="s">
        <v>234</v>
      </c>
      <c r="C13" s="59"/>
    </row>
    <row r="14" spans="2:4" ht="42">
      <c r="B14" s="56" t="s">
        <v>221</v>
      </c>
      <c r="C14" s="50"/>
    </row>
    <row r="15" spans="2:4" ht="22">
      <c r="B15" s="58" t="s">
        <v>230</v>
      </c>
      <c r="C15" s="59"/>
    </row>
    <row r="16" spans="2:4" ht="42">
      <c r="B16" s="56" t="s">
        <v>222</v>
      </c>
      <c r="C16" s="50"/>
    </row>
    <row r="17" spans="2:3" ht="22">
      <c r="B17" s="58" t="s">
        <v>231</v>
      </c>
      <c r="C17" s="59"/>
    </row>
    <row r="18" spans="2:3" ht="42">
      <c r="B18" s="56" t="s">
        <v>225</v>
      </c>
      <c r="C18" s="50"/>
    </row>
    <row r="19" spans="2:3" ht="22">
      <c r="B19" s="58" t="s">
        <v>263</v>
      </c>
      <c r="C19" s="59"/>
    </row>
    <row r="20" spans="2:3" ht="63">
      <c r="B20" s="56" t="s">
        <v>284</v>
      </c>
      <c r="C20" s="50"/>
    </row>
    <row r="21" spans="2:3" ht="22">
      <c r="B21" s="58" t="s">
        <v>301</v>
      </c>
      <c r="C21" s="59"/>
    </row>
    <row r="22" spans="2:3" ht="63">
      <c r="B22" s="56" t="s">
        <v>303</v>
      </c>
      <c r="C22" s="50"/>
    </row>
    <row r="23" spans="2:3" ht="22">
      <c r="B23" s="58" t="s">
        <v>306</v>
      </c>
      <c r="C23" s="59"/>
    </row>
    <row r="24" spans="2:3" ht="84">
      <c r="B24" s="56" t="s">
        <v>304</v>
      </c>
      <c r="C24" s="50"/>
    </row>
    <row r="25" spans="2:3" ht="22">
      <c r="B25" s="58" t="s">
        <v>302</v>
      </c>
      <c r="C25" s="59"/>
    </row>
    <row r="26" spans="2:3" ht="84">
      <c r="B26" s="56" t="s">
        <v>305</v>
      </c>
      <c r="C26" s="50"/>
    </row>
    <row r="27" spans="2:3" ht="22">
      <c r="B27" s="58" t="s">
        <v>316</v>
      </c>
      <c r="C27" s="59"/>
    </row>
    <row r="28" spans="2:3" ht="84">
      <c r="B28" s="56" t="s">
        <v>319</v>
      </c>
      <c r="C28" s="50"/>
    </row>
  </sheetData>
  <sheetProtection algorithmName="SHA-512" hashValue="Q1tIzZW4q1svot2fTtUaZdE5Z769zrGxjL5mh+I++440Oe5SSDlQ+Yw1B8wb5grTlGVqFQYapO2TrAXiTNZB8Q==" saltValue="1MRRozV0QtnVfVJaMmG8Jg==" spinCount="100000" sheet="1" objects="1" scenarios="1"/>
  <conditionalFormatting sqref="C5">
    <cfRule type="notContainsBlanks" dxfId="53" priority="72" stopIfTrue="1">
      <formula>LEN(TRIM(C5))&gt;0</formula>
    </cfRule>
    <cfRule type="containsText" dxfId="52" priority="71" operator="containsText" text="No">
      <formula>NOT(ISERROR(SEARCH("No",C5)))</formula>
    </cfRule>
    <cfRule type="containsText" dxfId="51" priority="70" operator="containsText" text="Yes">
      <formula>NOT(ISERROR(SEARCH("Yes",C5)))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notContainsBlanks" dxfId="47" priority="27" stopIfTrue="1">
      <formula>LEN(TRIM(C9))&gt;0</formula>
    </cfRule>
    <cfRule type="containsText" dxfId="46" priority="25" operator="containsText" text="Yes">
      <formula>NOT(ISERROR(SEARCH("Yes",C9)))</formula>
    </cfRule>
    <cfRule type="containsText" dxfId="45" priority="26" operator="containsText" text="No">
      <formula>NOT(ISERROR(SEARCH("No",C9)))</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notContainsBlanks" dxfId="41" priority="54" stopIfTrue="1">
      <formula>LEN(TRIM(C12))&gt;0</formula>
    </cfRule>
    <cfRule type="containsText" dxfId="40" priority="43" operator="containsText" text="Yes">
      <formula>NOT(ISERROR(SEARCH("Yes",C12)))</formula>
    </cfRule>
    <cfRule type="containsText" dxfId="39" priority="44" operator="containsText" text="No">
      <formula>NOT(ISERROR(SEARCH("No",C12)))</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notContainsBlanks" dxfId="23" priority="21" stopIfTrue="1">
      <formula>LEN(TRIM(C16))&gt;0</formula>
    </cfRule>
    <cfRule type="containsText" dxfId="22" priority="20" operator="containsText" text="No">
      <formula>NOT(ISERROR(SEARCH("No",C16)))</formula>
    </cfRule>
    <cfRule type="containsText" dxfId="21" priority="19" operator="containsText" text="Yes">
      <formula>NOT(ISERROR(SEARCH("Yes",C16)))</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notContainsBlanks" dxfId="2" priority="3" stopIfTrue="1">
      <formula>LEN(TRIM(C28))&gt;0</formula>
    </cfRule>
    <cfRule type="containsText" dxfId="1" priority="2" operator="containsText" text="No">
      <formula>NOT(ISERROR(SEARCH("No",C28)))</formula>
    </cfRule>
    <cfRule type="containsText" dxfId="0" priority="1" operator="containsText" text="Yes">
      <formula>NOT(ISERROR(SEARCH("Yes",C28)))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baseColWidth="10" defaultRowHeight="16"/>
  <cols>
    <col min="1" max="1" width="14.6640625" style="1" bestFit="1" customWidth="1"/>
    <col min="2" max="2" width="10.83203125" style="1"/>
    <col min="3" max="3" width="60" style="1" bestFit="1" customWidth="1"/>
    <col min="4" max="4" width="10.83203125" style="1"/>
    <col min="5" max="5" width="7.1640625" style="1" bestFit="1" customWidth="1"/>
    <col min="6" max="6" width="10.83203125" style="1"/>
    <col min="7" max="7" width="17" style="1" bestFit="1" customWidth="1"/>
    <col min="8" max="8" width="21" style="1" customWidth="1"/>
    <col min="9" max="10" width="10.83203125" style="1"/>
    <col min="11" max="11" width="12" style="1" customWidth="1"/>
    <col min="12" max="16384" width="10.83203125" style="1"/>
  </cols>
  <sheetData>
    <row r="1" spans="1:7">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Hari Chandran</cp:lastModifiedBy>
  <cp:lastPrinted>2018-09-13T16:04:18Z</cp:lastPrinted>
  <dcterms:created xsi:type="dcterms:W3CDTF">2018-09-10T17:18:27Z</dcterms:created>
  <dcterms:modified xsi:type="dcterms:W3CDTF">2025-06-19T00:31:22Z</dcterms:modified>
</cp:coreProperties>
</file>