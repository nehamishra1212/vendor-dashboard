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https://titancompltd.sharepoint.com/sites/PPC825/Shared Documents/PPC/2026 Plan/Imp templates shared/"/>
    </mc:Choice>
  </mc:AlternateContent>
  <xr:revisionPtr revIDLastSave="635" documentId="13_ncr:1_{AC6EE8B0-7E3B-D94E-A2EB-E7044AB6FCA4}" xr6:coauthVersionLast="47" xr6:coauthVersionMax="47" xr10:uidLastSave="{25549426-2A70-1140-BCEC-B65DE108DFB3}"/>
  <workbookProtection workbookAlgorithmName="SHA-512" workbookHashValue="RQH5Kx2dOBjDEqYj2TXipBbmUcoYWMLAdWE7C3q/46dzCrNjksss7Gqr5dWEtvMaqzG16old4r+CaVxzifhVUg==" workbookSaltValue="pZPxhzHsW4NsocMKqExkEg==" workbookSpinCount="100000" lockStructure="1"/>
  <bookViews>
    <workbookView xWindow="0" yWindow="660" windowWidth="29400" windowHeight="18460" firstSheet="3" activeTab="4"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<sst xmlns="http://schemas.openxmlformats.org/spreadsheetml/2006/main" count="608" uniqueCount="456">
  <si>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</si>
  <si>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</si>
  <si>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</si>
  <si>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</si>
  <si>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</si>
  <si>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</si>
  <si>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</si>
  <si>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</si>
  <si>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</si>
  <si>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</si>
  <si>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</si>
  <si>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</si>
  <si>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</si>
  <si>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</si>
  <si>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</si>
  <si>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</si>
  <si>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</si>
  <si>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</si>
  <si>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</si>
  <si>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</si>
  <si>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</si>
  <si>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</si>
  <si>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</si>
  <si>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</si>
  <si>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</si>
  <si>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</si>
  <si>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</si>
  <si>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</si>
  <si>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</si>
  <si>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</si>
  <si>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</si>
  <si>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</si>
  <si>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</si>
  <si>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</si>
  <si>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</si>
  <si>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</si>
  <si>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</si>
  <si>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</si>
  <si>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</si>
  <si>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</si>
  <si>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</si>
  <si>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</si>
  <si>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</si>
  <si>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</si>
  <si>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</si>
  <si>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</si>
  <si>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</si>
  <si>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</si>
  <si>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</si>
  <si>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Titan Engineering &amp; Automation LImited</t>
  </si>
  <si>
    <t>Parent Company Official Name</t>
  </si>
  <si>
    <t>Titan Company Limited</t>
  </si>
  <si>
    <t>HQ Location</t>
  </si>
  <si>
    <t>Hosur, Tamil Nadu, India</t>
  </si>
  <si>
    <t>Website</t>
  </si>
  <si>
    <t>titanteal.com</t>
  </si>
  <si>
    <t>Public/Private</t>
  </si>
  <si>
    <t>Public</t>
  </si>
  <si>
    <t>Ticker Symbol (if Public)</t>
  </si>
  <si>
    <t>NA</t>
  </si>
  <si>
    <t>Type</t>
  </si>
  <si>
    <t>Machine building &amp; Automation</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</si>
  <si>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</si>
  <si>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</si>
  <si>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</si>
  <si>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</si>
  <si>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</si>
  <si>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</si>
  <si>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</si>
  <si>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</si>
  <si>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</si>
  <si>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</si>
  <si>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N P Sridhar</t>
  </si>
  <si>
    <t>Mr.</t>
  </si>
  <si>
    <t>India</t>
  </si>
  <si>
    <t>nps@titan.co.in</t>
  </si>
  <si>
    <t>(+91) 9611222884</t>
  </si>
  <si>
    <t>Commercial DRI / Apple Executive Contact</t>
  </si>
  <si>
    <t>Harshavardhan S</t>
  </si>
  <si>
    <t>Harshavardhan.S@titan.co.in</t>
  </si>
  <si>
    <t>(+91) 9029001639</t>
  </si>
  <si>
    <t>Operations Leader</t>
  </si>
  <si>
    <t>Senthilkumar</t>
  </si>
  <si>
    <t>senthilm@titan.co.in</t>
  </si>
  <si>
    <t>(+91) 9442615899</t>
  </si>
  <si>
    <t xml:space="preserve">Finance </t>
  </si>
  <si>
    <t>Balamurugan B</t>
  </si>
  <si>
    <t>balamuruganb@titan.co.in</t>
  </si>
  <si>
    <t>(+91)9345930432</t>
  </si>
  <si>
    <t>Engineering</t>
  </si>
  <si>
    <t>Marx Mani</t>
  </si>
  <si>
    <t>marxmani@titan.co.in</t>
  </si>
  <si>
    <t>(+91) 9442647399</t>
  </si>
  <si>
    <t>Supply chain</t>
  </si>
  <si>
    <t>Janardhana Kunder</t>
  </si>
  <si>
    <t>janardhanakunder@titan.co.in</t>
  </si>
  <si>
    <t>(+91) 7539975097</t>
  </si>
  <si>
    <t>Project Management</t>
  </si>
  <si>
    <t>Joshua M</t>
  </si>
  <si>
    <t>joshua.m@titan.co.in</t>
  </si>
  <si>
    <t>(+91) 9677450522</t>
  </si>
  <si>
    <t>Production</t>
  </si>
  <si>
    <t>Saravanan K</t>
  </si>
  <si>
    <t>sarank@titan.co.in</t>
  </si>
  <si>
    <t>(+91) 9486291578</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</si>
  <si>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</si>
  <si>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</si>
  <si>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</si>
  <si>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</si>
  <si>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</si>
  <si>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</si>
  <si>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</si>
  <si>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</si>
  <si>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</si>
  <si>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</si>
  <si>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</si>
  <si>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</si>
  <si>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</si>
  <si>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</si>
  <si>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</si>
  <si>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</si>
  <si>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</si>
  <si>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</si>
  <si>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</si>
  <si>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</si>
  <si>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</si>
  <si>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</si>
  <si>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Teal Unit 1</t>
  </si>
  <si>
    <t>Teal Unit 6</t>
  </si>
  <si>
    <t xml:space="preserve">City and Country </t>
  </si>
  <si>
    <t>Chennai, Tamil Nadu, India</t>
  </si>
  <si>
    <t>Full Address</t>
  </si>
  <si>
    <t>Titan Engineering &amp; Automation Limited
Unit 1, 27 &amp; 28 Sipcot Industrial Complex,
Hosur – 635126
Tamilnadu, India</t>
  </si>
  <si>
    <t>Titan Engineering &amp; Automation Limited
Automation Solutions
Plot No: L-6, SIPCOT Aerospace Industrial Park
Vallam Vadagal, Oragadam, Sriperumbudur (Tk),
Kancheepuram (DT) – 631604</t>
  </si>
  <si>
    <t>Current Apple Programs Supported
 (List Program Name or N/A)</t>
  </si>
  <si>
    <t>V54, V57, V62, V63, V64, V67/V69, B868, Module</t>
  </si>
  <si>
    <t>EQ Type manufactured in above location for Apple
(Dispense, Pick and place, Assembly, Die Attach, Wire Bond, Test, etc)</t>
  </si>
  <si>
    <t>Dispense, Pick and place, Assembly, Laser</t>
  </si>
  <si>
    <t>EQ Type manufactured in above location for other customers
(Dispense, Pick and place, Assembly, Die Attach, Wire Bond, Test, etc)</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</si>
  <si>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</si>
  <si>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</si>
  <si>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</si>
  <si>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</si>
  <si>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</si>
  <si>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</si>
  <si>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Enviroment &amp; Supply Supply Chain Innovation (ESCI) Facility Readiness Assessment (FRA) Approved?</t>
  </si>
  <si>
    <t>No</t>
  </si>
  <si>
    <t>Customer Base served from this location
(City and Country of the customer)</t>
  </si>
  <si>
    <t>Are there any Global expansion plans in the future for Manufacturing? Please desrcibe in detail.</t>
  </si>
  <si>
    <t>What are all the key subcomponent vendors used and where are they located (city, country)? Please provide rough volume &amp; spend with key subcomponent vendors as well.</t>
  </si>
  <si>
    <t>Partnered with 22x vendors across Chennai, Bangalore,Hosur, Coimbatore providing 230x CNC</t>
  </si>
  <si>
    <t>Any previous issues faced in shipping to certain countries?</t>
  </si>
  <si>
    <t>NA for EMS since scope had been limited to India</t>
  </si>
  <si>
    <t>What are the key supply chain tactics being followed?</t>
  </si>
  <si>
    <t>80% of Machined parts are outsourced, Quick TAT parts and NPI demand reworks are done in house;
20% of FATP demand is risk released 3 months earlier to avoid peak CNC demand
Captive centres - 4x been developed in partnership with Leading vendors
Localisation of PRC parts being done to avoid PRC imports and Logistics issues</t>
  </si>
  <si>
    <t>Are there any inhouse machining / job shop capabilities? If so, please explain in detail in terms of machine qty available (CNC, Mill, Lathe, EDM Weld, etc.), volume produced, &amp; available capacity.</t>
  </si>
  <si>
    <t>What are the incoming (IQC), in process (IPQC), and outgoing (OQC) quality control systems and/or processes? Please desrcibe in detail.</t>
  </si>
  <si>
    <t>IQC - 100% for NPI and sampling for MP demand done in house
IPQC - 100% during Module assembly
OQC &amp; QC dry run - 100% before shipment of EQ to CM sites</t>
  </si>
  <si>
    <t>Are there ERP system and processes, including any automation or integration functionality across EQ manufacturing supply chain? Please desrcibe in detail.</t>
  </si>
  <si>
    <t>What are the supply chain resiliency plans to ensure no distruption in supply?</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</si>
  <si>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</si>
  <si>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</si>
  <si>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</si>
  <si>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</si>
  <si>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</si>
  <si>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</si>
  <si>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</si>
  <si>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</si>
  <si>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</si>
  <si>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</si>
  <si>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Total Field Service Engineers - L1 (HC)</t>
  </si>
  <si>
    <t>Total Field Service Engineers - L2 (HC)</t>
  </si>
  <si>
    <t>Total Field Service Engineers - L3 (HC)</t>
  </si>
  <si>
    <t>Support Capabilities in Region - Total # of Units (QTY)</t>
  </si>
  <si>
    <t>Hiring Difficulty in Region (High/Medium/Low)</t>
  </si>
  <si>
    <t>High</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</si>
  <si>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</si>
  <si>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</si>
  <si>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</si>
  <si>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</si>
  <si>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</si>
  <si>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</si>
  <si>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</si>
  <si>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</si>
  <si>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</si>
  <si>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</si>
  <si>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</si>
  <si>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</si>
  <si>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</si>
  <si>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</si>
  <si>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</si>
  <si>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</si>
  <si>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</si>
  <si>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</si>
  <si>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</si>
  <si>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</si>
  <si>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</si>
  <si>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</si>
  <si>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</si>
  <si>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</si>
  <si>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</si>
  <si>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2026, 2027, 2028 hiring decisions will be based on forecast and business commitment</t>
  </si>
  <si>
    <t>Total Engineering (HC)
(Mechanical, Electircal, Software, etc.)</t>
  </si>
  <si>
    <t>only India region is applicable as of 2025 Nov operations</t>
  </si>
  <si>
    <t>Please add geographic breakdown of 2024/2025 Engineering resources by geography in the comments section
Suggested geogrpahies already incldued, feel free to edit/add/subtract geogrpahies as necessary</t>
  </si>
  <si>
    <t>Total Production (HC)</t>
  </si>
  <si>
    <t>Total OSS (HC)</t>
  </si>
  <si>
    <t>Exclude 3rd Party Agency Partners</t>
  </si>
  <si>
    <t>Supply Chain (HC)</t>
  </si>
  <si>
    <t>Quality (HC)</t>
  </si>
  <si>
    <t>Shipping &amp; Logistics (HC)</t>
  </si>
  <si>
    <t>R&amp;D (HC)
(Mechanical, Electircal, Software, etc.)</t>
  </si>
  <si>
    <t>RD resources are included in Engineering [Mechanical, Electrical and SW developers]</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</si>
  <si>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</si>
  <si>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</si>
  <si>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</si>
  <si>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</si>
  <si>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Project Life cycle</t>
  </si>
  <si>
    <t>Project Support Functions</t>
  </si>
  <si>
    <t>Business Type</t>
  </si>
  <si>
    <t>PM</t>
  </si>
  <si>
    <t>Scope</t>
  </si>
  <si>
    <t>Concept Design</t>
  </si>
  <si>
    <t>NPI</t>
  </si>
  <si>
    <t>NPI PM</t>
  </si>
  <si>
    <t>To get NPI requirements from AME team, align on technical deliverables and execute, deliver EQs to NPI CM site</t>
  </si>
  <si>
    <t>Concept approval from customer</t>
  </si>
  <si>
    <t>Resource Planning</t>
  </si>
  <si>
    <t>Ops</t>
  </si>
  <si>
    <t>OPS PM</t>
  </si>
  <si>
    <t>To get KPRs from CM sites, align on technical deliverables and execute, deliver EQs to multiple CM sites</t>
  </si>
  <si>
    <t>Detailed design &amp; DFM</t>
  </si>
  <si>
    <t>Gen</t>
  </si>
  <si>
    <t>Factory PM</t>
  </si>
  <si>
    <t>To manage factory level assembly, wiring and SW deployment, align and execute to CM committed timelines</t>
  </si>
  <si>
    <t>DFM approval</t>
  </si>
  <si>
    <t>Materials Planning</t>
  </si>
  <si>
    <t>Indent release to Manufacturing</t>
  </si>
  <si>
    <t>Production Planning</t>
  </si>
  <si>
    <t>PO to vendors for Std and Fab parts</t>
  </si>
  <si>
    <t>OSS &amp; Site Project Management</t>
  </si>
  <si>
    <t>Module assembly</t>
  </si>
  <si>
    <t>Panel Assembly</t>
  </si>
  <si>
    <t>Main Assembly</t>
  </si>
  <si>
    <t>Field Wiring</t>
  </si>
  <si>
    <t>SW Development</t>
  </si>
  <si>
    <t>SW deployment</t>
  </si>
  <si>
    <t>SW Testing</t>
  </si>
  <si>
    <t>FAT Approval from customer</t>
  </si>
  <si>
    <t>Dispatch to CM</t>
  </si>
  <si>
    <t>LBU</t>
  </si>
  <si>
    <t>Ramp Support</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</si>
  <si>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</si>
  <si>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</si>
  <si>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</si>
  <si>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</si>
  <si>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</si>
  <si>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</si>
  <si>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</si>
  <si>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</si>
  <si>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</si>
  <si>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</si>
  <si>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</si>
  <si>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</si>
  <si>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</si>
  <si>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</si>
  <si>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</si>
  <si>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</si>
  <si>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</si>
  <si>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</si>
  <si>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</si>
  <si>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</si>
  <si>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</si>
  <si>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</si>
  <si>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</si>
  <si>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</si>
  <si>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</si>
  <si>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</si>
  <si>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</si>
  <si>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</si>
  <si>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</si>
  <si>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Medium</t>
  </si>
  <si>
    <t>N/A</t>
  </si>
  <si>
    <t>Outsourced?</t>
  </si>
  <si>
    <t>Core Competencies</t>
  </si>
  <si>
    <t>Assembly, press, dispense, screwing</t>
  </si>
  <si>
    <t>PLC, PC SW integration</t>
  </si>
  <si>
    <t>Integration with Automation EQ</t>
  </si>
  <si>
    <t>EQ to do housing button test in FATP</t>
  </si>
  <si>
    <t>Universal testing machine for mobile housing</t>
  </si>
  <si>
    <t>Dedicated Resourcing (HC)
(PM, Engineering, Production, OSS, etc.)</t>
  </si>
  <si>
    <t>Equipment Type &amp; Key Technologies</t>
  </si>
  <si>
    <t>Nordson brand</t>
  </si>
  <si>
    <t>Keyence</t>
  </si>
  <si>
    <t>FATP</t>
  </si>
  <si>
    <t>Key Components &amp; Average Annual Spend ($M)
(Prefernce for off the shelf components)</t>
  </si>
  <si>
    <t xml:space="preserve">Typcical Development &amp; Equipment Lead Times
(RFP to DFM, KO to ETA, ETA to SAT, OEE, etc.) </t>
  </si>
  <si>
    <t>KO-ETA: 16 wks</t>
  </si>
  <si>
    <t>KO to ETA 16 weeks</t>
  </si>
  <si>
    <t>Competitive Advantage(s)</t>
  </si>
  <si>
    <t>Worked with variety of OEMs - Keyence, Cognex, Datalogic, Wordop</t>
  </si>
  <si>
    <t>Worked with variety of OEMs - Keyence, OPT, Bhramathi</t>
  </si>
  <si>
    <t>Applicable Project Experience
(Year, Machine Description &amp; QTY, Spend, Timeline)</t>
  </si>
  <si>
    <t>Client / Reference</t>
  </si>
  <si>
    <t>Client / Reference Email</t>
  </si>
  <si>
    <t>Applicable Apple Experience
(Year, Machine Description &amp; QTY, Spend, Timeline)</t>
  </si>
  <si>
    <t>2025, 830x EQ</t>
  </si>
  <si>
    <t>2025,200x EQ</t>
  </si>
  <si>
    <t>2025, HBT EQ</t>
  </si>
  <si>
    <t>2025, 20x EQ</t>
  </si>
  <si>
    <t>2025, 560 EQ</t>
  </si>
  <si>
    <t>Apple DRI Name</t>
  </si>
  <si>
    <t>Shabdanjali</t>
  </si>
  <si>
    <t>Apple DRI Email</t>
  </si>
  <si>
    <t xml:space="preserve">shabdanjali@apple.com
</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</si>
  <si>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</si>
  <si>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</si>
  <si>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</si>
  <si>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</si>
  <si>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</si>
  <si>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</si>
  <si>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</si>
  <si>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</si>
  <si>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</si>
  <si>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</si>
  <si>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</si>
  <si>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</si>
  <si>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</si>
  <si>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</si>
  <si>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</si>
  <si>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</si>
  <si>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</si>
  <si>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</si>
  <si>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</si>
  <si>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</si>
  <si>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</si>
  <si>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</si>
  <si>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</si>
  <si>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</si>
  <si>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</si>
  <si>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</si>
  <si>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</si>
  <si>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</si>
  <si>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</si>
  <si>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</si>
  <si>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</si>
  <si>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</si>
  <si>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</si>
  <si>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</si>
  <si>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</si>
  <si>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</si>
  <si>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</si>
  <si>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</si>
  <si>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</si>
  <si>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</si>
  <si>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</si>
  <si>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</si>
  <si>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</si>
  <si>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</si>
  <si>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</si>
  <si>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</si>
  <si>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</si>
  <si>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</si>
  <si>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</si>
  <si>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</si>
  <si>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</si>
  <si>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</si>
  <si>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</si>
  <si>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</si>
  <si>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</si>
  <si>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</si>
  <si>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</si>
  <si>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</si>
  <si>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</si>
  <si>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</si>
  <si>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</si>
  <si>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</si>
  <si>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</si>
  <si>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</si>
  <si>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</si>
  <si>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</si>
  <si>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</si>
  <si>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</si>
  <si>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</si>
  <si>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</si>
  <si>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</si>
  <si>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</si>
  <si>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</si>
  <si>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</si>
  <si>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</si>
  <si>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</si>
  <si>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</si>
  <si>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</si>
  <si>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</si>
  <si>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</si>
  <si>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</si>
  <si>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</si>
  <si>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</si>
  <si>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</si>
  <si>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</si>
  <si>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</si>
  <si>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</si>
  <si>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</si>
  <si>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</si>
  <si>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</si>
  <si>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</si>
  <si>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</si>
  <si>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</si>
  <si>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</si>
  <si>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</si>
  <si>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</si>
  <si>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</si>
  <si>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</si>
  <si>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</si>
  <si>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</si>
  <si>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</si>
  <si>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</si>
  <si>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</si>
  <si>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</si>
  <si>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</si>
  <si>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</si>
  <si>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</si>
  <si>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</si>
  <si>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Public unlisted</t>
  </si>
  <si>
    <t>Bangalore, India
Chennai, India
Hyderabad,India</t>
  </si>
  <si>
    <t>Initital plan of expansion is being evaluated for R&amp;D. China, Malaysia and Vietnam being explored as an alternative.</t>
  </si>
  <si>
    <t>SAP ERP system is utlised to track material journey right from Design indent release, Receipt at Stores, PPC and movement to Assembly for specific EQ against unique tracking code. WMS system implementation in progress for supply chain.</t>
  </si>
  <si>
    <t>Low</t>
  </si>
  <si>
    <t>Global</t>
  </si>
  <si>
    <t>Skilling OSS to reduce the count and increase the skill level; Train CM sites to build the competency to sustain the machines</t>
  </si>
  <si>
    <t>Production Planning &amp; Control</t>
  </si>
  <si>
    <t>Factory Program Management</t>
  </si>
  <si>
    <t>Nerve Centre- Real time customer support and spares part management</t>
  </si>
  <si>
    <t>Vision Inspection</t>
  </si>
  <si>
    <t>Experience in integrating variety of components. ROBOTS - Fanuc, ABB, Epson; CAMERAS - Keyence, Cognex, Datalogic</t>
  </si>
  <si>
    <t>Ability to successfully integrate multiple PLCs - Siemens, Mitsubishi, Omron, Allen Bradley</t>
  </si>
  <si>
    <t>Have integrated multiple kinds of dispensing systems - Single feed, mixed feed eg. Graco, Nordson</t>
  </si>
  <si>
    <t>KO POC for own Laser source for EMS applications</t>
  </si>
  <si>
    <t>Have done high speed pick and place - 1200 UPH</t>
  </si>
  <si>
    <t>Localised components utilised in the EQ as an altermate to China BOM</t>
  </si>
  <si>
    <t>End to end turnkey assembly - Sub parts to component level</t>
  </si>
  <si>
    <t>Have demonstrated automation of fully manual operations such as PF pasting on a housing</t>
  </si>
  <si>
    <t>Valeo, Siemens, Cummins, Bosch, Hero, Delphi, Toyota,Honda</t>
  </si>
  <si>
    <t>GKN, Lucas TVS, Siemens, ABB, Syrma, Cipla</t>
  </si>
  <si>
    <t>Yes;
17x -  3 Axis CNC machines at Chennai RF facility
3x - 3 axis CNC machines at Hosur NB facility
86x CNCs at Jara, Sona, IFB Captive centres</t>
  </si>
  <si>
    <t>We have localized 99% of the PRC components. Key components suppliers have been identified in alignment with 2026 iPhone hardware architecture. 
TEAL SW has been developed to avoid technical dependency on PRC parts post localization.
Established captive centers equipped with 86 CNC machines and in-house rubber molding facility at our Chennai plant, significantly reducing our reliance on external vendors.</t>
  </si>
  <si>
    <t>Part presence/absence detection
Full dimension measurement</t>
  </si>
  <si>
    <t xml:space="preserve">Shreyank MV
</t>
  </si>
  <si>
    <t>mv_shreyank@apple.com</t>
  </si>
  <si>
    <t>AI in machine vision
Predictive Maintenance using historical down time data;
Integrating training modules with AR/VR devices;
Deep learning algorithm for flaw identification in Vision system Images</t>
  </si>
  <si>
    <t>Knorr Bremse, Valeo</t>
  </si>
  <si>
    <t>Valeo, Plastic Omnium</t>
  </si>
  <si>
    <t>Valeo, Continental, Renault Nissan, Schneider Electric</t>
  </si>
  <si>
    <t>ABB, Valeo, Festo, Saint Gobain, NBC Bearnings</t>
  </si>
  <si>
    <t>NBC Bearnings, Valeo, Royal Enfield</t>
  </si>
  <si>
    <t>Valeo, Royal Enfield, Cummins, TVS, Honda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</si>
</sst>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5">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11"/>
      <color rgb="FF000000"/>
      <name val="Aptos Narrow"/>
      <family val="2"/>
      <charset val="1"/>
    </font>
    <font>
      <sz val="14"/>
      <color rgb="FF000000"/>
      <name val="Calibri"/>
      <family val="2"/>
    </font>
    <font>
      <sz val="14"/>
      <color rgb="FF000000"/>
      <name val="Calibri"/>
      <family val="2"/>
      <scheme val="minor"/>
    </font>
    <font>
      <sz val="11"/>
      <color rgb="FF000000"/>
      <name val="Aptos Narrow"/>
    </font>
    <font>
      <b/>
      <sz val="12"/>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6">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30" fillId="5" borderId="1" xfId="0" applyFont="1" applyFill="1" applyBorder="1" applyAlignment="1" applyProtection="1">
      <alignment horizontal="center" vertical="center" wrapText="1"/>
      <protection locked="0"/>
    </xf>
    <xf numFmtId="0" fontId="31" fillId="5" borderId="1" xfId="0" applyFont="1" applyFill="1" applyBorder="1" applyAlignment="1" applyProtection="1">
      <alignment horizontal="center" vertical="center" wrapText="1"/>
      <protection locked="0"/>
    </xf>
    <xf numFmtId="0" fontId="30" fillId="5" borderId="16" xfId="0" applyFont="1" applyFill="1" applyBorder="1" applyAlignment="1" applyProtection="1">
      <alignment horizontal="center" vertical="center" wrapText="1"/>
      <protection locked="0"/>
    </xf>
    <xf numFmtId="0" fontId="33" fillId="5" borderId="17" xfId="0" applyFont="1" applyFill="1" applyBorder="1" applyAlignment="1" applyProtection="1">
      <alignment horizontal="center" vertical="center"/>
      <protection locked="0"/>
    </xf>
    <xf numFmtId="0" fontId="0" fillId="5" borderId="1" xfId="3" applyFont="1" applyFill="1" applyBorder="1" applyAlignment="1" applyProtection="1">
      <alignment horizontal="center" vertical="center" wrapText="1"/>
      <protection locked="0"/>
    </xf>
    <xf numFmtId="0" fontId="0" fillId="5" borderId="2" xfId="3" applyFont="1" applyFill="1" applyBorder="1" applyAlignment="1" applyProtection="1">
      <alignment horizontal="center" vertical="center" wrapText="1"/>
      <protection locked="0"/>
    </xf>
    <xf numFmtId="1" fontId="32" fillId="9" borderId="1" xfId="0" applyNumberFormat="1" applyFont="1" applyFill="1" applyBorder="1" applyAlignment="1" applyProtection="1">
      <alignment horizontal="center" vertical="center" wrapText="1"/>
      <protection locked="0"/>
    </xf>
    <xf numFmtId="0" fontId="34" fillId="0" borderId="0" xfId="0" applyFont="1"/>
    <xf numFmtId="0" fontId="2" fillId="0" borderId="0" xfId="0" applyFont="1" applyAlignment="1" applyProtection="1">
      <alignment horizontal="center" vertical="center" wrapText="1"/>
      <protection locked="0"/>
    </xf>
    <xf numFmtId="0" fontId="32" fillId="9" borderId="1" xfId="0"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xf numFmtId="1" fontId="0" fillId="5" borderId="1" xfId="0" applyNumberFormat="1" applyFont="1" applyFill="1" applyBorder="1" applyAlignment="1" applyProtection="1">
      <alignment horizontal="center" vertical="center" wrapText="1"/>
      <protection locked="0"/>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504824</xdr:colOff>
      <xdr:row>9</xdr:row>
      <xdr:rowOff>19050</xdr:rowOff>
    </xdr:from>
    <xdr:to>
      <xdr:col>17</xdr:col>
      <xdr:colOff>800099</xdr:colOff>
      <xdr:row>45</xdr:row>
      <xdr:rowOff>45436</xdr:rowOff>
    </xdr:to>
    <xdr:pic>
      <xdr:nvPicPr>
        <xdr:cNvPr id="2" name="Picture 1">
          <a:extLst>
            <a:ext uri="{FF2B5EF4-FFF2-40B4-BE49-F238E27FC236}">
              <a16:creationId xmlns:a16="http://schemas.microsoft.com/office/drawing/2014/main" id="{6A9A1253-E8F7-B8D1-3394-6FEB0A7E1367}"/>
            </a:ext>
          </a:extLst>
        </xdr:cNvPr>
        <xdr:cNvPicPr>
          <a:picLocks noChangeAspect="1"/>
        </xdr:cNvPicPr>
      </xdr:nvPicPr>
      <xdr:blipFill>
        <a:blip xmlns:r="http://schemas.openxmlformats.org/officeDocument/2006/relationships" r:embed="rId1"/>
        <a:stretch>
          <a:fillRect/>
        </a:stretch>
      </xdr:blipFill>
      <xdr:spPr>
        <a:xfrm>
          <a:off x="923924" y="2762250"/>
          <a:ext cx="13503275" cy="734158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2" sqref="B2"/>
    </sheetView>
  </sheetViews>
  <sheetFormatPr baseColWidth="10" defaultColWidth="10.83203125" defaultRowHeight="20"/>
  <cols>
    <col min="1" max="1" width="10.83203125" style="47"/>
    <col min="2" max="2" width="200.83203125" style="10" customWidth="1"/>
    <col min="3" max="16384" width="10.83203125" style="47"/>
  </cols>
  <sheetData>
    <row r="2" spans="2:2" ht="21">
      <c r="B2" s="8" t="s">
        <v>0</v>
      </c>
    </row>
    <row r="3" spans="2:2" ht="21">
      <c r="B3" s="40" t="s">
        <v>1</v>
      </c>
    </row>
    <row r="4" spans="2:2" ht="84">
      <c r="B4" s="9" t="s">
        <v>2</v>
      </c>
    </row>
    <row r="5" spans="2:2" ht="21">
      <c r="B5" s="40" t="s">
        <v>3</v>
      </c>
    </row>
    <row r="6" spans="2:2" ht="42">
      <c r="B6" s="9" t="s">
        <v>4</v>
      </c>
    </row>
    <row r="7" spans="2:2" ht="21">
      <c r="B7" s="40" t="s">
        <v>5</v>
      </c>
    </row>
    <row r="8" spans="2:2" ht="294">
      <c r="B8" s="9" t="s">
        <v>6</v>
      </c>
    </row>
    <row r="9" spans="2:2" ht="21">
      <c r="B9" s="40" t="s">
        <v>7</v>
      </c>
    </row>
    <row r="10" spans="2:2" ht="21">
      <c r="B10" s="9" t="s">
        <v>8</v>
      </c>
    </row>
    <row r="11" spans="2:2" ht="21">
      <c r="B11" s="40" t="s">
        <v>9</v>
      </c>
    </row>
    <row r="12" spans="2:2" ht="42">
      <c r="B12" s="9" t="s">
        <v>10</v>
      </c>
    </row>
    <row r="13" spans="2:2" ht="21">
      <c r="B13" s="40" t="s">
        <v>11</v>
      </c>
    </row>
    <row r="14" spans="2:2" ht="84">
      <c r="B14" s="68" t="s">
        <v>12</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headerFooter>
    <oddFooter>&amp;L_x000D_&amp;1#&amp;"Aptos"&amp;8&amp;K000000 Sensitivity: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2" workbookViewId="0">
      <selection activeCell="B8" sqref="B8"/>
    </sheetView>
  </sheetViews>
  <sheetFormatPr baseColWidth="10" defaultColWidth="10.83203125" defaultRowHeight="20"/>
  <cols>
    <col min="1" max="1" width="10.83203125" style="47"/>
    <col min="2" max="2" width="200.83203125" style="10" customWidth="1"/>
    <col min="3" max="16384" width="10.83203125" style="47"/>
  </cols>
  <sheetData>
    <row r="2" spans="2:2" ht="21">
      <c r="B2" s="8" t="s">
        <v>13</v>
      </c>
    </row>
    <row r="3" spans="2:2" ht="21">
      <c r="B3" s="39" t="s">
        <v>14</v>
      </c>
    </row>
    <row r="4" spans="2:2" ht="42">
      <c r="B4" s="9" t="s">
        <v>15</v>
      </c>
    </row>
    <row r="5" spans="2:2" ht="21">
      <c r="B5" s="40" t="s">
        <v>16</v>
      </c>
    </row>
    <row r="6" spans="2:2" ht="42">
      <c r="B6" s="9" t="s">
        <v>17</v>
      </c>
    </row>
    <row r="7" spans="2:2" ht="21">
      <c r="B7" s="40" t="s">
        <v>18</v>
      </c>
    </row>
    <row r="8" spans="2:2" ht="63">
      <c r="B8" s="9" t="s">
        <v>19</v>
      </c>
    </row>
    <row r="9" spans="2:2" ht="21">
      <c r="B9" s="40" t="s">
        <v>20</v>
      </c>
    </row>
    <row r="10" spans="2:2" ht="42">
      <c r="B10" s="9" t="s">
        <v>21</v>
      </c>
    </row>
    <row r="11" spans="2:2" ht="21">
      <c r="B11" s="40" t="s">
        <v>22</v>
      </c>
    </row>
    <row r="12" spans="2:2" ht="105">
      <c r="B12" s="9" t="s">
        <v>23</v>
      </c>
    </row>
    <row r="13" spans="2:2" ht="21">
      <c r="B13" s="40" t="s">
        <v>24</v>
      </c>
    </row>
    <row r="14" spans="2:2" ht="84">
      <c r="B14" s="9" t="s">
        <v>25</v>
      </c>
    </row>
    <row r="15" spans="2:2" ht="21">
      <c r="B15" s="40" t="s">
        <v>26</v>
      </c>
    </row>
    <row r="16" spans="2:2" ht="168">
      <c r="B16" s="9" t="s">
        <v>27</v>
      </c>
    </row>
    <row r="17" spans="2:2" ht="21">
      <c r="B17" s="40" t="s">
        <v>28</v>
      </c>
    </row>
    <row r="18" spans="2:2" ht="42">
      <c r="B18" s="9" t="s">
        <v>29</v>
      </c>
    </row>
    <row r="19" spans="2:2" ht="21">
      <c r="B19" s="40" t="s">
        <v>30</v>
      </c>
    </row>
    <row r="20" spans="2:2" ht="105">
      <c r="B20" s="9" t="s">
        <v>31</v>
      </c>
    </row>
    <row r="21" spans="2:2" ht="21">
      <c r="B21" s="40" t="s">
        <v>32</v>
      </c>
    </row>
    <row r="22" spans="2:2" ht="63">
      <c r="B22" s="9" t="s">
        <v>33</v>
      </c>
    </row>
    <row r="23" spans="2:2" ht="21">
      <c r="B23" s="40" t="s">
        <v>34</v>
      </c>
    </row>
    <row r="24" spans="2:2" ht="210">
      <c r="B24" s="9" t="s">
        <v>35</v>
      </c>
    </row>
    <row r="25" spans="2:2" ht="21">
      <c r="B25" s="40" t="s">
        <v>36</v>
      </c>
    </row>
    <row r="26" spans="2:2" ht="147">
      <c r="B26" s="9" t="s">
        <v>37</v>
      </c>
    </row>
    <row r="27" spans="2:2" ht="21">
      <c r="B27" s="40" t="s">
        <v>38</v>
      </c>
    </row>
    <row r="28" spans="2:2" ht="42">
      <c r="B28" s="9" t="s">
        <v>39</v>
      </c>
    </row>
    <row r="29" spans="2:2" ht="21">
      <c r="B29" s="40" t="s">
        <v>40</v>
      </c>
    </row>
    <row r="30" spans="2:2" ht="42">
      <c r="B30" s="9" t="s">
        <v>41</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headerFooter>
    <oddFooter>&amp;L_x000D_&amp;1#&amp;"Aptos"&amp;8&amp;K000000 Sensitivity: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C4" sqref="C4"/>
    </sheetView>
  </sheetViews>
  <sheetFormatPr baseColWidth="10" defaultColWidth="10.83203125" defaultRowHeight="20"/>
  <cols>
    <col min="1" max="1" width="10.83203125" style="47"/>
    <col min="2" max="2" width="141.5" style="10" customWidth="1"/>
    <col min="3" max="3" width="40.83203125" style="13" customWidth="1"/>
    <col min="4" max="16384" width="10.83203125" style="47"/>
  </cols>
  <sheetData>
    <row r="2" spans="2:3" ht="21">
      <c r="B2" s="8" t="s">
        <v>42</v>
      </c>
      <c r="C2" s="11"/>
    </row>
    <row r="3" spans="2:3" ht="21">
      <c r="B3" s="39" t="s">
        <v>43</v>
      </c>
      <c r="C3" s="11"/>
    </row>
    <row r="4" spans="2:3" ht="210">
      <c r="B4" s="12" t="s">
        <v>44</v>
      </c>
      <c r="C4" s="46"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headerFooter>
    <oddFooter>&amp;L_x000D_&amp;1#&amp;"Aptos"&amp;8&amp;K000000 Sensitivity: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3" zoomScale="110" zoomScaleNormal="110" workbookViewId="0">
      <selection activeCell="C25" sqref="C25:C26"/>
    </sheetView>
  </sheetViews>
  <sheetFormatPr baseColWidth="10" defaultColWidth="10.83203125"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46</v>
      </c>
    </row>
    <row r="2" spans="1:7" ht="26" customHeight="1">
      <c r="A2" s="15">
        <v>1</v>
      </c>
      <c r="B2" s="16" t="s">
        <v>47</v>
      </c>
      <c r="C2" s="17">
        <v>45992</v>
      </c>
    </row>
    <row r="3" spans="1:7" ht="26" customHeight="1">
      <c r="A3" s="15">
        <v>2</v>
      </c>
      <c r="B3" s="16" t="s">
        <v>48</v>
      </c>
      <c r="C3" s="18" t="s">
        <v>49</v>
      </c>
    </row>
    <row r="4" spans="1:7" ht="26" customHeight="1">
      <c r="A4" s="15">
        <v>3</v>
      </c>
      <c r="B4" s="16" t="s">
        <v>50</v>
      </c>
      <c r="C4" s="18" t="s">
        <v>51</v>
      </c>
      <c r="E4" s="19"/>
    </row>
    <row r="5" spans="1:7" ht="26" customHeight="1">
      <c r="A5" s="15">
        <v>4</v>
      </c>
      <c r="B5" s="16" t="s">
        <v>52</v>
      </c>
      <c r="C5" s="18" t="s">
        <v>53</v>
      </c>
      <c r="E5" s="19"/>
    </row>
    <row r="6" spans="1:7" ht="26" customHeight="1">
      <c r="A6" s="15">
        <v>5</v>
      </c>
      <c r="B6" s="16" t="s">
        <v>54</v>
      </c>
      <c r="C6" s="20" t="s">
        <v>55</v>
      </c>
      <c r="E6" s="19"/>
    </row>
    <row r="7" spans="1:7" ht="26" customHeight="1">
      <c r="A7" s="15">
        <v>6</v>
      </c>
      <c r="B7" s="16" t="s">
        <v>56</v>
      </c>
      <c r="C7" s="18" t="s">
        <v>423</v>
      </c>
      <c r="E7" s="19"/>
    </row>
    <row r="8" spans="1:7" ht="26" customHeight="1">
      <c r="A8" s="15">
        <v>7</v>
      </c>
      <c r="B8" s="16" t="s">
        <v>58</v>
      </c>
      <c r="C8" s="18" t="s">
        <v>59</v>
      </c>
    </row>
    <row r="9" spans="1:7" ht="26" customHeight="1">
      <c r="A9" s="15">
        <v>8</v>
      </c>
      <c r="B9" s="16" t="s">
        <v>60</v>
      </c>
      <c r="C9" s="18" t="s">
        <v>61</v>
      </c>
    </row>
    <row r="10" spans="1:7" ht="26" customHeight="1">
      <c r="A10" s="15">
        <v>9</v>
      </c>
      <c r="B10" s="16" t="s">
        <v>62</v>
      </c>
      <c r="C10" s="18">
        <v>2500</v>
      </c>
    </row>
    <row r="11" spans="1:7">
      <c r="A11" s="15">
        <v>10</v>
      </c>
      <c r="B11" s="16" t="s">
        <v>63</v>
      </c>
      <c r="C11" s="18">
        <v>2015</v>
      </c>
    </row>
    <row r="12" spans="1:7">
      <c r="A12" s="15">
        <v>11</v>
      </c>
      <c r="B12" s="16" t="s">
        <v>64</v>
      </c>
      <c r="C12" s="18">
        <v>2023</v>
      </c>
      <c r="F12" s="21"/>
    </row>
    <row r="15" spans="1:7" ht="40">
      <c r="B15" s="23" t="s">
        <v>65</v>
      </c>
      <c r="C15" s="24" t="s">
        <v>66</v>
      </c>
      <c r="D15" s="24" t="s">
        <v>67</v>
      </c>
      <c r="E15" s="24" t="s">
        <v>68</v>
      </c>
      <c r="F15" s="24" t="s">
        <v>69</v>
      </c>
      <c r="G15" s="25" t="s">
        <v>70</v>
      </c>
    </row>
    <row r="16" spans="1:7" ht="20">
      <c r="B16" s="26" t="s">
        <v>71</v>
      </c>
      <c r="C16" s="74" t="s">
        <v>72</v>
      </c>
      <c r="D16" s="18" t="s">
        <v>73</v>
      </c>
      <c r="E16" s="75" t="s">
        <v>74</v>
      </c>
      <c r="F16" s="78" t="s">
        <v>75</v>
      </c>
      <c r="G16" s="27" t="s">
        <v>76</v>
      </c>
    </row>
    <row r="17" spans="2:7" ht="21" thickBot="1">
      <c r="B17" s="26" t="s">
        <v>77</v>
      </c>
      <c r="C17" s="77" t="s">
        <v>78</v>
      </c>
      <c r="D17" s="18" t="s">
        <v>73</v>
      </c>
      <c r="E17" s="18" t="s">
        <v>74</v>
      </c>
      <c r="F17" s="78" t="s">
        <v>79</v>
      </c>
      <c r="G17" s="27" t="s">
        <v>80</v>
      </c>
    </row>
    <row r="18" spans="2:7" ht="20">
      <c r="B18" s="26" t="s">
        <v>81</v>
      </c>
      <c r="C18" s="74" t="s">
        <v>82</v>
      </c>
      <c r="D18" s="18" t="s">
        <v>73</v>
      </c>
      <c r="E18" s="18" t="s">
        <v>74</v>
      </c>
      <c r="F18" s="78" t="s">
        <v>83</v>
      </c>
      <c r="G18" s="27" t="s">
        <v>84</v>
      </c>
    </row>
    <row r="19" spans="2:7" ht="20">
      <c r="B19" s="26" t="s">
        <v>85</v>
      </c>
      <c r="C19" s="18" t="s">
        <v>86</v>
      </c>
      <c r="D19" s="18" t="s">
        <v>73</v>
      </c>
      <c r="E19" s="18" t="s">
        <v>74</v>
      </c>
      <c r="F19" s="78" t="s">
        <v>87</v>
      </c>
      <c r="G19" s="27" t="s">
        <v>88</v>
      </c>
    </row>
    <row r="20" spans="2:7" ht="20">
      <c r="B20" s="28" t="s">
        <v>89</v>
      </c>
      <c r="C20" s="76" t="s">
        <v>90</v>
      </c>
      <c r="D20" s="22" t="s">
        <v>73</v>
      </c>
      <c r="E20" s="18" t="s">
        <v>74</v>
      </c>
      <c r="F20" s="79" t="s">
        <v>91</v>
      </c>
      <c r="G20" s="27" t="s">
        <v>92</v>
      </c>
    </row>
    <row r="21" spans="2:7" ht="20">
      <c r="B21" s="26" t="s">
        <v>93</v>
      </c>
      <c r="C21" s="74" t="s">
        <v>94</v>
      </c>
      <c r="D21" s="18" t="s">
        <v>73</v>
      </c>
      <c r="E21" s="18" t="s">
        <v>74</v>
      </c>
      <c r="F21" s="78" t="s">
        <v>95</v>
      </c>
      <c r="G21" s="27" t="s">
        <v>96</v>
      </c>
    </row>
    <row r="22" spans="2:7" ht="20">
      <c r="B22" s="26" t="s">
        <v>97</v>
      </c>
      <c r="C22" s="74" t="s">
        <v>98</v>
      </c>
      <c r="D22" s="22" t="s">
        <v>73</v>
      </c>
      <c r="E22" s="18" t="s">
        <v>74</v>
      </c>
      <c r="F22" s="78" t="s">
        <v>99</v>
      </c>
      <c r="G22" s="27" t="s">
        <v>100</v>
      </c>
    </row>
    <row r="23" spans="2:7" ht="20">
      <c r="B23" s="26" t="s">
        <v>101</v>
      </c>
      <c r="C23" s="74" t="s">
        <v>102</v>
      </c>
      <c r="D23" s="22" t="s">
        <v>73</v>
      </c>
      <c r="E23" s="18" t="s">
        <v>74</v>
      </c>
      <c r="F23" s="78" t="s">
        <v>103</v>
      </c>
      <c r="G23" s="27" t="s">
        <v>104</v>
      </c>
    </row>
    <row r="24" spans="2:7">
      <c r="B24" s="26" t="s">
        <v>105</v>
      </c>
      <c r="C24" s="18"/>
      <c r="D24" s="18"/>
      <c r="E24" s="18"/>
      <c r="F24" s="20"/>
      <c r="G24" s="27"/>
    </row>
    <row r="25" spans="2:7">
      <c r="B25" s="26" t="s">
        <v>105</v>
      </c>
      <c r="C25" s="29"/>
      <c r="D25" s="29"/>
      <c r="E25" s="29"/>
      <c r="F25" s="30"/>
      <c r="G25" s="31"/>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headerFooter>
    <oddFooter>&amp;L_x000D_&amp;1#&amp;"Aptos"&amp;8&amp;K000000 Sensitivity: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abSelected="1" topLeftCell="B1" zoomScale="120" zoomScaleNormal="120" workbookViewId="0">
      <selection activeCell="D14" sqref="D14"/>
    </sheetView>
  </sheetViews>
  <sheetFormatPr baseColWidth="10" defaultColWidth="10.83203125" defaultRowHeight="16"/>
  <cols>
    <col min="1" max="1" width="4.83203125" customWidth="1"/>
    <col min="2" max="2" width="53.83203125" customWidth="1"/>
    <col min="3" max="8" width="28.1640625" customWidth="1"/>
    <col min="9" max="16384" width="10.83203125" style="1"/>
  </cols>
  <sheetData>
    <row r="1" spans="2:9" ht="51" customHeight="1">
      <c r="B1" s="14" t="s">
        <v>106</v>
      </c>
    </row>
    <row r="2" spans="2:9" ht="51" customHeight="1">
      <c r="B2" s="16" t="s">
        <v>107</v>
      </c>
      <c r="C2" s="16">
        <v>2022</v>
      </c>
      <c r="D2" s="16">
        <v>2023</v>
      </c>
      <c r="E2" s="16">
        <v>2024</v>
      </c>
      <c r="F2" s="16" t="s">
        <v>108</v>
      </c>
      <c r="G2" s="16" t="s">
        <v>109</v>
      </c>
      <c r="H2" s="16" t="s">
        <v>110</v>
      </c>
    </row>
    <row r="3" spans="2:9" ht="51" customHeight="1">
      <c r="B3" s="32" t="s">
        <v>111</v>
      </c>
      <c r="C3" s="57"/>
      <c r="D3" s="57"/>
      <c r="E3" s="57"/>
      <c r="F3" s="57"/>
      <c r="G3" s="57"/>
      <c r="H3" s="57"/>
    </row>
    <row r="4" spans="2:9" ht="51" customHeight="1">
      <c r="B4" s="32" t="s">
        <v>112</v>
      </c>
      <c r="C4" s="57"/>
      <c r="D4" s="57">
        <v>70</v>
      </c>
      <c r="E4" s="57">
        <v>100</v>
      </c>
      <c r="F4" s="57">
        <v>130</v>
      </c>
      <c r="G4" s="57">
        <v>200</v>
      </c>
      <c r="H4" s="57">
        <v>300</v>
      </c>
      <c r="I4" s="4"/>
    </row>
    <row r="5" spans="2:9" ht="51" customHeight="1">
      <c r="B5" s="32" t="s">
        <v>113</v>
      </c>
      <c r="C5" s="57"/>
      <c r="D5" s="57"/>
      <c r="E5" s="57">
        <v>3</v>
      </c>
      <c r="F5" s="57">
        <v>40</v>
      </c>
      <c r="G5" s="57">
        <v>70</v>
      </c>
      <c r="H5" s="57">
        <v>90</v>
      </c>
      <c r="I5" s="4" t="s">
        <v>114</v>
      </c>
    </row>
    <row r="6" spans="2:9" ht="51" customHeight="1">
      <c r="B6" s="32" t="s">
        <v>115</v>
      </c>
      <c r="C6" s="57"/>
      <c r="D6" s="57"/>
      <c r="E6" s="57"/>
      <c r="F6" s="57"/>
      <c r="G6" s="57"/>
      <c r="H6" s="57"/>
      <c r="I6" s="2" t="s">
        <v>116</v>
      </c>
    </row>
    <row r="8" spans="2:9" ht="19">
      <c r="B8" s="16" t="s">
        <v>107</v>
      </c>
      <c r="C8" s="16">
        <v>2023</v>
      </c>
      <c r="D8" s="16">
        <v>2023</v>
      </c>
      <c r="E8" s="16">
        <v>2024</v>
      </c>
      <c r="F8" s="16" t="s">
        <v>108</v>
      </c>
      <c r="G8" s="16" t="s">
        <v>109</v>
      </c>
      <c r="H8" s="16" t="s">
        <v>110</v>
      </c>
    </row>
    <row r="9" spans="2:9" ht="19">
      <c r="B9" s="32" t="s">
        <v>117</v>
      </c>
      <c r="C9" s="58"/>
      <c r="D9" s="58"/>
      <c r="E9" s="58"/>
      <c r="F9" s="58"/>
      <c r="G9" s="58"/>
      <c r="H9" s="58"/>
    </row>
    <row r="10" spans="2:9" ht="19">
      <c r="B10" s="32" t="s">
        <v>118</v>
      </c>
      <c r="C10" s="58"/>
      <c r="D10" s="58"/>
      <c r="E10" s="58"/>
      <c r="F10" s="58"/>
      <c r="G10" s="58"/>
      <c r="H10" s="58"/>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headerFooter>
    <oddFooter>&amp;L_x000D_&amp;1#&amp;"Aptos"&amp;8&amp;K000000 Sensitivity: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5" zoomScale="90" zoomScaleNormal="90" workbookViewId="0">
      <selection activeCell="D13" sqref="D13"/>
    </sheetView>
  </sheetViews>
  <sheetFormatPr baseColWidth="10" defaultColWidth="10.83203125" defaultRowHeight="26" customHeight="1"/>
  <cols>
    <col min="1" max="1" width="6.1640625" style="62" customWidth="1"/>
    <col min="2" max="2" width="59" style="34" customWidth="1"/>
    <col min="3" max="3" width="38.5" style="3" customWidth="1"/>
    <col min="4" max="8" width="38.5" style="6" customWidth="1"/>
    <col min="9" max="11" width="29.1640625" style="3" customWidth="1"/>
    <col min="12" max="16384" width="10.83203125" style="3"/>
  </cols>
  <sheetData>
    <row r="1" spans="1:8" s="15" customFormat="1" ht="51" customHeight="1">
      <c r="A1" s="60"/>
      <c r="B1" s="33" t="s">
        <v>119</v>
      </c>
    </row>
    <row r="2" spans="1:8" s="34" customFormat="1" ht="56" customHeight="1">
      <c r="A2" s="61"/>
      <c r="B2" s="16"/>
      <c r="C2" s="16" t="s">
        <v>120</v>
      </c>
      <c r="D2" s="35" t="s">
        <v>121</v>
      </c>
      <c r="E2" s="35" t="s">
        <v>122</v>
      </c>
      <c r="F2" s="35" t="s">
        <v>123</v>
      </c>
      <c r="G2" s="35" t="s">
        <v>124</v>
      </c>
      <c r="H2" s="35" t="s">
        <v>125</v>
      </c>
    </row>
    <row r="3" spans="1:8" ht="60" customHeight="1">
      <c r="A3" s="62">
        <v>1</v>
      </c>
      <c r="B3" s="16" t="s">
        <v>126</v>
      </c>
      <c r="C3" s="36" t="s">
        <v>127</v>
      </c>
      <c r="D3" s="36" t="s">
        <v>128</v>
      </c>
      <c r="E3" s="82"/>
      <c r="F3" s="18"/>
      <c r="G3" s="18"/>
      <c r="H3" s="18"/>
    </row>
    <row r="4" spans="1:8" ht="60" customHeight="1">
      <c r="A4" s="62">
        <v>2</v>
      </c>
      <c r="B4" s="16" t="s">
        <v>129</v>
      </c>
      <c r="C4" s="18" t="s">
        <v>53</v>
      </c>
      <c r="D4" s="18" t="s">
        <v>130</v>
      </c>
      <c r="E4" s="18"/>
      <c r="F4" s="18"/>
      <c r="G4" s="49"/>
      <c r="H4" s="18"/>
    </row>
    <row r="5" spans="1:8" ht="60" customHeight="1">
      <c r="A5" s="62">
        <v>3</v>
      </c>
      <c r="B5" s="16" t="s">
        <v>131</v>
      </c>
      <c r="C5" s="18" t="s">
        <v>132</v>
      </c>
      <c r="D5" s="18" t="s">
        <v>133</v>
      </c>
      <c r="E5" s="18"/>
      <c r="F5" s="18"/>
      <c r="G5" s="18"/>
      <c r="H5" s="18"/>
    </row>
    <row r="6" spans="1:8" ht="60" customHeight="1">
      <c r="A6" s="62">
        <v>4</v>
      </c>
      <c r="B6" s="35" t="s">
        <v>134</v>
      </c>
      <c r="C6" s="18" t="s">
        <v>135</v>
      </c>
      <c r="D6" s="83" t="s">
        <v>135</v>
      </c>
      <c r="E6" s="18"/>
      <c r="F6" s="18"/>
      <c r="G6" s="18"/>
      <c r="H6" s="18"/>
    </row>
    <row r="7" spans="1:8" ht="86" customHeight="1">
      <c r="A7" s="62">
        <v>5</v>
      </c>
      <c r="B7" s="35" t="s">
        <v>136</v>
      </c>
      <c r="C7" s="18" t="s">
        <v>137</v>
      </c>
      <c r="D7" s="18" t="s">
        <v>137</v>
      </c>
      <c r="E7" s="18"/>
      <c r="F7" s="18"/>
      <c r="G7" s="18"/>
      <c r="H7" s="18"/>
    </row>
    <row r="8" spans="1:8" ht="86" customHeight="1">
      <c r="A8" s="62">
        <v>6</v>
      </c>
      <c r="B8" s="35" t="s">
        <v>138</v>
      </c>
      <c r="C8" s="18"/>
      <c r="D8" s="18"/>
      <c r="E8" s="18"/>
      <c r="F8" s="18"/>
      <c r="G8" s="18"/>
      <c r="H8" s="18"/>
    </row>
    <row r="9" spans="1:8" ht="60" customHeight="1">
      <c r="A9" s="62">
        <v>7</v>
      </c>
      <c r="B9" s="16" t="s">
        <v>139</v>
      </c>
      <c r="C9" s="37">
        <v>4000</v>
      </c>
      <c r="D9" s="37">
        <v>12000</v>
      </c>
      <c r="E9" s="38"/>
      <c r="F9" s="38"/>
      <c r="G9" s="38"/>
      <c r="H9" s="38"/>
    </row>
    <row r="10" spans="1:8" ht="60" customHeight="1">
      <c r="A10" s="62">
        <v>8</v>
      </c>
      <c r="B10" s="35" t="s">
        <v>140</v>
      </c>
      <c r="C10" s="37">
        <v>609</v>
      </c>
      <c r="D10" s="37">
        <v>870</v>
      </c>
      <c r="E10" s="38"/>
      <c r="F10" s="38"/>
      <c r="G10" s="38"/>
      <c r="H10" s="38"/>
    </row>
    <row r="11" spans="1:8" ht="60" customHeight="1">
      <c r="A11" s="62">
        <v>9</v>
      </c>
      <c r="B11" s="35" t="s">
        <v>141</v>
      </c>
      <c r="C11" s="18">
        <v>60</v>
      </c>
      <c r="D11" s="18">
        <v>100</v>
      </c>
      <c r="E11" s="18"/>
      <c r="F11" s="18"/>
      <c r="G11" s="18"/>
      <c r="H11" s="18"/>
    </row>
    <row r="12" spans="1:8" ht="60" customHeight="1">
      <c r="A12" s="62">
        <v>10</v>
      </c>
      <c r="B12" s="35" t="s">
        <v>142</v>
      </c>
      <c r="C12" s="18">
        <v>70</v>
      </c>
      <c r="D12" s="18">
        <v>120</v>
      </c>
      <c r="E12" s="18"/>
      <c r="F12" s="18"/>
      <c r="G12" s="18"/>
      <c r="H12" s="18"/>
    </row>
    <row r="13" spans="1:8" ht="60" customHeight="1">
      <c r="A13" s="62">
        <v>11</v>
      </c>
      <c r="B13" s="35" t="s">
        <v>143</v>
      </c>
      <c r="C13" s="18">
        <v>130</v>
      </c>
      <c r="D13" s="18"/>
      <c r="E13" s="18"/>
      <c r="F13" s="18"/>
      <c r="G13" s="18"/>
      <c r="H13" s="18"/>
    </row>
    <row r="14" spans="1:8" ht="60" customHeight="1">
      <c r="A14" s="62">
        <v>12</v>
      </c>
      <c r="B14" s="35" t="s">
        <v>144</v>
      </c>
      <c r="C14" s="18" t="s">
        <v>45</v>
      </c>
      <c r="D14" s="18" t="s">
        <v>146</v>
      </c>
      <c r="E14" s="18"/>
      <c r="F14" s="18"/>
      <c r="G14" s="18"/>
      <c r="H14" s="18"/>
    </row>
    <row r="15" spans="1:8" ht="60" customHeight="1">
      <c r="A15" s="62">
        <v>13</v>
      </c>
      <c r="B15" s="35" t="s">
        <v>145</v>
      </c>
      <c r="C15" s="18" t="s">
        <v>146</v>
      </c>
      <c r="D15" s="18" t="s">
        <v>146</v>
      </c>
      <c r="E15" s="18"/>
      <c r="F15" s="18"/>
      <c r="G15" s="18"/>
      <c r="H15" s="18"/>
    </row>
    <row r="16" spans="1:8" ht="60" customHeight="1">
      <c r="A16" s="62">
        <v>14</v>
      </c>
      <c r="B16" s="35" t="s">
        <v>147</v>
      </c>
      <c r="C16" s="18" t="s">
        <v>424</v>
      </c>
      <c r="D16" s="18" t="s">
        <v>424</v>
      </c>
      <c r="E16" s="18"/>
      <c r="F16" s="18"/>
      <c r="G16" s="18"/>
      <c r="H16" s="18"/>
    </row>
    <row r="18" spans="1:8" ht="61" customHeight="1">
      <c r="A18" s="62">
        <v>15</v>
      </c>
      <c r="B18" s="84" t="s">
        <v>148</v>
      </c>
      <c r="C18" s="84"/>
      <c r="D18" s="85" t="s">
        <v>425</v>
      </c>
      <c r="E18" s="86"/>
      <c r="F18" s="86"/>
      <c r="G18" s="86"/>
      <c r="H18" s="87"/>
    </row>
    <row r="19" spans="1:8" ht="61" customHeight="1">
      <c r="A19" s="62">
        <v>16</v>
      </c>
      <c r="B19" s="84" t="s">
        <v>149</v>
      </c>
      <c r="C19" s="84"/>
      <c r="D19" s="85" t="s">
        <v>150</v>
      </c>
      <c r="E19" s="86"/>
      <c r="F19" s="86"/>
      <c r="G19" s="86"/>
      <c r="H19" s="87"/>
    </row>
    <row r="20" spans="1:8" ht="61" customHeight="1">
      <c r="A20" s="62">
        <v>17</v>
      </c>
      <c r="B20" s="84" t="s">
        <v>151</v>
      </c>
      <c r="C20" s="84"/>
      <c r="D20" s="85" t="s">
        <v>152</v>
      </c>
      <c r="E20" s="86"/>
      <c r="F20" s="86"/>
      <c r="G20" s="86"/>
      <c r="H20" s="87"/>
    </row>
    <row r="21" spans="1:8" ht="61" customHeight="1">
      <c r="A21" s="62">
        <v>18</v>
      </c>
      <c r="B21" s="84" t="s">
        <v>153</v>
      </c>
      <c r="C21" s="84"/>
      <c r="D21" s="85" t="s">
        <v>154</v>
      </c>
      <c r="E21" s="86"/>
      <c r="F21" s="86"/>
      <c r="G21" s="86"/>
      <c r="H21" s="87"/>
    </row>
    <row r="22" spans="1:8" ht="61" customHeight="1">
      <c r="A22" s="62">
        <v>19</v>
      </c>
      <c r="B22" s="84" t="s">
        <v>155</v>
      </c>
      <c r="C22" s="84"/>
      <c r="D22" s="85" t="s">
        <v>444</v>
      </c>
      <c r="E22" s="86"/>
      <c r="F22" s="86"/>
      <c r="G22" s="86"/>
      <c r="H22" s="87"/>
    </row>
    <row r="23" spans="1:8" ht="61" customHeight="1">
      <c r="A23" s="62">
        <v>20</v>
      </c>
      <c r="B23" s="88" t="s">
        <v>156</v>
      </c>
      <c r="C23" s="89"/>
      <c r="D23" s="85" t="s">
        <v>157</v>
      </c>
      <c r="E23" s="86"/>
      <c r="F23" s="86"/>
      <c r="G23" s="86"/>
      <c r="H23" s="87"/>
    </row>
    <row r="24" spans="1:8" ht="61" customHeight="1">
      <c r="A24" s="62">
        <v>21</v>
      </c>
      <c r="B24" s="88" t="s">
        <v>158</v>
      </c>
      <c r="C24" s="89"/>
      <c r="D24" s="85" t="s">
        <v>426</v>
      </c>
      <c r="E24" s="86"/>
      <c r="F24" s="86"/>
      <c r="G24" s="86"/>
      <c r="H24" s="87"/>
    </row>
    <row r="25" spans="1:8" ht="187.75" customHeight="1">
      <c r="A25" s="62">
        <v>22</v>
      </c>
      <c r="B25" s="84" t="s">
        <v>159</v>
      </c>
      <c r="C25" s="84"/>
      <c r="D25" s="85" t="s">
        <v>445</v>
      </c>
      <c r="E25" s="86"/>
      <c r="F25" s="86"/>
      <c r="G25" s="86"/>
      <c r="H25" s="87"/>
    </row>
    <row r="26" spans="1:8" ht="61" customHeight="1"/>
    <row r="27" spans="1:8" ht="61" customHeight="1"/>
    <row r="28" spans="1:8" ht="61" customHeight="1"/>
    <row r="29" spans="1:8" ht="61"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D3 F3:H3 C4: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headerFooter>
    <oddFooter>&amp;L_x000D_&amp;1#&amp;"Aptos"&amp;8&amp;K000000 Sensitivity: General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106" zoomScaleNormal="140" workbookViewId="0">
      <selection activeCell="D11" sqref="D11"/>
    </sheetView>
  </sheetViews>
  <sheetFormatPr baseColWidth="10"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1" t="s">
        <v>160</v>
      </c>
    </row>
    <row r="2" spans="2:10" ht="50" customHeight="1">
      <c r="B2" s="42"/>
      <c r="C2" s="43" t="s">
        <v>161</v>
      </c>
      <c r="D2" s="43" t="s">
        <v>162</v>
      </c>
      <c r="E2" s="43" t="s">
        <v>163</v>
      </c>
      <c r="F2" s="43" t="s">
        <v>164</v>
      </c>
      <c r="G2" s="43" t="s">
        <v>165</v>
      </c>
      <c r="H2" s="43" t="s">
        <v>166</v>
      </c>
      <c r="I2" s="43" t="s">
        <v>167</v>
      </c>
      <c r="J2" s="43" t="s">
        <v>168</v>
      </c>
    </row>
    <row r="3" spans="2:10" ht="50" customHeight="1">
      <c r="B3" s="43" t="s">
        <v>169</v>
      </c>
      <c r="C3" s="69" t="s">
        <v>74</v>
      </c>
      <c r="D3" s="69" t="s">
        <v>422</v>
      </c>
      <c r="E3" s="69" t="s">
        <v>396</v>
      </c>
      <c r="F3" s="69"/>
      <c r="G3" s="69"/>
      <c r="H3" s="69"/>
      <c r="I3" s="69"/>
      <c r="J3" s="69"/>
    </row>
    <row r="4" spans="2:10" ht="50" customHeight="1">
      <c r="B4" s="44" t="s">
        <v>170</v>
      </c>
      <c r="C4" s="69">
        <v>164</v>
      </c>
      <c r="D4" s="69"/>
      <c r="E4" s="69"/>
      <c r="F4" s="69"/>
      <c r="G4" s="69"/>
      <c r="H4" s="69"/>
      <c r="I4" s="69"/>
      <c r="J4" s="69"/>
    </row>
    <row r="5" spans="2:10" ht="50" customHeight="1">
      <c r="B5" s="44" t="s">
        <v>171</v>
      </c>
      <c r="C5" s="69">
        <v>175</v>
      </c>
      <c r="D5" s="69"/>
      <c r="E5" s="69"/>
      <c r="F5" s="69"/>
      <c r="G5" s="69"/>
      <c r="H5" s="69"/>
      <c r="I5" s="69"/>
      <c r="J5" s="69"/>
    </row>
    <row r="6" spans="2:10" ht="50" customHeight="1">
      <c r="B6" s="44" t="s">
        <v>172</v>
      </c>
      <c r="C6" s="69">
        <v>118</v>
      </c>
      <c r="D6" s="69">
        <v>3</v>
      </c>
      <c r="E6" s="69">
        <v>8</v>
      </c>
      <c r="F6" s="69"/>
      <c r="G6" s="69"/>
      <c r="H6" s="69"/>
      <c r="I6" s="69"/>
      <c r="J6" s="69"/>
    </row>
    <row r="7" spans="2:10" ht="50" customHeight="1">
      <c r="B7" s="44" t="s">
        <v>173</v>
      </c>
      <c r="C7" s="69">
        <v>1500</v>
      </c>
      <c r="D7" s="69"/>
      <c r="E7" s="69"/>
      <c r="F7" s="69"/>
      <c r="G7" s="69"/>
      <c r="H7" s="69"/>
      <c r="I7" s="69"/>
      <c r="J7" s="69"/>
    </row>
    <row r="8" spans="2:10" ht="50" customHeight="1">
      <c r="B8" s="44" t="s">
        <v>174</v>
      </c>
      <c r="C8" s="69" t="s">
        <v>281</v>
      </c>
      <c r="D8" s="69"/>
      <c r="E8" s="69"/>
      <c r="F8" s="69"/>
      <c r="G8" s="69"/>
      <c r="H8" s="69"/>
      <c r="I8" s="69"/>
      <c r="J8" s="69"/>
    </row>
    <row r="9" spans="2:10" ht="50" customHeight="1">
      <c r="B9" s="44" t="s">
        <v>176</v>
      </c>
      <c r="C9" s="69" t="s">
        <v>427</v>
      </c>
      <c r="D9" s="69"/>
      <c r="E9" s="69"/>
      <c r="F9" s="69"/>
      <c r="G9" s="69"/>
      <c r="H9" s="69"/>
      <c r="I9" s="69"/>
      <c r="J9" s="69"/>
    </row>
    <row r="10" spans="2:10" ht="50" customHeight="1">
      <c r="B10" s="63" t="s">
        <v>177</v>
      </c>
      <c r="C10" s="69" t="s">
        <v>428</v>
      </c>
      <c r="D10" s="69"/>
      <c r="E10" s="69"/>
      <c r="F10" s="69"/>
      <c r="G10" s="69"/>
      <c r="H10" s="69"/>
      <c r="I10" s="69"/>
      <c r="J10" s="69"/>
    </row>
    <row r="11" spans="2:10" ht="50" customHeight="1">
      <c r="B11" s="44" t="s">
        <v>178</v>
      </c>
      <c r="C11" s="70">
        <v>12</v>
      </c>
      <c r="D11" s="70"/>
      <c r="E11" s="70"/>
      <c r="F11" s="69"/>
      <c r="G11" s="69"/>
      <c r="H11" s="69"/>
      <c r="I11" s="69"/>
      <c r="J11" s="69"/>
    </row>
    <row r="12" spans="2:10" ht="50" customHeight="1">
      <c r="B12" s="44" t="s">
        <v>179</v>
      </c>
      <c r="C12" s="71">
        <v>0.1</v>
      </c>
      <c r="D12" s="72"/>
      <c r="E12" s="72"/>
      <c r="F12" s="72"/>
      <c r="G12" s="72"/>
      <c r="H12" s="72"/>
      <c r="I12" s="72"/>
      <c r="J12" s="72"/>
    </row>
    <row r="14" spans="2:10" ht="50" customHeight="1">
      <c r="B14" s="91" t="s">
        <v>180</v>
      </c>
      <c r="C14" s="91"/>
      <c r="D14" s="91"/>
    </row>
    <row r="15" spans="2:10" ht="50" customHeight="1">
      <c r="B15" s="16" t="s">
        <v>181</v>
      </c>
      <c r="C15" s="91" t="s">
        <v>182</v>
      </c>
      <c r="D15" s="91"/>
    </row>
    <row r="16" spans="2:10" ht="50" customHeight="1">
      <c r="B16" s="45" t="s">
        <v>183</v>
      </c>
      <c r="C16" s="92" t="s">
        <v>184</v>
      </c>
      <c r="D16" s="92"/>
    </row>
    <row r="17" spans="2:4" ht="50" customHeight="1">
      <c r="B17" s="90" t="s">
        <v>185</v>
      </c>
      <c r="C17" s="90" t="s">
        <v>186</v>
      </c>
      <c r="D17" s="90"/>
    </row>
    <row r="18" spans="2:4" ht="50" customHeight="1">
      <c r="B18" s="90"/>
      <c r="C18" s="90" t="s">
        <v>187</v>
      </c>
      <c r="D18" s="90"/>
    </row>
    <row r="19" spans="2:4" ht="50" customHeight="1">
      <c r="B19" s="90"/>
      <c r="C19" s="90" t="s">
        <v>188</v>
      </c>
      <c r="D19" s="90"/>
    </row>
    <row r="20" spans="2:4" ht="50" customHeight="1">
      <c r="B20" s="90"/>
      <c r="C20" s="90" t="s">
        <v>189</v>
      </c>
      <c r="D20" s="90"/>
    </row>
    <row r="21" spans="2:4" ht="50" customHeight="1">
      <c r="B21" s="90" t="s">
        <v>190</v>
      </c>
      <c r="C21" s="90" t="s">
        <v>191</v>
      </c>
      <c r="D21" s="90"/>
    </row>
    <row r="22" spans="2:4" ht="50" customHeight="1">
      <c r="B22" s="90"/>
      <c r="C22" s="90" t="s">
        <v>192</v>
      </c>
      <c r="D22" s="90"/>
    </row>
    <row r="23" spans="2:4" ht="50" customHeight="1">
      <c r="B23" s="90"/>
      <c r="C23" s="90" t="s">
        <v>193</v>
      </c>
      <c r="D23" s="90"/>
    </row>
    <row r="24" spans="2:4" ht="50" customHeight="1">
      <c r="B24" s="90" t="s">
        <v>194</v>
      </c>
      <c r="C24" s="90" t="s">
        <v>195</v>
      </c>
      <c r="D24" s="90"/>
    </row>
    <row r="25" spans="2:4" ht="50" customHeight="1">
      <c r="B25" s="90"/>
      <c r="C25" s="90" t="s">
        <v>196</v>
      </c>
      <c r="D25" s="90"/>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headerFooter>
    <oddFooter>&amp;L_x000D_&amp;1#&amp;"Aptos"&amp;8&amp;K000000 Sensitivity: General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C1" zoomScale="70" zoomScaleNormal="70" workbookViewId="0">
      <selection activeCell="G5" sqref="G5"/>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102.6640625" style="1" bestFit="1" customWidth="1"/>
    <col min="12" max="15" width="29.1640625" style="1" customWidth="1"/>
    <col min="16" max="16384" width="10.83203125" style="1"/>
  </cols>
  <sheetData>
    <row r="1" spans="2:11" ht="67" customHeight="1">
      <c r="B1" s="33" t="s">
        <v>197</v>
      </c>
    </row>
    <row r="2" spans="2:11" ht="67" customHeight="1">
      <c r="B2" s="32"/>
      <c r="C2" s="16">
        <v>2022</v>
      </c>
      <c r="D2" s="16">
        <v>2023</v>
      </c>
      <c r="E2" s="16">
        <v>2024</v>
      </c>
      <c r="F2" s="16" t="s">
        <v>108</v>
      </c>
      <c r="G2" s="16" t="s">
        <v>109</v>
      </c>
      <c r="H2" s="16" t="s">
        <v>110</v>
      </c>
      <c r="I2" s="16" t="s">
        <v>198</v>
      </c>
      <c r="J2" s="16" t="s">
        <v>199</v>
      </c>
    </row>
    <row r="3" spans="2:11" ht="67" customHeight="1">
      <c r="B3" s="16" t="s">
        <v>200</v>
      </c>
      <c r="C3" s="38"/>
      <c r="D3" s="38">
        <v>2</v>
      </c>
      <c r="E3" s="38">
        <v>12</v>
      </c>
      <c r="F3" s="38">
        <v>29</v>
      </c>
      <c r="G3" s="38">
        <v>35</v>
      </c>
      <c r="H3" s="38">
        <v>40</v>
      </c>
      <c r="I3" s="38">
        <v>45</v>
      </c>
      <c r="J3" s="59" t="s">
        <v>201</v>
      </c>
    </row>
    <row r="4" spans="2:11" ht="40">
      <c r="B4" s="35" t="s">
        <v>202</v>
      </c>
      <c r="C4" s="38"/>
      <c r="D4" s="38">
        <v>6</v>
      </c>
      <c r="E4" s="38">
        <v>76</v>
      </c>
      <c r="F4" s="38">
        <v>133</v>
      </c>
      <c r="G4" s="38">
        <v>200</v>
      </c>
      <c r="H4" s="38">
        <v>240</v>
      </c>
      <c r="I4" s="38">
        <v>250</v>
      </c>
      <c r="J4" s="59" t="s">
        <v>203</v>
      </c>
      <c r="K4" s="73" t="s">
        <v>204</v>
      </c>
    </row>
    <row r="5" spans="2:11" ht="67" customHeight="1">
      <c r="B5" s="16" t="s">
        <v>205</v>
      </c>
      <c r="C5" s="38"/>
      <c r="D5" s="38">
        <v>10</v>
      </c>
      <c r="E5" s="38">
        <v>68</v>
      </c>
      <c r="F5" s="38">
        <v>450</v>
      </c>
      <c r="G5" s="38">
        <v>550</v>
      </c>
      <c r="H5" s="38">
        <v>600</v>
      </c>
      <c r="I5" s="38">
        <v>680</v>
      </c>
      <c r="J5" s="59" t="s">
        <v>201</v>
      </c>
    </row>
    <row r="6" spans="2:11" ht="67" customHeight="1">
      <c r="B6" s="16" t="s">
        <v>206</v>
      </c>
      <c r="C6" s="38"/>
      <c r="D6" s="38"/>
      <c r="E6" s="38">
        <v>24</v>
      </c>
      <c r="F6" s="38">
        <v>547</v>
      </c>
      <c r="G6" s="38">
        <v>620</v>
      </c>
      <c r="H6" s="38">
        <v>600</v>
      </c>
      <c r="I6" s="38">
        <v>600</v>
      </c>
      <c r="J6" s="59" t="s">
        <v>429</v>
      </c>
      <c r="K6" s="4" t="s">
        <v>207</v>
      </c>
    </row>
    <row r="7" spans="2:11" ht="67" customHeight="1">
      <c r="B7" s="16" t="s">
        <v>208</v>
      </c>
      <c r="C7" s="38"/>
      <c r="D7" s="38">
        <v>4</v>
      </c>
      <c r="E7" s="38">
        <v>16</v>
      </c>
      <c r="F7" s="38">
        <v>48</v>
      </c>
      <c r="G7" s="38">
        <v>55</v>
      </c>
      <c r="H7" s="38">
        <v>60</v>
      </c>
      <c r="I7" s="38">
        <v>60</v>
      </c>
      <c r="J7" s="59" t="s">
        <v>201</v>
      </c>
    </row>
    <row r="8" spans="2:11" ht="67" customHeight="1">
      <c r="B8" s="16" t="s">
        <v>209</v>
      </c>
      <c r="C8" s="38"/>
      <c r="D8" s="38">
        <v>1</v>
      </c>
      <c r="E8" s="38">
        <v>8</v>
      </c>
      <c r="F8" s="38">
        <v>23</v>
      </c>
      <c r="G8" s="38">
        <v>25</v>
      </c>
      <c r="H8" s="38">
        <v>30</v>
      </c>
      <c r="I8" s="38">
        <v>35</v>
      </c>
      <c r="J8" s="59" t="s">
        <v>201</v>
      </c>
    </row>
    <row r="9" spans="2:11" ht="67" customHeight="1">
      <c r="B9" s="16" t="s">
        <v>210</v>
      </c>
      <c r="C9" s="38"/>
      <c r="D9" s="38">
        <v>1</v>
      </c>
      <c r="E9" s="38">
        <v>5</v>
      </c>
      <c r="F9" s="38">
        <v>10</v>
      </c>
      <c r="G9" s="38">
        <v>10</v>
      </c>
      <c r="H9" s="38">
        <v>20</v>
      </c>
      <c r="I9" s="38">
        <v>20</v>
      </c>
      <c r="J9" s="59" t="s">
        <v>201</v>
      </c>
    </row>
    <row r="10" spans="2:11" ht="67" customHeight="1">
      <c r="B10" s="35" t="s">
        <v>211</v>
      </c>
      <c r="C10" s="38"/>
      <c r="D10" s="38"/>
      <c r="E10" s="38"/>
      <c r="F10" s="80"/>
      <c r="G10" s="38"/>
      <c r="H10" s="38"/>
      <c r="I10" s="38"/>
      <c r="J10" s="59" t="s">
        <v>212</v>
      </c>
    </row>
    <row r="11" spans="2:11" ht="67" customHeight="1">
      <c r="B11" s="16" t="s">
        <v>213</v>
      </c>
      <c r="C11" s="38"/>
      <c r="D11" s="38"/>
      <c r="E11" s="38">
        <v>2</v>
      </c>
      <c r="F11" s="38">
        <v>3</v>
      </c>
      <c r="G11" s="38">
        <v>3</v>
      </c>
      <c r="H11" s="38">
        <v>3</v>
      </c>
      <c r="I11" s="38">
        <v>3</v>
      </c>
      <c r="J11" s="59"/>
    </row>
    <row r="12" spans="2:11" ht="67" customHeight="1">
      <c r="B12" s="16" t="s">
        <v>214</v>
      </c>
      <c r="C12" s="38"/>
      <c r="D12" s="38"/>
      <c r="E12" s="38">
        <v>3</v>
      </c>
      <c r="F12" s="38">
        <v>3</v>
      </c>
      <c r="G12" s="38">
        <v>3</v>
      </c>
      <c r="H12" s="38">
        <v>3</v>
      </c>
      <c r="I12" s="38">
        <v>3</v>
      </c>
      <c r="J12" s="59"/>
    </row>
    <row r="13" spans="2:11" ht="67" customHeight="1">
      <c r="B13" s="16" t="s">
        <v>105</v>
      </c>
      <c r="C13" s="38"/>
      <c r="D13" s="38"/>
      <c r="E13" s="38"/>
      <c r="F13" s="38"/>
      <c r="G13" s="38"/>
      <c r="H13" s="38"/>
      <c r="I13" s="38"/>
      <c r="J13" s="59"/>
    </row>
    <row r="14" spans="2:11" ht="67" customHeight="1">
      <c r="B14" s="16" t="s">
        <v>105</v>
      </c>
      <c r="C14" s="38"/>
      <c r="D14" s="38"/>
      <c r="E14" s="38"/>
      <c r="F14" s="38"/>
      <c r="G14" s="38"/>
      <c r="H14" s="38"/>
      <c r="I14" s="38"/>
      <c r="J14" s="59"/>
    </row>
    <row r="15" spans="2:11" ht="67" customHeight="1">
      <c r="B15" s="16" t="s">
        <v>105</v>
      </c>
      <c r="C15" s="38"/>
      <c r="D15" s="38"/>
      <c r="E15" s="38"/>
      <c r="F15" s="38"/>
      <c r="G15" s="38"/>
      <c r="H15" s="38"/>
      <c r="I15" s="38"/>
      <c r="J15" s="59"/>
    </row>
    <row r="16" spans="2:11" ht="19">
      <c r="B16" s="50" t="s">
        <v>215</v>
      </c>
      <c r="C16" s="51">
        <f t="shared" ref="C16:I16" si="0">SUM(C3:C15)</f>
        <v>0</v>
      </c>
      <c r="D16" s="51">
        <f t="shared" si="0"/>
        <v>24</v>
      </c>
      <c r="E16" s="51">
        <f t="shared" si="0"/>
        <v>214</v>
      </c>
      <c r="F16" s="51">
        <f t="shared" si="0"/>
        <v>1246</v>
      </c>
      <c r="G16" s="51">
        <f t="shared" si="0"/>
        <v>1501</v>
      </c>
      <c r="H16" s="51">
        <f t="shared" si="0"/>
        <v>1596</v>
      </c>
      <c r="I16" s="51">
        <f t="shared" si="0"/>
        <v>1696</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E15 G3:I15 F3:F9 F11:F15" xr:uid="{E2094605-44BD-C24A-B860-DF8CFA448BC3}">
      <formula1>0</formula1>
    </dataValidation>
  </dataValidations>
  <pageMargins left="0.7" right="0.7" top="0.75" bottom="0.75" header="0.3" footer="0.3"/>
  <pageSetup orientation="portrait" r:id="rId1"/>
  <headerFooter>
    <oddFooter>&amp;L_x000D_&amp;1#&amp;"Aptos"&amp;8&amp;K000000 Sensitivity: General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A2:K25"/>
  <sheetViews>
    <sheetView showGridLines="0" zoomScale="140" zoomScaleNormal="140" workbookViewId="0">
      <selection activeCell="H22" sqref="H22"/>
    </sheetView>
  </sheetViews>
  <sheetFormatPr baseColWidth="10" defaultColWidth="10.83203125" defaultRowHeight="16"/>
  <cols>
    <col min="1" max="1" width="5.33203125" customWidth="1"/>
    <col min="2" max="2" width="34.5" customWidth="1"/>
    <col min="9" max="9" width="13.1640625" customWidth="1"/>
  </cols>
  <sheetData>
    <row r="2" spans="1:11" ht="47" customHeight="1">
      <c r="B2" s="93" t="s">
        <v>216</v>
      </c>
      <c r="C2" s="93"/>
      <c r="D2" s="93"/>
      <c r="E2" s="93"/>
      <c r="F2" s="93"/>
      <c r="G2" s="93"/>
      <c r="H2" s="93"/>
      <c r="I2" s="93"/>
      <c r="J2" s="93"/>
      <c r="K2" s="93"/>
    </row>
    <row r="3" spans="1:11" ht="47" customHeight="1">
      <c r="B3" s="93"/>
      <c r="C3" s="93"/>
      <c r="D3" s="93"/>
      <c r="E3" s="93"/>
      <c r="F3" s="93"/>
      <c r="G3" s="93"/>
      <c r="H3" s="93"/>
      <c r="I3" s="93"/>
      <c r="J3" s="93"/>
      <c r="K3" s="93"/>
    </row>
    <row r="4" spans="1:11" ht="47" customHeight="1">
      <c r="B4" s="93"/>
      <c r="C4" s="93"/>
      <c r="D4" s="93"/>
      <c r="E4" s="93"/>
      <c r="F4" s="93"/>
      <c r="G4" s="93"/>
      <c r="H4" s="93"/>
      <c r="I4" s="93"/>
      <c r="J4" s="93"/>
      <c r="K4" s="93"/>
    </row>
    <row r="5" spans="1:11" ht="47" customHeight="1">
      <c r="B5" s="93"/>
      <c r="C5" s="93"/>
      <c r="D5" s="93"/>
      <c r="E5" s="93"/>
      <c r="F5" s="93"/>
      <c r="G5" s="93"/>
      <c r="H5" s="93"/>
      <c r="I5" s="93"/>
      <c r="J5" s="93"/>
      <c r="K5" s="93"/>
    </row>
    <row r="8" spans="1:11">
      <c r="B8" s="81" t="s">
        <v>217</v>
      </c>
      <c r="D8" s="81" t="s">
        <v>218</v>
      </c>
      <c r="I8" s="81" t="s">
        <v>219</v>
      </c>
      <c r="J8" s="81" t="s">
        <v>220</v>
      </c>
      <c r="K8" s="81" t="s">
        <v>221</v>
      </c>
    </row>
    <row r="9" spans="1:11">
      <c r="A9">
        <v>1</v>
      </c>
      <c r="B9" t="s">
        <v>222</v>
      </c>
      <c r="C9">
        <v>1</v>
      </c>
      <c r="D9" t="s">
        <v>430</v>
      </c>
      <c r="I9" t="s">
        <v>223</v>
      </c>
      <c r="J9" t="s">
        <v>224</v>
      </c>
      <c r="K9" t="s">
        <v>225</v>
      </c>
    </row>
    <row r="10" spans="1:11">
      <c r="A10">
        <v>2</v>
      </c>
      <c r="B10" t="s">
        <v>226</v>
      </c>
      <c r="C10">
        <v>2</v>
      </c>
      <c r="D10" t="s">
        <v>227</v>
      </c>
      <c r="I10" t="s">
        <v>228</v>
      </c>
      <c r="J10" t="s">
        <v>229</v>
      </c>
      <c r="K10" t="s">
        <v>230</v>
      </c>
    </row>
    <row r="11" spans="1:11">
      <c r="A11">
        <v>3</v>
      </c>
      <c r="B11" t="s">
        <v>231</v>
      </c>
      <c r="C11">
        <v>3</v>
      </c>
      <c r="D11" t="s">
        <v>236</v>
      </c>
      <c r="I11" t="s">
        <v>232</v>
      </c>
      <c r="J11" t="s">
        <v>233</v>
      </c>
      <c r="K11" t="s">
        <v>234</v>
      </c>
    </row>
    <row r="12" spans="1:11">
      <c r="A12">
        <v>4</v>
      </c>
      <c r="B12" t="s">
        <v>235</v>
      </c>
      <c r="C12">
        <v>4</v>
      </c>
      <c r="D12" t="s">
        <v>431</v>
      </c>
    </row>
    <row r="13" spans="1:11">
      <c r="A13">
        <v>5</v>
      </c>
      <c r="B13" t="s">
        <v>237</v>
      </c>
      <c r="C13">
        <v>5</v>
      </c>
      <c r="D13" t="s">
        <v>238</v>
      </c>
    </row>
    <row r="14" spans="1:11">
      <c r="A14">
        <v>6</v>
      </c>
      <c r="B14" t="s">
        <v>239</v>
      </c>
      <c r="C14">
        <v>6</v>
      </c>
      <c r="D14" t="s">
        <v>240</v>
      </c>
    </row>
    <row r="15" spans="1:11">
      <c r="A15">
        <v>7</v>
      </c>
      <c r="B15" t="s">
        <v>241</v>
      </c>
      <c r="C15">
        <v>7</v>
      </c>
      <c r="D15" t="s">
        <v>432</v>
      </c>
    </row>
    <row r="16" spans="1:11">
      <c r="A16">
        <v>8</v>
      </c>
      <c r="B16" t="s">
        <v>242</v>
      </c>
    </row>
    <row r="17" spans="1:2">
      <c r="A17">
        <v>9</v>
      </c>
      <c r="B17" t="s">
        <v>243</v>
      </c>
    </row>
    <row r="18" spans="1:2">
      <c r="A18">
        <v>10</v>
      </c>
      <c r="B18" t="s">
        <v>244</v>
      </c>
    </row>
    <row r="19" spans="1:2">
      <c r="A19">
        <v>11</v>
      </c>
      <c r="B19" t="s">
        <v>245</v>
      </c>
    </row>
    <row r="20" spans="1:2">
      <c r="A20">
        <v>12</v>
      </c>
      <c r="B20" t="s">
        <v>246</v>
      </c>
    </row>
    <row r="21" spans="1:2">
      <c r="A21">
        <v>13</v>
      </c>
      <c r="B21" t="s">
        <v>247</v>
      </c>
    </row>
    <row r="22" spans="1:2">
      <c r="A22">
        <v>14</v>
      </c>
      <c r="B22" t="s">
        <v>248</v>
      </c>
    </row>
    <row r="23" spans="1:2">
      <c r="A23">
        <v>15</v>
      </c>
      <c r="B23" t="s">
        <v>249</v>
      </c>
    </row>
    <row r="24" spans="1:2">
      <c r="A24">
        <v>16</v>
      </c>
      <c r="B24" t="s">
        <v>250</v>
      </c>
    </row>
    <row r="25" spans="1:2">
      <c r="A25">
        <v>17</v>
      </c>
      <c r="B25" t="s">
        <v>251</v>
      </c>
    </row>
  </sheetData>
  <mergeCells count="1">
    <mergeCell ref="B2:K5"/>
  </mergeCells>
  <pageMargins left="0.7" right="0.7" top="0.75" bottom="0.75" header="0.3" footer="0.3"/>
  <headerFooter>
    <oddFooter>&amp;L_x000D_&amp;1#&amp;"Aptos"&amp;8&amp;K000000 Sensitivity: General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70" zoomScaleNormal="70" workbookViewId="0">
      <pane xSplit="2" ySplit="3" topLeftCell="C8" activePane="bottomRight" state="frozen"/>
      <selection pane="topRight"/>
      <selection pane="bottomLeft"/>
      <selection pane="bottomRight" activeCell="V14" sqref="V14"/>
    </sheetView>
  </sheetViews>
  <sheetFormatPr baseColWidth="10" defaultColWidth="11" defaultRowHeight="16"/>
  <cols>
    <col min="1" max="1" width="4.1640625" style="1" customWidth="1"/>
    <col min="2" max="2" width="51.5" style="1" customWidth="1"/>
    <col min="3" max="22" width="29.1640625" style="1" customWidth="1"/>
    <col min="23" max="23" width="57.83203125" style="1" customWidth="1"/>
  </cols>
  <sheetData>
    <row r="1" spans="2:23" ht="60" customHeight="1">
      <c r="B1" s="33" t="s">
        <v>252</v>
      </c>
    </row>
    <row r="2" spans="2:23" ht="60" customHeight="1">
      <c r="B2" s="64" t="s">
        <v>253</v>
      </c>
      <c r="C2" s="94" t="s">
        <v>254</v>
      </c>
      <c r="D2" s="94"/>
      <c r="E2" s="94"/>
      <c r="F2" s="94"/>
      <c r="G2" s="94" t="s">
        <v>255</v>
      </c>
      <c r="H2" s="94"/>
      <c r="I2" s="94"/>
      <c r="J2" s="94"/>
      <c r="K2" s="94"/>
      <c r="L2" s="94" t="s">
        <v>256</v>
      </c>
      <c r="M2" s="94"/>
      <c r="N2" s="94"/>
      <c r="O2" s="94"/>
      <c r="P2" s="94"/>
      <c r="Q2" s="94"/>
      <c r="R2" s="94"/>
      <c r="S2" s="94" t="s">
        <v>257</v>
      </c>
      <c r="T2" s="94"/>
      <c r="U2" s="94"/>
      <c r="V2" s="94"/>
    </row>
    <row r="3" spans="2:23" ht="60" customHeight="1">
      <c r="B3" s="16" t="s">
        <v>258</v>
      </c>
      <c r="C3" s="65" t="s">
        <v>259</v>
      </c>
      <c r="D3" s="65" t="s">
        <v>260</v>
      </c>
      <c r="E3" s="65" t="s">
        <v>261</v>
      </c>
      <c r="F3" s="65" t="s">
        <v>262</v>
      </c>
      <c r="G3" s="65" t="s">
        <v>263</v>
      </c>
      <c r="H3" s="65" t="s">
        <v>264</v>
      </c>
      <c r="I3" s="65" t="s">
        <v>265</v>
      </c>
      <c r="J3" s="65" t="s">
        <v>266</v>
      </c>
      <c r="K3" s="65" t="s">
        <v>267</v>
      </c>
      <c r="L3" s="65" t="s">
        <v>268</v>
      </c>
      <c r="M3" s="66" t="s">
        <v>269</v>
      </c>
      <c r="N3" s="65" t="s">
        <v>270</v>
      </c>
      <c r="O3" s="65" t="s">
        <v>271</v>
      </c>
      <c r="P3" s="65" t="s">
        <v>272</v>
      </c>
      <c r="Q3" s="65" t="s">
        <v>273</v>
      </c>
      <c r="R3" s="65" t="s">
        <v>274</v>
      </c>
      <c r="S3" s="65" t="s">
        <v>275</v>
      </c>
      <c r="T3" s="65" t="s">
        <v>276</v>
      </c>
      <c r="U3" s="65" t="s">
        <v>277</v>
      </c>
      <c r="V3" s="65" t="s">
        <v>278</v>
      </c>
      <c r="W3" s="16" t="s">
        <v>199</v>
      </c>
    </row>
    <row r="4" spans="2:23" ht="60" customHeight="1">
      <c r="B4" s="16" t="s">
        <v>279</v>
      </c>
      <c r="C4" s="38" t="s">
        <v>45</v>
      </c>
      <c r="D4" s="38" t="s">
        <v>45</v>
      </c>
      <c r="E4" s="38" t="s">
        <v>45</v>
      </c>
      <c r="F4" s="38" t="s">
        <v>146</v>
      </c>
      <c r="G4" s="38" t="s">
        <v>146</v>
      </c>
      <c r="H4" s="38" t="s">
        <v>45</v>
      </c>
      <c r="I4" s="38" t="s">
        <v>146</v>
      </c>
      <c r="J4" s="38" t="s">
        <v>146</v>
      </c>
      <c r="K4" s="38" t="s">
        <v>146</v>
      </c>
      <c r="L4" s="38" t="s">
        <v>146</v>
      </c>
      <c r="M4" s="38" t="s">
        <v>146</v>
      </c>
      <c r="N4" s="38" t="s">
        <v>45</v>
      </c>
      <c r="O4" s="38" t="s">
        <v>45</v>
      </c>
      <c r="P4" s="38" t="s">
        <v>146</v>
      </c>
      <c r="Q4" s="38" t="s">
        <v>146</v>
      </c>
      <c r="R4" s="38" t="s">
        <v>146</v>
      </c>
      <c r="S4" s="38" t="s">
        <v>45</v>
      </c>
      <c r="T4" s="38" t="s">
        <v>45</v>
      </c>
      <c r="U4" s="38" t="s">
        <v>146</v>
      </c>
      <c r="V4" s="38" t="s">
        <v>45</v>
      </c>
      <c r="W4" s="59"/>
    </row>
    <row r="5" spans="2:23" ht="60" customHeight="1">
      <c r="B5" s="35" t="s">
        <v>280</v>
      </c>
      <c r="C5" s="38" t="s">
        <v>175</v>
      </c>
      <c r="D5" s="38" t="s">
        <v>281</v>
      </c>
      <c r="E5" s="38" t="s">
        <v>175</v>
      </c>
      <c r="F5" s="38" t="s">
        <v>282</v>
      </c>
      <c r="G5" s="38" t="s">
        <v>282</v>
      </c>
      <c r="H5" s="38" t="s">
        <v>282</v>
      </c>
      <c r="I5" s="38" t="s">
        <v>282</v>
      </c>
      <c r="J5" s="38" t="s">
        <v>282</v>
      </c>
      <c r="K5" s="38" t="s">
        <v>282</v>
      </c>
      <c r="L5" s="38" t="s">
        <v>282</v>
      </c>
      <c r="M5" s="38" t="s">
        <v>282</v>
      </c>
      <c r="N5" s="38" t="s">
        <v>281</v>
      </c>
      <c r="O5" s="38" t="s">
        <v>281</v>
      </c>
      <c r="P5" s="38" t="s">
        <v>282</v>
      </c>
      <c r="Q5" s="38" t="s">
        <v>282</v>
      </c>
      <c r="R5" s="38" t="s">
        <v>282</v>
      </c>
      <c r="S5" s="38" t="s">
        <v>175</v>
      </c>
      <c r="T5" s="38" t="s">
        <v>175</v>
      </c>
      <c r="U5" s="38" t="s">
        <v>282</v>
      </c>
      <c r="V5" s="38" t="s">
        <v>427</v>
      </c>
      <c r="W5" s="59"/>
    </row>
    <row r="6" spans="2:23" ht="60" customHeight="1">
      <c r="B6" s="35" t="s">
        <v>283</v>
      </c>
      <c r="C6" s="38" t="s">
        <v>146</v>
      </c>
      <c r="D6" s="38" t="s">
        <v>146</v>
      </c>
      <c r="E6" s="38" t="s">
        <v>146</v>
      </c>
      <c r="F6" s="38"/>
      <c r="G6" s="38" t="s">
        <v>45</v>
      </c>
      <c r="H6" s="38" t="s">
        <v>45</v>
      </c>
      <c r="I6" s="38"/>
      <c r="J6" s="38" t="s">
        <v>45</v>
      </c>
      <c r="K6" s="38" t="s">
        <v>45</v>
      </c>
      <c r="L6" s="38"/>
      <c r="M6" s="38"/>
      <c r="N6" s="38" t="s">
        <v>146</v>
      </c>
      <c r="O6" s="38" t="s">
        <v>146</v>
      </c>
      <c r="P6" s="38"/>
      <c r="Q6" s="38"/>
      <c r="R6" s="38"/>
      <c r="S6" s="38" t="s">
        <v>146</v>
      </c>
      <c r="T6" s="38" t="s">
        <v>146</v>
      </c>
      <c r="U6" s="38"/>
      <c r="V6" s="38"/>
      <c r="W6" s="59"/>
    </row>
    <row r="7" spans="2:23" ht="60" customHeight="1">
      <c r="B7" s="35" t="s">
        <v>284</v>
      </c>
      <c r="C7" s="38" t="s">
        <v>285</v>
      </c>
      <c r="D7" s="38" t="s">
        <v>286</v>
      </c>
      <c r="E7" s="38" t="s">
        <v>285</v>
      </c>
      <c r="F7" s="38"/>
      <c r="G7" s="38" t="s">
        <v>287</v>
      </c>
      <c r="H7" s="38" t="s">
        <v>287</v>
      </c>
      <c r="I7" s="38"/>
      <c r="J7" s="38" t="s">
        <v>287</v>
      </c>
      <c r="K7" s="38" t="s">
        <v>287</v>
      </c>
      <c r="L7" s="38"/>
      <c r="M7" s="38"/>
      <c r="N7" s="38" t="s">
        <v>288</v>
      </c>
      <c r="O7" s="38" t="s">
        <v>289</v>
      </c>
      <c r="P7" s="38"/>
      <c r="Q7" s="38"/>
      <c r="R7" s="38"/>
      <c r="S7" s="38" t="s">
        <v>433</v>
      </c>
      <c r="T7" s="38" t="s">
        <v>433</v>
      </c>
      <c r="U7" s="38"/>
      <c r="V7" s="38" t="s">
        <v>449</v>
      </c>
      <c r="W7" s="59"/>
    </row>
    <row r="8" spans="2:23" ht="60" customHeight="1">
      <c r="B8" s="35" t="s">
        <v>290</v>
      </c>
      <c r="C8" s="38"/>
      <c r="D8" s="38"/>
      <c r="E8" s="38"/>
      <c r="F8" s="38"/>
      <c r="G8" s="38"/>
      <c r="H8" s="38"/>
      <c r="I8" s="38"/>
      <c r="J8" s="38"/>
      <c r="K8" s="38"/>
      <c r="L8" s="38"/>
      <c r="M8" s="38"/>
      <c r="N8" s="38"/>
      <c r="O8" s="38"/>
      <c r="P8" s="38"/>
      <c r="Q8" s="38"/>
      <c r="R8" s="38"/>
      <c r="S8" s="38"/>
      <c r="T8" s="38"/>
      <c r="U8" s="38"/>
      <c r="V8" s="38"/>
      <c r="W8" s="59"/>
    </row>
    <row r="9" spans="2:23" ht="60" customHeight="1">
      <c r="B9" s="35" t="s">
        <v>291</v>
      </c>
      <c r="C9" s="38" t="s">
        <v>285</v>
      </c>
      <c r="D9" s="38" t="s">
        <v>286</v>
      </c>
      <c r="E9" s="38" t="s">
        <v>285</v>
      </c>
      <c r="F9" s="38"/>
      <c r="G9" s="38" t="s">
        <v>292</v>
      </c>
      <c r="H9" s="38" t="s">
        <v>293</v>
      </c>
      <c r="I9" s="38"/>
      <c r="J9" s="38" t="s">
        <v>294</v>
      </c>
      <c r="K9" s="38" t="s">
        <v>294</v>
      </c>
      <c r="L9" s="38"/>
      <c r="M9" s="38"/>
      <c r="N9" s="38" t="s">
        <v>294</v>
      </c>
      <c r="O9" s="38" t="s">
        <v>294</v>
      </c>
      <c r="P9" s="38"/>
      <c r="Q9" s="38"/>
      <c r="R9" s="38"/>
      <c r="S9" s="38" t="s">
        <v>446</v>
      </c>
      <c r="T9" s="38" t="s">
        <v>446</v>
      </c>
      <c r="U9" s="38"/>
      <c r="V9" s="38"/>
      <c r="W9" s="59"/>
    </row>
    <row r="10" spans="2:23" ht="60" customHeight="1">
      <c r="B10" s="35" t="s">
        <v>295</v>
      </c>
      <c r="C10" s="38"/>
      <c r="D10" s="38"/>
      <c r="E10" s="38"/>
      <c r="F10" s="38"/>
      <c r="G10" s="38"/>
      <c r="H10" s="38"/>
      <c r="I10" s="38"/>
      <c r="J10" s="38"/>
      <c r="K10" s="38"/>
      <c r="L10" s="38"/>
      <c r="M10" s="38"/>
      <c r="N10" s="38"/>
      <c r="O10" s="38"/>
      <c r="P10" s="38"/>
      <c r="Q10" s="38"/>
      <c r="R10" s="38"/>
      <c r="S10" s="38"/>
      <c r="T10" s="38"/>
      <c r="U10" s="38"/>
      <c r="V10" s="38"/>
      <c r="W10" s="59"/>
    </row>
    <row r="11" spans="2:23" ht="60" customHeight="1">
      <c r="B11" s="35" t="s">
        <v>296</v>
      </c>
      <c r="C11" s="38" t="s">
        <v>297</v>
      </c>
      <c r="D11" s="38" t="s">
        <v>297</v>
      </c>
      <c r="E11" s="38" t="s">
        <v>297</v>
      </c>
      <c r="F11" s="38"/>
      <c r="G11" s="67" t="s">
        <v>297</v>
      </c>
      <c r="H11" s="38" t="s">
        <v>297</v>
      </c>
      <c r="I11" s="38"/>
      <c r="J11" s="38"/>
      <c r="K11" s="38"/>
      <c r="L11" s="38"/>
      <c r="M11" s="38"/>
      <c r="N11" s="38"/>
      <c r="O11" s="38"/>
      <c r="P11" s="38"/>
      <c r="Q11" s="38"/>
      <c r="R11" s="38"/>
      <c r="S11" s="38" t="s">
        <v>298</v>
      </c>
      <c r="T11" s="38" t="s">
        <v>298</v>
      </c>
      <c r="U11" s="38"/>
      <c r="V11" s="38"/>
      <c r="W11" s="59"/>
    </row>
    <row r="12" spans="2:23" ht="60" customHeight="1">
      <c r="B12" s="16" t="s">
        <v>299</v>
      </c>
      <c r="C12" s="38" t="s">
        <v>434</v>
      </c>
      <c r="D12" s="38" t="s">
        <v>435</v>
      </c>
      <c r="E12" s="38" t="s">
        <v>441</v>
      </c>
      <c r="F12" s="38"/>
      <c r="G12" s="38" t="s">
        <v>436</v>
      </c>
      <c r="H12" s="38" t="s">
        <v>437</v>
      </c>
      <c r="I12" s="38"/>
      <c r="J12" s="38" t="s">
        <v>438</v>
      </c>
      <c r="K12" s="38" t="s">
        <v>440</v>
      </c>
      <c r="L12" s="38"/>
      <c r="M12" s="38"/>
      <c r="N12" s="38" t="s">
        <v>439</v>
      </c>
      <c r="O12" s="38" t="s">
        <v>439</v>
      </c>
      <c r="P12" s="38"/>
      <c r="Q12" s="38"/>
      <c r="R12" s="38"/>
      <c r="S12" s="38" t="s">
        <v>300</v>
      </c>
      <c r="T12" s="38" t="s">
        <v>301</v>
      </c>
      <c r="U12" s="38"/>
      <c r="V12" s="38"/>
      <c r="W12" s="59"/>
    </row>
    <row r="13" spans="2:23" ht="60" customHeight="1">
      <c r="B13" s="35" t="s">
        <v>302</v>
      </c>
      <c r="C13" s="38"/>
      <c r="D13" s="38"/>
      <c r="E13" s="38"/>
      <c r="F13" s="38"/>
      <c r="G13" s="38"/>
      <c r="H13" s="38"/>
      <c r="I13" s="38"/>
      <c r="J13" s="38"/>
      <c r="K13" s="38"/>
      <c r="L13" s="38"/>
      <c r="M13" s="38"/>
      <c r="N13" s="38"/>
      <c r="O13" s="38"/>
      <c r="P13" s="38"/>
      <c r="Q13" s="38"/>
      <c r="R13" s="38"/>
      <c r="S13" s="38"/>
      <c r="T13" s="38"/>
      <c r="U13" s="38"/>
      <c r="V13" s="38" t="s">
        <v>146</v>
      </c>
      <c r="W13" s="59"/>
    </row>
    <row r="14" spans="2:23" ht="60" customHeight="1">
      <c r="B14" s="16" t="s">
        <v>303</v>
      </c>
      <c r="C14" s="38" t="s">
        <v>442</v>
      </c>
      <c r="D14" s="38" t="s">
        <v>442</v>
      </c>
      <c r="E14" s="38" t="s">
        <v>443</v>
      </c>
      <c r="F14" s="38"/>
      <c r="G14" s="38" t="s">
        <v>450</v>
      </c>
      <c r="H14" s="38" t="s">
        <v>451</v>
      </c>
      <c r="I14" s="38"/>
      <c r="J14" s="38" t="s">
        <v>452</v>
      </c>
      <c r="K14" s="38" t="s">
        <v>453</v>
      </c>
      <c r="L14" s="38"/>
      <c r="M14" s="38"/>
      <c r="N14" s="38"/>
      <c r="O14" s="38" t="s">
        <v>454</v>
      </c>
      <c r="P14" s="38"/>
      <c r="Q14" s="38"/>
      <c r="R14" s="38"/>
      <c r="S14" s="38" t="s">
        <v>455</v>
      </c>
      <c r="T14" s="38" t="s">
        <v>455</v>
      </c>
      <c r="U14" s="38"/>
      <c r="V14" s="38"/>
      <c r="W14" s="59"/>
    </row>
    <row r="15" spans="2:23" ht="60" customHeight="1">
      <c r="B15" s="16" t="s">
        <v>304</v>
      </c>
      <c r="C15" s="38"/>
      <c r="D15" s="38"/>
      <c r="E15" s="38"/>
      <c r="F15" s="38"/>
      <c r="G15" s="38"/>
      <c r="H15" s="38"/>
      <c r="I15" s="38"/>
      <c r="J15" s="38"/>
      <c r="K15" s="38"/>
      <c r="L15" s="38"/>
      <c r="M15" s="38"/>
      <c r="N15" s="38"/>
      <c r="O15" s="38"/>
      <c r="P15" s="38"/>
      <c r="Q15" s="38"/>
      <c r="R15" s="38"/>
      <c r="S15" s="38"/>
      <c r="T15" s="38"/>
      <c r="U15" s="38"/>
      <c r="V15" s="38"/>
      <c r="W15" s="59"/>
    </row>
    <row r="16" spans="2:23" ht="60" customHeight="1">
      <c r="B16" s="35" t="s">
        <v>305</v>
      </c>
      <c r="C16" s="38" t="s">
        <v>306</v>
      </c>
      <c r="D16" s="38" t="s">
        <v>306</v>
      </c>
      <c r="E16" s="38" t="s">
        <v>306</v>
      </c>
      <c r="F16" s="38"/>
      <c r="G16" s="38" t="s">
        <v>306</v>
      </c>
      <c r="H16" s="38" t="s">
        <v>306</v>
      </c>
      <c r="I16" s="38"/>
      <c r="J16" s="38" t="s">
        <v>307</v>
      </c>
      <c r="K16" s="38" t="s">
        <v>306</v>
      </c>
      <c r="L16" s="38"/>
      <c r="M16" s="38"/>
      <c r="N16" s="38" t="s">
        <v>308</v>
      </c>
      <c r="O16" s="38" t="s">
        <v>309</v>
      </c>
      <c r="P16" s="38"/>
      <c r="Q16" s="38"/>
      <c r="R16" s="38"/>
      <c r="S16" s="38" t="s">
        <v>310</v>
      </c>
      <c r="T16" s="38" t="s">
        <v>310</v>
      </c>
      <c r="U16" s="38"/>
      <c r="V16" s="38" t="s">
        <v>146</v>
      </c>
      <c r="W16" s="59"/>
    </row>
    <row r="17" spans="2:23" ht="60" customHeight="1">
      <c r="B17" s="16" t="s">
        <v>311</v>
      </c>
      <c r="C17" s="38" t="s">
        <v>312</v>
      </c>
      <c r="D17" s="38" t="s">
        <v>312</v>
      </c>
      <c r="E17" s="38" t="s">
        <v>312</v>
      </c>
      <c r="F17" s="38"/>
      <c r="G17" s="38" t="s">
        <v>447</v>
      </c>
      <c r="H17" s="38" t="s">
        <v>447</v>
      </c>
      <c r="I17" s="38"/>
      <c r="J17" s="38" t="s">
        <v>312</v>
      </c>
      <c r="K17" s="38" t="s">
        <v>312</v>
      </c>
      <c r="L17" s="38"/>
      <c r="M17" s="38"/>
      <c r="N17" s="38" t="s">
        <v>312</v>
      </c>
      <c r="O17" s="38" t="s">
        <v>312</v>
      </c>
      <c r="P17" s="38"/>
      <c r="Q17" s="38"/>
      <c r="R17" s="38"/>
      <c r="S17" s="38" t="s">
        <v>312</v>
      </c>
      <c r="T17" s="38" t="s">
        <v>312</v>
      </c>
      <c r="U17" s="38"/>
      <c r="V17" s="38"/>
      <c r="W17" s="59"/>
    </row>
    <row r="18" spans="2:23" ht="60" customHeight="1">
      <c r="B18" s="16" t="s">
        <v>313</v>
      </c>
      <c r="C18" s="38" t="s">
        <v>314</v>
      </c>
      <c r="D18" s="38" t="s">
        <v>314</v>
      </c>
      <c r="E18" s="38" t="s">
        <v>314</v>
      </c>
      <c r="F18" s="38"/>
      <c r="G18" s="95" t="s">
        <v>448</v>
      </c>
      <c r="H18" s="95" t="s">
        <v>448</v>
      </c>
      <c r="I18" s="38"/>
      <c r="J18" s="38" t="s">
        <v>314</v>
      </c>
      <c r="K18" s="38" t="s">
        <v>314</v>
      </c>
      <c r="L18" s="38"/>
      <c r="M18" s="38"/>
      <c r="N18" s="38" t="s">
        <v>314</v>
      </c>
      <c r="O18" s="38" t="s">
        <v>314</v>
      </c>
      <c r="P18" s="38"/>
      <c r="Q18" s="38"/>
      <c r="R18" s="38"/>
      <c r="S18" s="38" t="s">
        <v>314</v>
      </c>
      <c r="T18" s="38" t="s">
        <v>314</v>
      </c>
      <c r="U18" s="38"/>
      <c r="V18" s="38"/>
      <c r="W18" s="59"/>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headerFooter>
    <oddFooter>&amp;L_x000D_&amp;1#&amp;"Aptos"&amp;8&amp;K000000 Sensitivity: General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9" workbookViewId="0">
      <selection activeCell="B3" sqref="B3:K6"/>
    </sheetView>
  </sheetViews>
  <sheetFormatPr baseColWidth="10" defaultColWidth="10.83203125" defaultRowHeight="16"/>
  <cols>
    <col min="1" max="1" width="5.5" customWidth="1"/>
  </cols>
  <sheetData>
    <row r="3" spans="2:11" ht="34" customHeight="1">
      <c r="B3" s="93" t="s">
        <v>315</v>
      </c>
      <c r="C3" s="93"/>
      <c r="D3" s="93"/>
      <c r="E3" s="93"/>
      <c r="F3" s="93"/>
      <c r="G3" s="93"/>
      <c r="H3" s="93"/>
      <c r="I3" s="93"/>
      <c r="J3" s="93"/>
      <c r="K3" s="93"/>
    </row>
    <row r="4" spans="2:11" ht="34" customHeight="1">
      <c r="B4" s="93"/>
      <c r="C4" s="93"/>
      <c r="D4" s="93"/>
      <c r="E4" s="93"/>
      <c r="F4" s="93"/>
      <c r="G4" s="93"/>
      <c r="H4" s="93"/>
      <c r="I4" s="93"/>
      <c r="J4" s="93"/>
      <c r="K4" s="93"/>
    </row>
    <row r="5" spans="2:11" ht="34" customHeight="1">
      <c r="B5" s="93"/>
      <c r="C5" s="93"/>
      <c r="D5" s="93"/>
      <c r="E5" s="93"/>
      <c r="F5" s="93"/>
      <c r="G5" s="93"/>
      <c r="H5" s="93"/>
      <c r="I5" s="93"/>
      <c r="J5" s="93"/>
      <c r="K5" s="93"/>
    </row>
    <row r="6" spans="2:11" ht="34" customHeight="1">
      <c r="B6" s="93"/>
      <c r="C6" s="93"/>
      <c r="D6" s="93"/>
      <c r="E6" s="93"/>
      <c r="F6" s="93"/>
      <c r="G6" s="93"/>
      <c r="H6" s="93"/>
      <c r="I6" s="93"/>
      <c r="J6" s="93"/>
      <c r="K6" s="93"/>
    </row>
    <row r="12" spans="2:11">
      <c r="B12" s="56"/>
    </row>
    <row r="15" spans="2:11">
      <c r="B15" s="56"/>
    </row>
    <row r="18" spans="2:2">
      <c r="B18" s="56"/>
    </row>
    <row r="21" spans="2:2">
      <c r="B21" s="56"/>
    </row>
    <row r="24" spans="2:2">
      <c r="B24" s="56"/>
    </row>
  </sheetData>
  <mergeCells count="1">
    <mergeCell ref="B3:K6"/>
  </mergeCells>
  <pageMargins left="0.7" right="0.7" top="0.75" bottom="0.75" header="0.3" footer="0.3"/>
  <headerFooter>
    <oddFooter>&amp;L_x000D_&amp;1#&amp;"Aptos"&amp;8&amp;K000000 Sensitivity: General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130" zoomScaleNormal="130" workbookViewId="0">
      <selection activeCell="C11" sqref="C11"/>
    </sheetView>
  </sheetViews>
  <sheetFormatPr baseColWidth="10" defaultColWidth="10.83203125" defaultRowHeight="20"/>
  <cols>
    <col min="1" max="1" width="4.1640625" style="53" customWidth="1"/>
    <col min="2" max="2" width="200.83203125" style="10" customWidth="1"/>
    <col min="3" max="3" width="67.5" style="13" customWidth="1"/>
    <col min="4" max="16384" width="10.83203125" style="47"/>
  </cols>
  <sheetData>
    <row r="2" spans="2:4" ht="21">
      <c r="B2" s="8" t="s">
        <v>316</v>
      </c>
      <c r="C2" s="11"/>
    </row>
    <row r="3" spans="2:4" ht="21">
      <c r="B3" s="40" t="s">
        <v>317</v>
      </c>
      <c r="C3" s="55"/>
    </row>
    <row r="4" spans="2:4" ht="21">
      <c r="B4" s="54" t="s">
        <v>318</v>
      </c>
      <c r="C4" s="55"/>
    </row>
    <row r="5" spans="2:4" ht="63">
      <c r="B5" s="52" t="s">
        <v>319</v>
      </c>
      <c r="C5" s="46" t="s">
        <v>45</v>
      </c>
      <c r="D5" s="48" t="s">
        <v>320</v>
      </c>
    </row>
    <row r="6" spans="2:4" ht="21">
      <c r="B6" s="54" t="s">
        <v>321</v>
      </c>
      <c r="C6" s="55"/>
      <c r="D6" s="48"/>
    </row>
    <row r="7" spans="2:4" ht="63">
      <c r="B7" s="52" t="s">
        <v>322</v>
      </c>
      <c r="C7" s="46" t="s">
        <v>45</v>
      </c>
      <c r="D7" s="48" t="s">
        <v>323</v>
      </c>
    </row>
    <row r="8" spans="2:4" ht="21">
      <c r="B8" s="54" t="s">
        <v>324</v>
      </c>
      <c r="C8" s="55"/>
    </row>
    <row r="9" spans="2:4" ht="63">
      <c r="B9" s="52" t="s">
        <v>325</v>
      </c>
      <c r="C9" s="46" t="s">
        <v>45</v>
      </c>
    </row>
    <row r="10" spans="2:4" ht="21">
      <c r="B10" s="54" t="s">
        <v>326</v>
      </c>
      <c r="C10" s="55"/>
    </row>
    <row r="11" spans="2:4" ht="63">
      <c r="B11" s="52" t="s">
        <v>327</v>
      </c>
      <c r="C11" s="46" t="s">
        <v>45</v>
      </c>
    </row>
    <row r="12" spans="2:4" ht="21">
      <c r="B12" s="40" t="s">
        <v>328</v>
      </c>
      <c r="C12" s="55"/>
    </row>
    <row r="13" spans="2:4" ht="21">
      <c r="B13" s="54" t="s">
        <v>329</v>
      </c>
      <c r="C13" s="55"/>
    </row>
    <row r="14" spans="2:4" ht="42">
      <c r="B14" s="52" t="s">
        <v>330</v>
      </c>
      <c r="C14" s="46" t="s">
        <v>45</v>
      </c>
    </row>
    <row r="15" spans="2:4" ht="21">
      <c r="B15" s="54" t="s">
        <v>331</v>
      </c>
      <c r="C15" s="55"/>
    </row>
    <row r="16" spans="2:4" ht="42">
      <c r="B16" s="52" t="s">
        <v>332</v>
      </c>
      <c r="C16" s="46" t="s">
        <v>45</v>
      </c>
    </row>
    <row r="17" spans="2:3" ht="21">
      <c r="B17" s="54" t="s">
        <v>333</v>
      </c>
      <c r="C17" s="55"/>
    </row>
    <row r="18" spans="2:3" ht="42">
      <c r="B18" s="52" t="s">
        <v>334</v>
      </c>
      <c r="C18" s="46" t="s">
        <v>45</v>
      </c>
    </row>
    <row r="19" spans="2:3" ht="21">
      <c r="B19" s="54" t="s">
        <v>335</v>
      </c>
      <c r="C19" s="55"/>
    </row>
    <row r="20" spans="2:3" ht="63">
      <c r="B20" s="52" t="s">
        <v>336</v>
      </c>
      <c r="C20" s="46" t="s">
        <v>45</v>
      </c>
    </row>
    <row r="21" spans="2:3" ht="21">
      <c r="B21" s="54" t="s">
        <v>337</v>
      </c>
      <c r="C21" s="55"/>
    </row>
    <row r="22" spans="2:3" ht="63">
      <c r="B22" s="52" t="s">
        <v>338</v>
      </c>
      <c r="C22" s="46" t="s">
        <v>45</v>
      </c>
    </row>
    <row r="23" spans="2:3" ht="21">
      <c r="B23" s="54" t="s">
        <v>339</v>
      </c>
      <c r="C23" s="55"/>
    </row>
    <row r="24" spans="2:3" ht="84">
      <c r="B24" s="52" t="s">
        <v>340</v>
      </c>
      <c r="C24" s="46" t="s">
        <v>45</v>
      </c>
    </row>
    <row r="25" spans="2:3" ht="21">
      <c r="B25" s="54" t="s">
        <v>341</v>
      </c>
      <c r="C25" s="55"/>
    </row>
    <row r="26" spans="2:3" ht="84">
      <c r="B26" s="52" t="s">
        <v>342</v>
      </c>
      <c r="C26" s="46" t="s">
        <v>45</v>
      </c>
    </row>
    <row r="27" spans="2:3" ht="21">
      <c r="B27" s="54" t="s">
        <v>343</v>
      </c>
      <c r="C27" s="55"/>
    </row>
    <row r="28" spans="2:3" ht="84">
      <c r="B28" s="52" t="s">
        <v>344</v>
      </c>
      <c r="C28" s="46" t="s">
        <v>45</v>
      </c>
    </row>
  </sheetData>
  <sheetProtection algorithmName="SHA-512" hashValue="XeW6bUAKnm43j4meWYPApqpxgIUvkc+kiljCp7h71QUV2ZgishBBRb5NF7kP+72LnQELXBDhMs+rLegAjSnArA==" saltValue="2/ZNlC/KVpLBc1AR6Z48Dw=="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headerFooter>
    <oddFooter>&amp;L_x000D_&amp;1#&amp;"Aptos"&amp;8&amp;K000000 Sensitivity: General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83203125"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345</v>
      </c>
      <c r="C1" s="7" t="s">
        <v>346</v>
      </c>
      <c r="E1" s="5" t="s">
        <v>347</v>
      </c>
      <c r="G1" s="5" t="s">
        <v>348</v>
      </c>
    </row>
    <row r="2" spans="1:7">
      <c r="A2" s="1" t="s">
        <v>57</v>
      </c>
      <c r="C2" s="1" t="s">
        <v>349</v>
      </c>
      <c r="E2" s="1" t="s">
        <v>45</v>
      </c>
      <c r="G2" s="1" t="s">
        <v>350</v>
      </c>
    </row>
    <row r="3" spans="1:7">
      <c r="A3" s="1" t="s">
        <v>351</v>
      </c>
      <c r="C3" s="1" t="s">
        <v>275</v>
      </c>
      <c r="E3" s="1" t="s">
        <v>146</v>
      </c>
      <c r="G3" s="1" t="s">
        <v>352</v>
      </c>
    </row>
    <row r="4" spans="1:7">
      <c r="C4" s="1" t="s">
        <v>353</v>
      </c>
      <c r="G4" s="1" t="s">
        <v>354</v>
      </c>
    </row>
    <row r="5" spans="1:7">
      <c r="C5" s="1" t="s">
        <v>355</v>
      </c>
      <c r="G5" s="1" t="s">
        <v>356</v>
      </c>
    </row>
    <row r="6" spans="1:7">
      <c r="C6" s="1" t="s">
        <v>357</v>
      </c>
      <c r="G6" s="1" t="s">
        <v>358</v>
      </c>
    </row>
    <row r="7" spans="1:7">
      <c r="C7" s="1" t="s">
        <v>359</v>
      </c>
      <c r="G7" s="1" t="s">
        <v>360</v>
      </c>
    </row>
    <row r="8" spans="1:7">
      <c r="C8" s="1" t="s">
        <v>361</v>
      </c>
      <c r="G8" s="1" t="s">
        <v>362</v>
      </c>
    </row>
    <row r="9" spans="1:7">
      <c r="C9" s="1" t="s">
        <v>363</v>
      </c>
      <c r="G9" s="1" t="s">
        <v>364</v>
      </c>
    </row>
    <row r="10" spans="1:7">
      <c r="C10" s="1" t="s">
        <v>365</v>
      </c>
      <c r="G10" s="1" t="s">
        <v>366</v>
      </c>
    </row>
    <row r="11" spans="1:7">
      <c r="C11" s="1" t="s">
        <v>367</v>
      </c>
      <c r="G11" s="1" t="s">
        <v>368</v>
      </c>
    </row>
    <row r="12" spans="1:7">
      <c r="C12" s="1" t="s">
        <v>369</v>
      </c>
      <c r="G12" s="1" t="s">
        <v>370</v>
      </c>
    </row>
    <row r="13" spans="1:7">
      <c r="C13" s="1" t="s">
        <v>263</v>
      </c>
      <c r="G13" s="1" t="s">
        <v>371</v>
      </c>
    </row>
    <row r="14" spans="1:7">
      <c r="C14" s="1" t="s">
        <v>372</v>
      </c>
      <c r="G14" s="1" t="s">
        <v>373</v>
      </c>
    </row>
    <row r="15" spans="1:7">
      <c r="C15" s="1" t="s">
        <v>374</v>
      </c>
      <c r="G15" s="1" t="s">
        <v>375</v>
      </c>
    </row>
    <row r="16" spans="1:7">
      <c r="C16" s="1" t="s">
        <v>376</v>
      </c>
      <c r="G16" s="1" t="s">
        <v>377</v>
      </c>
    </row>
    <row r="17" spans="3:7">
      <c r="C17" s="1" t="s">
        <v>378</v>
      </c>
      <c r="G17" s="1" t="s">
        <v>379</v>
      </c>
    </row>
    <row r="18" spans="3:7">
      <c r="C18" s="1" t="s">
        <v>380</v>
      </c>
      <c r="G18" s="1" t="s">
        <v>381</v>
      </c>
    </row>
    <row r="19" spans="3:7">
      <c r="C19" s="1" t="s">
        <v>382</v>
      </c>
      <c r="G19" s="1" t="s">
        <v>383</v>
      </c>
    </row>
    <row r="20" spans="3:7">
      <c r="C20" s="1" t="s">
        <v>384</v>
      </c>
      <c r="G20" s="1" t="s">
        <v>385</v>
      </c>
    </row>
    <row r="21" spans="3:7">
      <c r="C21" s="1" t="s">
        <v>386</v>
      </c>
      <c r="G21" s="1" t="s">
        <v>387</v>
      </c>
    </row>
    <row r="22" spans="3:7">
      <c r="G22" s="1" t="s">
        <v>74</v>
      </c>
    </row>
    <row r="23" spans="3:7">
      <c r="G23" s="1" t="s">
        <v>388</v>
      </c>
    </row>
    <row r="24" spans="3:7">
      <c r="G24" s="1" t="s">
        <v>389</v>
      </c>
    </row>
    <row r="25" spans="3:7">
      <c r="G25" s="1" t="s">
        <v>390</v>
      </c>
    </row>
    <row r="26" spans="3:7">
      <c r="G26" s="1" t="s">
        <v>391</v>
      </c>
    </row>
    <row r="27" spans="3:7">
      <c r="G27" s="1" t="s">
        <v>392</v>
      </c>
    </row>
    <row r="28" spans="3:7">
      <c r="G28" s="1" t="s">
        <v>393</v>
      </c>
    </row>
    <row r="29" spans="3:7">
      <c r="G29" s="1" t="s">
        <v>394</v>
      </c>
    </row>
    <row r="30" spans="3:7">
      <c r="G30" s="1" t="s">
        <v>395</v>
      </c>
    </row>
    <row r="31" spans="3:7">
      <c r="G31" s="1" t="s">
        <v>396</v>
      </c>
    </row>
    <row r="32" spans="3:7">
      <c r="G32" s="1" t="s">
        <v>397</v>
      </c>
    </row>
    <row r="33" spans="7:7">
      <c r="G33" s="1" t="s">
        <v>398</v>
      </c>
    </row>
    <row r="34" spans="7:7">
      <c r="G34" s="1" t="s">
        <v>399</v>
      </c>
    </row>
    <row r="35" spans="7:7">
      <c r="G35" s="1" t="s">
        <v>400</v>
      </c>
    </row>
    <row r="36" spans="7:7">
      <c r="G36" s="1" t="s">
        <v>401</v>
      </c>
    </row>
    <row r="37" spans="7:7">
      <c r="G37" s="1" t="s">
        <v>402</v>
      </c>
    </row>
    <row r="38" spans="7:7">
      <c r="G38" s="1" t="s">
        <v>403</v>
      </c>
    </row>
    <row r="39" spans="7:7">
      <c r="G39" s="1" t="s">
        <v>404</v>
      </c>
    </row>
    <row r="40" spans="7:7">
      <c r="G40" s="1" t="s">
        <v>405</v>
      </c>
    </row>
    <row r="41" spans="7:7">
      <c r="G41" s="1" t="s">
        <v>406</v>
      </c>
    </row>
    <row r="42" spans="7:7">
      <c r="G42" s="1" t="s">
        <v>407</v>
      </c>
    </row>
    <row r="43" spans="7:7">
      <c r="G43" s="1" t="s">
        <v>408</v>
      </c>
    </row>
    <row r="44" spans="7:7">
      <c r="G44" s="1" t="s">
        <v>409</v>
      </c>
    </row>
    <row r="45" spans="7:7">
      <c r="G45" s="1" t="s">
        <v>410</v>
      </c>
    </row>
    <row r="46" spans="7:7">
      <c r="G46" s="1" t="s">
        <v>411</v>
      </c>
    </row>
    <row r="47" spans="7:7">
      <c r="G47" s="1" t="s">
        <v>412</v>
      </c>
    </row>
    <row r="48" spans="7:7">
      <c r="G48" s="1" t="s">
        <v>413</v>
      </c>
    </row>
    <row r="49" spans="7:7">
      <c r="G49" s="1" t="s">
        <v>414</v>
      </c>
    </row>
    <row r="50" spans="7:7">
      <c r="G50" s="1" t="s">
        <v>415</v>
      </c>
    </row>
    <row r="51" spans="7:7">
      <c r="G51" s="1" t="s">
        <v>416</v>
      </c>
    </row>
    <row r="52" spans="7:7">
      <c r="G52" s="1" t="s">
        <v>417</v>
      </c>
    </row>
    <row r="53" spans="7:7">
      <c r="G53" s="1" t="s">
        <v>418</v>
      </c>
    </row>
    <row r="54" spans="7:7">
      <c r="G54" s="1" t="s">
        <v>419</v>
      </c>
    </row>
    <row r="55" spans="7:7">
      <c r="G55" s="1" t="s">
        <v>420</v>
      </c>
    </row>
    <row r="56" spans="7:7">
      <c r="G56" s="1" t="s">
        <v>421</v>
      </c>
    </row>
    <row r="57" spans="7:7">
      <c r="G57" s="1" t="s">
        <v>422</v>
      </c>
    </row>
  </sheetData>
  <pageMargins left="0.7" right="0.7" top="0.75" bottom="0.75" header="0.3" footer="0.3"/>
  <headerFooter>
    <oddFooter>&amp;L_x000D_&amp;1#&amp;"Aptos"&amp;8&amp;K000000 Sensitivity: General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8082d0-1ebd-4a37-b8f7-317ba8e8fd5b">
      <Terms xmlns="http://schemas.microsoft.com/office/infopath/2007/PartnerControls"/>
    </lcf76f155ced4ddcb4097134ff3c332f>
    <TaxCatchAll xmlns="6b07b755-9e50-49b2-bdde-f473d03bef1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207B2336FF044A8E1B8C699D63A7C2" ma:contentTypeVersion="11" ma:contentTypeDescription="Create a new document." ma:contentTypeScope="" ma:versionID="c0e4e6729b5a8bdea897d4329fc0fbed">
  <xsd:schema xmlns:xsd="http://www.w3.org/2001/XMLSchema" xmlns:xs="http://www.w3.org/2001/XMLSchema" xmlns:p="http://schemas.microsoft.com/office/2006/metadata/properties" xmlns:ns2="768082d0-1ebd-4a37-b8f7-317ba8e8fd5b" xmlns:ns3="6b07b755-9e50-49b2-bdde-f473d03bef1e" targetNamespace="http://schemas.microsoft.com/office/2006/metadata/properties" ma:root="true" ma:fieldsID="de9d2e838710e82127354e70f5cbbf99" ns2:_="" ns3:_="">
    <xsd:import namespace="768082d0-1ebd-4a37-b8f7-317ba8e8fd5b"/>
    <xsd:import namespace="6b07b755-9e50-49b2-bdde-f473d03bef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8082d0-1ebd-4a37-b8f7-317ba8e8fd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6e724ad-1db7-4c5b-9125-a1a4dddb4b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07b755-9e50-49b2-bdde-f473d03bef1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0eccad-3399-4edf-ac46-57386ce79bc6}" ma:internalName="TaxCatchAll" ma:showField="CatchAllData" ma:web="6b07b755-9e50-49b2-bdde-f473d03bef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F868F5-9C1F-4AB9-B24B-4DB397C28B05}">
  <ds:schemaRefs>
    <ds:schemaRef ds:uri="http://schemas.microsoft.com/sharepoint/v3/contenttype/forms"/>
  </ds:schemaRefs>
</ds:datastoreItem>
</file>

<file path=customXml/itemProps2.xml><?xml version="1.0" encoding="utf-8"?>
<ds:datastoreItem xmlns:ds="http://schemas.openxmlformats.org/officeDocument/2006/customXml" ds:itemID="{CE7A6DD0-6289-4EAD-9561-01AE2F74E114}">
  <ds:schemaRefs>
    <ds:schemaRef ds:uri="768082d0-1ebd-4a37-b8f7-317ba8e8fd5b"/>
    <ds:schemaRef ds:uri="http://schemas.microsoft.com/office/2006/metadata/propertie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purl.org/dc/terms/"/>
    <ds:schemaRef ds:uri="6b07b755-9e50-49b2-bdde-f473d03bef1e"/>
    <ds:schemaRef ds:uri="http://www.w3.org/XML/1998/namespace"/>
    <ds:schemaRef ds:uri="http://purl.org/dc/dcmitype/"/>
  </ds:schemaRefs>
</ds:datastoreItem>
</file>

<file path=customXml/itemProps3.xml><?xml version="1.0" encoding="utf-8"?>
<ds:datastoreItem xmlns:ds="http://schemas.openxmlformats.org/officeDocument/2006/customXml" ds:itemID="{78105503-798F-4C81-A007-8E1615C93C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8082d0-1ebd-4a37-b8f7-317ba8e8fd5b"/>
    <ds:schemaRef ds:uri="6b07b755-9e50-49b2-bdde-f473d03bef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215e9a5-fb30-4e1a-b262-86ef2813fd85}" enabled="1" method="Standard" siteId="{7cc91c38-648e-4ce2-a4e4-517ae39fc18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Soumya Anand</cp:lastModifiedBy>
  <cp:revision/>
  <dcterms:created xsi:type="dcterms:W3CDTF">2018-09-10T17:18:27Z</dcterms:created>
  <dcterms:modified xsi:type="dcterms:W3CDTF">2025-12-01T12:36:53Z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0x01010079207B2336FF044A8E1B8C699D63A7C2</vt:lpwstr>
  </property>
  <property fmtid="{D5CDD505-2E9C-101B-9397-08002B2CF9AE}" pid="3" name="MediaServiceImageTags">
    <vt:lpwstr/>
  </property>
</Properties>
</file>