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S:\01. Standard Customer Forms\Helix\CapEX NEW Contact 11-21-2025\"/>
    </mc:Choice>
  </mc:AlternateContent>
  <xr:revisionPtr revIDLastSave="0" documentId="13_ncr:1_{7A9F7960-2096-43A8-A57B-CB2DE390D622}" xr6:coauthVersionLast="47" xr6:coauthVersionMax="47" xr10:uidLastSave="{00000000-0000-0000-0000-000000000000}"/>
  <bookViews>
    <workbookView xWindow="-108" yWindow="-108" windowWidth="23256" windowHeight="13896" firstSheet="8" activeTab="9"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20" l="1"/>
  <c r="E15" i="20"/>
  <c r="D15" i="20"/>
  <c r="C15" i="20"/>
  <c r="F12" i="20"/>
  <c r="E12" i="20"/>
  <c r="D12" i="20"/>
  <c r="C12" i="20"/>
  <c r="F8" i="20"/>
  <c r="E8" i="20"/>
  <c r="D8" i="20"/>
  <c r="C8" i="20"/>
  <c r="F6" i="20"/>
  <c r="E6" i="20"/>
  <c r="D6" i="20"/>
  <c r="C6" i="20"/>
  <c r="F4" i="20"/>
  <c r="E4" i="20"/>
  <c r="D4" i="20"/>
  <c r="C4" i="20"/>
  <c r="F3" i="20"/>
  <c r="E3" i="20"/>
  <c r="D3" i="20"/>
  <c r="C3" i="20"/>
  <c r="H10" i="19"/>
  <c r="G9" i="19"/>
  <c r="C9" i="19"/>
  <c r="I16" i="20" l="1"/>
  <c r="H16" i="20"/>
  <c r="G16" i="20"/>
  <c r="F16" i="20"/>
  <c r="E16" i="20"/>
  <c r="D16" i="20"/>
  <c r="C16" i="20"/>
</calcChain>
</file>

<file path=xl/sharedStrings.xml><?xml version="1.0" encoding="utf-8"?>
<sst xmlns="http://schemas.openxmlformats.org/spreadsheetml/2006/main" count="644" uniqueCount="469">
  <si>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</si>
  <si>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</si>
  <si>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</si>
  <si>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</si>
  <si>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</si>
  <si>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</si>
  <si>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</si>
  <si>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</si>
  <si>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</si>
  <si>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</si>
  <si>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</si>
  <si>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</si>
  <si>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</si>
  <si>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</si>
  <si>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</si>
  <si>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</si>
  <si>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</si>
  <si>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</si>
  <si>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</si>
  <si>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</si>
  <si>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</si>
  <si>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</si>
  <si>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</si>
  <si>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</si>
  <si>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</si>
  <si>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</si>
  <si>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</si>
  <si>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</si>
  <si>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</si>
  <si>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</si>
  <si>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</si>
  <si>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</si>
  <si>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</si>
  <si>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</si>
  <si>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</si>
  <si>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</si>
  <si>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</si>
  <si>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</si>
  <si>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</si>
  <si>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</si>
  <si>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</si>
  <si>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</si>
  <si>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</si>
  <si>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</si>
  <si>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</si>
  <si>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</si>
  <si>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</si>
  <si>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</si>
  <si>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</si>
  <si>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</si>
  <si>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</si>
  <si>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</si>
  <si>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</si>
  <si>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</si>
  <si>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</si>
  <si>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</si>
  <si>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</si>
  <si>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</si>
  <si>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</si>
  <si>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</si>
  <si>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</si>
  <si>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</si>
  <si>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</si>
  <si>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</si>
  <si>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</si>
  <si>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</si>
  <si>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</si>
  <si>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</si>
  <si>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</si>
  <si>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</si>
  <si>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</si>
  <si>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</si>
  <si>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</si>
  <si>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</si>
  <si>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</si>
  <si>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</si>
  <si>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</si>
  <si>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</si>
  <si>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</si>
  <si>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</si>
  <si>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</si>
  <si>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</si>
  <si>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</si>
  <si>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</si>
  <si>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</si>
  <si>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</si>
  <si>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</si>
  <si>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</si>
  <si>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</si>
  <si>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</si>
  <si>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</si>
  <si>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</si>
  <si>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</si>
  <si>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</si>
  <si>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</si>
  <si>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</si>
  <si>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</si>
  <si>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</si>
  <si>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</si>
  <si>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</si>
  <si>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</si>
  <si>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</si>
  <si>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</si>
  <si>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</si>
  <si>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</si>
  <si>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</si>
  <si>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</si>
  <si>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</si>
  <si>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</si>
  <si>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</si>
  <si>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</si>
  <si>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</si>
  <si>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</si>
  <si>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</si>
  <si>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</si>
  <si>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</si>
  <si>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</si>
  <si>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</si>
  <si>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</si>
  <si>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</si>
  <si>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</si>
  <si>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</si>
  <si>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</si>
  <si>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</si>
  <si>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</si>
  <si>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</si>
  <si>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</si>
  <si>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</si>
  <si>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</si>
  <si>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</si>
  <si>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</si>
  <si>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</si>
  <si>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</si>
  <si>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</si>
  <si>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</si>
  <si>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</si>
  <si>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</si>
  <si>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</si>
  <si>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</si>
  <si>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</si>
  <si>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</si>
  <si>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</si>
  <si>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</si>
  <si>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</si>
  <si>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</si>
  <si>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</si>
  <si>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</si>
  <si>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</si>
  <si>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</si>
  <si>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</si>
  <si>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</si>
  <si>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</si>
  <si>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</si>
  <si>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</si>
  <si>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</si>
  <si>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</si>
  <si>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</si>
  <si>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</si>
  <si>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</si>
  <si>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</si>
  <si>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</si>
  <si>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</si>
  <si>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</si>
  <si>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</si>
  <si>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</si>
  <si>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</si>
  <si>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</si>
  <si>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</si>
  <si>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</si>
  <si>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</si>
  <si>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</si>
  <si>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</si>
  <si>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</si>
  <si>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</si>
  <si>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</si>
  <si>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</si>
  <si>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</si>
  <si>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</si>
  <si>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</si>
  <si>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</si>
  <si>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</si>
  <si>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</si>
  <si>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</si>
  <si>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</si>
  <si>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</si>
  <si>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</si>
  <si>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</si>
  <si>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</si>
  <si>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</si>
  <si>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</si>
  <si>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</si>
  <si>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</si>
  <si>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</si>
  <si>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</si>
  <si>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</si>
  <si>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</si>
  <si>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</si>
  <si>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</si>
  <si>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</si>
  <si>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</si>
  <si>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</si>
  <si>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</si>
  <si>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</si>
  <si>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</si>
  <si>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</si>
  <si>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</si>
  <si>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</si>
  <si>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</si>
  <si>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</si>
  <si>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</si>
  <si>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</si>
  <si>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</si>
  <si>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</si>
  <si>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</si>
  <si>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</si>
  <si>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</si>
  <si>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</si>
  <si>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</si>
  <si>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</si>
  <si>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</si>
  <si>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</si>
  <si>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</si>
  <si>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</si>
  <si>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</si>
  <si>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</si>
  <si>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</si>
  <si>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</si>
  <si>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</si>
  <si>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</si>
  <si>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</si>
  <si>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</si>
  <si>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</si>
  <si>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</si>
  <si>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</si>
  <si>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</si>
  <si>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</si>
  <si>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</si>
  <si>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</si>
  <si>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</si>
  <si>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</si>
  <si>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</si>
  <si>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</si>
  <si>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</si>
  <si>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</si>
  <si>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</si>
  <si>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</si>
  <si>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</si>
  <si>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</si>
  <si>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</si>
  <si>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</si>
  <si>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</si>
  <si>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</si>
  <si>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</si>
  <si>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</si>
  <si>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</si>
  <si>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</si>
  <si>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</si>
  <si>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</si>
  <si>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</si>
  <si>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</si>
  <si>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</si>
  <si>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</si>
  <si>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</si>
  <si>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</si>
  <si>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</si>
  <si>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</si>
  <si>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</si>
  <si>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</si>
  <si>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</si>
  <si>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</si>
  <si>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</si>
  <si>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</si>
  <si>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</si>
  <si>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</si>
  <si>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</si>
  <si>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</si>
  <si>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</si>
  <si>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</si>
  <si>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</si>
  <si>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</si>
  <si>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</si>
  <si>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</si>
  <si>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</si>
  <si>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</si>
  <si>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</si>
  <si>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</si>
  <si>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</si>
  <si>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</si>
  <si>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</si>
  <si>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</si>
  <si>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</si>
  <si>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</si>
  <si>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</si>
  <si>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</si>
  <si>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</si>
  <si>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</si>
  <si>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</si>
  <si>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</si>
  <si>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</si>
  <si>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</si>
  <si>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</si>
  <si>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</si>
  <si>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</si>
  <si>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</si>
  <si>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</si>
  <si>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</si>
  <si>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</si>
  <si>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</si>
  <si>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</si>
  <si>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</si>
  <si>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</si>
  <si>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</si>
  <si>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</si>
  <si>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</si>
  <si>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</si>
  <si>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</si>
  <si>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</si>
  <si>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</si>
  <si>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t>US:
China:
India:
Vietnam:
Thailand:
Brazil:
ETC:</t>
  </si>
  <si>
    <r>
      <t>All Proposals shall be submitted via email to Procurement Contact no later than time indicated in Section 1.</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</si>
  <si>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Participant's Proposal to this Request for Information (“RFI”) shall be sent via email by no later than </t>
    </r>
    <r>
      <rPr>
        <b/>
        <sz val="16"/>
        <color rgb="FFFF0000"/>
        <rFont val="SF Hello Regular"/>
      </rPr>
      <t>December 12, 2025</t>
    </r>
  </si>
  <si>
    <t xml:space="preserve">Amer Mokaddem
Global Sourcing &amp; Supply Management
+1 408-464-1693 amokaddem@apple.com  </t>
  </si>
  <si>
    <t>IPTE LLC</t>
  </si>
  <si>
    <t>IPTE FA N.V.</t>
  </si>
  <si>
    <t>ipte.com</t>
  </si>
  <si>
    <t>Limited Liability Corporation</t>
  </si>
  <si>
    <t>1992 (1999 in USA)</t>
  </si>
  <si>
    <t>David Holland</t>
  </si>
  <si>
    <t>Director Of Operation - Americas, Vice President</t>
  </si>
  <si>
    <t>david.holland@ipte.com</t>
  </si>
  <si>
    <t>+1 586-871-7509</t>
  </si>
  <si>
    <t>Daniel Vanaken</t>
  </si>
  <si>
    <t>Head of Finance, President</t>
  </si>
  <si>
    <t>daniel.vanaken@ipte.com</t>
  </si>
  <si>
    <t>+1 404-915-3242</t>
  </si>
  <si>
    <t>Mike Wischmann</t>
  </si>
  <si>
    <t>Electrical, Software Engineering Manager</t>
  </si>
  <si>
    <t>mike.wischmann@ipte.com</t>
  </si>
  <si>
    <t>+1 678-674-8557</t>
  </si>
  <si>
    <t>David Mowrer</t>
  </si>
  <si>
    <t>Procurement</t>
  </si>
  <si>
    <t>david.mowrer@ipte.com</t>
  </si>
  <si>
    <t xml:space="preserve">+1 678-938-9150 </t>
  </si>
  <si>
    <t>Jordi Garcia</t>
  </si>
  <si>
    <t>jordi.garcia@ipte.com</t>
  </si>
  <si>
    <t xml:space="preserve">+1 470-838-0174 </t>
  </si>
  <si>
    <t>Greg Killough</t>
  </si>
  <si>
    <t>Production and Support Manager</t>
  </si>
  <si>
    <t>greg.killough@iptec.om</t>
  </si>
  <si>
    <t>+1 803-287-4759</t>
  </si>
  <si>
    <t>Andrew Smith</t>
  </si>
  <si>
    <t>Sales Executive</t>
  </si>
  <si>
    <t>andrew.smith@ipte.com</t>
  </si>
  <si>
    <t xml:space="preserve">+1-470-535-5778 </t>
  </si>
  <si>
    <t>Keith Robinson</t>
  </si>
  <si>
    <t>Mechanical Engineering Manager</t>
  </si>
  <si>
    <t>keith.robinson@ipte.com</t>
  </si>
  <si>
    <t>+1 803-818-0230</t>
  </si>
  <si>
    <t>Genk and Beernem Belgium</t>
  </si>
  <si>
    <t>Guadalajara, Mexico</t>
  </si>
  <si>
    <t>Shanghai China</t>
  </si>
  <si>
    <t>Alpharetta, USA</t>
  </si>
  <si>
    <t>Heroldsberg and Dachau Germany</t>
  </si>
  <si>
    <t>Ovar Portugal</t>
  </si>
  <si>
    <t>Geleenlaan 5, B-3600</t>
  </si>
  <si>
    <t>Parquye Alamo Industrial, 44490 Guadalajara, Mexico</t>
  </si>
  <si>
    <t>Building C, N88, Lane 3509, South Hongmai Road 201108 ShanghaI</t>
  </si>
  <si>
    <t>6245 Shiloh Road, Suite B, GA 30005</t>
  </si>
  <si>
    <t>schleifweg 14, 90562 Heroldberg</t>
  </si>
  <si>
    <t>Rua do Mocambique LT 27, no 323, Zona Industrisl de Ovar, 3880106 Ovar</t>
  </si>
  <si>
    <t>NA</t>
  </si>
  <si>
    <t>laser marking,  pcb depaneling, component placement, conveying, electrical test</t>
  </si>
  <si>
    <t>laser marking,  pcb depaneling, component placement, conveying, electrical test, custom engineering solutions</t>
  </si>
  <si>
    <t>Europe, Asia, Americas</t>
  </si>
  <si>
    <t>North America</t>
  </si>
  <si>
    <t>Asia</t>
  </si>
  <si>
    <t>Looking for expansion through aquistion in the USA</t>
  </si>
  <si>
    <t xml:space="preserve">Key components used are items like indutrial cameras, robots, PLCs, sensor.  Key vendors are Festo, Allen Bradley, Kuka, Cognex, Keyence, Epson, Sick, etc. </t>
  </si>
  <si>
    <t xml:space="preserve">Within certain facilities IPTE has lead buy groups and parts are procured in locations where we can get the best cost price and transported to the locations where they will be used, pricing agreements with key vendors are in place. </t>
  </si>
  <si>
    <t>Yes, machining facilties in Belgium, Portugal, Estonia and Guadalajara, facilites are only used for internal IPTE us and do not sell to any 3rd party.</t>
  </si>
  <si>
    <t>In each process checklist are used to verify full operation of machine and safety requirements</t>
  </si>
  <si>
    <t>IPTE has procurement centers (each of our production locations) in 9 different countries to be able to procure the necessary key components and export and import them to our production facilities</t>
  </si>
  <si>
    <t>Europe</t>
  </si>
  <si>
    <t>Medium</t>
  </si>
  <si>
    <t>Low</t>
  </si>
  <si>
    <t>Americas</t>
  </si>
  <si>
    <t>Europe, Asia</t>
  </si>
  <si>
    <t>4.1. Project Kick-Off</t>
  </si>
  <si>
    <t>Review signed purchase order or contract</t>
  </si>
  <si>
    <t>Confirm project scope, delivery date, budget, and payment terms</t>
  </si>
  <si>
    <t>Define project team and responsibilities</t>
  </si>
  <si>
    <t>Conduct internal kick-off meeting:</t>
  </si>
  <si>
    <t>Review customer specifications</t>
  </si>
  <si>
    <t>Define product flow, cycle time, and layout</t>
  </si>
  <si>
    <t>Review risks, constraints, and assumptions</t>
  </si>
  <si>
    <t>Assign action items</t>
  </si>
  <si>
    <t>Create project plan with key milestones</t>
  </si>
  <si>
    <t>4.2. Engineering Design Phase</t>
  </si>
  <si>
    <t>Develop mechanical, electrical, and software designs</t>
  </si>
  <si>
    <t>Submit preliminary design review (PDR) package for internal approval</t>
  </si>
  <si>
    <t>Conduct customer design review (CDR) meeting (virtual or in-person)</t>
  </si>
  <si>
    <t>Finalize and release drawings and BOM to production</t>
  </si>
  <si>
    <t>Maintain design control through revision management</t>
  </si>
  <si>
    <t>4.3. Procurement and Assembly</t>
  </si>
  <si>
    <t>Release BOM to purchasing and schedule critical parts</t>
  </si>
  <si>
    <t>Begin assembly of mechanical and electrical sub-systems</t>
  </si>
  <si>
    <t>Integrate software and control components</t>
  </si>
  <si>
    <t>Track build progress through daily or weekly updates</t>
  </si>
  <si>
    <t>Update risk register and schedule as needed</t>
  </si>
  <si>
    <t>4.4. Internal Run-Off at IPTE</t>
  </si>
  <si>
    <t>Perform functional testing and verify cycle time</t>
  </si>
  <si>
    <t>Simulate customer part flow with sample or actual parts</t>
  </si>
  <si>
    <t>Conduct internal Factory Acceptance Test (iFAT)</t>
  </si>
  <si>
    <t>Prepare FAT checklist and documentation</t>
  </si>
  <si>
    <t>Invite customer for formal Run-Off (FAT) at IPTE</t>
  </si>
  <si>
    <t>Record and resolve all non-conformities or punch list items</t>
  </si>
  <si>
    <t>4.5. Shipment and Installation</t>
  </si>
  <si>
    <t>Prepare shipment per packaging and handling standards</t>
  </si>
  <si>
    <t>Issue shipping documents (packing list, invoice, export documents)</t>
  </si>
  <si>
    <t>Coordinate with customer on installation schedule</t>
  </si>
  <si>
    <t>Perform mechanical setup, electrical hookup, and software configuration at customer site</t>
  </si>
  <si>
    <t>Conduct on-site testing to verify functionality</t>
  </si>
  <si>
    <t>4.6. Site Acceptance and Project Closure</t>
  </si>
  <si>
    <t>Conduct Site Acceptance Test (SAT) with customer</t>
  </si>
  <si>
    <t>Obtain customer sign-off on SAT and acceptance certificate</t>
  </si>
  <si>
    <t>Train customer operators and maintenance staff as needed</t>
  </si>
  <si>
    <t>Submit final project documentation (manuals, backups, drawings)</t>
  </si>
  <si>
    <t>Close open actions and archive project files</t>
  </si>
  <si>
    <t>Conduct internal project debrief to capture lessons learned</t>
  </si>
  <si>
    <t>High</t>
  </si>
  <si>
    <t>turnkey assembly and test systems</t>
  </si>
  <si>
    <t>Siemens, ignition, c#, AB, Omron, Beckhoff</t>
  </si>
  <si>
    <t>robotics, assembly, testing, placement, pressing, cleaning</t>
  </si>
  <si>
    <t>ict, functional, flash, RF, Farday Cage, labivew labwindows, passive - active, gauging</t>
  </si>
  <si>
    <t>paste, rtv, grease, oil, adhesive, gap filler</t>
  </si>
  <si>
    <t>marking, cutting, ablation, sensing, welding</t>
  </si>
  <si>
    <t>cleaning, curing, test at temperature</t>
  </si>
  <si>
    <t>servo, pneumatic, 6-axis, scara, gantry</t>
  </si>
  <si>
    <t>robotics, assembly, testing, placement, pressing, cleaning, turnkey assembly and test systems</t>
  </si>
  <si>
    <t>Certified FDA, CHR Registered</t>
  </si>
  <si>
    <t>objective-relative measurement</t>
  </si>
  <si>
    <t>mechanical, haptic</t>
  </si>
  <si>
    <t>sensing, curve measurement</t>
  </si>
  <si>
    <t>IPTE AOI, Cognex, Keyence, Kuka, Sensopart, Omron</t>
  </si>
  <si>
    <t>deflective, diffuse, variable, ring, backlighting, coaxial, angle, led, multispectral</t>
  </si>
  <si>
    <t>measurement gauging of components</t>
  </si>
  <si>
    <t>Vision Systems</t>
  </si>
  <si>
    <t>20-52 weeks, lead time depends on required purchased components</t>
  </si>
  <si>
    <t>Global Footprint with local support</t>
  </si>
  <si>
    <t>35 years of PLC integration and PLC programming</t>
  </si>
  <si>
    <t>Experts  integration, functional and battery testing, wide range of electrical systems</t>
  </si>
  <si>
    <t xml:space="preserve">Thank you for your interest in our automation solutions. Because our equipment is fully custom-built to meet each customer's unique specifications, we don’t maintain a standard product roadmap like you might find with off-the-shelf systems. </t>
  </si>
  <si>
    <t>Each project is engineered from the ground up based on factors such as part geometry, cycle time, floor space, integration needs, and budget.</t>
  </si>
  <si>
    <t xml:space="preserve">That said, we’re happy to walk you through examples of previous solutions, typical timelines, and technology platforms we commonly deploy. </t>
  </si>
  <si>
    <t>This can serve as a reference framework to help visualize potential approaches and project evolution over time.</t>
  </si>
  <si>
    <t>In house manufacturing team with design and implementation skills</t>
  </si>
  <si>
    <t>Solder paste dispensing, Underfill / encapsulation, Conformal coating</t>
  </si>
  <si>
    <t>In-depth knowledge with multiple suppliers primary Keyence, Iradion and Synrad</t>
  </si>
  <si>
    <t>Yes, including compliance staff and Laser offices</t>
  </si>
  <si>
    <t>In house design and manufacturing for reflow curing systems in vertical production</t>
  </si>
  <si>
    <t>Available upon request</t>
  </si>
  <si>
    <t>EOL and in-line systems designed fully by IPTE</t>
  </si>
  <si>
    <t xml:space="preserve">In house experts that can work on Sub-micron repeatability, Vision-guided positioning, automated X/Y/Z alignment and, rotary and tilt adjustment for multiple applications
</t>
  </si>
  <si>
    <t>IPTE has strong integration skill sets with advanced lighting technologies to accurately evaluate cameras, sensors, and optical assemblies</t>
  </si>
  <si>
    <t>30 years +</t>
  </si>
  <si>
    <t>Multiple in- or off line integration standard or customized</t>
  </si>
  <si>
    <t>Nordson, Viscotec, Dymax and VWR</t>
  </si>
  <si>
    <t>Keyence, Cognex, Sick, Omron and Baumer</t>
  </si>
  <si>
    <t>In house capable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</si>
</sst>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2">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sz val="12"/>
      <color theme="1"/>
      <name val="Calibri"/>
      <family val="2"/>
      <scheme val="minor"/>
    </font>
    <font>
      <sz val="8"/>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0">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30"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1" fontId="0" fillId="5" borderId="1" xfId="0" applyNumberFormat="1" applyFont="1" applyFill="1" applyBorder="1" applyAlignment="1" applyProtection="1">
      <alignment horizontal="center" vertical="center" wrapText="1"/>
      <protection locked="0"/>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15" sqref="B15"/>
    </sheetView>
  </sheetViews>
  <sheetFormatPr defaultColWidth="10.796875" defaultRowHeight="20.399999999999999"/>
  <cols>
    <col min="1" max="1" width="10.796875" style="48"/>
    <col min="2" max="2" width="200.796875" style="10" customWidth="1"/>
    <col min="3" max="16384" width="10.796875" style="48"/>
  </cols>
  <sheetData>
    <row r="2" spans="2:2" ht="21">
      <c r="B2" s="8" t="s">
        <v>212</v>
      </c>
    </row>
    <row r="3" spans="2:2" ht="21">
      <c r="B3" s="41" t="s">
        <v>174</v>
      </c>
    </row>
    <row r="4" spans="2:2" ht="81.599999999999994">
      <c r="B4" s="9" t="s">
        <v>113</v>
      </c>
    </row>
    <row r="5" spans="2:2" ht="21">
      <c r="B5" s="41" t="s">
        <v>175</v>
      </c>
    </row>
    <row r="6" spans="2:2" ht="40.799999999999997">
      <c r="B6" s="9" t="s">
        <v>114</v>
      </c>
    </row>
    <row r="7" spans="2:2" ht="21">
      <c r="B7" s="41" t="s">
        <v>176</v>
      </c>
    </row>
    <row r="8" spans="2:2" ht="285.60000000000002">
      <c r="B8" s="9" t="s">
        <v>291</v>
      </c>
    </row>
    <row r="9" spans="2:2" ht="21">
      <c r="B9" s="41" t="s">
        <v>177</v>
      </c>
    </row>
    <row r="10" spans="2:2" ht="21">
      <c r="B10" s="9" t="s">
        <v>320</v>
      </c>
    </row>
    <row r="11" spans="2:2" ht="21">
      <c r="B11" s="41" t="s">
        <v>178</v>
      </c>
    </row>
    <row r="12" spans="2:2" ht="40.799999999999997">
      <c r="B12" s="9" t="s">
        <v>115</v>
      </c>
    </row>
    <row r="13" spans="2:2" ht="21">
      <c r="B13" s="41" t="s">
        <v>179</v>
      </c>
    </row>
    <row r="14" spans="2:2" ht="61.2">
      <c r="B14" s="69" t="s">
        <v>321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8" sqref="B8"/>
    </sheetView>
  </sheetViews>
  <sheetFormatPr defaultColWidth="10.796875" defaultRowHeight="20.399999999999999"/>
  <cols>
    <col min="1" max="1" width="10.796875" style="48"/>
    <col min="2" max="2" width="200.796875" style="10" customWidth="1"/>
    <col min="3" max="16384" width="10.796875" style="48"/>
  </cols>
  <sheetData>
    <row r="2" spans="2:2" ht="21">
      <c r="B2" s="8" t="s">
        <v>116</v>
      </c>
    </row>
    <row r="3" spans="2:2" ht="21">
      <c r="B3" s="40" t="s">
        <v>160</v>
      </c>
    </row>
    <row r="4" spans="2:2" ht="61.2">
      <c r="B4" s="9" t="s">
        <v>117</v>
      </c>
    </row>
    <row r="5" spans="2:2" ht="21">
      <c r="B5" s="41" t="s">
        <v>161</v>
      </c>
    </row>
    <row r="6" spans="2:2" ht="40.799999999999997">
      <c r="B6" s="9" t="s">
        <v>118</v>
      </c>
    </row>
    <row r="7" spans="2:2" ht="21">
      <c r="B7" s="41" t="s">
        <v>162</v>
      </c>
    </row>
    <row r="8" spans="2:2" ht="61.8">
      <c r="B8" s="9" t="s">
        <v>319</v>
      </c>
    </row>
    <row r="9" spans="2:2" ht="21">
      <c r="B9" s="41" t="s">
        <v>163</v>
      </c>
    </row>
    <row r="10" spans="2:2" ht="40.799999999999997">
      <c r="B10" s="9" t="s">
        <v>119</v>
      </c>
    </row>
    <row r="11" spans="2:2" ht="21">
      <c r="B11" s="41" t="s">
        <v>164</v>
      </c>
    </row>
    <row r="12" spans="2:2" ht="122.4">
      <c r="B12" s="9" t="s">
        <v>120</v>
      </c>
    </row>
    <row r="13" spans="2:2" ht="21">
      <c r="B13" s="41" t="s">
        <v>165</v>
      </c>
    </row>
    <row r="14" spans="2:2" ht="81.599999999999994">
      <c r="B14" s="9" t="s">
        <v>121</v>
      </c>
    </row>
    <row r="15" spans="2:2" ht="21">
      <c r="B15" s="41" t="s">
        <v>166</v>
      </c>
    </row>
    <row r="16" spans="2:2" ht="163.19999999999999">
      <c r="B16" s="9" t="s">
        <v>122</v>
      </c>
    </row>
    <row r="17" spans="2:2" ht="21">
      <c r="B17" s="41" t="s">
        <v>167</v>
      </c>
    </row>
    <row r="18" spans="2:2" ht="61.2">
      <c r="B18" s="9" t="s">
        <v>123</v>
      </c>
    </row>
    <row r="19" spans="2:2" ht="21">
      <c r="B19" s="41" t="s">
        <v>168</v>
      </c>
    </row>
    <row r="20" spans="2:2" ht="122.4">
      <c r="B20" s="9" t="s">
        <v>124</v>
      </c>
    </row>
    <row r="21" spans="2:2" ht="21">
      <c r="B21" s="41" t="s">
        <v>169</v>
      </c>
    </row>
    <row r="22" spans="2:2" ht="61.2">
      <c r="B22" s="9" t="s">
        <v>125</v>
      </c>
    </row>
    <row r="23" spans="2:2" ht="21">
      <c r="B23" s="41" t="s">
        <v>170</v>
      </c>
    </row>
    <row r="24" spans="2:2" ht="224.4">
      <c r="B24" s="9" t="s">
        <v>126</v>
      </c>
    </row>
    <row r="25" spans="2:2" ht="21">
      <c r="B25" s="41" t="s">
        <v>171</v>
      </c>
    </row>
    <row r="26" spans="2:2" ht="163.19999999999999">
      <c r="B26" s="9" t="s">
        <v>127</v>
      </c>
    </row>
    <row r="27" spans="2:2" ht="21">
      <c r="B27" s="41" t="s">
        <v>172</v>
      </c>
    </row>
    <row r="28" spans="2:2" ht="40.799999999999997">
      <c r="B28" s="9" t="s">
        <v>128</v>
      </c>
    </row>
    <row r="29" spans="2:2" ht="21">
      <c r="B29" s="41" t="s">
        <v>173</v>
      </c>
    </row>
    <row r="30" spans="2:2" ht="40.799999999999997">
      <c r="B30" s="9"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796875" defaultRowHeight="20.399999999999999"/>
  <cols>
    <col min="1" max="1" width="10.796875" style="48"/>
    <col min="2" max="2" width="141.5" style="10" customWidth="1"/>
    <col min="3" max="3" width="40.796875" style="13" customWidth="1"/>
    <col min="4" max="16384" width="10.796875" style="48"/>
  </cols>
  <sheetData>
    <row r="2" spans="2:3" ht="21">
      <c r="B2" s="8" t="s">
        <v>130</v>
      </c>
      <c r="C2" s="11"/>
    </row>
    <row r="3" spans="2:3" ht="21">
      <c r="B3" s="40" t="s">
        <v>151</v>
      </c>
      <c r="C3" s="11"/>
    </row>
    <row r="4" spans="2:3" ht="204">
      <c r="B4" s="12" t="s">
        <v>131</v>
      </c>
      <c r="C4" s="47"/>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14" zoomScaleNormal="100" workbookViewId="0">
      <selection activeCell="C19" sqref="C19:G25"/>
    </sheetView>
  </sheetViews>
  <sheetFormatPr defaultColWidth="10.796875" defaultRowHeight="18"/>
  <cols>
    <col min="1" max="1" width="3.5" style="15" customWidth="1"/>
    <col min="2" max="2" width="74.69921875" style="15" customWidth="1"/>
    <col min="3" max="4" width="29.19921875" style="15" customWidth="1"/>
    <col min="5" max="5" width="30.296875" style="15" bestFit="1" customWidth="1"/>
    <col min="6" max="6" width="29.19921875" style="15" customWidth="1"/>
    <col min="7" max="7" width="38.296875" style="15" customWidth="1"/>
    <col min="8" max="8" width="10.796875" style="3" customWidth="1"/>
    <col min="9" max="16384" width="10.796875" style="3"/>
  </cols>
  <sheetData>
    <row r="1" spans="1:7" ht="25.95" customHeight="1">
      <c r="B1" s="14" t="s">
        <v>234</v>
      </c>
    </row>
    <row r="2" spans="1:7" ht="25.95" customHeight="1">
      <c r="A2" s="15">
        <v>1</v>
      </c>
      <c r="B2" s="16" t="s">
        <v>132</v>
      </c>
      <c r="C2" s="17">
        <v>45988</v>
      </c>
    </row>
    <row r="3" spans="1:7" ht="25.95" customHeight="1">
      <c r="A3" s="15">
        <v>2</v>
      </c>
      <c r="B3" s="16" t="s">
        <v>14</v>
      </c>
      <c r="C3" s="18" t="s">
        <v>322</v>
      </c>
    </row>
    <row r="4" spans="1:7" ht="25.95" customHeight="1">
      <c r="A4" s="15">
        <v>3</v>
      </c>
      <c r="B4" s="16" t="s">
        <v>13</v>
      </c>
      <c r="C4" s="18" t="s">
        <v>323</v>
      </c>
      <c r="E4" s="19"/>
    </row>
    <row r="5" spans="1:7" ht="25.95" customHeight="1">
      <c r="A5" s="15">
        <v>4</v>
      </c>
      <c r="B5" s="16" t="s">
        <v>133</v>
      </c>
      <c r="C5" s="18" t="s">
        <v>52</v>
      </c>
      <c r="E5" s="19"/>
    </row>
    <row r="6" spans="1:7" ht="25.95" customHeight="1">
      <c r="A6" s="15">
        <v>5</v>
      </c>
      <c r="B6" s="16" t="s">
        <v>0</v>
      </c>
      <c r="C6" s="20" t="s">
        <v>324</v>
      </c>
      <c r="E6" s="19"/>
    </row>
    <row r="7" spans="1:7" ht="25.95" customHeight="1">
      <c r="A7" s="15">
        <v>6</v>
      </c>
      <c r="B7" s="16" t="s">
        <v>1</v>
      </c>
      <c r="C7" s="18" t="s">
        <v>105</v>
      </c>
      <c r="E7" s="19"/>
    </row>
    <row r="8" spans="1:7" ht="25.95" customHeight="1">
      <c r="A8" s="15">
        <v>7</v>
      </c>
      <c r="B8" s="16" t="s">
        <v>2</v>
      </c>
      <c r="C8" s="18"/>
    </row>
    <row r="9" spans="1:7" ht="25.95" customHeight="1">
      <c r="A9" s="15">
        <v>8</v>
      </c>
      <c r="B9" s="16" t="s">
        <v>134</v>
      </c>
      <c r="C9" s="18" t="s">
        <v>325</v>
      </c>
    </row>
    <row r="10" spans="1:7" ht="25.95" customHeight="1">
      <c r="A10" s="15">
        <v>9</v>
      </c>
      <c r="B10" s="16" t="s">
        <v>5</v>
      </c>
      <c r="C10" s="18">
        <v>900</v>
      </c>
    </row>
    <row r="11" spans="1:7">
      <c r="A11" s="15">
        <v>10</v>
      </c>
      <c r="B11" s="16" t="s">
        <v>3</v>
      </c>
      <c r="C11" s="18" t="s">
        <v>326</v>
      </c>
    </row>
    <row r="12" spans="1:7">
      <c r="A12" s="15">
        <v>11</v>
      </c>
      <c r="B12" s="16" t="s">
        <v>4</v>
      </c>
      <c r="C12" s="18">
        <v>2025</v>
      </c>
      <c r="F12" s="21"/>
    </row>
    <row r="15" spans="1:7" ht="36">
      <c r="B15" s="24" t="s">
        <v>135</v>
      </c>
      <c r="C15" s="25" t="s">
        <v>136</v>
      </c>
      <c r="D15" s="25" t="s">
        <v>19</v>
      </c>
      <c r="E15" s="25" t="s">
        <v>112</v>
      </c>
      <c r="F15" s="25" t="s">
        <v>20</v>
      </c>
      <c r="G15" s="26" t="s">
        <v>137</v>
      </c>
    </row>
    <row r="16" spans="1:7" ht="36">
      <c r="B16" s="27" t="s">
        <v>21</v>
      </c>
      <c r="C16" s="18" t="s">
        <v>327</v>
      </c>
      <c r="D16" s="18" t="s">
        <v>328</v>
      </c>
      <c r="E16" s="18" t="s">
        <v>102</v>
      </c>
      <c r="F16" s="20" t="s">
        <v>329</v>
      </c>
      <c r="G16" s="28" t="s">
        <v>330</v>
      </c>
    </row>
    <row r="17" spans="2:7" ht="36">
      <c r="B17" s="27" t="s">
        <v>138</v>
      </c>
      <c r="C17" s="18" t="s">
        <v>327</v>
      </c>
      <c r="D17" s="18" t="s">
        <v>328</v>
      </c>
      <c r="E17" s="18" t="s">
        <v>102</v>
      </c>
      <c r="F17" s="20" t="s">
        <v>329</v>
      </c>
      <c r="G17" s="28" t="s">
        <v>330</v>
      </c>
    </row>
    <row r="18" spans="2:7">
      <c r="B18" s="27" t="s">
        <v>139</v>
      </c>
      <c r="C18" s="18"/>
      <c r="D18" s="18"/>
      <c r="E18" s="18"/>
      <c r="F18" s="20"/>
      <c r="G18" s="28"/>
    </row>
    <row r="19" spans="2:7">
      <c r="B19" s="27" t="s">
        <v>140</v>
      </c>
      <c r="C19" s="18" t="s">
        <v>331</v>
      </c>
      <c r="D19" s="18" t="s">
        <v>332</v>
      </c>
      <c r="E19" s="18" t="s">
        <v>102</v>
      </c>
      <c r="F19" s="20" t="s">
        <v>333</v>
      </c>
      <c r="G19" s="28" t="s">
        <v>334</v>
      </c>
    </row>
    <row r="20" spans="2:7" ht="36">
      <c r="B20" s="29" t="s">
        <v>141</v>
      </c>
      <c r="C20" s="22" t="s">
        <v>335</v>
      </c>
      <c r="D20" s="22" t="s">
        <v>336</v>
      </c>
      <c r="E20" s="18" t="s">
        <v>102</v>
      </c>
      <c r="F20" s="23" t="s">
        <v>337</v>
      </c>
      <c r="G20" s="28" t="s">
        <v>338</v>
      </c>
    </row>
    <row r="21" spans="2:7">
      <c r="B21" s="27" t="s">
        <v>142</v>
      </c>
      <c r="C21" s="18" t="s">
        <v>339</v>
      </c>
      <c r="D21" s="18" t="s">
        <v>340</v>
      </c>
      <c r="E21" s="18" t="s">
        <v>102</v>
      </c>
      <c r="F21" s="20" t="s">
        <v>341</v>
      </c>
      <c r="G21" s="28" t="s">
        <v>342</v>
      </c>
    </row>
    <row r="22" spans="2:7">
      <c r="B22" s="27" t="s">
        <v>143</v>
      </c>
      <c r="C22" s="18" t="s">
        <v>343</v>
      </c>
      <c r="D22" s="22" t="s">
        <v>143</v>
      </c>
      <c r="E22" s="18" t="s">
        <v>102</v>
      </c>
      <c r="F22" s="20" t="s">
        <v>344</v>
      </c>
      <c r="G22" s="28" t="s">
        <v>345</v>
      </c>
    </row>
    <row r="23" spans="2:7" ht="36">
      <c r="B23" s="27" t="s">
        <v>144</v>
      </c>
      <c r="C23" s="18" t="s">
        <v>346</v>
      </c>
      <c r="D23" s="22" t="s">
        <v>347</v>
      </c>
      <c r="E23" s="18" t="s">
        <v>102</v>
      </c>
      <c r="F23" s="20" t="s">
        <v>348</v>
      </c>
      <c r="G23" s="28" t="s">
        <v>349</v>
      </c>
    </row>
    <row r="24" spans="2:7">
      <c r="B24" s="27" t="s">
        <v>210</v>
      </c>
      <c r="C24" s="18" t="s">
        <v>350</v>
      </c>
      <c r="D24" s="18" t="s">
        <v>351</v>
      </c>
      <c r="E24" s="18" t="s">
        <v>102</v>
      </c>
      <c r="F24" s="20" t="s">
        <v>352</v>
      </c>
      <c r="G24" s="28" t="s">
        <v>353</v>
      </c>
    </row>
    <row r="25" spans="2:7" ht="36">
      <c r="B25" s="27" t="s">
        <v>210</v>
      </c>
      <c r="C25" s="30" t="s">
        <v>354</v>
      </c>
      <c r="D25" s="30" t="s">
        <v>355</v>
      </c>
      <c r="E25" s="30" t="s">
        <v>102</v>
      </c>
      <c r="F25" s="31" t="s">
        <v>356</v>
      </c>
      <c r="G25" s="32" t="s">
        <v>357</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Normal="100" workbookViewId="0">
      <selection activeCell="C9" sqref="C9:H10"/>
    </sheetView>
  </sheetViews>
  <sheetFormatPr defaultColWidth="10.796875" defaultRowHeight="15.6"/>
  <cols>
    <col min="1" max="1" width="4.796875" customWidth="1"/>
    <col min="2" max="2" width="53.796875" customWidth="1"/>
    <col min="3" max="8" width="28.19921875" customWidth="1"/>
    <col min="9" max="16384" width="10.79687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8"/>
      <c r="D3" s="58"/>
      <c r="E3" s="58"/>
      <c r="F3" s="58"/>
      <c r="G3" s="58"/>
      <c r="H3" s="58"/>
    </row>
    <row r="4" spans="2:9" ht="51" customHeight="1">
      <c r="B4" s="33" t="s">
        <v>10</v>
      </c>
      <c r="C4" s="58">
        <v>420</v>
      </c>
      <c r="D4" s="58">
        <v>601</v>
      </c>
      <c r="E4" s="58">
        <v>568</v>
      </c>
      <c r="F4" s="58">
        <v>600</v>
      </c>
      <c r="G4" s="58">
        <v>650</v>
      </c>
      <c r="H4" s="58">
        <v>700</v>
      </c>
      <c r="I4" s="4"/>
    </row>
    <row r="5" spans="2:9" ht="51" customHeight="1">
      <c r="B5" s="33" t="s">
        <v>11</v>
      </c>
      <c r="C5" s="58"/>
      <c r="D5" s="58"/>
      <c r="E5" s="58"/>
      <c r="F5" s="58"/>
      <c r="G5" s="58">
        <v>8.5</v>
      </c>
      <c r="H5" s="58">
        <v>20</v>
      </c>
      <c r="I5" s="4" t="s">
        <v>18</v>
      </c>
    </row>
    <row r="6" spans="2:9" ht="51" customHeight="1">
      <c r="B6" s="33" t="s">
        <v>284</v>
      </c>
      <c r="C6" s="58"/>
      <c r="D6" s="58"/>
      <c r="E6" s="58"/>
      <c r="F6" s="58"/>
      <c r="G6" s="58"/>
      <c r="H6" s="58"/>
      <c r="I6" s="2" t="s">
        <v>150</v>
      </c>
    </row>
    <row r="8" spans="2:9" ht="18">
      <c r="B8" s="16" t="s">
        <v>145</v>
      </c>
      <c r="C8" s="16">
        <v>2023</v>
      </c>
      <c r="D8" s="16">
        <v>2023</v>
      </c>
      <c r="E8" s="16">
        <v>2024</v>
      </c>
      <c r="F8" s="16" t="s">
        <v>208</v>
      </c>
      <c r="G8" s="16" t="s">
        <v>146</v>
      </c>
      <c r="H8" s="16" t="s">
        <v>147</v>
      </c>
    </row>
    <row r="9" spans="2:9" ht="18">
      <c r="B9" s="33" t="s">
        <v>148</v>
      </c>
      <c r="C9" s="59">
        <v>50.27</v>
      </c>
      <c r="D9" s="59">
        <v>103.73</v>
      </c>
      <c r="E9" s="59">
        <v>99.25</v>
      </c>
      <c r="F9" s="59">
        <v>100</v>
      </c>
      <c r="G9" s="59">
        <v>110</v>
      </c>
      <c r="H9" s="59">
        <v>120</v>
      </c>
    </row>
    <row r="10" spans="2:9" ht="18">
      <c r="B10" s="33" t="s">
        <v>149</v>
      </c>
      <c r="C10" s="59">
        <v>14.3</v>
      </c>
      <c r="D10" s="59">
        <v>21.74</v>
      </c>
      <c r="E10" s="59">
        <v>15.3</v>
      </c>
      <c r="F10" s="59">
        <v>20</v>
      </c>
      <c r="G10" s="59">
        <v>22</v>
      </c>
      <c r="H10" s="59">
        <v>24</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20" zoomScaleNormal="100" workbookViewId="0">
      <selection activeCell="D18" sqref="D18:H25"/>
    </sheetView>
  </sheetViews>
  <sheetFormatPr defaultColWidth="10.796875" defaultRowHeight="25.95" customHeight="1"/>
  <cols>
    <col min="1" max="1" width="6.19921875" style="63" customWidth="1"/>
    <col min="2" max="2" width="59" style="35" customWidth="1"/>
    <col min="3" max="3" width="38.5" style="3" customWidth="1"/>
    <col min="4" max="8" width="38.5" style="6" customWidth="1"/>
    <col min="9" max="11" width="29.19921875" style="3" customWidth="1"/>
    <col min="12" max="16384" width="10.796875" style="3"/>
  </cols>
  <sheetData>
    <row r="1" spans="1:8" s="15" customFormat="1" ht="51" customHeight="1">
      <c r="A1" s="61"/>
      <c r="B1" s="34" t="s">
        <v>293</v>
      </c>
    </row>
    <row r="2" spans="1:8" s="35" customFormat="1" ht="55.95" customHeight="1">
      <c r="A2" s="62"/>
      <c r="B2" s="16"/>
      <c r="C2" s="16" t="s">
        <v>15</v>
      </c>
      <c r="D2" s="36" t="s">
        <v>107</v>
      </c>
      <c r="E2" s="36" t="s">
        <v>108</v>
      </c>
      <c r="F2" s="36" t="s">
        <v>109</v>
      </c>
      <c r="G2" s="36" t="s">
        <v>110</v>
      </c>
      <c r="H2" s="36" t="s">
        <v>111</v>
      </c>
    </row>
    <row r="3" spans="1:8" ht="60" customHeight="1">
      <c r="A3" s="63">
        <v>1</v>
      </c>
      <c r="B3" s="16" t="s">
        <v>152</v>
      </c>
      <c r="C3" s="37"/>
      <c r="D3" s="37"/>
      <c r="E3" s="37"/>
      <c r="F3" s="18"/>
      <c r="G3" s="18"/>
      <c r="H3" s="18"/>
    </row>
    <row r="4" spans="1:8" ht="60" customHeight="1">
      <c r="A4" s="63">
        <v>2</v>
      </c>
      <c r="B4" s="16" t="s">
        <v>153</v>
      </c>
      <c r="C4" s="18" t="s">
        <v>358</v>
      </c>
      <c r="D4" s="18" t="s">
        <v>359</v>
      </c>
      <c r="E4" s="18" t="s">
        <v>360</v>
      </c>
      <c r="F4" s="18" t="s">
        <v>361</v>
      </c>
      <c r="G4" s="50" t="s">
        <v>362</v>
      </c>
      <c r="H4" s="18" t="s">
        <v>363</v>
      </c>
    </row>
    <row r="5" spans="1:8" ht="60" customHeight="1">
      <c r="A5" s="63">
        <v>3</v>
      </c>
      <c r="B5" s="16" t="s">
        <v>154</v>
      </c>
      <c r="C5" s="18" t="s">
        <v>364</v>
      </c>
      <c r="D5" s="18" t="s">
        <v>365</v>
      </c>
      <c r="E5" s="18" t="s">
        <v>366</v>
      </c>
      <c r="F5" s="18" t="s">
        <v>367</v>
      </c>
      <c r="G5" s="18" t="s">
        <v>368</v>
      </c>
      <c r="H5" s="18" t="s">
        <v>369</v>
      </c>
    </row>
    <row r="6" spans="1:8" ht="60" customHeight="1">
      <c r="A6" s="63">
        <v>4</v>
      </c>
      <c r="B6" s="36" t="s">
        <v>155</v>
      </c>
      <c r="C6" s="18" t="s">
        <v>370</v>
      </c>
      <c r="D6" s="18" t="s">
        <v>370</v>
      </c>
      <c r="E6" s="18" t="s">
        <v>370</v>
      </c>
      <c r="F6" s="18" t="s">
        <v>370</v>
      </c>
      <c r="G6" s="18" t="s">
        <v>370</v>
      </c>
      <c r="H6" s="18" t="s">
        <v>370</v>
      </c>
    </row>
    <row r="7" spans="1:8" ht="85.95" customHeight="1">
      <c r="A7" s="63">
        <v>5</v>
      </c>
      <c r="B7" s="36" t="s">
        <v>156</v>
      </c>
      <c r="C7" s="18" t="s">
        <v>370</v>
      </c>
      <c r="D7" s="18" t="s">
        <v>370</v>
      </c>
      <c r="E7" s="18" t="s">
        <v>370</v>
      </c>
      <c r="F7" s="18" t="s">
        <v>370</v>
      </c>
      <c r="G7" s="18" t="s">
        <v>370</v>
      </c>
      <c r="H7" s="18" t="s">
        <v>370</v>
      </c>
    </row>
    <row r="8" spans="1:8" ht="85.95" customHeight="1">
      <c r="A8" s="63">
        <v>6</v>
      </c>
      <c r="B8" s="36" t="s">
        <v>157</v>
      </c>
      <c r="C8" s="18" t="s">
        <v>371</v>
      </c>
      <c r="D8" s="18" t="s">
        <v>372</v>
      </c>
      <c r="E8" s="18" t="s">
        <v>372</v>
      </c>
      <c r="F8" s="18" t="s">
        <v>372</v>
      </c>
      <c r="G8" s="18" t="s">
        <v>372</v>
      </c>
      <c r="H8" s="18" t="s">
        <v>372</v>
      </c>
    </row>
    <row r="9" spans="1:8" ht="60" customHeight="1">
      <c r="A9" s="63">
        <v>7</v>
      </c>
      <c r="B9" s="16" t="s">
        <v>158</v>
      </c>
      <c r="C9" s="38">
        <f>9500+400</f>
        <v>9900</v>
      </c>
      <c r="D9" s="38">
        <v>3230</v>
      </c>
      <c r="E9" s="39">
        <v>2000</v>
      </c>
      <c r="F9" s="39">
        <v>1550</v>
      </c>
      <c r="G9" s="39">
        <f>5050+2500</f>
        <v>7550</v>
      </c>
      <c r="H9" s="39">
        <v>3680</v>
      </c>
    </row>
    <row r="10" spans="1:8" ht="60" customHeight="1">
      <c r="A10" s="63">
        <v>8</v>
      </c>
      <c r="B10" s="36" t="s">
        <v>277</v>
      </c>
      <c r="C10" s="38">
        <v>124</v>
      </c>
      <c r="D10" s="38">
        <v>86</v>
      </c>
      <c r="E10" s="39">
        <v>54</v>
      </c>
      <c r="F10" s="39">
        <v>32</v>
      </c>
      <c r="G10" s="39">
        <v>159</v>
      </c>
      <c r="H10" s="39">
        <f>155</f>
        <v>155</v>
      </c>
    </row>
    <row r="11" spans="1:8" ht="60" customHeight="1">
      <c r="A11" s="63">
        <v>9</v>
      </c>
      <c r="B11" s="36" t="s">
        <v>206</v>
      </c>
      <c r="C11" s="18"/>
      <c r="D11" s="18"/>
      <c r="E11" s="18"/>
      <c r="F11" s="18"/>
      <c r="G11" s="18"/>
      <c r="H11" s="18"/>
    </row>
    <row r="12" spans="1:8" ht="60" customHeight="1">
      <c r="A12" s="63">
        <v>10</v>
      </c>
      <c r="B12" s="36" t="s">
        <v>205</v>
      </c>
      <c r="C12" s="18"/>
      <c r="D12" s="18"/>
      <c r="E12" s="18"/>
      <c r="F12" s="18"/>
      <c r="G12" s="18"/>
      <c r="H12" s="18"/>
    </row>
    <row r="13" spans="1:8" ht="60" customHeight="1">
      <c r="A13" s="63">
        <v>11</v>
      </c>
      <c r="B13" s="36" t="s">
        <v>278</v>
      </c>
      <c r="C13" s="18">
        <v>44</v>
      </c>
      <c r="D13" s="18">
        <v>14</v>
      </c>
      <c r="E13" s="18">
        <v>10</v>
      </c>
      <c r="F13" s="18">
        <v>11</v>
      </c>
      <c r="G13" s="18">
        <v>42</v>
      </c>
      <c r="H13" s="18">
        <v>22</v>
      </c>
    </row>
    <row r="14" spans="1:8" ht="60" customHeight="1">
      <c r="A14" s="63">
        <v>12</v>
      </c>
      <c r="B14" s="36" t="s">
        <v>203</v>
      </c>
      <c r="C14" s="18" t="s">
        <v>37</v>
      </c>
      <c r="D14" s="18" t="s">
        <v>37</v>
      </c>
      <c r="E14" s="18" t="s">
        <v>37</v>
      </c>
      <c r="F14" s="18" t="s">
        <v>37</v>
      </c>
      <c r="G14" s="18" t="s">
        <v>37</v>
      </c>
      <c r="H14" s="18" t="s">
        <v>37</v>
      </c>
    </row>
    <row r="15" spans="1:8" ht="60" customHeight="1">
      <c r="A15" s="63">
        <v>13</v>
      </c>
      <c r="B15" s="36" t="s">
        <v>280</v>
      </c>
      <c r="C15" s="18" t="s">
        <v>37</v>
      </c>
      <c r="D15" s="18" t="s">
        <v>37</v>
      </c>
      <c r="E15" s="18" t="s">
        <v>37</v>
      </c>
      <c r="F15" s="18" t="s">
        <v>37</v>
      </c>
      <c r="G15" s="18" t="s">
        <v>37</v>
      </c>
      <c r="H15" s="18" t="s">
        <v>37</v>
      </c>
    </row>
    <row r="16" spans="1:8" ht="60" customHeight="1">
      <c r="A16" s="63">
        <v>14</v>
      </c>
      <c r="B16" s="36" t="s">
        <v>204</v>
      </c>
      <c r="C16" s="18" t="s">
        <v>373</v>
      </c>
      <c r="D16" s="18" t="s">
        <v>374</v>
      </c>
      <c r="E16" s="18" t="s">
        <v>375</v>
      </c>
      <c r="F16" s="18" t="s">
        <v>374</v>
      </c>
      <c r="G16" s="18" t="s">
        <v>373</v>
      </c>
      <c r="H16" s="18" t="s">
        <v>373</v>
      </c>
    </row>
    <row r="18" spans="1:8" ht="61.05" customHeight="1">
      <c r="A18" s="63">
        <v>15</v>
      </c>
      <c r="B18" s="75" t="s">
        <v>227</v>
      </c>
      <c r="C18" s="75"/>
      <c r="D18" s="76" t="s">
        <v>376</v>
      </c>
      <c r="E18" s="77"/>
      <c r="F18" s="77"/>
      <c r="G18" s="77"/>
      <c r="H18" s="78"/>
    </row>
    <row r="19" spans="1:8" ht="61.05" customHeight="1">
      <c r="A19" s="63">
        <v>16</v>
      </c>
      <c r="B19" s="75" t="s">
        <v>213</v>
      </c>
      <c r="C19" s="75"/>
      <c r="D19" s="76" t="s">
        <v>377</v>
      </c>
      <c r="E19" s="77"/>
      <c r="F19" s="77"/>
      <c r="G19" s="77"/>
      <c r="H19" s="78"/>
    </row>
    <row r="20" spans="1:8" ht="61.05" customHeight="1">
      <c r="A20" s="63">
        <v>17</v>
      </c>
      <c r="B20" s="75" t="s">
        <v>200</v>
      </c>
      <c r="C20" s="75"/>
      <c r="D20" s="76" t="s">
        <v>37</v>
      </c>
      <c r="E20" s="77"/>
      <c r="F20" s="77"/>
      <c r="G20" s="77"/>
      <c r="H20" s="78"/>
    </row>
    <row r="21" spans="1:8" ht="61.05" customHeight="1">
      <c r="A21" s="63">
        <v>18</v>
      </c>
      <c r="B21" s="75" t="s">
        <v>159</v>
      </c>
      <c r="C21" s="75"/>
      <c r="D21" s="76" t="s">
        <v>378</v>
      </c>
      <c r="E21" s="77"/>
      <c r="F21" s="77"/>
      <c r="G21" s="77"/>
      <c r="H21" s="78"/>
    </row>
    <row r="22" spans="1:8" ht="61.05" customHeight="1">
      <c r="A22" s="63">
        <v>19</v>
      </c>
      <c r="B22" s="75" t="s">
        <v>201</v>
      </c>
      <c r="C22" s="75"/>
      <c r="D22" s="76" t="s">
        <v>379</v>
      </c>
      <c r="E22" s="77"/>
      <c r="F22" s="77"/>
      <c r="G22" s="77"/>
      <c r="H22" s="78"/>
    </row>
    <row r="23" spans="1:8" ht="61.05" customHeight="1">
      <c r="A23" s="63">
        <v>20</v>
      </c>
      <c r="B23" s="79" t="s">
        <v>225</v>
      </c>
      <c r="C23" s="80"/>
      <c r="D23" s="76" t="s">
        <v>380</v>
      </c>
      <c r="E23" s="77"/>
      <c r="F23" s="77"/>
      <c r="G23" s="77"/>
      <c r="H23" s="78"/>
    </row>
    <row r="24" spans="1:8" ht="61.05" customHeight="1">
      <c r="A24" s="63">
        <v>21</v>
      </c>
      <c r="B24" s="79" t="s">
        <v>226</v>
      </c>
      <c r="C24" s="80"/>
      <c r="D24" s="76" t="s">
        <v>379</v>
      </c>
      <c r="E24" s="77"/>
      <c r="F24" s="77"/>
      <c r="G24" s="77"/>
      <c r="H24" s="78"/>
    </row>
    <row r="25" spans="1:8" ht="187.8" customHeight="1">
      <c r="A25" s="63">
        <v>22</v>
      </c>
      <c r="B25" s="75" t="s">
        <v>202</v>
      </c>
      <c r="C25" s="75"/>
      <c r="D25" s="76" t="s">
        <v>381</v>
      </c>
      <c r="E25" s="77"/>
      <c r="F25" s="77"/>
      <c r="G25" s="77"/>
      <c r="H25" s="78"/>
    </row>
    <row r="26" spans="1:8" ht="61.05" customHeight="1"/>
    <row r="27" spans="1:8" ht="61.05" customHeight="1"/>
    <row r="28" spans="1:8" ht="61.05" customHeight="1"/>
    <row r="29" spans="1:8" ht="61.05"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13" zoomScaleNormal="100" workbookViewId="0">
      <selection activeCell="C3" sqref="C3:E12"/>
    </sheetView>
  </sheetViews>
  <sheetFormatPr defaultColWidth="10.796875" defaultRowHeight="49.95" customHeight="1"/>
  <cols>
    <col min="1" max="1" width="5.19921875" style="3" customWidth="1"/>
    <col min="2" max="2" width="53.19921875" style="3" customWidth="1"/>
    <col min="3" max="10" width="32.69921875" style="3" customWidth="1"/>
    <col min="11" max="16384" width="10.796875" style="3"/>
  </cols>
  <sheetData>
    <row r="1" spans="2:10" ht="49.95" customHeight="1">
      <c r="B1" s="42" t="s">
        <v>294</v>
      </c>
    </row>
    <row r="2" spans="2:10" ht="49.95" customHeight="1">
      <c r="B2" s="43"/>
      <c r="C2" s="44" t="s">
        <v>6</v>
      </c>
      <c r="D2" s="44" t="s">
        <v>7</v>
      </c>
      <c r="E2" s="44" t="s">
        <v>8</v>
      </c>
      <c r="F2" s="44" t="s">
        <v>16</v>
      </c>
      <c r="G2" s="44" t="s">
        <v>17</v>
      </c>
      <c r="H2" s="44" t="s">
        <v>180</v>
      </c>
      <c r="I2" s="44" t="s">
        <v>215</v>
      </c>
      <c r="J2" s="44" t="s">
        <v>216</v>
      </c>
    </row>
    <row r="3" spans="2:10" ht="49.95" customHeight="1">
      <c r="B3" s="44" t="s">
        <v>181</v>
      </c>
      <c r="C3" s="70" t="s">
        <v>374</v>
      </c>
      <c r="D3" s="70" t="s">
        <v>375</v>
      </c>
      <c r="E3" s="70" t="s">
        <v>382</v>
      </c>
      <c r="F3" s="70"/>
      <c r="G3" s="70"/>
      <c r="H3" s="70"/>
      <c r="I3" s="70"/>
      <c r="J3" s="70"/>
    </row>
    <row r="4" spans="2:10" ht="49.95" customHeight="1">
      <c r="B4" s="45" t="s">
        <v>263</v>
      </c>
      <c r="C4" s="70">
        <v>4</v>
      </c>
      <c r="D4" s="70">
        <v>4</v>
      </c>
      <c r="E4" s="70">
        <v>6</v>
      </c>
      <c r="F4" s="70"/>
      <c r="G4" s="70"/>
      <c r="H4" s="70"/>
      <c r="I4" s="70"/>
      <c r="J4" s="70"/>
    </row>
    <row r="5" spans="2:10" ht="49.95" customHeight="1">
      <c r="B5" s="45" t="s">
        <v>262</v>
      </c>
      <c r="C5" s="70">
        <v>3</v>
      </c>
      <c r="D5" s="70">
        <v>3</v>
      </c>
      <c r="E5" s="70">
        <v>5</v>
      </c>
      <c r="F5" s="70"/>
      <c r="G5" s="70"/>
      <c r="H5" s="70"/>
      <c r="I5" s="70"/>
      <c r="J5" s="70"/>
    </row>
    <row r="6" spans="2:10" ht="49.95" customHeight="1">
      <c r="B6" s="45" t="s">
        <v>264</v>
      </c>
      <c r="C6" s="70">
        <v>2</v>
      </c>
      <c r="D6" s="70">
        <v>6</v>
      </c>
      <c r="E6" s="70">
        <v>4</v>
      </c>
      <c r="F6" s="70"/>
      <c r="G6" s="70"/>
      <c r="H6" s="70"/>
      <c r="I6" s="70"/>
      <c r="J6" s="70"/>
    </row>
    <row r="7" spans="2:10" ht="49.95" customHeight="1">
      <c r="B7" s="45" t="s">
        <v>265</v>
      </c>
      <c r="C7" s="70">
        <v>9</v>
      </c>
      <c r="D7" s="70">
        <v>13</v>
      </c>
      <c r="E7" s="70">
        <v>15</v>
      </c>
      <c r="F7" s="70"/>
      <c r="G7" s="70"/>
      <c r="H7" s="70"/>
      <c r="I7" s="70"/>
      <c r="J7" s="70"/>
    </row>
    <row r="8" spans="2:10" ht="49.95" customHeight="1">
      <c r="B8" s="45" t="s">
        <v>214</v>
      </c>
      <c r="C8" s="70" t="s">
        <v>383</v>
      </c>
      <c r="D8" s="70" t="s">
        <v>384</v>
      </c>
      <c r="E8" s="70" t="s">
        <v>383</v>
      </c>
      <c r="F8" s="70"/>
      <c r="G8" s="70"/>
      <c r="H8" s="70"/>
      <c r="I8" s="70"/>
      <c r="J8" s="70"/>
    </row>
    <row r="9" spans="2:10" ht="49.95" customHeight="1">
      <c r="B9" s="45" t="s">
        <v>296</v>
      </c>
      <c r="C9" s="70" t="s">
        <v>384</v>
      </c>
      <c r="D9" s="70" t="s">
        <v>383</v>
      </c>
      <c r="E9" s="70" t="s">
        <v>384</v>
      </c>
      <c r="F9" s="70"/>
      <c r="G9" s="70"/>
      <c r="H9" s="70"/>
      <c r="I9" s="70"/>
      <c r="J9" s="70"/>
    </row>
    <row r="10" spans="2:10" ht="49.95" customHeight="1">
      <c r="B10" s="64" t="s">
        <v>290</v>
      </c>
      <c r="C10" s="70" t="s">
        <v>385</v>
      </c>
      <c r="D10" s="70" t="s">
        <v>375</v>
      </c>
      <c r="E10" s="70" t="s">
        <v>386</v>
      </c>
      <c r="F10" s="70"/>
      <c r="G10" s="70"/>
      <c r="H10" s="70"/>
      <c r="I10" s="70"/>
      <c r="J10" s="70"/>
    </row>
    <row r="11" spans="2:10" ht="49.95" customHeight="1">
      <c r="B11" s="45" t="s">
        <v>106</v>
      </c>
      <c r="C11" s="71"/>
      <c r="D11" s="71"/>
      <c r="E11" s="71"/>
      <c r="F11" s="70"/>
      <c r="G11" s="70"/>
      <c r="H11" s="70"/>
      <c r="I11" s="70"/>
      <c r="J11" s="70"/>
    </row>
    <row r="12" spans="2:10" ht="49.95" customHeight="1">
      <c r="B12" s="45" t="s">
        <v>199</v>
      </c>
      <c r="C12" s="72">
        <v>0.05</v>
      </c>
      <c r="D12" s="73">
        <v>0.05</v>
      </c>
      <c r="E12" s="73">
        <v>0.05</v>
      </c>
      <c r="F12" s="73"/>
      <c r="G12" s="73"/>
      <c r="H12" s="73"/>
      <c r="I12" s="73"/>
      <c r="J12" s="73"/>
    </row>
    <row r="14" spans="2:10" ht="49.95" customHeight="1">
      <c r="B14" s="81" t="s">
        <v>182</v>
      </c>
      <c r="C14" s="81"/>
      <c r="D14" s="81"/>
    </row>
    <row r="15" spans="2:10" ht="49.95" customHeight="1">
      <c r="B15" s="16" t="s">
        <v>183</v>
      </c>
      <c r="C15" s="81" t="s">
        <v>184</v>
      </c>
      <c r="D15" s="81"/>
    </row>
    <row r="16" spans="2:10" ht="49.95" customHeight="1">
      <c r="B16" s="46" t="s">
        <v>185</v>
      </c>
      <c r="C16" s="82" t="s">
        <v>186</v>
      </c>
      <c r="D16" s="82"/>
    </row>
    <row r="17" spans="2:4" ht="49.95" customHeight="1">
      <c r="B17" s="83" t="s">
        <v>187</v>
      </c>
      <c r="C17" s="83" t="s">
        <v>188</v>
      </c>
      <c r="D17" s="83"/>
    </row>
    <row r="18" spans="2:4" ht="49.95" customHeight="1">
      <c r="B18" s="83"/>
      <c r="C18" s="83" t="s">
        <v>189</v>
      </c>
      <c r="D18" s="83"/>
    </row>
    <row r="19" spans="2:4" ht="49.95" customHeight="1">
      <c r="B19" s="83"/>
      <c r="C19" s="83" t="s">
        <v>190</v>
      </c>
      <c r="D19" s="83"/>
    </row>
    <row r="20" spans="2:4" ht="49.95" customHeight="1">
      <c r="B20" s="83"/>
      <c r="C20" s="83" t="s">
        <v>191</v>
      </c>
      <c r="D20" s="83"/>
    </row>
    <row r="21" spans="2:4" ht="49.95" customHeight="1">
      <c r="B21" s="83" t="s">
        <v>192</v>
      </c>
      <c r="C21" s="83" t="s">
        <v>193</v>
      </c>
      <c r="D21" s="83"/>
    </row>
    <row r="22" spans="2:4" ht="49.95" customHeight="1">
      <c r="B22" s="83"/>
      <c r="C22" s="83" t="s">
        <v>194</v>
      </c>
      <c r="D22" s="83"/>
    </row>
    <row r="23" spans="2:4" ht="49.95" customHeight="1">
      <c r="B23" s="83"/>
      <c r="C23" s="83" t="s">
        <v>195</v>
      </c>
      <c r="D23" s="83"/>
    </row>
    <row r="24" spans="2:4" ht="49.95" customHeight="1">
      <c r="B24" s="83" t="s">
        <v>196</v>
      </c>
      <c r="C24" s="83" t="s">
        <v>197</v>
      </c>
      <c r="D24" s="83"/>
    </row>
    <row r="25" spans="2:4" ht="49.95" customHeight="1">
      <c r="B25" s="83"/>
      <c r="C25" s="83" t="s">
        <v>198</v>
      </c>
      <c r="D25" s="83"/>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2" zoomScaleNormal="100" workbookViewId="0">
      <selection activeCell="E5" sqref="E5"/>
    </sheetView>
  </sheetViews>
  <sheetFormatPr defaultColWidth="10.796875" defaultRowHeight="15"/>
  <cols>
    <col min="1" max="1" width="4.19921875" style="1" customWidth="1"/>
    <col min="2" max="2" width="51.5" style="1" customWidth="1"/>
    <col min="3" max="9" width="29.19921875" style="1" customWidth="1"/>
    <col min="10" max="10" width="57.796875" style="1" customWidth="1"/>
    <col min="11" max="11" width="102.69921875" style="1" bestFit="1" customWidth="1"/>
    <col min="12" max="15" width="29.19921875" style="1" customWidth="1"/>
    <col min="16" max="16384" width="10.796875" style="1"/>
  </cols>
  <sheetData>
    <row r="1" spans="2:11" ht="67.05" customHeight="1">
      <c r="B1" s="34" t="s">
        <v>288</v>
      </c>
    </row>
    <row r="2" spans="2:11" ht="67.05" customHeight="1">
      <c r="B2" s="33"/>
      <c r="C2" s="16">
        <v>2022</v>
      </c>
      <c r="D2" s="16">
        <v>2023</v>
      </c>
      <c r="E2" s="16">
        <v>2024</v>
      </c>
      <c r="F2" s="16" t="s">
        <v>208</v>
      </c>
      <c r="G2" s="16" t="s">
        <v>146</v>
      </c>
      <c r="H2" s="16" t="s">
        <v>147</v>
      </c>
      <c r="I2" s="16" t="s">
        <v>209</v>
      </c>
      <c r="J2" s="16" t="s">
        <v>207</v>
      </c>
    </row>
    <row r="3" spans="2:11" ht="67.05" customHeight="1">
      <c r="B3" s="16" t="s">
        <v>266</v>
      </c>
      <c r="C3" s="39">
        <f>9+58</f>
        <v>67</v>
      </c>
      <c r="D3" s="39">
        <f>10+56</f>
        <v>66</v>
      </c>
      <c r="E3" s="39">
        <f>8+53</f>
        <v>61</v>
      </c>
      <c r="F3" s="39">
        <f>9+56</f>
        <v>65</v>
      </c>
      <c r="G3" s="39">
        <v>69</v>
      </c>
      <c r="H3" s="39">
        <v>73</v>
      </c>
      <c r="I3" s="39">
        <v>77</v>
      </c>
      <c r="J3" s="60"/>
    </row>
    <row r="4" spans="2:11" ht="126">
      <c r="B4" s="36" t="s">
        <v>267</v>
      </c>
      <c r="C4" s="39">
        <f>154+12</f>
        <v>166</v>
      </c>
      <c r="D4" s="39">
        <f>11+148</f>
        <v>159</v>
      </c>
      <c r="E4" s="39">
        <f>14+140</f>
        <v>154</v>
      </c>
      <c r="F4" s="39">
        <f>11+140</f>
        <v>151</v>
      </c>
      <c r="G4" s="39">
        <v>160</v>
      </c>
      <c r="H4" s="39">
        <v>170</v>
      </c>
      <c r="I4" s="39">
        <v>180</v>
      </c>
      <c r="J4" s="60" t="s">
        <v>318</v>
      </c>
      <c r="K4" s="74" t="s">
        <v>317</v>
      </c>
    </row>
    <row r="5" spans="2:11" ht="67.05" customHeight="1">
      <c r="B5" s="16" t="s">
        <v>268</v>
      </c>
      <c r="C5" s="39">
        <v>317</v>
      </c>
      <c r="D5" s="39">
        <v>328</v>
      </c>
      <c r="E5" s="39">
        <v>303</v>
      </c>
      <c r="F5" s="39">
        <v>285</v>
      </c>
      <c r="G5" s="39">
        <v>302</v>
      </c>
      <c r="H5" s="39">
        <v>320</v>
      </c>
      <c r="I5" s="39">
        <v>339</v>
      </c>
      <c r="J5" s="60"/>
    </row>
    <row r="6" spans="2:11" ht="67.05" customHeight="1">
      <c r="B6" s="16" t="s">
        <v>269</v>
      </c>
      <c r="C6" s="39">
        <f>5+35</f>
        <v>40</v>
      </c>
      <c r="D6" s="39">
        <f>6+35</f>
        <v>41</v>
      </c>
      <c r="E6" s="39">
        <f>6+30</f>
        <v>36</v>
      </c>
      <c r="F6" s="39">
        <f>6+29</f>
        <v>35</v>
      </c>
      <c r="G6" s="39">
        <v>37</v>
      </c>
      <c r="H6" s="39">
        <v>39</v>
      </c>
      <c r="I6" s="39">
        <v>41</v>
      </c>
      <c r="J6" s="60"/>
      <c r="K6" s="4" t="s">
        <v>217</v>
      </c>
    </row>
    <row r="7" spans="2:11" ht="67.05" customHeight="1">
      <c r="B7" s="16" t="s">
        <v>270</v>
      </c>
      <c r="C7" s="39">
        <v>36</v>
      </c>
      <c r="D7" s="39">
        <v>35</v>
      </c>
      <c r="E7" s="39">
        <v>37</v>
      </c>
      <c r="F7" s="39">
        <v>38</v>
      </c>
      <c r="G7" s="39">
        <v>40</v>
      </c>
      <c r="H7" s="39">
        <v>42</v>
      </c>
      <c r="I7" s="39">
        <v>45</v>
      </c>
      <c r="J7" s="60"/>
    </row>
    <row r="8" spans="2:11" ht="67.05" customHeight="1">
      <c r="B8" s="16" t="s">
        <v>271</v>
      </c>
      <c r="C8" s="39">
        <f>10</f>
        <v>10</v>
      </c>
      <c r="D8" s="39">
        <f>11</f>
        <v>11</v>
      </c>
      <c r="E8" s="39">
        <f>11</f>
        <v>11</v>
      </c>
      <c r="F8" s="39">
        <f>15</f>
        <v>15</v>
      </c>
      <c r="G8" s="39">
        <v>16</v>
      </c>
      <c r="H8" s="39">
        <v>17</v>
      </c>
      <c r="I8" s="39">
        <v>18</v>
      </c>
      <c r="J8" s="60"/>
    </row>
    <row r="9" spans="2:11" ht="67.05" customHeight="1">
      <c r="B9" s="16" t="s">
        <v>272</v>
      </c>
      <c r="C9" s="39">
        <v>36</v>
      </c>
      <c r="D9" s="39">
        <v>33</v>
      </c>
      <c r="E9" s="39">
        <v>33</v>
      </c>
      <c r="F9" s="39">
        <v>30</v>
      </c>
      <c r="G9" s="39">
        <v>32</v>
      </c>
      <c r="H9" s="39">
        <v>34</v>
      </c>
      <c r="I9" s="39">
        <v>36</v>
      </c>
      <c r="J9" s="60"/>
    </row>
    <row r="10" spans="2:11" ht="67.05" customHeight="1">
      <c r="B10" s="36" t="s">
        <v>285</v>
      </c>
      <c r="C10" s="39">
        <v>165</v>
      </c>
      <c r="D10" s="39">
        <v>154</v>
      </c>
      <c r="E10" s="39">
        <v>163</v>
      </c>
      <c r="F10" s="39">
        <v>158</v>
      </c>
      <c r="G10" s="39">
        <v>167</v>
      </c>
      <c r="H10" s="39">
        <v>177</v>
      </c>
      <c r="I10" s="39">
        <v>188</v>
      </c>
      <c r="J10" s="60"/>
    </row>
    <row r="11" spans="2:11" ht="67.05" customHeight="1">
      <c r="B11" s="16" t="s">
        <v>286</v>
      </c>
      <c r="C11" s="39">
        <v>43</v>
      </c>
      <c r="D11" s="39">
        <v>46</v>
      </c>
      <c r="E11" s="39">
        <v>45</v>
      </c>
      <c r="F11" s="39">
        <v>49</v>
      </c>
      <c r="G11" s="39">
        <v>52</v>
      </c>
      <c r="H11" s="39">
        <v>55</v>
      </c>
      <c r="I11" s="39">
        <v>58</v>
      </c>
      <c r="J11" s="60"/>
    </row>
    <row r="12" spans="2:11" ht="67.05" customHeight="1">
      <c r="B12" s="16" t="s">
        <v>287</v>
      </c>
      <c r="C12" s="39">
        <f>24+8</f>
        <v>32</v>
      </c>
      <c r="D12" s="39">
        <f>26+6</f>
        <v>32</v>
      </c>
      <c r="E12" s="39">
        <f>38+6</f>
        <v>44</v>
      </c>
      <c r="F12" s="39">
        <f>36+8</f>
        <v>44</v>
      </c>
      <c r="G12" s="39">
        <v>47</v>
      </c>
      <c r="H12" s="39">
        <v>50</v>
      </c>
      <c r="I12" s="39">
        <v>53</v>
      </c>
      <c r="J12" s="60"/>
    </row>
    <row r="13" spans="2:11" ht="67.05" customHeight="1">
      <c r="B13" s="16" t="s">
        <v>210</v>
      </c>
      <c r="C13" s="39">
        <v>6</v>
      </c>
      <c r="D13" s="39">
        <v>6</v>
      </c>
      <c r="E13" s="39">
        <v>10</v>
      </c>
      <c r="F13" s="39">
        <v>10</v>
      </c>
      <c r="G13" s="39">
        <v>11</v>
      </c>
      <c r="H13" s="39">
        <v>12</v>
      </c>
      <c r="I13" s="39">
        <v>13</v>
      </c>
      <c r="J13" s="60"/>
    </row>
    <row r="14" spans="2:11" ht="67.05" customHeight="1">
      <c r="B14" s="16" t="s">
        <v>210</v>
      </c>
      <c r="C14" s="39">
        <v>37</v>
      </c>
      <c r="D14" s="39">
        <v>39</v>
      </c>
      <c r="E14" s="39">
        <v>47</v>
      </c>
      <c r="F14" s="39">
        <v>41</v>
      </c>
      <c r="G14" s="39">
        <v>43</v>
      </c>
      <c r="H14" s="39">
        <v>46</v>
      </c>
      <c r="I14" s="39">
        <v>49</v>
      </c>
      <c r="J14" s="60"/>
    </row>
    <row r="15" spans="2:11" ht="67.05" customHeight="1">
      <c r="B15" s="16" t="s">
        <v>210</v>
      </c>
      <c r="C15" s="39">
        <f>7+10</f>
        <v>17</v>
      </c>
      <c r="D15" s="39">
        <f>7+10</f>
        <v>17</v>
      </c>
      <c r="E15" s="39">
        <f>10+10</f>
        <v>20</v>
      </c>
      <c r="F15" s="39">
        <f>10+14</f>
        <v>24</v>
      </c>
      <c r="G15" s="39">
        <v>25</v>
      </c>
      <c r="H15" s="39">
        <v>27</v>
      </c>
      <c r="I15" s="39">
        <v>29</v>
      </c>
      <c r="J15" s="60"/>
    </row>
    <row r="16" spans="2:11" ht="18">
      <c r="B16" s="51" t="s">
        <v>218</v>
      </c>
      <c r="C16" s="52">
        <f t="shared" ref="C16:I16" si="0">SUM(C3:C15)</f>
        <v>972</v>
      </c>
      <c r="D16" s="52">
        <f t="shared" si="0"/>
        <v>967</v>
      </c>
      <c r="E16" s="52">
        <f t="shared" si="0"/>
        <v>964</v>
      </c>
      <c r="F16" s="52">
        <f t="shared" si="0"/>
        <v>945</v>
      </c>
      <c r="G16" s="52">
        <f t="shared" si="0"/>
        <v>1001</v>
      </c>
      <c r="H16" s="52">
        <f t="shared" si="0"/>
        <v>1062</v>
      </c>
      <c r="I16" s="52">
        <f t="shared" si="0"/>
        <v>1126</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89"/>
  <sheetViews>
    <sheetView showGridLines="0" topLeftCell="A3" workbookViewId="0">
      <selection activeCell="B7" sqref="B7:E90"/>
    </sheetView>
  </sheetViews>
  <sheetFormatPr defaultColWidth="10.796875" defaultRowHeight="15.6"/>
  <cols>
    <col min="1" max="1" width="5.296875" customWidth="1"/>
    <col min="2" max="2" width="34.5" customWidth="1"/>
  </cols>
  <sheetData>
    <row r="2" spans="2:11" ht="46.95" customHeight="1">
      <c r="B2" s="84" t="s">
        <v>314</v>
      </c>
      <c r="C2" s="84"/>
      <c r="D2" s="84"/>
      <c r="E2" s="84"/>
      <c r="F2" s="84"/>
      <c r="G2" s="84"/>
      <c r="H2" s="84"/>
      <c r="I2" s="84"/>
      <c r="J2" s="84"/>
      <c r="K2" s="84"/>
    </row>
    <row r="3" spans="2:11" ht="46.95" customHeight="1">
      <c r="B3" s="84"/>
      <c r="C3" s="84"/>
      <c r="D3" s="84"/>
      <c r="E3" s="84"/>
      <c r="F3" s="84"/>
      <c r="G3" s="84"/>
      <c r="H3" s="84"/>
      <c r="I3" s="84"/>
      <c r="J3" s="84"/>
      <c r="K3" s="84"/>
    </row>
    <row r="4" spans="2:11" ht="46.95" customHeight="1">
      <c r="B4" s="84"/>
      <c r="C4" s="84"/>
      <c r="D4" s="84"/>
      <c r="E4" s="84"/>
      <c r="F4" s="84"/>
      <c r="G4" s="84"/>
      <c r="H4" s="84"/>
      <c r="I4" s="84"/>
      <c r="J4" s="84"/>
      <c r="K4" s="84"/>
    </row>
    <row r="5" spans="2:11" ht="46.95" customHeight="1">
      <c r="B5" s="84"/>
      <c r="C5" s="84"/>
      <c r="D5" s="84"/>
      <c r="E5" s="84"/>
      <c r="F5" s="84"/>
      <c r="G5" s="84"/>
      <c r="H5" s="84"/>
      <c r="I5" s="84"/>
      <c r="J5" s="84"/>
      <c r="K5" s="84"/>
    </row>
    <row r="7" spans="2:11">
      <c r="B7" s="86" t="s">
        <v>387</v>
      </c>
    </row>
    <row r="8" spans="2:11">
      <c r="B8" s="87"/>
    </row>
    <row r="9" spans="2:11">
      <c r="B9" s="87" t="s">
        <v>388</v>
      </c>
    </row>
    <row r="10" spans="2:11">
      <c r="B10" s="87"/>
    </row>
    <row r="11" spans="2:11">
      <c r="B11" s="87" t="s">
        <v>389</v>
      </c>
    </row>
    <row r="12" spans="2:11">
      <c r="B12" s="87"/>
    </row>
    <row r="13" spans="2:11">
      <c r="B13" s="87" t="s">
        <v>390</v>
      </c>
    </row>
    <row r="14" spans="2:11">
      <c r="B14" s="87"/>
    </row>
    <row r="15" spans="2:11">
      <c r="B15" s="87" t="s">
        <v>391</v>
      </c>
    </row>
    <row r="16" spans="2:11">
      <c r="B16" s="88"/>
    </row>
    <row r="17" spans="2:2">
      <c r="B17" s="88" t="s">
        <v>392</v>
      </c>
    </row>
    <row r="18" spans="2:2">
      <c r="B18" s="88"/>
    </row>
    <row r="19" spans="2:2">
      <c r="B19" s="88" t="s">
        <v>393</v>
      </c>
    </row>
    <row r="20" spans="2:2">
      <c r="B20" s="88"/>
    </row>
    <row r="21" spans="2:2">
      <c r="B21" s="88" t="s">
        <v>394</v>
      </c>
    </row>
    <row r="22" spans="2:2">
      <c r="B22" s="88"/>
    </row>
    <row r="23" spans="2:2">
      <c r="B23" s="88" t="s">
        <v>395</v>
      </c>
    </row>
    <row r="24" spans="2:2">
      <c r="B24" s="87"/>
    </row>
    <row r="25" spans="2:2">
      <c r="B25" s="87" t="s">
        <v>396</v>
      </c>
    </row>
    <row r="27" spans="2:2">
      <c r="B27" s="86" t="s">
        <v>397</v>
      </c>
    </row>
    <row r="28" spans="2:2">
      <c r="B28" s="87"/>
    </row>
    <row r="29" spans="2:2">
      <c r="B29" s="87" t="s">
        <v>398</v>
      </c>
    </row>
    <row r="30" spans="2:2">
      <c r="B30" s="87"/>
    </row>
    <row r="31" spans="2:2">
      <c r="B31" s="87" t="s">
        <v>399</v>
      </c>
    </row>
    <row r="32" spans="2:2">
      <c r="B32" s="87"/>
    </row>
    <row r="33" spans="2:2">
      <c r="B33" s="87" t="s">
        <v>400</v>
      </c>
    </row>
    <row r="34" spans="2:2">
      <c r="B34" s="87"/>
    </row>
    <row r="35" spans="2:2">
      <c r="B35" s="87" t="s">
        <v>401</v>
      </c>
    </row>
    <row r="36" spans="2:2">
      <c r="B36" s="87"/>
    </row>
    <row r="37" spans="2:2">
      <c r="B37" s="87" t="s">
        <v>402</v>
      </c>
    </row>
    <row r="39" spans="2:2">
      <c r="B39" s="86" t="s">
        <v>403</v>
      </c>
    </row>
    <row r="40" spans="2:2">
      <c r="B40" s="87"/>
    </row>
    <row r="41" spans="2:2">
      <c r="B41" s="87" t="s">
        <v>404</v>
      </c>
    </row>
    <row r="42" spans="2:2">
      <c r="B42" s="87"/>
    </row>
    <row r="43" spans="2:2">
      <c r="B43" s="87" t="s">
        <v>405</v>
      </c>
    </row>
    <row r="44" spans="2:2">
      <c r="B44" s="87"/>
    </row>
    <row r="45" spans="2:2">
      <c r="B45" s="87" t="s">
        <v>406</v>
      </c>
    </row>
    <row r="46" spans="2:2">
      <c r="B46" s="87"/>
    </row>
    <row r="47" spans="2:2">
      <c r="B47" s="87" t="s">
        <v>407</v>
      </c>
    </row>
    <row r="48" spans="2:2">
      <c r="B48" s="87"/>
    </row>
    <row r="49" spans="2:2">
      <c r="B49" s="87" t="s">
        <v>408</v>
      </c>
    </row>
    <row r="51" spans="2:2">
      <c r="B51" s="86" t="s">
        <v>409</v>
      </c>
    </row>
    <row r="52" spans="2:2">
      <c r="B52" s="87"/>
    </row>
    <row r="53" spans="2:2">
      <c r="B53" s="87" t="s">
        <v>410</v>
      </c>
    </row>
    <row r="54" spans="2:2">
      <c r="B54" s="87"/>
    </row>
    <row r="55" spans="2:2">
      <c r="B55" s="87" t="s">
        <v>411</v>
      </c>
    </row>
    <row r="56" spans="2:2">
      <c r="B56" s="87"/>
    </row>
    <row r="57" spans="2:2">
      <c r="B57" s="87" t="s">
        <v>412</v>
      </c>
    </row>
    <row r="58" spans="2:2">
      <c r="B58" s="87"/>
    </row>
    <row r="59" spans="2:2">
      <c r="B59" s="87" t="s">
        <v>413</v>
      </c>
    </row>
    <row r="60" spans="2:2">
      <c r="B60" s="87"/>
    </row>
    <row r="61" spans="2:2">
      <c r="B61" s="87" t="s">
        <v>414</v>
      </c>
    </row>
    <row r="62" spans="2:2">
      <c r="B62" s="87"/>
    </row>
    <row r="63" spans="2:2">
      <c r="B63" s="87" t="s">
        <v>415</v>
      </c>
    </row>
    <row r="65" spans="2:2">
      <c r="B65" s="86" t="s">
        <v>416</v>
      </c>
    </row>
    <row r="66" spans="2:2">
      <c r="B66" s="87"/>
    </row>
    <row r="67" spans="2:2">
      <c r="B67" s="87" t="s">
        <v>417</v>
      </c>
    </row>
    <row r="68" spans="2:2">
      <c r="B68" s="87"/>
    </row>
    <row r="69" spans="2:2">
      <c r="B69" s="87" t="s">
        <v>418</v>
      </c>
    </row>
    <row r="70" spans="2:2">
      <c r="B70" s="87"/>
    </row>
    <row r="71" spans="2:2">
      <c r="B71" s="87" t="s">
        <v>419</v>
      </c>
    </row>
    <row r="72" spans="2:2">
      <c r="B72" s="87"/>
    </row>
    <row r="73" spans="2:2">
      <c r="B73" s="87" t="s">
        <v>420</v>
      </c>
    </row>
    <row r="74" spans="2:2">
      <c r="B74" s="87"/>
    </row>
    <row r="75" spans="2:2">
      <c r="B75" s="87" t="s">
        <v>421</v>
      </c>
    </row>
    <row r="77" spans="2:2">
      <c r="B77" s="86" t="s">
        <v>422</v>
      </c>
    </row>
    <row r="78" spans="2:2">
      <c r="B78" s="87"/>
    </row>
    <row r="79" spans="2:2">
      <c r="B79" s="87" t="s">
        <v>423</v>
      </c>
    </row>
    <row r="80" spans="2:2">
      <c r="B80" s="87"/>
    </row>
    <row r="81" spans="2:2">
      <c r="B81" s="87" t="s">
        <v>424</v>
      </c>
    </row>
    <row r="82" spans="2:2">
      <c r="B82" s="87"/>
    </row>
    <row r="83" spans="2:2">
      <c r="B83" s="87" t="s">
        <v>425</v>
      </c>
    </row>
    <row r="84" spans="2:2">
      <c r="B84" s="87"/>
    </row>
    <row r="85" spans="2:2">
      <c r="B85" s="87" t="s">
        <v>426</v>
      </c>
    </row>
    <row r="86" spans="2:2">
      <c r="B86" s="87"/>
    </row>
    <row r="87" spans="2:2">
      <c r="B87" s="87" t="s">
        <v>427</v>
      </c>
    </row>
    <row r="88" spans="2:2">
      <c r="B88" s="87"/>
    </row>
    <row r="89" spans="2:2">
      <c r="B89" s="87" t="s">
        <v>428</v>
      </c>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abSelected="1" topLeftCell="F1" zoomScale="60" zoomScaleNormal="60" workbookViewId="0">
      <selection activeCell="N9" sqref="N9"/>
    </sheetView>
  </sheetViews>
  <sheetFormatPr defaultColWidth="11.19921875" defaultRowHeight="15.6"/>
  <cols>
    <col min="1" max="1" width="4.19921875" style="1" customWidth="1"/>
    <col min="2" max="2" width="51.5" style="1" customWidth="1"/>
    <col min="3" max="22" width="29.19921875" style="1" customWidth="1"/>
    <col min="23" max="23" width="57.796875" style="1" customWidth="1"/>
  </cols>
  <sheetData>
    <row r="1" spans="2:23" ht="60" customHeight="1">
      <c r="B1" s="34" t="s">
        <v>247</v>
      </c>
    </row>
    <row r="2" spans="2:23" ht="60" customHeight="1">
      <c r="B2" s="65" t="s">
        <v>240</v>
      </c>
      <c r="C2" s="85" t="s">
        <v>242</v>
      </c>
      <c r="D2" s="85"/>
      <c r="E2" s="85"/>
      <c r="F2" s="85"/>
      <c r="G2" s="85" t="s">
        <v>243</v>
      </c>
      <c r="H2" s="85"/>
      <c r="I2" s="85"/>
      <c r="J2" s="85"/>
      <c r="K2" s="85"/>
      <c r="L2" s="85" t="s">
        <v>305</v>
      </c>
      <c r="M2" s="85"/>
      <c r="N2" s="85"/>
      <c r="O2" s="85"/>
      <c r="P2" s="85"/>
      <c r="Q2" s="85"/>
      <c r="R2" s="85"/>
      <c r="S2" s="85" t="s">
        <v>244</v>
      </c>
      <c r="T2" s="85"/>
      <c r="U2" s="85"/>
      <c r="V2" s="85"/>
    </row>
    <row r="3" spans="2:23" ht="60" customHeight="1">
      <c r="B3" s="16" t="s">
        <v>241</v>
      </c>
      <c r="C3" s="66" t="s">
        <v>245</v>
      </c>
      <c r="D3" s="66" t="s">
        <v>297</v>
      </c>
      <c r="E3" s="66" t="s">
        <v>235</v>
      </c>
      <c r="F3" s="66" t="s">
        <v>292</v>
      </c>
      <c r="G3" s="66" t="s">
        <v>41</v>
      </c>
      <c r="H3" s="66" t="s">
        <v>246</v>
      </c>
      <c r="I3" s="66" t="s">
        <v>236</v>
      </c>
      <c r="J3" s="66" t="s">
        <v>237</v>
      </c>
      <c r="K3" s="66" t="s">
        <v>289</v>
      </c>
      <c r="L3" s="66" t="s">
        <v>306</v>
      </c>
      <c r="M3" s="67" t="s">
        <v>312</v>
      </c>
      <c r="N3" s="66" t="s">
        <v>307</v>
      </c>
      <c r="O3" s="66" t="s">
        <v>311</v>
      </c>
      <c r="P3" s="66" t="s">
        <v>308</v>
      </c>
      <c r="Q3" s="66" t="s">
        <v>309</v>
      </c>
      <c r="R3" s="66" t="s">
        <v>310</v>
      </c>
      <c r="S3" s="66" t="s">
        <v>24</v>
      </c>
      <c r="T3" s="66" t="s">
        <v>238</v>
      </c>
      <c r="U3" s="66" t="s">
        <v>295</v>
      </c>
      <c r="V3" s="66" t="s">
        <v>239</v>
      </c>
      <c r="W3" s="16" t="s">
        <v>207</v>
      </c>
    </row>
    <row r="4" spans="2:23" ht="60" customHeight="1">
      <c r="B4" s="16" t="s">
        <v>254</v>
      </c>
      <c r="C4" s="39" t="s">
        <v>36</v>
      </c>
      <c r="D4" s="39" t="s">
        <v>36</v>
      </c>
      <c r="E4" s="39" t="s">
        <v>36</v>
      </c>
      <c r="F4" s="39" t="s">
        <v>36</v>
      </c>
      <c r="G4" s="39" t="s">
        <v>36</v>
      </c>
      <c r="H4" s="39" t="s">
        <v>36</v>
      </c>
      <c r="I4" s="39" t="s">
        <v>36</v>
      </c>
      <c r="J4" s="39" t="s">
        <v>36</v>
      </c>
      <c r="K4" s="39" t="s">
        <v>36</v>
      </c>
      <c r="L4" s="39" t="s">
        <v>36</v>
      </c>
      <c r="M4" s="39" t="s">
        <v>36</v>
      </c>
      <c r="N4" s="39" t="s">
        <v>36</v>
      </c>
      <c r="O4" s="39" t="s">
        <v>36</v>
      </c>
      <c r="P4" s="39" t="s">
        <v>36</v>
      </c>
      <c r="Q4" s="39" t="s">
        <v>36</v>
      </c>
      <c r="R4" s="39" t="s">
        <v>36</v>
      </c>
      <c r="S4" s="39" t="s">
        <v>36</v>
      </c>
      <c r="T4" s="39" t="s">
        <v>36</v>
      </c>
      <c r="U4" s="39" t="s">
        <v>36</v>
      </c>
      <c r="V4" s="39" t="s">
        <v>36</v>
      </c>
      <c r="W4" s="60"/>
    </row>
    <row r="5" spans="2:23" ht="60" customHeight="1">
      <c r="B5" s="36" t="s">
        <v>274</v>
      </c>
      <c r="C5" s="39" t="s">
        <v>429</v>
      </c>
      <c r="D5" s="39" t="s">
        <v>429</v>
      </c>
      <c r="E5" s="39" t="s">
        <v>429</v>
      </c>
      <c r="F5" s="39" t="s">
        <v>429</v>
      </c>
      <c r="G5" s="39" t="s">
        <v>383</v>
      </c>
      <c r="H5" s="39" t="s">
        <v>429</v>
      </c>
      <c r="I5" s="39" t="s">
        <v>383</v>
      </c>
      <c r="J5" s="39" t="s">
        <v>429</v>
      </c>
      <c r="K5" s="39" t="s">
        <v>429</v>
      </c>
      <c r="L5" s="39" t="s">
        <v>429</v>
      </c>
      <c r="M5" s="39" t="s">
        <v>429</v>
      </c>
      <c r="N5" s="39" t="s">
        <v>429</v>
      </c>
      <c r="O5" s="39" t="s">
        <v>429</v>
      </c>
      <c r="P5" s="39" t="s">
        <v>429</v>
      </c>
      <c r="Q5" s="39" t="s">
        <v>429</v>
      </c>
      <c r="R5" s="39" t="s">
        <v>383</v>
      </c>
      <c r="S5" s="39" t="s">
        <v>429</v>
      </c>
      <c r="T5" s="39" t="s">
        <v>429</v>
      </c>
      <c r="U5" s="39" t="s">
        <v>383</v>
      </c>
      <c r="V5" s="39" t="s">
        <v>384</v>
      </c>
      <c r="W5" s="60"/>
    </row>
    <row r="6" spans="2:23" ht="60" customHeight="1">
      <c r="B6" s="36" t="s">
        <v>255</v>
      </c>
      <c r="C6" s="39" t="s">
        <v>37</v>
      </c>
      <c r="D6" s="39" t="s">
        <v>37</v>
      </c>
      <c r="E6" s="39" t="s">
        <v>37</v>
      </c>
      <c r="F6" s="39" t="s">
        <v>37</v>
      </c>
      <c r="G6" s="39" t="s">
        <v>36</v>
      </c>
      <c r="H6" s="39" t="s">
        <v>37</v>
      </c>
      <c r="I6" s="39" t="s">
        <v>37</v>
      </c>
      <c r="J6" s="39" t="s">
        <v>37</v>
      </c>
      <c r="K6" s="39" t="s">
        <v>37</v>
      </c>
      <c r="L6" s="39" t="s">
        <v>37</v>
      </c>
      <c r="M6" s="39" t="s">
        <v>37</v>
      </c>
      <c r="N6" s="39" t="s">
        <v>37</v>
      </c>
      <c r="O6" s="39" t="s">
        <v>37</v>
      </c>
      <c r="P6" s="39" t="s">
        <v>37</v>
      </c>
      <c r="Q6" s="39" t="s">
        <v>37</v>
      </c>
      <c r="R6" s="39" t="s">
        <v>37</v>
      </c>
      <c r="S6" s="39" t="s">
        <v>37</v>
      </c>
      <c r="T6" s="39" t="s">
        <v>37</v>
      </c>
      <c r="U6" s="39" t="s">
        <v>36</v>
      </c>
      <c r="V6" s="39" t="s">
        <v>37</v>
      </c>
      <c r="W6" s="60"/>
    </row>
    <row r="7" spans="2:23" ht="60" customHeight="1">
      <c r="B7" s="36" t="s">
        <v>22</v>
      </c>
      <c r="C7" s="39" t="s">
        <v>430</v>
      </c>
      <c r="D7" s="39" t="s">
        <v>431</v>
      </c>
      <c r="E7" s="39" t="s">
        <v>432</v>
      </c>
      <c r="F7" s="39" t="s">
        <v>433</v>
      </c>
      <c r="G7" s="39" t="s">
        <v>434</v>
      </c>
      <c r="H7" s="39" t="s">
        <v>435</v>
      </c>
      <c r="I7" s="39" t="s">
        <v>436</v>
      </c>
      <c r="J7" s="39" t="s">
        <v>437</v>
      </c>
      <c r="K7" s="39" t="s">
        <v>438</v>
      </c>
      <c r="L7" s="39" t="s">
        <v>439</v>
      </c>
      <c r="M7" s="39" t="s">
        <v>440</v>
      </c>
      <c r="N7" s="39" t="s">
        <v>441</v>
      </c>
      <c r="O7" s="39" t="s">
        <v>442</v>
      </c>
      <c r="P7" s="39" t="s">
        <v>440</v>
      </c>
      <c r="Q7" s="39" t="s">
        <v>440</v>
      </c>
      <c r="R7" s="39" t="s">
        <v>440</v>
      </c>
      <c r="S7" s="39" t="s">
        <v>443</v>
      </c>
      <c r="T7" s="39" t="s">
        <v>444</v>
      </c>
      <c r="U7" s="39" t="s">
        <v>445</v>
      </c>
      <c r="V7" s="39" t="s">
        <v>446</v>
      </c>
      <c r="W7" s="60"/>
    </row>
    <row r="8" spans="2:23" ht="60" customHeight="1">
      <c r="B8" s="36" t="s">
        <v>273</v>
      </c>
      <c r="C8" s="39">
        <v>101</v>
      </c>
      <c r="D8" s="39">
        <v>119</v>
      </c>
      <c r="E8" s="39">
        <v>105</v>
      </c>
      <c r="F8" s="39">
        <v>64</v>
      </c>
      <c r="G8" s="39">
        <v>5</v>
      </c>
      <c r="H8" s="39">
        <v>10</v>
      </c>
      <c r="I8" s="39">
        <v>4</v>
      </c>
      <c r="J8" s="39">
        <v>15</v>
      </c>
      <c r="K8" s="39">
        <v>200</v>
      </c>
      <c r="L8" s="39">
        <v>2</v>
      </c>
      <c r="M8" s="39">
        <v>4</v>
      </c>
      <c r="N8" s="39">
        <v>10</v>
      </c>
      <c r="O8" s="39">
        <v>4</v>
      </c>
      <c r="P8" s="39">
        <v>14</v>
      </c>
      <c r="Q8" s="39">
        <v>14</v>
      </c>
      <c r="R8" s="39">
        <v>4</v>
      </c>
      <c r="S8" s="39">
        <v>14</v>
      </c>
      <c r="T8" s="39">
        <v>5</v>
      </c>
      <c r="U8" s="39">
        <v>5</v>
      </c>
      <c r="V8" s="39">
        <v>5</v>
      </c>
      <c r="W8" s="60"/>
    </row>
    <row r="9" spans="2:23" ht="60" customHeight="1">
      <c r="B9" s="36" t="s">
        <v>256</v>
      </c>
      <c r="C9" s="39" t="s">
        <v>465</v>
      </c>
      <c r="D9" s="39" t="s">
        <v>431</v>
      </c>
      <c r="E9" s="39" t="s">
        <v>36</v>
      </c>
      <c r="F9" s="39" t="s">
        <v>455</v>
      </c>
      <c r="G9" s="39" t="s">
        <v>466</v>
      </c>
      <c r="H9" s="39" t="s">
        <v>467</v>
      </c>
      <c r="I9" s="39"/>
      <c r="J9" s="39"/>
      <c r="K9" s="39"/>
      <c r="L9" s="39" t="s">
        <v>468</v>
      </c>
      <c r="M9" s="39"/>
      <c r="N9" s="39"/>
      <c r="O9" s="39"/>
      <c r="P9" s="39" t="s">
        <v>462</v>
      </c>
      <c r="Q9" s="39"/>
      <c r="R9" s="39"/>
      <c r="S9" s="39"/>
      <c r="T9" s="39"/>
      <c r="U9" s="39"/>
      <c r="V9" s="39"/>
      <c r="W9" s="60"/>
    </row>
    <row r="10" spans="2:23" ht="60" customHeight="1">
      <c r="B10" s="36" t="s">
        <v>304</v>
      </c>
      <c r="C10" s="39"/>
      <c r="D10" s="39"/>
      <c r="E10" s="39"/>
      <c r="F10" s="39"/>
      <c r="G10" s="39"/>
      <c r="H10" s="39"/>
      <c r="I10" s="39"/>
      <c r="J10" s="39"/>
      <c r="K10" s="39"/>
      <c r="L10" s="39"/>
      <c r="M10" s="39"/>
      <c r="N10" s="39"/>
      <c r="O10" s="39"/>
      <c r="P10" s="39"/>
      <c r="Q10" s="39"/>
      <c r="R10" s="39"/>
      <c r="S10" s="39"/>
      <c r="T10" s="39"/>
      <c r="U10" s="39"/>
      <c r="V10" s="39"/>
      <c r="W10" s="60"/>
    </row>
    <row r="11" spans="2:23" ht="60" customHeight="1">
      <c r="B11" s="36" t="s">
        <v>275</v>
      </c>
      <c r="C11" s="39" t="s">
        <v>447</v>
      </c>
      <c r="D11" s="39" t="s">
        <v>447</v>
      </c>
      <c r="E11" s="39" t="s">
        <v>447</v>
      </c>
      <c r="F11" s="39" t="s">
        <v>447</v>
      </c>
      <c r="G11" s="68" t="s">
        <v>447</v>
      </c>
      <c r="H11" s="39" t="s">
        <v>447</v>
      </c>
      <c r="I11" s="39" t="s">
        <v>447</v>
      </c>
      <c r="J11" s="39" t="s">
        <v>447</v>
      </c>
      <c r="K11" s="39" t="s">
        <v>447</v>
      </c>
      <c r="L11" s="39" t="s">
        <v>447</v>
      </c>
      <c r="M11" s="39" t="s">
        <v>447</v>
      </c>
      <c r="N11" s="39" t="s">
        <v>447</v>
      </c>
      <c r="O11" s="39" t="s">
        <v>447</v>
      </c>
      <c r="P11" s="39" t="s">
        <v>447</v>
      </c>
      <c r="Q11" s="39" t="s">
        <v>447</v>
      </c>
      <c r="R11" s="39" t="s">
        <v>447</v>
      </c>
      <c r="S11" s="39" t="s">
        <v>447</v>
      </c>
      <c r="T11" s="39" t="s">
        <v>447</v>
      </c>
      <c r="U11" s="39" t="s">
        <v>447</v>
      </c>
      <c r="V11" s="39" t="s">
        <v>447</v>
      </c>
      <c r="W11" s="60"/>
    </row>
    <row r="12" spans="2:23" ht="60" customHeight="1">
      <c r="B12" s="16" t="s">
        <v>257</v>
      </c>
      <c r="C12" s="39" t="s">
        <v>448</v>
      </c>
      <c r="D12" s="39" t="s">
        <v>449</v>
      </c>
      <c r="E12" s="39" t="s">
        <v>450</v>
      </c>
      <c r="F12" s="39" t="s">
        <v>455</v>
      </c>
      <c r="G12" s="89" t="s">
        <v>456</v>
      </c>
      <c r="H12" s="39" t="s">
        <v>457</v>
      </c>
      <c r="I12" s="39" t="s">
        <v>459</v>
      </c>
      <c r="J12" s="39"/>
      <c r="K12" s="39"/>
      <c r="L12" s="39" t="s">
        <v>458</v>
      </c>
      <c r="M12" s="39"/>
      <c r="N12" s="39"/>
      <c r="O12" s="39" t="s">
        <v>461</v>
      </c>
      <c r="P12" s="39" t="s">
        <v>462</v>
      </c>
      <c r="Q12" s="39"/>
      <c r="R12" s="39"/>
      <c r="S12" s="39" t="s">
        <v>462</v>
      </c>
      <c r="T12" s="39" t="s">
        <v>463</v>
      </c>
      <c r="U12" s="39"/>
      <c r="V12" s="39"/>
      <c r="W12" s="60"/>
    </row>
    <row r="13" spans="2:23" ht="60" customHeight="1">
      <c r="B13" s="36" t="s">
        <v>252</v>
      </c>
      <c r="C13" s="39" t="s">
        <v>464</v>
      </c>
      <c r="D13" s="39" t="s">
        <v>464</v>
      </c>
      <c r="E13" s="39" t="s">
        <v>464</v>
      </c>
      <c r="F13" s="39" t="s">
        <v>464</v>
      </c>
      <c r="G13" s="39" t="s">
        <v>464</v>
      </c>
      <c r="H13" s="39" t="s">
        <v>464</v>
      </c>
      <c r="I13" s="39" t="s">
        <v>464</v>
      </c>
      <c r="J13" s="39"/>
      <c r="K13" s="39"/>
      <c r="L13" s="39" t="s">
        <v>464</v>
      </c>
      <c r="M13" s="39"/>
      <c r="N13" s="39"/>
      <c r="O13" s="39" t="s">
        <v>464</v>
      </c>
      <c r="P13" s="39"/>
      <c r="Q13" s="39"/>
      <c r="R13" s="39"/>
      <c r="S13" s="39" t="s">
        <v>464</v>
      </c>
      <c r="T13" s="39" t="s">
        <v>464</v>
      </c>
      <c r="U13" s="39"/>
      <c r="V13" s="39"/>
      <c r="W13" s="60"/>
    </row>
    <row r="14" spans="2:23" ht="60" customHeight="1">
      <c r="B14" s="16" t="s">
        <v>248</v>
      </c>
      <c r="C14" s="39" t="s">
        <v>460</v>
      </c>
      <c r="D14" s="39" t="s">
        <v>460</v>
      </c>
      <c r="E14" s="39" t="s">
        <v>460</v>
      </c>
      <c r="F14" s="39" t="s">
        <v>460</v>
      </c>
      <c r="G14" s="39" t="s">
        <v>460</v>
      </c>
      <c r="H14" s="39" t="s">
        <v>460</v>
      </c>
      <c r="I14" s="39" t="s">
        <v>460</v>
      </c>
      <c r="J14" s="39"/>
      <c r="K14" s="39"/>
      <c r="L14" s="39" t="s">
        <v>460</v>
      </c>
      <c r="M14" s="39"/>
      <c r="N14" s="39"/>
      <c r="O14" s="39" t="s">
        <v>460</v>
      </c>
      <c r="P14" s="39"/>
      <c r="Q14" s="39"/>
      <c r="R14" s="39"/>
      <c r="S14" s="39" t="s">
        <v>460</v>
      </c>
      <c r="T14" s="39" t="s">
        <v>460</v>
      </c>
      <c r="U14" s="39"/>
      <c r="V14" s="39"/>
      <c r="W14" s="60"/>
    </row>
    <row r="15" spans="2:23" ht="60" customHeight="1">
      <c r="B15" s="16" t="s">
        <v>251</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253</v>
      </c>
      <c r="C16" s="39"/>
      <c r="D16" s="39"/>
      <c r="E16" s="39"/>
      <c r="F16" s="39"/>
      <c r="G16" s="39"/>
      <c r="H16" s="39"/>
      <c r="I16" s="39"/>
      <c r="J16" s="39"/>
      <c r="K16" s="39"/>
      <c r="L16" s="39"/>
      <c r="M16" s="39"/>
      <c r="N16" s="39"/>
      <c r="O16" s="39"/>
      <c r="P16" s="39"/>
      <c r="Q16" s="39"/>
      <c r="R16" s="39"/>
      <c r="S16" s="39"/>
      <c r="T16" s="39"/>
      <c r="U16" s="39"/>
      <c r="V16" s="39"/>
      <c r="W16" s="60"/>
    </row>
    <row r="17" spans="2:23" ht="60" customHeight="1">
      <c r="B17" s="16" t="s">
        <v>249</v>
      </c>
      <c r="C17" s="39"/>
      <c r="D17" s="39"/>
      <c r="E17" s="39"/>
      <c r="F17" s="39"/>
      <c r="G17" s="39"/>
      <c r="H17" s="39"/>
      <c r="I17" s="39"/>
      <c r="J17" s="39"/>
      <c r="K17" s="39"/>
      <c r="L17" s="39"/>
      <c r="M17" s="39"/>
      <c r="N17" s="39"/>
      <c r="O17" s="39"/>
      <c r="P17" s="39"/>
      <c r="Q17" s="39"/>
      <c r="R17" s="39"/>
      <c r="S17" s="39"/>
      <c r="T17" s="39"/>
      <c r="U17" s="39"/>
      <c r="V17" s="39"/>
      <c r="W17" s="60"/>
    </row>
    <row r="18" spans="2:23" ht="60" customHeight="1">
      <c r="B18" s="16" t="s">
        <v>250</v>
      </c>
      <c r="C18" s="39"/>
      <c r="D18" s="39"/>
      <c r="E18" s="39"/>
      <c r="F18" s="39"/>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1" type="noConversion"/>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B8" sqref="B8:T11"/>
    </sheetView>
  </sheetViews>
  <sheetFormatPr defaultColWidth="10.796875" defaultRowHeight="15.6"/>
  <cols>
    <col min="1" max="1" width="5.5" customWidth="1"/>
  </cols>
  <sheetData>
    <row r="3" spans="2:11" ht="34.049999999999997" customHeight="1">
      <c r="B3" s="84" t="s">
        <v>224</v>
      </c>
      <c r="C3" s="84"/>
      <c r="D3" s="84"/>
      <c r="E3" s="84"/>
      <c r="F3" s="84"/>
      <c r="G3" s="84"/>
      <c r="H3" s="84"/>
      <c r="I3" s="84"/>
      <c r="J3" s="84"/>
      <c r="K3" s="84"/>
    </row>
    <row r="4" spans="2:11" ht="34.049999999999997" customHeight="1">
      <c r="B4" s="84"/>
      <c r="C4" s="84"/>
      <c r="D4" s="84"/>
      <c r="E4" s="84"/>
      <c r="F4" s="84"/>
      <c r="G4" s="84"/>
      <c r="H4" s="84"/>
      <c r="I4" s="84"/>
      <c r="J4" s="84"/>
      <c r="K4" s="84"/>
    </row>
    <row r="5" spans="2:11" ht="34.049999999999997" customHeight="1">
      <c r="B5" s="84"/>
      <c r="C5" s="84"/>
      <c r="D5" s="84"/>
      <c r="E5" s="84"/>
      <c r="F5" s="84"/>
      <c r="G5" s="84"/>
      <c r="H5" s="84"/>
      <c r="I5" s="84"/>
      <c r="J5" s="84"/>
      <c r="K5" s="84"/>
    </row>
    <row r="6" spans="2:11" ht="34.049999999999997" customHeight="1">
      <c r="B6" s="84"/>
      <c r="C6" s="84"/>
      <c r="D6" s="84"/>
      <c r="E6" s="84"/>
      <c r="F6" s="84"/>
      <c r="G6" s="84"/>
      <c r="H6" s="84"/>
      <c r="I6" s="84"/>
      <c r="J6" s="84"/>
      <c r="K6" s="84"/>
    </row>
    <row r="8" spans="2:11">
      <c r="B8" t="s">
        <v>451</v>
      </c>
    </row>
    <row r="9" spans="2:11">
      <c r="B9" t="s">
        <v>452</v>
      </c>
    </row>
    <row r="10" spans="2:11">
      <c r="B10" t="s">
        <v>453</v>
      </c>
    </row>
    <row r="11" spans="2:11">
      <c r="B11" t="s">
        <v>454</v>
      </c>
    </row>
    <row r="12" spans="2:11">
      <c r="B12" s="57"/>
    </row>
    <row r="15" spans="2:11">
      <c r="B15" s="57"/>
    </row>
    <row r="18" spans="2:2">
      <c r="B18" s="57"/>
    </row>
    <row r="21" spans="2:2">
      <c r="B21" s="57"/>
    </row>
    <row r="24" spans="2:2">
      <c r="B24" s="57"/>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C28" activeCellId="11" sqref="C5 C7 C9 C11 C14 C16 C18 C20 C22 C24 C26 C28"/>
    </sheetView>
  </sheetViews>
  <sheetFormatPr defaultColWidth="10.796875" defaultRowHeight="20.399999999999999"/>
  <cols>
    <col min="1" max="1" width="4.19921875" style="54" customWidth="1"/>
    <col min="2" max="2" width="200.796875" style="10" customWidth="1"/>
    <col min="3" max="3" width="67.5" style="13" customWidth="1"/>
    <col min="4" max="16384" width="10.796875" style="48"/>
  </cols>
  <sheetData>
    <row r="2" spans="2:4" ht="21">
      <c r="B2" s="8" t="s">
        <v>233</v>
      </c>
      <c r="C2" s="11"/>
    </row>
    <row r="3" spans="2:4" ht="21">
      <c r="B3" s="41" t="s">
        <v>231</v>
      </c>
      <c r="C3" s="56"/>
    </row>
    <row r="4" spans="2:4" ht="21">
      <c r="B4" s="55" t="s">
        <v>260</v>
      </c>
      <c r="C4" s="56"/>
    </row>
    <row r="5" spans="2:4" ht="81.599999999999994">
      <c r="B5" s="53" t="s">
        <v>282</v>
      </c>
      <c r="C5" s="47"/>
      <c r="D5" s="49" t="s">
        <v>283</v>
      </c>
    </row>
    <row r="6" spans="2:4" ht="21">
      <c r="B6" s="55" t="s">
        <v>259</v>
      </c>
      <c r="C6" s="56"/>
      <c r="D6" s="49"/>
    </row>
    <row r="7" spans="2:4" ht="61.2">
      <c r="B7" s="53" t="s">
        <v>221</v>
      </c>
      <c r="C7" s="47"/>
      <c r="D7" s="49" t="s">
        <v>276</v>
      </c>
    </row>
    <row r="8" spans="2:4" ht="21">
      <c r="B8" s="55" t="s">
        <v>258</v>
      </c>
      <c r="C8" s="56"/>
    </row>
    <row r="9" spans="2:4" ht="61.2">
      <c r="B9" s="53" t="s">
        <v>222</v>
      </c>
      <c r="C9" s="47"/>
    </row>
    <row r="10" spans="2:4" ht="21">
      <c r="B10" s="55" t="s">
        <v>279</v>
      </c>
      <c r="C10" s="56"/>
    </row>
    <row r="11" spans="2:4" ht="61.2">
      <c r="B11" s="53" t="s">
        <v>316</v>
      </c>
      <c r="C11" s="47"/>
    </row>
    <row r="12" spans="2:4" ht="21">
      <c r="B12" s="41" t="s">
        <v>230</v>
      </c>
      <c r="C12" s="56"/>
    </row>
    <row r="13" spans="2:4" ht="21">
      <c r="B13" s="55" t="s">
        <v>232</v>
      </c>
      <c r="C13" s="56"/>
    </row>
    <row r="14" spans="2:4" ht="61.2">
      <c r="B14" s="53" t="s">
        <v>219</v>
      </c>
      <c r="C14" s="47"/>
    </row>
    <row r="15" spans="2:4" ht="21">
      <c r="B15" s="55" t="s">
        <v>228</v>
      </c>
      <c r="C15" s="56"/>
    </row>
    <row r="16" spans="2:4" ht="61.2">
      <c r="B16" s="53" t="s">
        <v>220</v>
      </c>
      <c r="C16" s="47"/>
    </row>
    <row r="17" spans="2:3" ht="21">
      <c r="B17" s="55" t="s">
        <v>229</v>
      </c>
      <c r="C17" s="56"/>
    </row>
    <row r="18" spans="2:3" ht="61.2">
      <c r="B18" s="53" t="s">
        <v>223</v>
      </c>
      <c r="C18" s="47"/>
    </row>
    <row r="19" spans="2:3" ht="21">
      <c r="B19" s="55" t="s">
        <v>261</v>
      </c>
      <c r="C19" s="56"/>
    </row>
    <row r="20" spans="2:3" ht="61.2">
      <c r="B20" s="53" t="s">
        <v>281</v>
      </c>
      <c r="C20" s="47"/>
    </row>
    <row r="21" spans="2:3" ht="21">
      <c r="B21" s="55" t="s">
        <v>298</v>
      </c>
      <c r="C21" s="56"/>
    </row>
    <row r="22" spans="2:3" ht="81.599999999999994">
      <c r="B22" s="53" t="s">
        <v>300</v>
      </c>
      <c r="C22" s="47"/>
    </row>
    <row r="23" spans="2:3" ht="21">
      <c r="B23" s="55" t="s">
        <v>303</v>
      </c>
      <c r="C23" s="56"/>
    </row>
    <row r="24" spans="2:3" ht="81.599999999999994">
      <c r="B24" s="53" t="s">
        <v>301</v>
      </c>
      <c r="C24" s="47"/>
    </row>
    <row r="25" spans="2:3" ht="21">
      <c r="B25" s="55" t="s">
        <v>299</v>
      </c>
      <c r="C25" s="56"/>
    </row>
    <row r="26" spans="2:3" ht="81.599999999999994">
      <c r="B26" s="53" t="s">
        <v>302</v>
      </c>
      <c r="C26" s="47"/>
    </row>
    <row r="27" spans="2:3" ht="21">
      <c r="B27" s="55" t="s">
        <v>313</v>
      </c>
      <c r="C27" s="56"/>
    </row>
    <row r="28" spans="2:3" ht="81.599999999999994">
      <c r="B28" s="53" t="s">
        <v>315</v>
      </c>
      <c r="C28" s="47"/>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796875" defaultRowHeight="15"/>
  <cols>
    <col min="1" max="1" width="14.69921875" style="1" bestFit="1" customWidth="1"/>
    <col min="2" max="2" width="10.796875" style="1"/>
    <col min="3" max="3" width="60" style="1" bestFit="1" customWidth="1"/>
    <col min="4" max="4" width="10.796875" style="1"/>
    <col min="5" max="5" width="7.19921875" style="1" bestFit="1" customWidth="1"/>
    <col min="6" max="6" width="10.796875" style="1"/>
    <col min="7" max="7" width="17" style="1" bestFit="1" customWidth="1"/>
    <col min="8" max="8" width="21" style="1" customWidth="1"/>
    <col min="9" max="10" width="10.796875" style="1"/>
    <col min="11" max="11" width="12" style="1" customWidth="1"/>
    <col min="12" max="16384" width="10.796875" style="1"/>
  </cols>
  <sheetData>
    <row r="1" spans="1:7" ht="15.6">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Andrew Smith</cp:lastModifiedBy>
  <cp:lastPrinted>2018-09-13T16:04:18Z</cp:lastPrinted>
  <dcterms:created xsi:type="dcterms:W3CDTF">2018-09-10T17:18:27Z</dcterms:created>
  <dcterms:modified xsi:type="dcterms:W3CDTF">2025-11-27T12:24:33Z</dcterms:modified>
</cp:coreProperties>
</file>