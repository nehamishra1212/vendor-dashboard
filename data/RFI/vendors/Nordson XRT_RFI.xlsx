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nordson-my.sharepoint.com/personal/meghann_horner-smith_nordson_com/Documents/Desktop/"/>
    </mc:Choice>
  </mc:AlternateContent>
  <xr:revisionPtr revIDLastSave="0" documentId="8_{C8418F59-36C9-403A-AE89-8BFB68D82501}"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28920" yWindow="-120" windowWidth="29040" windowHeight="15720" firstSheet="6" activeTab="6"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6" l="1"/>
  <c r="D5" i="6"/>
  <c r="E5" i="6"/>
  <c r="I16" i="20"/>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tc={504CD1AA-6AEF-4F95-BC2F-AA05342B9BD8}</author>
    <author>tc={FCDCE530-E4F8-4B5D-801E-A68BBEBF395A}</author>
    <author>tc={F7C5BBB7-2EB7-43C2-8A5B-BA999B280861}</author>
    <author>tc={A845A964-A317-4F10-A2B4-E62E91146D3C}</author>
    <author>tc={27D31006-A1EA-492E-BDE4-7F0FB0CAAB59}</author>
    <author>tc={F7C75B9B-4475-40B1-81B7-A47512CC6459}</author>
    <author>tc={FD1BC400-C5B6-47BF-9B27-8A946F8D1431}</author>
    <author>tc={2B13D421-5120-46FA-B64B-1D9523DE699B}</author>
    <author>tc={413F4277-5501-4C11-8A8A-BA7C9E4F1C7D}</author>
  </authors>
  <commentList>
    <comment ref="C4" authorId="0" shapeId="0" xr:uid="{504CD1AA-6AEF-4F95-BC2F-AA05342B9BD8}">
      <text>
        <t>[Threaded comment]
Your version of Excel allows you to read this threaded comment; however, any edits to it will get removed if the file is opened in a newer version of Excel. Learn more: https://go.microsoft.com/fwlink/?linkid=870924
Comment:
    Temp, keep changing based on quarterly demand from Marina</t>
      </text>
    </comment>
    <comment ref="C5" authorId="1" shapeId="0" xr:uid="{FCDCE530-E4F8-4B5D-801E-A68BBEBF395A}">
      <text>
        <t>[Threaded comment]
Your version of Excel allows you to read this threaded comment; however, any edits to it will get removed if the file is opened in a newer version of Excel. Learn more: https://go.microsoft.com/fwlink/?linkid=870924
Comment:
    Experienced temp, keep changing based on quarterly demand from Marina</t>
      </text>
    </comment>
    <comment ref="G5" authorId="2" shapeId="0" xr:uid="{F7C5BBB7-2EB7-43C2-8A5B-BA999B280861}">
      <text>
        <t>[Threaded comment]
Your version of Excel allows you to read this threaded comment; however, any edits to it will get removed if the file is opened in a newer version of Excel. Learn more: https://go.microsoft.com/fwlink/?linkid=870924
Comment:
    Temp</t>
      </text>
    </comment>
    <comment ref="I6" authorId="3" shapeId="0" xr:uid="{A845A964-A317-4F10-A2B4-E62E91146D3C}">
      <text>
        <t>[Threaded comment]
Your version of Excel allows you to read this threaded comment; however, any edits to it will get removed if the file is opened in a newer version of Excel. Learn more: https://go.microsoft.com/fwlink/?linkid=870924
Comment:
    One engineer half service/apps and half sales</t>
      </text>
    </comment>
    <comment ref="C11" authorId="4" shapeId="0" xr:uid="{27D31006-A1EA-492E-BDE4-7F0FB0CAAB59}">
      <text>
        <t>[Threaded comment]
Your version of Excel allows you to read this threaded comment; however, any edits to it will get removed if the file is opened in a newer version of Excel. Learn more: https://go.microsoft.com/fwlink/?linkid=870924
Comment:
    4 weeks for L1; 3 months for L2; &gt; 6months for L3</t>
      </text>
    </comment>
    <comment ref="G11" authorId="5" shapeId="0" xr:uid="{F7C75B9B-4475-40B1-81B7-A47512CC6459}">
      <text>
        <t>[Threaded comment]
Your version of Excel allows you to read this threaded comment; however, any edits to it will get removed if the file is opened in a newer version of Excel. Learn more: https://go.microsoft.com/fwlink/?linkid=870924
Comment:
    4 weeks for L1; 3 months for L2; &gt; 6months for L3</t>
      </text>
    </comment>
    <comment ref="H11" authorId="6" shapeId="0" xr:uid="{FD1BC400-C5B6-47BF-9B27-8A946F8D1431}">
      <text>
        <t>[Threaded comment]
Your version of Excel allows you to read this threaded comment; however, any edits to it will get removed if the file is opened in a newer version of Excel. Learn more: https://go.microsoft.com/fwlink/?linkid=870924
Comment:
    4 wks level 1, 6 months level 3</t>
      </text>
    </comment>
    <comment ref="C12" authorId="7" shapeId="0" xr:uid="{2B13D421-5120-46FA-B64B-1D9523DE699B}">
      <text>
        <t>[Threaded comment]
Your version of Excel allows you to read this threaded comment; however, any edits to it will get removed if the file is opened in a newer version of Excel. Learn more: https://go.microsoft.com/fwlink/?linkid=870924
Comment:
    Temp is 5%</t>
      </text>
    </comment>
    <comment ref="G12" authorId="8" shapeId="0" xr:uid="{413F4277-5501-4C11-8A8A-BA7C9E4F1C7D}">
      <text>
        <t>[Threaded comment]
Your version of Excel allows you to read this threaded comment; however, any edits to it will get removed if the file is opened in a newer version of Excel. Learn more: https://go.microsoft.com/fwlink/?linkid=870924
Comment:
    Temp is 5%</t>
      </text>
    </comment>
  </commentList>
</comments>
</file>

<file path=xl/sharedStrings.xml><?xml version="1.0" encoding="utf-8"?>
<sst xmlns="http://schemas.openxmlformats.org/spreadsheetml/2006/main" count="781" uniqueCount="472">
  <si>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</si>
  <si>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</si>
  <si>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</si>
  <si>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</si>
  <si>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</si>
  <si>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</si>
  <si>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</si>
  <si>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</si>
  <si>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</si>
  <si>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</si>
  <si>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</si>
  <si>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</si>
  <si>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</si>
  <si>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</si>
  <si>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</si>
  <si>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</si>
  <si>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</si>
  <si>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</si>
  <si>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</si>
  <si>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</si>
  <si>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</si>
  <si>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</si>
  <si>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</si>
  <si>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</si>
  <si>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</si>
  <si>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</si>
  <si>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</si>
  <si>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</si>
  <si>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</si>
  <si>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</si>
  <si>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</si>
  <si>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</si>
  <si>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</si>
  <si>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</si>
  <si>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</si>
  <si>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</si>
  <si>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</si>
  <si>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</si>
  <si>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</si>
  <si>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</si>
  <si>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</si>
  <si>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</si>
  <si>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</si>
  <si>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</si>
  <si>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</si>
  <si>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No</t>
  </si>
  <si>
    <t>Please fill in all fields to complete this section. If there are supplemental compnay overview slides, please attach to RFI response.</t>
  </si>
  <si>
    <t xml:space="preserve">RFI Submission Date </t>
  </si>
  <si>
    <t>Official Legal Name</t>
  </si>
  <si>
    <t>Nordson Corporation</t>
  </si>
  <si>
    <t>Parent Company Official Name</t>
  </si>
  <si>
    <t>HQ Location</t>
  </si>
  <si>
    <t>Westlake, Ohio, USA</t>
  </si>
  <si>
    <t>Website</t>
  </si>
  <si>
    <t>www.nordson.com</t>
  </si>
  <si>
    <t>Public/Private</t>
  </si>
  <si>
    <t>Public</t>
  </si>
  <si>
    <t>Ticker Symbol (if Public)</t>
  </si>
  <si>
    <t>NDSN</t>
  </si>
  <si>
    <t>Type</t>
  </si>
  <si>
    <t>Nasdaq</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</si>
  <si>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</si>
  <si>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</si>
  <si>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</si>
  <si>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</si>
  <si>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</si>
  <si>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</si>
  <si>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</si>
  <si>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</si>
  <si>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</si>
  <si>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</si>
  <si>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Sundaram Nagarajan</t>
  </si>
  <si>
    <t>President and Chief Executive Officer</t>
  </si>
  <si>
    <t>United States</t>
  </si>
  <si>
    <t>Commercial DRI / Apple Executive Contact</t>
  </si>
  <si>
    <t>Meghann Horner-Smith</t>
  </si>
  <si>
    <t>Vice President, Strategic Partnership Accounts</t>
  </si>
  <si>
    <t>United Kingdom</t>
  </si>
  <si>
    <t>meghann.horner-smith@nordson.com</t>
  </si>
  <si>
    <t>+44 7793 837 760</t>
  </si>
  <si>
    <t>Operations Leader</t>
  </si>
  <si>
    <t>Melanie McDowell</t>
  </si>
  <si>
    <t>Director, Operations</t>
  </si>
  <si>
    <t>melanie.mcdowell@nordson.com</t>
  </si>
  <si>
    <t>+44 7824 144 002</t>
  </si>
  <si>
    <t xml:space="preserve">Finance </t>
  </si>
  <si>
    <t>Roel van Rooij</t>
  </si>
  <si>
    <t>Director, Finance</t>
  </si>
  <si>
    <t>Netherlands</t>
  </si>
  <si>
    <t>roel.vanrooij@nordson.com</t>
  </si>
  <si>
    <t>+31-(0) 628 956 946</t>
  </si>
  <si>
    <t>Engineering</t>
  </si>
  <si>
    <t>David Reynolds</t>
  </si>
  <si>
    <t>Director, Engineering</t>
  </si>
  <si>
    <t>david.reynolds@norson.com</t>
  </si>
  <si>
    <t>+44 77802283385</t>
  </si>
  <si>
    <t>Supply chain</t>
  </si>
  <si>
    <t>Carrie Mumby</t>
  </si>
  <si>
    <t>Manager, Supply Chain</t>
  </si>
  <si>
    <t>carrie.mumby@nordson.com</t>
  </si>
  <si>
    <t>+44 7754 426 759</t>
  </si>
  <si>
    <t>Project Management</t>
  </si>
  <si>
    <t>Milan Rathod</t>
  </si>
  <si>
    <t>Programme Manager</t>
  </si>
  <si>
    <t>milan.rathod@nordson.com</t>
  </si>
  <si>
    <t>Production</t>
  </si>
  <si>
    <t>Frank Zhang</t>
  </si>
  <si>
    <t>China</t>
  </si>
  <si>
    <t>frank.zhang@nordson.com</t>
  </si>
  <si>
    <t>+86 51266652008-2553</t>
  </si>
  <si>
    <t>If any other, please add …</t>
  </si>
  <si>
    <t>Brian Dodier</t>
  </si>
  <si>
    <t>Vice President, X-Ray and Test</t>
  </si>
  <si>
    <t>brian.dodier@nordson.com</t>
  </si>
  <si>
    <t>+44 77881 202 716</t>
  </si>
  <si>
    <t>Ben Peecock</t>
  </si>
  <si>
    <t>Director, Growth &amp; Strategy</t>
  </si>
  <si>
    <t>ben.peecock@nordson.com</t>
  </si>
  <si>
    <t>+44 7710 558 104</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</si>
  <si>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</si>
  <si>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</si>
  <si>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</si>
  <si>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</si>
  <si>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</si>
  <si>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</si>
  <si>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</si>
  <si>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</si>
  <si>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</si>
  <si>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</si>
  <si>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</si>
  <si>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</si>
  <si>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</si>
  <si>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</si>
  <si>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</si>
  <si>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</si>
  <si>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</si>
  <si>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</si>
  <si>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</si>
  <si>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</si>
  <si>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</si>
  <si>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Dage Precision Industries (DPI)</t>
  </si>
  <si>
    <t>Dage Test Systems (DTS)</t>
  </si>
  <si>
    <t>Nutek</t>
  </si>
  <si>
    <t xml:space="preserve">City and Country </t>
  </si>
  <si>
    <t>Westlake, USA</t>
  </si>
  <si>
    <t>Aylesbury, UK</t>
  </si>
  <si>
    <t>Suzhou, China</t>
  </si>
  <si>
    <t>Singapore</t>
  </si>
  <si>
    <t>Full Address</t>
  </si>
  <si>
    <t>28601 Clemens Road Westlake, Ohio 44145-4551 USA</t>
  </si>
  <si>
    <t>25 Faraday Road, Aylesbury, 
Buckinghamshire, HP19 8RY</t>
  </si>
  <si>
    <t xml:space="preserve">Building 7&amp;30, No. 666 Jianlin Road, Sub Industrial Park of
 Export Processing Zone of Suzhou New &amp;Hi-tech district, 
Suzhou City Jiang Su Province, P.R.C      215151  
</t>
  </si>
  <si>
    <t>39 Joo Koon Circle, Singapore 62</t>
  </si>
  <si>
    <t>Current Apple Programs Supported
 (List Program Name or N/A)</t>
  </si>
  <si>
    <t>N/A</t>
  </si>
  <si>
    <t>EQ Type manufactured in above location for Apple
(Dispense, Pick and place, Assembly, Die Attach, Wire Bond, Test, etc)</t>
  </si>
  <si>
    <t>Corporate Office</t>
  </si>
  <si>
    <t>Test</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</si>
  <si>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</si>
  <si>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</si>
  <si>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</si>
  <si>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</si>
  <si>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</si>
  <si>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</si>
  <si>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</si>
  <si>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Enviroment &amp; Supply Supply Chain Innovation (ESCI) Facility Readiness Assessment (FRA) Approved?</t>
  </si>
  <si>
    <t>Customer Base served from this location
(City and Country of the customer)</t>
  </si>
  <si>
    <t>EMEA &amp; Americas</t>
  </si>
  <si>
    <t>China &amp; SE Asia</t>
  </si>
  <si>
    <t>Worldwide</t>
  </si>
  <si>
    <t>Are there any Global expansion plans in the future for Manufacturing? Please desrcibe in detail.</t>
  </si>
  <si>
    <t>Over the next 12months, we will be establishing manufacturing capability in India</t>
  </si>
  <si>
    <t>What are all the key subcomponent vendors used and where are they located (city, country)? Please provide rough volume &amp; spend with key subcomponent vendors as well.</t>
  </si>
  <si>
    <t>While there are some key global suppliers used, the current objective is to move to a close to customer model by establishing a regional supply chain that supports local demand.</t>
  </si>
  <si>
    <t>Any previous issues faced in shipping to certain countries?</t>
  </si>
  <si>
    <t>No, and any currently are related to geo-political issues</t>
  </si>
  <si>
    <t>What are the key supply chain tactics being followed?</t>
  </si>
  <si>
    <t>Dual resource and localisation, with pull system strategy through to the supplier</t>
  </si>
  <si>
    <t>Are there any inhouse machining / job shop capabilities? If so, please explain in detail in terms of machine qty available (CNC, Mill, Lathe, EDM Weld, etc.), volume produced, &amp; available capacity.</t>
  </si>
  <si>
    <t>NO</t>
  </si>
  <si>
    <t>What are the incoming (IQC), in process (IPQC), and outgoing (OQC) quality control systems and/or processes? Please desrcibe in detail.</t>
  </si>
  <si>
    <t xml:space="preserve">IQC Incoming material measurements and vendor performance monitoring used to monitor vendor health.  Vendor capability evaluated quarterly.
IPQC: Production processes define test steps and data collection points to control quality for WIP.  Yield events are escalated to engineering and production supervision for further evaluation and mitigation of systemic problems. 
OQC: Outgoing quality issues will be escalated through RMA process. RMAs are reviewed to determine resolution focus for customer issues.
</t>
  </si>
  <si>
    <t>IQC , IPQC and OQC is in place, IQC is according to AQL, IPQC is according to Control Chart and OQC is according to FEMA analysis.</t>
  </si>
  <si>
    <t xml:space="preserve">IQC is covered by UK factory where parts are purchased and then shipped to be stocked in Singapore.
IPQC: Production processes define test steps and data collection points to control quality for WIP.  Yield events are escalated to engineering and production supervision for further evaluation and mitigation of systemic problems. 
OQC: Outgoing quality issues will be escalated through RMA process. 
</t>
  </si>
  <si>
    <t>Are there ERP system and processes, including any automation or integration functionality across EQ manufacturing supply chain? Please desrcibe in detail.</t>
  </si>
  <si>
    <t>Use Efacs ERP system</t>
  </si>
  <si>
    <t>What are the supply chain resiliency plans to ensure no distruption in supply?</t>
  </si>
  <si>
    <t xml:space="preserve">Accelerated localization initiatives to support a region for region specific supply chain while mitigating geopolitical risk. 
Establish suppliers using scheduling agreements, kanban system and full pull methods to enhance OTD and maintain high product quality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</si>
  <si>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</si>
  <si>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</si>
  <si>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</si>
  <si>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</si>
  <si>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</si>
  <si>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</si>
  <si>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</si>
  <si>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</si>
  <si>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</si>
  <si>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</si>
  <si>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Mainland China</t>
  </si>
  <si>
    <t>SEA</t>
  </si>
  <si>
    <t>Japan</t>
  </si>
  <si>
    <t>Korea</t>
  </si>
  <si>
    <t>Vietnam</t>
  </si>
  <si>
    <t>Brazil</t>
  </si>
  <si>
    <t>North America</t>
  </si>
  <si>
    <t>Total Field Service Engineers - L1 (HC)</t>
  </si>
  <si>
    <t>Total Field Service Engineers - L2 (HC)</t>
  </si>
  <si>
    <t>Total Field Service Engineers - L3 (HC)</t>
  </si>
  <si>
    <t>Support Capabilities in Region - Total # of Units (QTY)</t>
  </si>
  <si>
    <t>Hiring Difficulty in Region (High/Medium/Low)</t>
  </si>
  <si>
    <t>Low</t>
  </si>
  <si>
    <t>Medium</t>
  </si>
  <si>
    <t>Dispatch Difficulty from Region (High/Medium/Low)</t>
  </si>
  <si>
    <t>Regions Served (Countries &amp; QTY)</t>
  </si>
  <si>
    <t>India, Malaysia, Singapore, Thailand, 
Philippines, Australia, New Zealand (7)</t>
  </si>
  <si>
    <t>Japan (1)</t>
  </si>
  <si>
    <t>Korea (1)</t>
  </si>
  <si>
    <t>USA and Canada</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</si>
  <si>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</si>
  <si>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</si>
  <si>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</si>
  <si>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</si>
  <si>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</si>
  <si>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</si>
  <si>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</si>
  <si>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</si>
  <si>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</si>
  <si>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</si>
  <si>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</si>
  <si>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</si>
  <si>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</si>
  <si>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</si>
  <si>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</si>
  <si>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</si>
  <si>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</si>
  <si>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</si>
  <si>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</si>
  <si>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</si>
  <si>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</si>
  <si>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</si>
  <si>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</si>
  <si>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</si>
  <si>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includes R&amp;D and Project Management</t>
  </si>
  <si>
    <t>Total Production (HC)</t>
  </si>
  <si>
    <t>Includes shared resources in China for EPS, OSM and XRT</t>
  </si>
  <si>
    <t>Total OSS (HC)</t>
  </si>
  <si>
    <t>Dependent on requirements</t>
  </si>
  <si>
    <t>Exclude 3rd Party Agency Partners</t>
  </si>
  <si>
    <t>Supply Chain (HC)</t>
  </si>
  <si>
    <t>Quality (HC)</t>
  </si>
  <si>
    <t>Shipping &amp; Logistics (HC)</t>
  </si>
  <si>
    <t>Reduction due to simplification processes and some shared resources with OSM division.</t>
  </si>
  <si>
    <t>R&amp;D (HC)
(Mechanical, Electircal, Software, etc.)</t>
  </si>
  <si>
    <t>Sales &amp; Marketing (HC)</t>
  </si>
  <si>
    <t>Some shared resources with OSM division.</t>
  </si>
  <si>
    <t>Executive (HC)</t>
  </si>
  <si>
    <t>Service and Applications</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</si>
  <si>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</si>
  <si>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</si>
  <si>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</si>
  <si>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</si>
  <si>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</si>
  <si>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</si>
  <si>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</si>
  <si>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</si>
  <si>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</si>
  <si>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</si>
  <si>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</si>
  <si>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</si>
  <si>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</si>
  <si>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</si>
  <si>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</si>
  <si>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</si>
  <si>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</si>
  <si>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</si>
  <si>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</si>
  <si>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</si>
  <si>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</si>
  <si>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</si>
  <si>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</si>
  <si>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</si>
  <si>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</si>
  <si>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</si>
  <si>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</si>
  <si>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</si>
  <si>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</si>
  <si>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</si>
  <si>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Yes</t>
  </si>
  <si>
    <t>Proficiency</t>
  </si>
  <si>
    <t>High</t>
  </si>
  <si>
    <t>Outsourced?</t>
  </si>
  <si>
    <t>Core Competencies</t>
  </si>
  <si>
    <t>Cabinet Design; X, Y, Z stage design and SW ctrl; Image chain HW and SW</t>
  </si>
  <si>
    <t>Servo control SW development of proprietary and 3rd party HW</t>
  </si>
  <si>
    <t>Semiconductor wafer and tray automation; Final assembly parts handling</t>
  </si>
  <si>
    <t>Parts trays; conveyors; CT stages</t>
  </si>
  <si>
    <t>Bond test equipment</t>
  </si>
  <si>
    <t>Xray imaging and metrology systems (Optical closest catagory fit)</t>
  </si>
  <si>
    <t>Capability of our automated inline systems for Semi and PCB and our XM8000 semi wafer xray machines</t>
  </si>
  <si>
    <t>Image processing solutions for Xray and bond test products.  Image classification and segmentation models developed in house and deployed.</t>
  </si>
  <si>
    <t>Dedicated Resourcing (HC)
(PM, Engineering, Production, OSS, etc.)</t>
  </si>
  <si>
    <t>Equipment Type &amp; Key Technologies</t>
  </si>
  <si>
    <t>OTS high quality Linear motors for XYZ; Sealed Higi reolution Xray tube, CMOS flat panel detector</t>
  </si>
  <si>
    <t>Manual and automated bump shear, wire pull and shear and die attach</t>
  </si>
  <si>
    <t>Automated XRay inline for PCB, Semi and FATP; Manual XRay for PCB, Semi and Battery; Semiconductor Metrology for Middle and backend Semiconductor wafer and advanced packaging; Component counting xray for CEM</t>
  </si>
  <si>
    <t>High precision sample handling and software calibration</t>
  </si>
  <si>
    <t>Key Components &amp; Average Annual Spend ($M)
(Prefernce for off the shelf components)</t>
  </si>
  <si>
    <t xml:space="preserve">Xray Tube and detector (in house); XY stage;  </t>
  </si>
  <si>
    <t>In house developed transducers and load cells</t>
  </si>
  <si>
    <t xml:space="preserve">Typcical Development &amp; Equipment Lead Times
(RFP to DFM, KO to ETA, ETA to SAT, OEE, etc.) </t>
  </si>
  <si>
    <t>New tube and detector typical 2 yr development cycle.  Part of system delivery lead times.  Spares are available off the shelf.</t>
  </si>
  <si>
    <t>Project development 18m-2yrs.  System lead times variable dependanty on model</t>
  </si>
  <si>
    <t>Fast turn solutions in delivered in low number of weeks.  inline retraining of models possible in days.</t>
  </si>
  <si>
    <t>Competitive Advantage(s)</t>
  </si>
  <si>
    <t>XRay Tube - Low maintenance, high resolution and power; Xray detecto - high resolution and low noise</t>
  </si>
  <si>
    <t>In-house developed servo control cards ensure price/performance to match system needs and minimise obsolescence issues.</t>
  </si>
  <si>
    <t>Fast Turnkey solutions specific to applications</t>
  </si>
  <si>
    <t>combination of trasnducer technology and supporting AI assisted software</t>
  </si>
  <si>
    <t>Leading 2D, and 3D imaging capability. AI assisted image processing combined with high UPH</t>
  </si>
  <si>
    <t>developed in house by domain experts and tailored for our systems.  Models supported by applications teasm</t>
  </si>
  <si>
    <t>Applicable Project Experience
(Year, Machine Description &amp; QTY, Spend, Timeline)</t>
  </si>
  <si>
    <t>Client / Reference</t>
  </si>
  <si>
    <t>Client / Reference Email</t>
  </si>
  <si>
    <t>Applicable Apple Experience
(Year, Machine Description &amp; QTY, Spend, Timeline)</t>
  </si>
  <si>
    <t>See Colums O,Q &amp; U</t>
  </si>
  <si>
    <t>Bond test equipment - Multiple projects covering module tesing for portables 2020 multiple 4000plus &amp; Prospector systems</t>
  </si>
  <si>
    <t xml:space="preserve">Automated XRay projects starting 2012 with Matrix Munich Team - over 4000 Systems sold for various projects including: 170+ systems for chargers, cable connectors, 180 + custom designed X1# for Watch FATP, 20+ X2.5# for Airpod Battery inspection, </t>
  </si>
  <si>
    <t>20+ XCT1000 CT sytems for Battery inspection for portables, 20+ X2.5# with flipper module for double sided phone housing/antenna</t>
  </si>
  <si>
    <t>Over many years since 2012 Nordson X-ray &amp; Test have supported multiple projects. Delivering  over 400 standard and bespoke systems for various products. Custom tooling and algorithms developed rapidly to meet UPH and defect detection rates specified.</t>
  </si>
  <si>
    <t>Apple DRI Name</t>
  </si>
  <si>
    <t>Kevin Mendonca</t>
  </si>
  <si>
    <t xml:space="preserve">Kevin Mendonca has been a key contact for Nordson although we have worked with many other Marina GSMs and Operations Managers and Engineering teams including: Oscar Woo, David Ursing, Matt Edwards, Joe Kelleher and Miguel Lara </t>
  </si>
  <si>
    <t>Apple DRI Email</t>
  </si>
  <si>
    <t>kmendonca@apple.com</t>
  </si>
  <si>
    <t>Use the blank page to detail your company's technical roadmap for apple or other customers</t>
  </si>
  <si>
    <t>In Development</t>
  </si>
  <si>
    <t>In Production</t>
  </si>
  <si>
    <t>FY24</t>
  </si>
  <si>
    <t>FY25</t>
  </si>
  <si>
    <t>FY26</t>
  </si>
  <si>
    <t>FY27</t>
  </si>
  <si>
    <t>Q1</t>
  </si>
  <si>
    <t>Q2</t>
  </si>
  <si>
    <t>Q3</t>
  </si>
  <si>
    <t>Q4</t>
  </si>
  <si>
    <t>Automated Xray Systems</t>
  </si>
  <si>
    <t>X Series (PCB inspection)</t>
  </si>
  <si>
    <t>Athena (PCB and Semi Inspection)</t>
  </si>
  <si>
    <t>XS Series (Semiconductor Inspection)</t>
  </si>
  <si>
    <t>X# Series (FATP, Power Hybrid Inspection)</t>
  </si>
  <si>
    <t>Aerotitian (FATP, Power Hybrid Inspection)</t>
  </si>
  <si>
    <t>Manual Xray Systems</t>
  </si>
  <si>
    <t>Quadra (Semi, PCB)</t>
  </si>
  <si>
    <t>Quadra pro (Semi, PCB)</t>
  </si>
  <si>
    <t>Ruby XL (Large PCB Inspection)</t>
  </si>
  <si>
    <t>Ruby XL Pro (Large PCB Inspection)</t>
  </si>
  <si>
    <t>Jade (cost optimised PCB inspection)</t>
  </si>
  <si>
    <t xml:space="preserve">Semiconductor Metrology </t>
  </si>
  <si>
    <t>XM8000-7 ( 3D High resolution)</t>
  </si>
  <si>
    <t>XM8000-7 Pro ( 3D High resolution)</t>
  </si>
  <si>
    <t>XM8000-5 ( 2.5D High speed)</t>
  </si>
  <si>
    <t>XM8000-5 Pro ( 2.5D High speed)</t>
  </si>
  <si>
    <t xml:space="preserve">HBM Shield Advanced package inspection - Manual </t>
  </si>
  <si>
    <t>HBM Shield Advanced package inspection - Auto</t>
  </si>
  <si>
    <t>Bond test</t>
  </si>
  <si>
    <t>4000 Series Manual Bond Tester</t>
  </si>
  <si>
    <t>4600/4800 Automated Bond Tester</t>
  </si>
  <si>
    <t>4800 Integra Semiconductor Bond tester</t>
  </si>
  <si>
    <t>Conwy (Next gen, improved automation and cost)</t>
  </si>
  <si>
    <t>Component Counter</t>
  </si>
  <si>
    <t>Assure</t>
  </si>
  <si>
    <t>Revenant (improved relaibility and cost)</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</si>
  <si>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</si>
  <si>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</si>
  <si>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</si>
  <si>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</si>
  <si>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</si>
  <si>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</si>
  <si>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</si>
  <si>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</si>
  <si>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</si>
  <si>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</si>
  <si>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</si>
  <si>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</si>
  <si>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</si>
  <si>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</si>
  <si>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</si>
  <si>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</si>
  <si>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</si>
  <si>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</si>
  <si>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</si>
  <si>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</si>
  <si>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</si>
  <si>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</si>
  <si>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</si>
  <si>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</si>
  <si>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</si>
  <si>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</si>
  <si>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</si>
  <si>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</si>
  <si>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</si>
  <si>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</si>
  <si>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</si>
  <si>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</si>
  <si>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</si>
  <si>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</si>
  <si>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</si>
  <si>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</si>
  <si>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</si>
  <si>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</si>
  <si>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</si>
  <si>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</si>
  <si>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</si>
  <si>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</si>
  <si>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</si>
  <si>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</si>
  <si>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</si>
  <si>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</si>
  <si>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</si>
  <si>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</si>
  <si>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</si>
  <si>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</si>
  <si>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</si>
  <si>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</si>
  <si>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</si>
  <si>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</si>
  <si>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</si>
  <si>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</si>
  <si>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</si>
  <si>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</si>
  <si>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</si>
  <si>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</si>
  <si>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</si>
  <si>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</si>
  <si>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</si>
  <si>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</si>
  <si>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</si>
  <si>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</si>
  <si>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</si>
  <si>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</si>
  <si>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</si>
  <si>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</si>
  <si>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</si>
  <si>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</si>
  <si>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</si>
  <si>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</si>
  <si>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</si>
  <si>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Latvia</t>
  </si>
  <si>
    <t>Luxembourg</t>
  </si>
  <si>
    <t>Malaysia</t>
  </si>
  <si>
    <t>Malta</t>
  </si>
  <si>
    <t>Mauritius</t>
  </si>
  <si>
    <t>Mexico</t>
  </si>
  <si>
    <t>Morocco</t>
  </si>
  <si>
    <t>New Zealand</t>
  </si>
  <si>
    <t>Nicaragua</t>
  </si>
  <si>
    <t>Norway</t>
  </si>
  <si>
    <t>Philippines</t>
  </si>
  <si>
    <t>Poland</t>
  </si>
  <si>
    <t>Portugal</t>
  </si>
  <si>
    <t>Puerto Rico</t>
  </si>
  <si>
    <t>Russia</t>
  </si>
  <si>
    <t>South Africa</t>
  </si>
  <si>
    <t>Spain</t>
  </si>
  <si>
    <t>Sweden</t>
  </si>
  <si>
    <t>Switzerland</t>
  </si>
  <si>
    <t>Taiwan</t>
  </si>
  <si>
    <t>Thailand</t>
  </si>
  <si>
    <t>Tunis</t>
  </si>
  <si>
    <t>Turkey</t>
  </si>
  <si>
    <t>UAE</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</si>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</sst>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35">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0"/>
      <name val="Arial"/>
      <family val="2"/>
      <charset val="1"/>
    </font>
    <font>
      <sz val="11"/>
      <color rgb="FF242424"/>
      <name val="Aptos Narrow"/>
      <family val="2"/>
    </font>
    <font>
      <sz val="11"/>
      <color rgb="FF000000"/>
      <name val="Aptos Narrow"/>
      <family val="2"/>
    </font>
    <font>
      <sz val="14"/>
      <color rgb="FF000000"/>
      <name val="Calibri"/>
      <family val="2"/>
    </font>
    <font>
      <sz val="12"/>
      <color rgb="FF000000"/>
      <name val="Helvetica Neue"/>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rgb="FF92D050"/>
        <bgColor indexed="64"/>
      </patternFill>
    </fill>
    <fill>
      <patternFill patternType="solid">
        <fgColor rgb="FFFFC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11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5" fontId="12" fillId="5" borderId="1" xfId="0" applyNumberFormat="1" applyFont="1" applyFill="1" applyBorder="1" applyAlignment="1" applyProtection="1">
      <alignment horizontal="center" vertical="center" wrapText="1"/>
      <protection locked="0"/>
    </xf>
    <xf numFmtId="165"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0" fillId="9" borderId="0" xfId="0" applyFill="1"/>
    <xf numFmtId="0" fontId="0" fillId="11" borderId="0" xfId="0" applyFill="1"/>
    <xf numFmtId="0" fontId="0" fillId="10" borderId="0" xfId="0" applyFill="1"/>
    <xf numFmtId="0" fontId="2" fillId="0" borderId="0" xfId="0" applyFont="1" applyAlignment="1" applyProtection="1">
      <alignment horizontal="center" vertical="center"/>
      <protection locked="0"/>
    </xf>
    <xf numFmtId="0" fontId="30" fillId="5" borderId="1" xfId="0" applyFont="1" applyFill="1" applyBorder="1" applyAlignment="1" applyProtection="1">
      <alignment horizontal="center" vertical="center" wrapText="1"/>
      <protection locked="0"/>
    </xf>
    <xf numFmtId="0" fontId="31" fillId="0" borderId="0" xfId="0" applyFont="1" applyProtection="1">
      <protection locked="0"/>
    </xf>
    <xf numFmtId="1" fontId="32" fillId="0" borderId="0" xfId="0" applyNumberFormat="1" applyFont="1" applyAlignment="1" applyProtection="1">
      <alignment horizontal="center" vertical="center"/>
      <protection locked="0"/>
    </xf>
    <xf numFmtId="1" fontId="33" fillId="5" borderId="1" xfId="0" applyNumberFormat="1" applyFont="1" applyFill="1" applyBorder="1" applyAlignment="1" applyProtection="1">
      <alignment horizontal="center" vertical="center" wrapText="1"/>
      <protection locked="0"/>
    </xf>
    <xf numFmtId="0" fontId="34" fillId="0" borderId="0" xfId="0" applyFont="1" applyAlignment="1" applyProtection="1">
      <alignment horizontal="center" vertical="center" wrapText="1"/>
      <protection locked="0"/>
    </xf>
    <xf numFmtId="0" fontId="34" fillId="5" borderId="0" xfId="0" applyFont="1" applyFill="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0" fillId="10" borderId="16" xfId="0" applyFill="1" applyBorder="1" applyAlignment="1">
      <alignment horizontal="center"/>
    </xf>
    <xf numFmtId="0" fontId="0" fillId="10" borderId="17" xfId="0" applyFill="1" applyBorder="1" applyAlignment="1">
      <alignment horizontal="center"/>
    </xf>
    <xf numFmtId="0" fontId="0" fillId="10" borderId="18" xfId="0" applyFill="1" applyBorder="1" applyAlignment="1">
      <alignment horizontal="center"/>
    </xf>
    <xf numFmtId="0" fontId="0" fillId="11" borderId="17" xfId="0" applyFill="1" applyBorder="1" applyAlignment="1">
      <alignment horizontal="center"/>
    </xf>
    <xf numFmtId="0" fontId="0" fillId="11" borderId="18" xfId="0" applyFill="1" applyBorder="1" applyAlignment="1">
      <alignment horizontal="center"/>
    </xf>
    <xf numFmtId="0" fontId="0" fillId="10" borderId="24" xfId="0" applyFill="1" applyBorder="1" applyAlignment="1">
      <alignment horizontal="center"/>
    </xf>
    <xf numFmtId="0" fontId="0" fillId="10" borderId="21" xfId="0" applyFill="1" applyBorder="1" applyAlignment="1">
      <alignment horizontal="center"/>
    </xf>
    <xf numFmtId="0" fontId="0" fillId="10" borderId="0" xfId="0" applyFill="1" applyAlignment="1">
      <alignment horizontal="center"/>
    </xf>
    <xf numFmtId="0" fontId="0" fillId="10" borderId="25" xfId="0" applyFill="1" applyBorder="1" applyAlignment="1">
      <alignment horizontal="center"/>
    </xf>
    <xf numFmtId="0" fontId="0" fillId="11" borderId="16" xfId="0" applyFill="1" applyBorder="1" applyAlignment="1">
      <alignment horizontal="center"/>
    </xf>
    <xf numFmtId="0" fontId="0" fillId="10" borderId="20" xfId="0" applyFill="1" applyBorder="1" applyAlignment="1">
      <alignment horizontal="center"/>
    </xf>
    <xf numFmtId="0" fontId="0" fillId="11" borderId="20" xfId="0" applyFill="1" applyBorder="1" applyAlignment="1">
      <alignment horizontal="center"/>
    </xf>
    <xf numFmtId="0" fontId="0" fillId="11" borderId="23" xfId="0" applyFill="1" applyBorder="1" applyAlignment="1">
      <alignment horizontal="center"/>
    </xf>
    <xf numFmtId="0" fontId="0" fillId="11" borderId="19" xfId="0" applyFill="1" applyBorder="1" applyAlignment="1">
      <alignment horizontal="center"/>
    </xf>
    <xf numFmtId="0" fontId="0" fillId="10" borderId="19" xfId="0" applyFill="1" applyBorder="1" applyAlignment="1">
      <alignment horizontal="center"/>
    </xf>
    <xf numFmtId="0" fontId="0" fillId="0" borderId="0" xfId="0" applyAlignment="1">
      <alignment horizontal="center"/>
    </xf>
    <xf numFmtId="0" fontId="0" fillId="10" borderId="22" xfId="0" applyFill="1" applyBorder="1" applyAlignment="1">
      <alignment horizontal="center"/>
    </xf>
    <xf numFmtId="0" fontId="0" fillId="10" borderId="23" xfId="0" applyFill="1" applyBorder="1" applyAlignment="1">
      <alignment horizontal="center"/>
    </xf>
    <xf numFmtId="0" fontId="0" fillId="9" borderId="0" xfId="0" applyFill="1" applyAlignment="1">
      <alignment horizont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5">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6</xdr:row>
      <xdr:rowOff>0</xdr:rowOff>
    </xdr:from>
    <xdr:to>
      <xdr:col>12</xdr:col>
      <xdr:colOff>238125</xdr:colOff>
      <xdr:row>20</xdr:row>
      <xdr:rowOff>190500</xdr:rowOff>
    </xdr:to>
    <xdr:pic>
      <xdr:nvPicPr>
        <xdr:cNvPr id="14" name="Picture 1" descr="Picture 23, Picture">
          <a:extLst>
            <a:ext uri="{FF2B5EF4-FFF2-40B4-BE49-F238E27FC236}">
              <a16:creationId xmlns:a16="http://schemas.microsoft.com/office/drawing/2014/main" id="{6F5C6785-5D19-9FD1-6740-3A46A73EED4B}"/>
            </a:ext>
          </a:extLst>
        </xdr:cNvPr>
        <xdr:cNvPicPr>
          <a:picLocks noChangeAspect="1"/>
        </xdr:cNvPicPr>
      </xdr:nvPicPr>
      <xdr:blipFill>
        <a:blip xmlns:r="http://schemas.openxmlformats.org/officeDocument/2006/relationships" r:embed="rId1"/>
        <a:stretch>
          <a:fillRect/>
        </a:stretch>
      </xdr:blipFill>
      <xdr:spPr>
        <a:xfrm>
          <a:off x="6467475" y="2762250"/>
          <a:ext cx="5095875" cy="2990850"/>
        </a:xfrm>
        <a:prstGeom prst="rect">
          <a:avLst/>
        </a:prstGeom>
      </xdr:spPr>
    </xdr:pic>
    <xdr:clientData/>
  </xdr:twoCellAnchor>
  <xdr:twoCellAnchor editAs="oneCell">
    <xdr:from>
      <xdr:col>0</xdr:col>
      <xdr:colOff>190500</xdr:colOff>
      <xdr:row>24</xdr:row>
      <xdr:rowOff>85725</xdr:rowOff>
    </xdr:from>
    <xdr:to>
      <xdr:col>9</xdr:col>
      <xdr:colOff>171450</xdr:colOff>
      <xdr:row>52</xdr:row>
      <xdr:rowOff>171450</xdr:rowOff>
    </xdr:to>
    <xdr:pic>
      <xdr:nvPicPr>
        <xdr:cNvPr id="8" name="Picture 2" descr="Picture 8, Picture">
          <a:extLst>
            <a:ext uri="{FF2B5EF4-FFF2-40B4-BE49-F238E27FC236}">
              <a16:creationId xmlns:a16="http://schemas.microsoft.com/office/drawing/2014/main" id="{09B9CE31-DB82-574F-4275-D8F56EE10F1C}"/>
            </a:ext>
            <a:ext uri="{147F2762-F138-4A5C-976F-8EAC2B608ADB}">
              <a16:predDERef xmlns:a16="http://schemas.microsoft.com/office/drawing/2014/main" pred="{6F5C6785-5D19-9FD1-6740-3A46A73EED4B}"/>
            </a:ext>
          </a:extLst>
        </xdr:cNvPr>
        <xdr:cNvPicPr>
          <a:picLocks noChangeAspect="1"/>
        </xdr:cNvPicPr>
      </xdr:nvPicPr>
      <xdr:blipFill>
        <a:blip xmlns:r="http://schemas.openxmlformats.org/officeDocument/2006/relationships" r:embed="rId2"/>
        <a:stretch>
          <a:fillRect/>
        </a:stretch>
      </xdr:blipFill>
      <xdr:spPr>
        <a:xfrm>
          <a:off x="190500" y="6448425"/>
          <a:ext cx="8820150" cy="5686425"/>
        </a:xfrm>
        <a:prstGeom prst="rect">
          <a:avLst/>
        </a:prstGeom>
      </xdr:spPr>
    </xdr:pic>
    <xdr:clientData/>
  </xdr:twoCellAnchor>
  <xdr:twoCellAnchor editAs="oneCell">
    <xdr:from>
      <xdr:col>0</xdr:col>
      <xdr:colOff>342900</xdr:colOff>
      <xdr:row>6</xdr:row>
      <xdr:rowOff>19050</xdr:rowOff>
    </xdr:from>
    <xdr:to>
      <xdr:col>5</xdr:col>
      <xdr:colOff>714375</xdr:colOff>
      <xdr:row>20</xdr:row>
      <xdr:rowOff>95250</xdr:rowOff>
    </xdr:to>
    <xdr:pic>
      <xdr:nvPicPr>
        <xdr:cNvPr id="11" name="Picture 3" descr="Picture 29, Picture">
          <a:extLst>
            <a:ext uri="{FF2B5EF4-FFF2-40B4-BE49-F238E27FC236}">
              <a16:creationId xmlns:a16="http://schemas.microsoft.com/office/drawing/2014/main" id="{73EB9A29-EA80-A822-F132-D0970ECDCC7B}"/>
            </a:ext>
            <a:ext uri="{147F2762-F138-4A5C-976F-8EAC2B608ADB}">
              <a16:predDERef xmlns:a16="http://schemas.microsoft.com/office/drawing/2014/main" pred="{09B9CE31-DB82-574F-4275-D8F56EE10F1C}"/>
            </a:ext>
          </a:extLst>
        </xdr:cNvPr>
        <xdr:cNvPicPr>
          <a:picLocks noChangeAspect="1"/>
        </xdr:cNvPicPr>
      </xdr:nvPicPr>
      <xdr:blipFill>
        <a:blip xmlns:r="http://schemas.openxmlformats.org/officeDocument/2006/relationships" r:embed="rId3"/>
        <a:stretch>
          <a:fillRect/>
        </a:stretch>
      </xdr:blipFill>
      <xdr:spPr>
        <a:xfrm>
          <a:off x="342900" y="2781300"/>
          <a:ext cx="5895975" cy="2876550"/>
        </a:xfrm>
        <a:prstGeom prst="rect">
          <a:avLst/>
        </a:prstGeom>
      </xdr:spPr>
    </xdr:pic>
    <xdr:clientData/>
  </xdr:twoCellAnchor>
  <xdr:twoCellAnchor editAs="oneCell">
    <xdr:from>
      <xdr:col>9</xdr:col>
      <xdr:colOff>390525</xdr:colOff>
      <xdr:row>24</xdr:row>
      <xdr:rowOff>104775</xdr:rowOff>
    </xdr:from>
    <xdr:to>
      <xdr:col>19</xdr:col>
      <xdr:colOff>371475</xdr:colOff>
      <xdr:row>44</xdr:row>
      <xdr:rowOff>66675</xdr:rowOff>
    </xdr:to>
    <xdr:pic>
      <xdr:nvPicPr>
        <xdr:cNvPr id="9" name="Picture 4">
          <a:extLst>
            <a:ext uri="{FF2B5EF4-FFF2-40B4-BE49-F238E27FC236}">
              <a16:creationId xmlns:a16="http://schemas.microsoft.com/office/drawing/2014/main" id="{336EFEE3-B2A0-F216-76F7-CCFFC98DC787}"/>
            </a:ext>
            <a:ext uri="{147F2762-F138-4A5C-976F-8EAC2B608ADB}">
              <a16:predDERef xmlns:a16="http://schemas.microsoft.com/office/drawing/2014/main" pred="{73EB9A29-EA80-A822-F132-D0970ECDCC7B}"/>
            </a:ext>
          </a:extLst>
        </xdr:cNvPr>
        <xdr:cNvPicPr>
          <a:picLocks noChangeAspect="1"/>
        </xdr:cNvPicPr>
      </xdr:nvPicPr>
      <xdr:blipFill>
        <a:blip xmlns:r="http://schemas.openxmlformats.org/officeDocument/2006/relationships" r:embed="rId4"/>
        <a:stretch>
          <a:fillRect/>
        </a:stretch>
      </xdr:blipFill>
      <xdr:spPr>
        <a:xfrm>
          <a:off x="9229725" y="6467475"/>
          <a:ext cx="8267700" cy="3962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Xia, Ryan" id="{166FB545-65EB-40CE-B07A-B59E2453CFEC}" userId="S::Ryan.Xia@nordson.com::a13ef656-1ae2-464b-9449-55640086d590" providerId="AD"/>
  <person displayName="Arnold, Gregg" id="{C648775B-2BAF-4497-B2EB-AFCC7790ED16}" userId="S::gregg.arnold@nordson.com::f034f5d0-e1f6-4a90-b268-f1adebb291c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04-24T01:10:18.59" personId="{166FB545-65EB-40CE-B07A-B59E2453CFEC}" id="{504CD1AA-6AEF-4F95-BC2F-AA05342B9BD8}">
    <text>Temp, keep changing based on quarterly demand from Marina</text>
  </threadedComment>
  <threadedComment ref="C5" dT="2025-04-24T01:12:01.94" personId="{166FB545-65EB-40CE-B07A-B59E2453CFEC}" id="{FCDCE530-E4F8-4B5D-801E-A68BBEBF395A}">
    <text>Experienced temp, keep changing based on quarterly demand from Marina</text>
  </threadedComment>
  <threadedComment ref="G5" dT="2025-04-24T01:20:05.94" personId="{166FB545-65EB-40CE-B07A-B59E2453CFEC}" id="{F7C5BBB7-2EB7-43C2-8A5B-BA999B280861}">
    <text>Temp</text>
  </threadedComment>
  <threadedComment ref="I6" dT="2025-04-28T15:23:23.55" personId="{C648775B-2BAF-4497-B2EB-AFCC7790ED16}" id="{A845A964-A317-4F10-A2B4-E62E91146D3C}">
    <text>One engineer half service/apps and half sales</text>
  </threadedComment>
  <threadedComment ref="C11" dT="2025-04-24T01:14:34.07" personId="{166FB545-65EB-40CE-B07A-B59E2453CFEC}" id="{27D31006-A1EA-492E-BDE4-7F0FB0CAAB59}">
    <text>4 weeks for L1; 3 months for L2; &gt; 6months for L3</text>
  </threadedComment>
  <threadedComment ref="G11" dT="2025-04-24T01:14:34.07" personId="{166FB545-65EB-40CE-B07A-B59E2453CFEC}" id="{F7C75B9B-4475-40B1-81B7-A47512CC6459}">
    <text>4 weeks for L1; 3 months for L2; &gt; 6months for L3</text>
  </threadedComment>
  <threadedComment ref="H11" dT="2025-04-28T15:26:33.15" personId="{C648775B-2BAF-4497-B2EB-AFCC7790ED16}" id="{FD1BC400-C5B6-47BF-9B27-8A946F8D1431}">
    <text>4 wks level 1, 6 months level 3</text>
  </threadedComment>
  <threadedComment ref="C12" dT="2025-04-24T01:15:17.22" personId="{166FB545-65EB-40CE-B07A-B59E2453CFEC}" id="{2B13D421-5120-46FA-B64B-1D9523DE699B}">
    <text>Temp is 5%</text>
  </threadedComment>
  <threadedComment ref="G12" dT="2025-04-24T01:15:17.22" personId="{166FB545-65EB-40CE-B07A-B59E2453CFEC}" id="{413F4277-5501-4C11-8A8A-BA7C9E4F1C7D}">
    <text>Temp is 5%</text>
  </threadedComment>
</ThreadedComment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8" sqref="B8"/>
    </sheetView>
  </sheetViews>
  <sheetFormatPr defaultColWidth="10.875" defaultRowHeight="21.75"/>
  <cols>
    <col min="1" max="1" width="10.875" style="51"/>
    <col min="2" max="2" width="200.875" style="10" customWidth="1"/>
    <col min="3" max="16384" width="10.875" style="51"/>
  </cols>
  <sheetData>
    <row r="2" spans="2:2">
      <c r="B2" s="8" t="s">
        <v>0</v>
      </c>
    </row>
    <row r="3" spans="2:2">
      <c r="B3" s="44" t="s">
        <v>1</v>
      </c>
    </row>
    <row r="4" spans="2:2" ht="87">
      <c r="B4" s="9" t="s">
        <v>2</v>
      </c>
    </row>
    <row r="5" spans="2:2">
      <c r="B5" s="44" t="s">
        <v>3</v>
      </c>
    </row>
    <row r="6" spans="2:2" ht="43.5">
      <c r="B6" s="9" t="s">
        <v>4</v>
      </c>
    </row>
    <row r="7" spans="2:2">
      <c r="B7" s="44" t="s">
        <v>5</v>
      </c>
    </row>
    <row r="8" spans="2:2" ht="304.5">
      <c r="B8" s="9" t="s">
        <v>6</v>
      </c>
    </row>
    <row r="9" spans="2:2">
      <c r="B9" s="44" t="s">
        <v>7</v>
      </c>
    </row>
    <row r="10" spans="2:2">
      <c r="B10" s="9" t="s">
        <v>8</v>
      </c>
    </row>
    <row r="11" spans="2:2">
      <c r="B11" s="44" t="s">
        <v>9</v>
      </c>
    </row>
    <row r="12" spans="2:2" ht="43.5">
      <c r="B12" s="9" t="s">
        <v>10</v>
      </c>
    </row>
    <row r="13" spans="2:2">
      <c r="B13" s="44" t="s">
        <v>11</v>
      </c>
    </row>
    <row r="14" spans="2:2" ht="87">
      <c r="B14" s="72"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4" workbookViewId="0">
      <selection activeCell="A16" sqref="A16"/>
    </sheetView>
  </sheetViews>
  <sheetFormatPr defaultColWidth="10.875" defaultRowHeight="21.75"/>
  <cols>
    <col min="1" max="1" width="10.875" style="51"/>
    <col min="2" max="2" width="200.875" style="10" customWidth="1"/>
    <col min="3" max="16384" width="10.875" style="51"/>
  </cols>
  <sheetData>
    <row r="2" spans="2:2">
      <c r="B2" s="8" t="s">
        <v>13</v>
      </c>
    </row>
    <row r="3" spans="2:2">
      <c r="B3" s="43" t="s">
        <v>14</v>
      </c>
    </row>
    <row r="4" spans="2:2" ht="43.5">
      <c r="B4" s="9" t="s">
        <v>15</v>
      </c>
    </row>
    <row r="5" spans="2:2">
      <c r="B5" s="44" t="s">
        <v>16</v>
      </c>
    </row>
    <row r="6" spans="2:2" ht="43.5">
      <c r="B6" s="9" t="s">
        <v>17</v>
      </c>
    </row>
    <row r="7" spans="2:2">
      <c r="B7" s="44" t="s">
        <v>18</v>
      </c>
    </row>
    <row r="8" spans="2:2" ht="65.25">
      <c r="B8" s="9" t="s">
        <v>19</v>
      </c>
    </row>
    <row r="9" spans="2:2">
      <c r="B9" s="44" t="s">
        <v>20</v>
      </c>
    </row>
    <row r="10" spans="2:2" ht="43.5">
      <c r="B10" s="9" t="s">
        <v>21</v>
      </c>
    </row>
    <row r="11" spans="2:2">
      <c r="B11" s="44" t="s">
        <v>22</v>
      </c>
    </row>
    <row r="12" spans="2:2" ht="130.5">
      <c r="B12" s="9" t="s">
        <v>23</v>
      </c>
    </row>
    <row r="13" spans="2:2">
      <c r="B13" s="44" t="s">
        <v>24</v>
      </c>
    </row>
    <row r="14" spans="2:2" ht="87">
      <c r="B14" s="9" t="s">
        <v>25</v>
      </c>
    </row>
    <row r="15" spans="2:2">
      <c r="B15" s="44" t="s">
        <v>26</v>
      </c>
    </row>
    <row r="16" spans="2:2" ht="174">
      <c r="B16" s="9" t="s">
        <v>27</v>
      </c>
    </row>
    <row r="17" spans="2:2">
      <c r="B17" s="44" t="s">
        <v>28</v>
      </c>
    </row>
    <row r="18" spans="2:2" ht="65.25">
      <c r="B18" s="9" t="s">
        <v>29</v>
      </c>
    </row>
    <row r="19" spans="2:2">
      <c r="B19" s="44" t="s">
        <v>30</v>
      </c>
    </row>
    <row r="20" spans="2:2" ht="130.5">
      <c r="B20" s="9" t="s">
        <v>31</v>
      </c>
    </row>
    <row r="21" spans="2:2">
      <c r="B21" s="44" t="s">
        <v>32</v>
      </c>
    </row>
    <row r="22" spans="2:2" ht="65.25">
      <c r="B22" s="9" t="s">
        <v>33</v>
      </c>
    </row>
    <row r="23" spans="2:2">
      <c r="B23" s="44" t="s">
        <v>34</v>
      </c>
    </row>
    <row r="24" spans="2:2" ht="217.5">
      <c r="B24" s="9" t="s">
        <v>35</v>
      </c>
    </row>
    <row r="25" spans="2:2">
      <c r="B25" s="44" t="s">
        <v>36</v>
      </c>
    </row>
    <row r="26" spans="2:2" ht="174">
      <c r="B26" s="9" t="s">
        <v>37</v>
      </c>
    </row>
    <row r="27" spans="2:2">
      <c r="B27" s="44" t="s">
        <v>38</v>
      </c>
    </row>
    <row r="28" spans="2:2" ht="43.5">
      <c r="B28" s="9" t="s">
        <v>39</v>
      </c>
    </row>
    <row r="29" spans="2:2">
      <c r="B29" s="44" t="s">
        <v>40</v>
      </c>
    </row>
    <row r="30" spans="2:2" ht="43.5">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8" sqref="C8"/>
    </sheetView>
  </sheetViews>
  <sheetFormatPr defaultColWidth="10.875" defaultRowHeight="21.75"/>
  <cols>
    <col min="1" max="1" width="10.875" style="51"/>
    <col min="2" max="2" width="141.5" style="10" customWidth="1"/>
    <col min="3" max="3" width="40.875" style="13" customWidth="1"/>
    <col min="4" max="16384" width="10.875" style="51"/>
  </cols>
  <sheetData>
    <row r="2" spans="2:3">
      <c r="B2" s="8" t="s">
        <v>42</v>
      </c>
      <c r="C2" s="11"/>
    </row>
    <row r="3" spans="2:3">
      <c r="B3" s="43" t="s">
        <v>43</v>
      </c>
      <c r="C3" s="11"/>
    </row>
    <row r="4" spans="2:3" ht="217.5">
      <c r="B4" s="12" t="s">
        <v>44</v>
      </c>
      <c r="C4" s="50"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4" priority="1" operator="containsText" text="Yes">
      <formula>NOT(ISERROR(SEARCH("Yes",C4)))</formula>
    </cfRule>
    <cfRule type="containsText" dxfId="63" priority="2" operator="containsText" text="No">
      <formula>NOT(ISERROR(SEARCH("No",C4)))</formula>
    </cfRule>
    <cfRule type="notContainsBlanks" dxfId="62"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3" zoomScaleNormal="100" workbookViewId="0">
      <selection activeCell="F23" sqref="F23"/>
    </sheetView>
  </sheetViews>
  <sheetFormatPr defaultColWidth="10.875" defaultRowHeight="21"/>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16" t="s">
        <v>47</v>
      </c>
      <c r="C2" s="17">
        <v>45775</v>
      </c>
    </row>
    <row r="3" spans="1:7" ht="26.1" customHeight="1">
      <c r="A3" s="15">
        <v>2</v>
      </c>
      <c r="B3" s="16" t="s">
        <v>48</v>
      </c>
      <c r="C3" s="18" t="s">
        <v>49</v>
      </c>
    </row>
    <row r="4" spans="1:7" ht="26.1" customHeight="1">
      <c r="A4" s="15">
        <v>3</v>
      </c>
      <c r="B4" s="16" t="s">
        <v>50</v>
      </c>
      <c r="C4" s="18" t="s">
        <v>49</v>
      </c>
      <c r="E4" s="19"/>
    </row>
    <row r="5" spans="1:7" ht="26.1" customHeight="1">
      <c r="A5" s="15">
        <v>4</v>
      </c>
      <c r="B5" s="16" t="s">
        <v>51</v>
      </c>
      <c r="C5" s="18" t="s">
        <v>52</v>
      </c>
      <c r="E5" s="19"/>
    </row>
    <row r="6" spans="1:7" ht="26.1" customHeight="1">
      <c r="A6" s="15">
        <v>5</v>
      </c>
      <c r="B6" s="16" t="s">
        <v>53</v>
      </c>
      <c r="C6" s="20" t="s">
        <v>54</v>
      </c>
      <c r="E6" s="19"/>
    </row>
    <row r="7" spans="1:7" ht="26.1" customHeight="1">
      <c r="A7" s="15">
        <v>6</v>
      </c>
      <c r="B7" s="16" t="s">
        <v>55</v>
      </c>
      <c r="C7" s="18" t="s">
        <v>56</v>
      </c>
      <c r="E7" s="19"/>
    </row>
    <row r="8" spans="1:7" ht="26.1" customHeight="1">
      <c r="A8" s="15">
        <v>7</v>
      </c>
      <c r="B8" s="16" t="s">
        <v>57</v>
      </c>
      <c r="C8" s="18" t="s">
        <v>58</v>
      </c>
    </row>
    <row r="9" spans="1:7" ht="26.1" customHeight="1">
      <c r="A9" s="15">
        <v>8</v>
      </c>
      <c r="B9" s="16" t="s">
        <v>59</v>
      </c>
      <c r="C9" s="18" t="s">
        <v>60</v>
      </c>
    </row>
    <row r="10" spans="1:7" ht="26.1" customHeight="1">
      <c r="A10" s="15">
        <v>9</v>
      </c>
      <c r="B10" s="16" t="s">
        <v>61</v>
      </c>
      <c r="C10" s="18">
        <v>8500</v>
      </c>
    </row>
    <row r="11" spans="1:7">
      <c r="A11" s="15">
        <v>10</v>
      </c>
      <c r="B11" s="16" t="s">
        <v>62</v>
      </c>
      <c r="C11" s="18">
        <v>1954</v>
      </c>
    </row>
    <row r="12" spans="1:7">
      <c r="A12" s="15">
        <v>11</v>
      </c>
      <c r="B12" s="16" t="s">
        <v>63</v>
      </c>
      <c r="C12" s="18">
        <v>2011</v>
      </c>
      <c r="F12" s="21"/>
    </row>
    <row r="15" spans="1:7" ht="42">
      <c r="B15" s="24" t="s">
        <v>64</v>
      </c>
      <c r="C15" s="25" t="s">
        <v>65</v>
      </c>
      <c r="D15" s="25" t="s">
        <v>66</v>
      </c>
      <c r="E15" s="25" t="s">
        <v>67</v>
      </c>
      <c r="F15" s="25" t="s">
        <v>68</v>
      </c>
      <c r="G15" s="26" t="s">
        <v>69</v>
      </c>
    </row>
    <row r="16" spans="1:7" ht="42">
      <c r="B16" s="27" t="s">
        <v>70</v>
      </c>
      <c r="C16" s="18" t="s">
        <v>71</v>
      </c>
      <c r="D16" s="18" t="s">
        <v>72</v>
      </c>
      <c r="E16" s="18" t="s">
        <v>73</v>
      </c>
      <c r="F16" s="20"/>
      <c r="G16" s="28"/>
    </row>
    <row r="17" spans="2:7" ht="42">
      <c r="B17" s="27" t="s">
        <v>74</v>
      </c>
      <c r="C17" s="18" t="s">
        <v>75</v>
      </c>
      <c r="D17" s="18" t="s">
        <v>76</v>
      </c>
      <c r="E17" s="18" t="s">
        <v>77</v>
      </c>
      <c r="F17" s="20" t="s">
        <v>78</v>
      </c>
      <c r="G17" s="28" t="s">
        <v>79</v>
      </c>
    </row>
    <row r="18" spans="2:7">
      <c r="B18" s="27" t="s">
        <v>80</v>
      </c>
      <c r="C18" s="18" t="s">
        <v>81</v>
      </c>
      <c r="D18" s="18" t="s">
        <v>82</v>
      </c>
      <c r="E18" s="18" t="s">
        <v>77</v>
      </c>
      <c r="F18" s="20" t="s">
        <v>83</v>
      </c>
      <c r="G18" s="28" t="s">
        <v>84</v>
      </c>
    </row>
    <row r="19" spans="2:7">
      <c r="B19" s="27" t="s">
        <v>85</v>
      </c>
      <c r="C19" s="18" t="s">
        <v>86</v>
      </c>
      <c r="D19" s="18" t="s">
        <v>87</v>
      </c>
      <c r="E19" s="18" t="s">
        <v>88</v>
      </c>
      <c r="F19" s="20" t="s">
        <v>89</v>
      </c>
      <c r="G19" s="28" t="s">
        <v>90</v>
      </c>
    </row>
    <row r="20" spans="2:7">
      <c r="B20" s="29" t="s">
        <v>91</v>
      </c>
      <c r="C20" s="22" t="s">
        <v>92</v>
      </c>
      <c r="D20" s="22" t="s">
        <v>93</v>
      </c>
      <c r="E20" s="18" t="s">
        <v>77</v>
      </c>
      <c r="F20" s="23" t="s">
        <v>94</v>
      </c>
      <c r="G20" s="28" t="s">
        <v>95</v>
      </c>
    </row>
    <row r="21" spans="2:7">
      <c r="B21" s="27" t="s">
        <v>96</v>
      </c>
      <c r="C21" s="18" t="s">
        <v>97</v>
      </c>
      <c r="D21" s="18" t="s">
        <v>98</v>
      </c>
      <c r="E21" s="18" t="s">
        <v>77</v>
      </c>
      <c r="F21" s="20" t="s">
        <v>99</v>
      </c>
      <c r="G21" s="28" t="s">
        <v>100</v>
      </c>
    </row>
    <row r="22" spans="2:7">
      <c r="B22" s="27" t="s">
        <v>101</v>
      </c>
      <c r="C22" s="18" t="s">
        <v>102</v>
      </c>
      <c r="D22" s="22" t="s">
        <v>103</v>
      </c>
      <c r="E22" s="18" t="s">
        <v>77</v>
      </c>
      <c r="F22" s="20" t="s">
        <v>104</v>
      </c>
      <c r="G22" s="28"/>
    </row>
    <row r="23" spans="2:7">
      <c r="B23" s="27" t="s">
        <v>105</v>
      </c>
      <c r="C23" s="18" t="s">
        <v>106</v>
      </c>
      <c r="D23" s="22" t="s">
        <v>82</v>
      </c>
      <c r="E23" s="18" t="s">
        <v>107</v>
      </c>
      <c r="F23" s="20" t="s">
        <v>108</v>
      </c>
      <c r="G23" s="28" t="s">
        <v>109</v>
      </c>
    </row>
    <row r="24" spans="2:7" ht="42">
      <c r="B24" s="27" t="s">
        <v>110</v>
      </c>
      <c r="C24" s="18" t="s">
        <v>111</v>
      </c>
      <c r="D24" s="18" t="s">
        <v>112</v>
      </c>
      <c r="E24" s="18" t="s">
        <v>77</v>
      </c>
      <c r="F24" s="20" t="s">
        <v>113</v>
      </c>
      <c r="G24" s="28" t="s">
        <v>114</v>
      </c>
    </row>
    <row r="25" spans="2:7">
      <c r="B25" s="27" t="s">
        <v>110</v>
      </c>
      <c r="C25" s="30" t="s">
        <v>115</v>
      </c>
      <c r="D25" s="30" t="s">
        <v>116</v>
      </c>
      <c r="E25" s="30" t="s">
        <v>77</v>
      </c>
      <c r="F25" s="31" t="s">
        <v>117</v>
      </c>
      <c r="G25" s="32" t="s">
        <v>118</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1" priority="2">
      <formula>LEN(TRIM(C2))&gt;0</formula>
    </cfRule>
  </conditionalFormatting>
  <conditionalFormatting sqref="C16:G25">
    <cfRule type="notContainsBlanks" dxfId="60"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F6" sqref="F6"/>
    </sheetView>
  </sheetViews>
  <sheetFormatPr defaultColWidth="10.875" defaultRowHeight="17.25"/>
  <cols>
    <col min="1" max="1" width="4.875" customWidth="1"/>
    <col min="2" max="2" width="53.875" customWidth="1"/>
    <col min="3" max="8" width="28.125" customWidth="1"/>
    <col min="9" max="16384" width="10.875" style="1"/>
  </cols>
  <sheetData>
    <row r="1" spans="2:9" ht="51" customHeight="1">
      <c r="B1" s="14" t="s">
        <v>119</v>
      </c>
    </row>
    <row r="2" spans="2:9" ht="51" customHeight="1">
      <c r="B2" s="16" t="s">
        <v>120</v>
      </c>
      <c r="C2" s="16">
        <v>2022</v>
      </c>
      <c r="D2" s="16">
        <v>2023</v>
      </c>
      <c r="E2" s="16">
        <v>2024</v>
      </c>
      <c r="F2" s="16" t="s">
        <v>121</v>
      </c>
      <c r="G2" s="16" t="s">
        <v>122</v>
      </c>
      <c r="H2" s="16" t="s">
        <v>123</v>
      </c>
    </row>
    <row r="3" spans="2:9" ht="51" customHeight="1">
      <c r="B3" s="33" t="s">
        <v>124</v>
      </c>
      <c r="C3" s="61"/>
      <c r="D3" s="61"/>
      <c r="E3" s="61"/>
      <c r="F3" s="61">
        <v>10513</v>
      </c>
      <c r="G3" s="61"/>
      <c r="H3" s="61"/>
    </row>
    <row r="4" spans="2:9" ht="51" customHeight="1">
      <c r="B4" s="33" t="s">
        <v>125</v>
      </c>
      <c r="C4" s="61">
        <v>2590.1999999999998</v>
      </c>
      <c r="D4" s="61">
        <v>2628.6</v>
      </c>
      <c r="E4" s="61">
        <v>2689.92</v>
      </c>
      <c r="F4" s="61">
        <v>2761.5</v>
      </c>
      <c r="G4" s="61"/>
      <c r="H4" s="61"/>
      <c r="I4" s="4"/>
    </row>
    <row r="5" spans="2:9" ht="51" customHeight="1">
      <c r="B5" s="33" t="s">
        <v>126</v>
      </c>
      <c r="C5" s="61">
        <f>0.954+0.624</f>
        <v>1.5779999999999998</v>
      </c>
      <c r="D5" s="61">
        <f>14.963+0.694</f>
        <v>15.657</v>
      </c>
      <c r="E5" s="61">
        <f>5.274+0.354</f>
        <v>5.6280000000000001</v>
      </c>
      <c r="F5" s="61">
        <v>4</v>
      </c>
      <c r="G5" s="61"/>
      <c r="H5" s="61"/>
      <c r="I5" s="4" t="s">
        <v>127</v>
      </c>
    </row>
    <row r="6" spans="2:9" ht="51" customHeight="1">
      <c r="B6" s="33" t="s">
        <v>128</v>
      </c>
      <c r="C6" s="61"/>
      <c r="D6" s="61"/>
      <c r="E6" s="61"/>
      <c r="F6" s="61"/>
      <c r="G6" s="61"/>
      <c r="H6" s="61"/>
      <c r="I6" s="2" t="s">
        <v>129</v>
      </c>
    </row>
    <row r="8" spans="2:9" ht="21">
      <c r="B8" s="16" t="s">
        <v>120</v>
      </c>
      <c r="C8" s="16">
        <v>2023</v>
      </c>
      <c r="D8" s="16">
        <v>2023</v>
      </c>
      <c r="E8" s="16">
        <v>2024</v>
      </c>
      <c r="F8" s="16" t="s">
        <v>121</v>
      </c>
      <c r="G8" s="16" t="s">
        <v>122</v>
      </c>
      <c r="H8" s="16" t="s">
        <v>123</v>
      </c>
    </row>
    <row r="9" spans="2:9" ht="21">
      <c r="B9" s="33" t="s">
        <v>130</v>
      </c>
      <c r="C9" s="62">
        <v>1426</v>
      </c>
      <c r="D9" s="62">
        <v>1425</v>
      </c>
      <c r="E9" s="62">
        <v>1486</v>
      </c>
      <c r="F9" s="62"/>
      <c r="G9" s="62"/>
      <c r="H9" s="62"/>
    </row>
    <row r="10" spans="2:9" ht="21">
      <c r="B10" s="33" t="s">
        <v>131</v>
      </c>
      <c r="C10" s="62">
        <v>666.8</v>
      </c>
      <c r="D10" s="62">
        <v>681.5</v>
      </c>
      <c r="E10" s="62">
        <v>680.3</v>
      </c>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59" priority="4" stopIfTrue="1">
      <formula>LEN(TRIM(C3))&gt;0</formula>
    </cfRule>
  </conditionalFormatting>
  <conditionalFormatting sqref="C9:H10">
    <cfRule type="notContainsBlanks" dxfId="58"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6" zoomScale="60" zoomScaleNormal="60" workbookViewId="0">
      <selection activeCell="G13" sqref="G13"/>
    </sheetView>
  </sheetViews>
  <sheetFormatPr defaultColWidth="10.875" defaultRowHeight="26.1" customHeight="1"/>
  <cols>
    <col min="1" max="1" width="6.125" style="66"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4"/>
      <c r="B1" s="34" t="s">
        <v>132</v>
      </c>
    </row>
    <row r="2" spans="1:8" s="35" customFormat="1" ht="56.1" customHeight="1">
      <c r="A2" s="65"/>
      <c r="B2" s="16"/>
      <c r="C2" s="16" t="s">
        <v>133</v>
      </c>
      <c r="D2" s="36" t="s">
        <v>134</v>
      </c>
      <c r="E2" s="36" t="s">
        <v>135</v>
      </c>
      <c r="F2" s="36" t="s">
        <v>136</v>
      </c>
      <c r="G2" s="36" t="s">
        <v>137</v>
      </c>
      <c r="H2" s="36" t="s">
        <v>138</v>
      </c>
    </row>
    <row r="3" spans="1:8" ht="60" customHeight="1">
      <c r="A3" s="66">
        <v>1</v>
      </c>
      <c r="B3" s="16" t="s">
        <v>139</v>
      </c>
      <c r="C3" s="37" t="s">
        <v>49</v>
      </c>
      <c r="D3" s="37" t="s">
        <v>140</v>
      </c>
      <c r="E3" s="37" t="s">
        <v>141</v>
      </c>
      <c r="F3" s="18" t="s">
        <v>142</v>
      </c>
      <c r="G3" s="18"/>
      <c r="H3" s="18"/>
    </row>
    <row r="4" spans="1:8" ht="60" customHeight="1">
      <c r="A4" s="66">
        <v>2</v>
      </c>
      <c r="B4" s="16" t="s">
        <v>143</v>
      </c>
      <c r="C4" s="18" t="s">
        <v>144</v>
      </c>
      <c r="D4" s="18" t="s">
        <v>145</v>
      </c>
      <c r="E4" s="18" t="s">
        <v>146</v>
      </c>
      <c r="F4" s="18" t="s">
        <v>147</v>
      </c>
      <c r="G4" s="53"/>
      <c r="H4" s="18"/>
    </row>
    <row r="5" spans="1:8" ht="60" customHeight="1">
      <c r="A5" s="66">
        <v>3</v>
      </c>
      <c r="B5" s="16" t="s">
        <v>148</v>
      </c>
      <c r="C5" s="18" t="s">
        <v>149</v>
      </c>
      <c r="D5" s="81" t="s">
        <v>150</v>
      </c>
      <c r="E5" s="18" t="s">
        <v>151</v>
      </c>
      <c r="F5" s="18" t="s">
        <v>152</v>
      </c>
      <c r="G5" s="18"/>
      <c r="H5" s="18"/>
    </row>
    <row r="6" spans="1:8" ht="60" customHeight="1">
      <c r="A6" s="66">
        <v>4</v>
      </c>
      <c r="B6" s="36" t="s">
        <v>153</v>
      </c>
      <c r="C6" s="18" t="s">
        <v>154</v>
      </c>
      <c r="D6" s="81"/>
      <c r="E6" s="18"/>
      <c r="F6" s="18"/>
      <c r="G6" s="18"/>
      <c r="H6" s="18"/>
    </row>
    <row r="7" spans="1:8" ht="86.1" customHeight="1">
      <c r="A7" s="66">
        <v>5</v>
      </c>
      <c r="B7" s="36" t="s">
        <v>155</v>
      </c>
      <c r="C7" s="18" t="s">
        <v>156</v>
      </c>
      <c r="D7" s="81" t="s">
        <v>157</v>
      </c>
      <c r="E7" s="18" t="s">
        <v>157</v>
      </c>
      <c r="F7" s="18" t="s">
        <v>157</v>
      </c>
      <c r="G7" s="18"/>
      <c r="H7" s="18"/>
    </row>
    <row r="8" spans="1:8" ht="86.1" customHeight="1">
      <c r="A8" s="66">
        <v>6</v>
      </c>
      <c r="B8" s="36" t="s">
        <v>158</v>
      </c>
      <c r="C8" s="18" t="s">
        <v>154</v>
      </c>
      <c r="D8" s="18" t="s">
        <v>157</v>
      </c>
      <c r="E8" s="18" t="s">
        <v>157</v>
      </c>
      <c r="F8" s="18" t="s">
        <v>157</v>
      </c>
      <c r="G8" s="18"/>
      <c r="H8" s="18"/>
    </row>
    <row r="9" spans="1:8" ht="60" customHeight="1">
      <c r="A9" s="66">
        <v>7</v>
      </c>
      <c r="B9" s="16" t="s">
        <v>159</v>
      </c>
      <c r="C9" s="38"/>
      <c r="D9" s="38">
        <v>3400</v>
      </c>
      <c r="E9" s="39">
        <v>3944</v>
      </c>
      <c r="F9" s="39">
        <v>400</v>
      </c>
      <c r="G9" s="39"/>
      <c r="H9" s="39"/>
    </row>
    <row r="10" spans="1:8" ht="60" customHeight="1">
      <c r="A10" s="66">
        <v>8</v>
      </c>
      <c r="B10" s="36" t="s">
        <v>160</v>
      </c>
      <c r="C10" s="38"/>
      <c r="D10" s="38">
        <v>134</v>
      </c>
      <c r="E10" s="39">
        <v>50</v>
      </c>
      <c r="F10" s="39">
        <v>4</v>
      </c>
      <c r="G10" s="39"/>
      <c r="H10" s="39"/>
    </row>
    <row r="11" spans="1:8" ht="60" customHeight="1">
      <c r="A11" s="66">
        <v>9</v>
      </c>
      <c r="B11" s="36" t="s">
        <v>161</v>
      </c>
      <c r="C11" s="18"/>
      <c r="D11" s="18">
        <v>5</v>
      </c>
      <c r="E11" s="18">
        <v>10</v>
      </c>
      <c r="F11" s="18">
        <v>2</v>
      </c>
      <c r="G11" s="18"/>
      <c r="H11" s="18"/>
    </row>
    <row r="12" spans="1:8" ht="60" customHeight="1">
      <c r="A12" s="66">
        <v>10</v>
      </c>
      <c r="B12" s="36" t="s">
        <v>162</v>
      </c>
      <c r="C12" s="18"/>
      <c r="D12" s="18">
        <v>9</v>
      </c>
      <c r="E12" s="18">
        <v>25</v>
      </c>
      <c r="F12" s="18">
        <v>3</v>
      </c>
      <c r="G12" s="18"/>
      <c r="H12" s="18"/>
    </row>
    <row r="13" spans="1:8" ht="60" customHeight="1">
      <c r="A13" s="66">
        <v>11</v>
      </c>
      <c r="B13" s="36" t="s">
        <v>163</v>
      </c>
      <c r="C13" s="18"/>
      <c r="D13" s="18"/>
      <c r="E13" s="18"/>
      <c r="F13" s="18"/>
      <c r="G13" s="18"/>
      <c r="H13" s="18"/>
    </row>
    <row r="14" spans="1:8" ht="60" customHeight="1">
      <c r="A14" s="66">
        <v>12</v>
      </c>
      <c r="B14" s="36" t="s">
        <v>164</v>
      </c>
      <c r="C14" s="18" t="s">
        <v>45</v>
      </c>
      <c r="D14" s="18" t="s">
        <v>45</v>
      </c>
      <c r="E14" s="18" t="s">
        <v>45</v>
      </c>
      <c r="F14" s="18" t="s">
        <v>45</v>
      </c>
      <c r="G14" s="18"/>
      <c r="H14" s="18"/>
    </row>
    <row r="15" spans="1:8" ht="60" customHeight="1">
      <c r="A15" s="66">
        <v>13</v>
      </c>
      <c r="B15" s="36" t="s">
        <v>165</v>
      </c>
      <c r="C15" s="18" t="s">
        <v>45</v>
      </c>
      <c r="D15" s="18" t="s">
        <v>45</v>
      </c>
      <c r="E15" s="18" t="s">
        <v>45</v>
      </c>
      <c r="F15" s="18" t="s">
        <v>45</v>
      </c>
      <c r="G15" s="18"/>
      <c r="H15" s="18"/>
    </row>
    <row r="16" spans="1:8" ht="60" customHeight="1">
      <c r="A16" s="66">
        <v>14</v>
      </c>
      <c r="B16" s="36" t="s">
        <v>166</v>
      </c>
      <c r="C16" s="18" t="s">
        <v>154</v>
      </c>
      <c r="D16" s="18" t="s">
        <v>167</v>
      </c>
      <c r="E16" s="18" t="s">
        <v>168</v>
      </c>
      <c r="F16" s="18" t="s">
        <v>169</v>
      </c>
      <c r="G16" s="18"/>
      <c r="H16" s="18"/>
    </row>
    <row r="18" spans="1:8" ht="60.95" customHeight="1">
      <c r="A18" s="66">
        <v>15</v>
      </c>
      <c r="B18" s="87" t="s">
        <v>170</v>
      </c>
      <c r="C18" s="87"/>
      <c r="D18" s="88" t="s">
        <v>171</v>
      </c>
      <c r="E18" s="89"/>
      <c r="F18" s="89"/>
      <c r="G18" s="89"/>
      <c r="H18" s="90"/>
    </row>
    <row r="19" spans="1:8" ht="60.95" customHeight="1">
      <c r="A19" s="66">
        <v>16</v>
      </c>
      <c r="B19" s="87" t="s">
        <v>172</v>
      </c>
      <c r="C19" s="87"/>
      <c r="D19" s="88" t="s">
        <v>173</v>
      </c>
      <c r="E19" s="89"/>
      <c r="F19" s="89"/>
      <c r="G19" s="89"/>
      <c r="H19" s="90"/>
    </row>
    <row r="20" spans="1:8" ht="60.95" customHeight="1">
      <c r="A20" s="66">
        <v>17</v>
      </c>
      <c r="B20" s="87" t="s">
        <v>174</v>
      </c>
      <c r="C20" s="87"/>
      <c r="D20" s="88" t="s">
        <v>175</v>
      </c>
      <c r="E20" s="89"/>
      <c r="F20" s="89"/>
      <c r="G20" s="89"/>
      <c r="H20" s="90"/>
    </row>
    <row r="21" spans="1:8" ht="60.95" customHeight="1">
      <c r="A21" s="66">
        <v>18</v>
      </c>
      <c r="B21" s="87" t="s">
        <v>176</v>
      </c>
      <c r="C21" s="87"/>
      <c r="D21" s="88" t="s">
        <v>177</v>
      </c>
      <c r="E21" s="89"/>
      <c r="F21" s="89"/>
      <c r="G21" s="89"/>
      <c r="H21" s="90"/>
    </row>
    <row r="22" spans="1:8" ht="60.95" customHeight="1">
      <c r="A22" s="66">
        <v>19</v>
      </c>
      <c r="B22" s="87" t="s">
        <v>178</v>
      </c>
      <c r="C22" s="87"/>
      <c r="D22" s="88" t="s">
        <v>179</v>
      </c>
      <c r="E22" s="89"/>
      <c r="F22" s="89"/>
      <c r="G22" s="89"/>
      <c r="H22" s="90"/>
    </row>
    <row r="23" spans="1:8" ht="60.95" customHeight="1">
      <c r="A23" s="66">
        <v>20</v>
      </c>
      <c r="B23" s="91" t="s">
        <v>180</v>
      </c>
      <c r="C23" s="92"/>
      <c r="D23" s="85" t="s">
        <v>181</v>
      </c>
      <c r="E23" s="40" t="s">
        <v>182</v>
      </c>
      <c r="F23" s="86" t="s">
        <v>183</v>
      </c>
      <c r="G23" s="41"/>
      <c r="H23" s="42"/>
    </row>
    <row r="24" spans="1:8" ht="60.95" customHeight="1">
      <c r="A24" s="66">
        <v>21</v>
      </c>
      <c r="B24" s="91" t="s">
        <v>184</v>
      </c>
      <c r="C24" s="92"/>
      <c r="D24" s="40" t="s">
        <v>185</v>
      </c>
      <c r="E24" s="41" t="s">
        <v>185</v>
      </c>
      <c r="F24" s="41" t="s">
        <v>185</v>
      </c>
      <c r="G24" s="41"/>
      <c r="H24" s="42"/>
    </row>
    <row r="25" spans="1:8" ht="187.7" customHeight="1">
      <c r="A25" s="66">
        <v>22</v>
      </c>
      <c r="B25" s="87" t="s">
        <v>186</v>
      </c>
      <c r="C25" s="87"/>
      <c r="D25" s="88" t="s">
        <v>187</v>
      </c>
      <c r="E25" s="89"/>
      <c r="F25" s="89"/>
      <c r="G25" s="89"/>
      <c r="H25" s="90"/>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D18:D22 E23 D24:D25">
    <cfRule type="notContainsBlanks" dxfId="57" priority="1">
      <formula>LEN(TRIM(C3))&gt;0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abSelected="1" zoomScale="80" zoomScaleNormal="80" workbookViewId="0">
      <pane xSplit="2" ySplit="3" topLeftCell="D4" activePane="bottomRight" state="frozen"/>
      <selection pane="topRight"/>
      <selection pane="bottomLeft"/>
      <selection pane="bottomRight" activeCell="G4" sqref="G4"/>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5" t="s">
        <v>188</v>
      </c>
    </row>
    <row r="2" spans="2:10" ht="50.1" customHeight="1">
      <c r="B2" s="46"/>
      <c r="C2" s="47" t="s">
        <v>189</v>
      </c>
      <c r="D2" s="47" t="s">
        <v>190</v>
      </c>
      <c r="E2" s="47" t="s">
        <v>191</v>
      </c>
      <c r="F2" s="47" t="s">
        <v>192</v>
      </c>
      <c r="G2" s="47" t="s">
        <v>193</v>
      </c>
      <c r="H2" s="47" t="s">
        <v>194</v>
      </c>
      <c r="I2" s="47" t="s">
        <v>195</v>
      </c>
      <c r="J2" s="47" t="s">
        <v>196</v>
      </c>
    </row>
    <row r="3" spans="2:10" ht="50.1" customHeight="1">
      <c r="B3" s="47" t="s">
        <v>197</v>
      </c>
      <c r="C3" s="73" t="s">
        <v>198</v>
      </c>
      <c r="D3" s="73" t="s">
        <v>199</v>
      </c>
      <c r="E3" s="73" t="s">
        <v>200</v>
      </c>
      <c r="F3" s="73" t="s">
        <v>201</v>
      </c>
      <c r="G3" s="73" t="s">
        <v>202</v>
      </c>
      <c r="H3" s="73" t="s">
        <v>203</v>
      </c>
      <c r="I3" s="73" t="s">
        <v>204</v>
      </c>
      <c r="J3" s="80"/>
    </row>
    <row r="4" spans="2:10" ht="50.1" customHeight="1">
      <c r="B4" s="48" t="s">
        <v>205</v>
      </c>
      <c r="C4" s="73">
        <v>25</v>
      </c>
      <c r="D4" s="73">
        <v>3</v>
      </c>
      <c r="E4" s="73"/>
      <c r="F4" s="73">
        <v>1</v>
      </c>
      <c r="G4" s="73"/>
      <c r="H4" s="73">
        <v>1</v>
      </c>
      <c r="I4" s="73"/>
      <c r="J4" s="73"/>
    </row>
    <row r="5" spans="2:10" ht="50.1" customHeight="1">
      <c r="B5" s="48" t="s">
        <v>206</v>
      </c>
      <c r="C5" s="73">
        <v>25</v>
      </c>
      <c r="D5" s="73">
        <v>5</v>
      </c>
      <c r="E5" s="73">
        <v>1</v>
      </c>
      <c r="F5" s="73"/>
      <c r="G5" s="73">
        <v>2</v>
      </c>
      <c r="H5" s="73"/>
      <c r="I5" s="73"/>
      <c r="J5" s="73"/>
    </row>
    <row r="6" spans="2:10" ht="50.1" customHeight="1">
      <c r="B6" s="48" t="s">
        <v>207</v>
      </c>
      <c r="C6" s="73">
        <v>27</v>
      </c>
      <c r="D6" s="73">
        <v>3</v>
      </c>
      <c r="E6" s="73">
        <v>1</v>
      </c>
      <c r="F6" s="73"/>
      <c r="G6" s="73">
        <v>3</v>
      </c>
      <c r="H6" s="73">
        <v>1</v>
      </c>
      <c r="I6" s="73">
        <v>1.5</v>
      </c>
      <c r="J6" s="73"/>
    </row>
    <row r="7" spans="2:10" ht="50.1" customHeight="1">
      <c r="B7" s="48" t="s">
        <v>208</v>
      </c>
      <c r="C7" s="73">
        <v>300</v>
      </c>
      <c r="D7" s="73">
        <v>11</v>
      </c>
      <c r="E7" s="73">
        <v>5</v>
      </c>
      <c r="F7" s="73">
        <v>2</v>
      </c>
      <c r="G7" s="73">
        <v>18</v>
      </c>
      <c r="H7" s="73">
        <v>6</v>
      </c>
      <c r="I7" s="73">
        <v>18</v>
      </c>
      <c r="J7" s="73"/>
    </row>
    <row r="8" spans="2:10" ht="50.1" customHeight="1">
      <c r="B8" s="48" t="s">
        <v>209</v>
      </c>
      <c r="C8" s="73" t="s">
        <v>210</v>
      </c>
      <c r="D8" s="73" t="s">
        <v>211</v>
      </c>
      <c r="E8" s="73" t="s">
        <v>211</v>
      </c>
      <c r="F8" s="73" t="s">
        <v>211</v>
      </c>
      <c r="G8" s="73" t="s">
        <v>211</v>
      </c>
      <c r="H8" s="73" t="s">
        <v>210</v>
      </c>
      <c r="I8" s="73" t="s">
        <v>211</v>
      </c>
      <c r="J8" s="73"/>
    </row>
    <row r="9" spans="2:10" ht="50.1" customHeight="1">
      <c r="B9" s="48" t="s">
        <v>212</v>
      </c>
      <c r="C9" s="73" t="s">
        <v>210</v>
      </c>
      <c r="D9" s="73" t="s">
        <v>210</v>
      </c>
      <c r="E9" s="73" t="s">
        <v>210</v>
      </c>
      <c r="F9" s="73" t="s">
        <v>210</v>
      </c>
      <c r="G9" s="73" t="s">
        <v>210</v>
      </c>
      <c r="H9" s="73" t="s">
        <v>210</v>
      </c>
      <c r="I9" s="73" t="s">
        <v>210</v>
      </c>
      <c r="J9" s="73"/>
    </row>
    <row r="10" spans="2:10" ht="50.1" customHeight="1">
      <c r="B10" s="67" t="s">
        <v>213</v>
      </c>
      <c r="C10" s="73" t="s">
        <v>107</v>
      </c>
      <c r="D10" s="74" t="s">
        <v>214</v>
      </c>
      <c r="E10" s="73" t="s">
        <v>215</v>
      </c>
      <c r="F10" s="73" t="s">
        <v>216</v>
      </c>
      <c r="G10" s="73" t="s">
        <v>202</v>
      </c>
      <c r="H10" s="73" t="s">
        <v>203</v>
      </c>
      <c r="I10" s="73" t="s">
        <v>217</v>
      </c>
      <c r="J10" s="73"/>
    </row>
    <row r="11" spans="2:10" ht="50.1" customHeight="1">
      <c r="B11" s="48" t="s">
        <v>218</v>
      </c>
      <c r="C11" s="74">
        <v>4</v>
      </c>
      <c r="D11" s="74">
        <v>4</v>
      </c>
      <c r="E11" s="74">
        <v>4</v>
      </c>
      <c r="F11" s="73">
        <v>4</v>
      </c>
      <c r="G11" s="73">
        <v>4</v>
      </c>
      <c r="H11" s="73">
        <v>4</v>
      </c>
      <c r="I11" s="73">
        <v>24</v>
      </c>
      <c r="J11" s="73"/>
    </row>
    <row r="12" spans="2:10" ht="50.1" customHeight="1">
      <c r="B12" s="48" t="s">
        <v>219</v>
      </c>
      <c r="C12" s="75">
        <v>0.01</v>
      </c>
      <c r="D12" s="76">
        <v>0.01</v>
      </c>
      <c r="E12" s="76">
        <v>0.01</v>
      </c>
      <c r="F12" s="76">
        <v>0.01</v>
      </c>
      <c r="G12" s="76">
        <v>0.01</v>
      </c>
      <c r="H12" s="76">
        <v>0.01</v>
      </c>
      <c r="I12" s="76">
        <v>0.01</v>
      </c>
      <c r="J12" s="76"/>
    </row>
    <row r="14" spans="2:10" ht="50.1" customHeight="1">
      <c r="B14" s="93" t="s">
        <v>220</v>
      </c>
      <c r="C14" s="93"/>
      <c r="D14" s="93"/>
    </row>
    <row r="15" spans="2:10" ht="50.1" customHeight="1">
      <c r="B15" s="16" t="s">
        <v>221</v>
      </c>
      <c r="C15" s="93" t="s">
        <v>222</v>
      </c>
      <c r="D15" s="93"/>
    </row>
    <row r="16" spans="2:10" ht="50.1" customHeight="1">
      <c r="B16" s="49" t="s">
        <v>223</v>
      </c>
      <c r="C16" s="94" t="s">
        <v>224</v>
      </c>
      <c r="D16" s="94"/>
    </row>
    <row r="17" spans="2:4" ht="50.1" customHeight="1">
      <c r="B17" s="95" t="s">
        <v>225</v>
      </c>
      <c r="C17" s="95" t="s">
        <v>226</v>
      </c>
      <c r="D17" s="95"/>
    </row>
    <row r="18" spans="2:4" ht="50.1" customHeight="1">
      <c r="B18" s="95"/>
      <c r="C18" s="95" t="s">
        <v>227</v>
      </c>
      <c r="D18" s="95"/>
    </row>
    <row r="19" spans="2:4" ht="50.1" customHeight="1">
      <c r="B19" s="95"/>
      <c r="C19" s="95" t="s">
        <v>228</v>
      </c>
      <c r="D19" s="95"/>
    </row>
    <row r="20" spans="2:4" ht="50.1" customHeight="1">
      <c r="B20" s="95"/>
      <c r="C20" s="95" t="s">
        <v>229</v>
      </c>
      <c r="D20" s="95"/>
    </row>
    <row r="21" spans="2:4" ht="50.1" customHeight="1">
      <c r="B21" s="95" t="s">
        <v>230</v>
      </c>
      <c r="C21" s="95" t="s">
        <v>231</v>
      </c>
      <c r="D21" s="95"/>
    </row>
    <row r="22" spans="2:4" ht="50.1" customHeight="1">
      <c r="B22" s="95"/>
      <c r="C22" s="95" t="s">
        <v>232</v>
      </c>
      <c r="D22" s="95"/>
    </row>
    <row r="23" spans="2:4" ht="50.1" customHeight="1">
      <c r="B23" s="95"/>
      <c r="C23" s="95" t="s">
        <v>233</v>
      </c>
      <c r="D23" s="95"/>
    </row>
    <row r="24" spans="2:4" ht="50.1" customHeight="1">
      <c r="B24" s="95" t="s">
        <v>234</v>
      </c>
      <c r="C24" s="95" t="s">
        <v>235</v>
      </c>
      <c r="D24" s="95"/>
    </row>
    <row r="25" spans="2:4" ht="50.1" customHeight="1">
      <c r="B25" s="95"/>
      <c r="C25" s="95" t="s">
        <v>236</v>
      </c>
      <c r="D25" s="95"/>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I3 C4: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2" zoomScale="55" zoomScaleNormal="55" workbookViewId="0">
      <selection activeCell="F9" activeCellId="3" sqref="F5 F7 F8 F9"/>
    </sheetView>
  </sheetViews>
  <sheetFormatPr defaultColWidth="10.875" defaultRowHeight="16.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4" t="s">
        <v>237</v>
      </c>
    </row>
    <row r="2" spans="2:11" ht="66.95" customHeight="1">
      <c r="B2" s="33"/>
      <c r="C2" s="16">
        <v>2022</v>
      </c>
      <c r="D2" s="16">
        <v>2023</v>
      </c>
      <c r="E2" s="16">
        <v>2024</v>
      </c>
      <c r="F2" s="16" t="s">
        <v>121</v>
      </c>
      <c r="G2" s="16" t="s">
        <v>122</v>
      </c>
      <c r="H2" s="16" t="s">
        <v>123</v>
      </c>
      <c r="I2" s="16" t="s">
        <v>238</v>
      </c>
      <c r="J2" s="16" t="s">
        <v>239</v>
      </c>
    </row>
    <row r="3" spans="2:11" ht="66.95" customHeight="1">
      <c r="B3" s="16" t="s">
        <v>240</v>
      </c>
      <c r="C3" s="39">
        <v>8</v>
      </c>
      <c r="D3" s="39">
        <v>8</v>
      </c>
      <c r="E3" s="39">
        <v>8</v>
      </c>
      <c r="F3" s="39">
        <v>8</v>
      </c>
      <c r="G3" s="39">
        <v>8</v>
      </c>
      <c r="H3" s="39">
        <v>9</v>
      </c>
      <c r="I3" s="39">
        <v>9</v>
      </c>
      <c r="J3" s="63"/>
    </row>
    <row r="4" spans="2:11" ht="66.95" customHeight="1">
      <c r="B4" s="36" t="s">
        <v>241</v>
      </c>
      <c r="C4" s="39">
        <v>144</v>
      </c>
      <c r="D4" s="39">
        <v>142</v>
      </c>
      <c r="E4" s="39">
        <v>135</v>
      </c>
      <c r="F4" s="39">
        <v>136</v>
      </c>
      <c r="G4" s="39">
        <v>138</v>
      </c>
      <c r="H4" s="39">
        <v>139</v>
      </c>
      <c r="I4" s="39">
        <v>141</v>
      </c>
      <c r="J4" s="63" t="s">
        <v>242</v>
      </c>
    </row>
    <row r="5" spans="2:11" ht="66.95" customHeight="1">
      <c r="B5" s="16" t="s">
        <v>243</v>
      </c>
      <c r="C5" s="39">
        <v>106</v>
      </c>
      <c r="D5" s="39">
        <v>102</v>
      </c>
      <c r="E5" s="39">
        <v>114</v>
      </c>
      <c r="F5" s="39">
        <v>110</v>
      </c>
      <c r="G5" s="39">
        <v>113</v>
      </c>
      <c r="H5" s="39">
        <v>116</v>
      </c>
      <c r="I5" s="39">
        <v>119</v>
      </c>
      <c r="J5" s="63" t="s">
        <v>244</v>
      </c>
    </row>
    <row r="6" spans="2:11" ht="66.95" customHeight="1">
      <c r="B6" s="16" t="s">
        <v>245</v>
      </c>
      <c r="C6" s="39">
        <v>63</v>
      </c>
      <c r="D6" s="39">
        <v>63</v>
      </c>
      <c r="E6" s="39">
        <v>59</v>
      </c>
      <c r="F6" s="39">
        <v>53</v>
      </c>
      <c r="G6" s="39">
        <v>53</v>
      </c>
      <c r="H6" s="39">
        <v>53</v>
      </c>
      <c r="I6" s="39">
        <v>54</v>
      </c>
      <c r="J6" s="63" t="s">
        <v>246</v>
      </c>
      <c r="K6" s="4" t="s">
        <v>247</v>
      </c>
    </row>
    <row r="7" spans="2:11" ht="66.95" customHeight="1">
      <c r="B7" s="16" t="s">
        <v>248</v>
      </c>
      <c r="C7" s="39">
        <v>29</v>
      </c>
      <c r="D7" s="39">
        <v>30</v>
      </c>
      <c r="E7" s="39">
        <v>30</v>
      </c>
      <c r="F7" s="39">
        <v>30</v>
      </c>
      <c r="G7" s="39">
        <v>30</v>
      </c>
      <c r="H7" s="39">
        <v>31</v>
      </c>
      <c r="I7" s="39">
        <v>32</v>
      </c>
      <c r="J7" s="63"/>
    </row>
    <row r="8" spans="2:11" ht="66.95" customHeight="1">
      <c r="B8" s="16" t="s">
        <v>249</v>
      </c>
      <c r="C8" s="39">
        <v>13</v>
      </c>
      <c r="D8" s="39">
        <v>15</v>
      </c>
      <c r="E8" s="39">
        <v>15</v>
      </c>
      <c r="F8" s="39">
        <v>17</v>
      </c>
      <c r="G8" s="39">
        <v>17</v>
      </c>
      <c r="H8" s="39">
        <v>18</v>
      </c>
      <c r="I8" s="39">
        <v>18</v>
      </c>
      <c r="J8" s="63"/>
    </row>
    <row r="9" spans="2:11" ht="66.95" customHeight="1">
      <c r="B9" s="16" t="s">
        <v>250</v>
      </c>
      <c r="C9" s="39">
        <v>30</v>
      </c>
      <c r="D9" s="39">
        <v>31</v>
      </c>
      <c r="E9" s="39">
        <v>22</v>
      </c>
      <c r="F9" s="39">
        <v>22</v>
      </c>
      <c r="G9" s="39">
        <v>23</v>
      </c>
      <c r="H9" s="39">
        <v>23</v>
      </c>
      <c r="I9" s="39">
        <v>23</v>
      </c>
      <c r="J9" s="63" t="s">
        <v>251</v>
      </c>
    </row>
    <row r="10" spans="2:11" ht="66.95" customHeight="1">
      <c r="B10" s="36" t="s">
        <v>252</v>
      </c>
      <c r="C10" s="39">
        <v>74</v>
      </c>
      <c r="D10" s="39">
        <v>74</v>
      </c>
      <c r="E10" s="39">
        <v>73</v>
      </c>
      <c r="F10" s="39">
        <v>76</v>
      </c>
      <c r="G10" s="39">
        <v>77</v>
      </c>
      <c r="H10" s="39">
        <v>78</v>
      </c>
      <c r="I10" s="39">
        <v>80</v>
      </c>
      <c r="J10" s="63"/>
    </row>
    <row r="11" spans="2:11" ht="66.95" customHeight="1">
      <c r="B11" s="16" t="s">
        <v>253</v>
      </c>
      <c r="C11" s="39">
        <v>45</v>
      </c>
      <c r="D11" s="39">
        <v>44</v>
      </c>
      <c r="E11" s="39">
        <v>45</v>
      </c>
      <c r="F11" s="39">
        <v>45</v>
      </c>
      <c r="G11" s="39">
        <v>45</v>
      </c>
      <c r="H11" s="39">
        <v>45</v>
      </c>
      <c r="I11" s="39">
        <v>45</v>
      </c>
      <c r="J11" s="63" t="s">
        <v>254</v>
      </c>
    </row>
    <row r="12" spans="2:11" ht="66.95" customHeight="1">
      <c r="B12" s="16" t="s">
        <v>255</v>
      </c>
      <c r="C12" s="39">
        <v>7</v>
      </c>
      <c r="D12" s="39">
        <v>7</v>
      </c>
      <c r="E12" s="39">
        <v>8</v>
      </c>
      <c r="F12" s="39">
        <v>9</v>
      </c>
      <c r="G12" s="39">
        <v>9</v>
      </c>
      <c r="H12" s="39">
        <v>9</v>
      </c>
      <c r="I12" s="39">
        <v>9</v>
      </c>
      <c r="J12" s="63"/>
    </row>
    <row r="13" spans="2:11" ht="66.95" customHeight="1">
      <c r="B13" s="16" t="s">
        <v>110</v>
      </c>
      <c r="C13" s="39">
        <v>120</v>
      </c>
      <c r="D13" s="39">
        <v>120</v>
      </c>
      <c r="E13" s="39">
        <v>120</v>
      </c>
      <c r="F13" s="39">
        <v>128</v>
      </c>
      <c r="G13" s="39">
        <v>128</v>
      </c>
      <c r="H13" s="39">
        <v>129</v>
      </c>
      <c r="I13" s="39">
        <v>129</v>
      </c>
      <c r="J13" s="63" t="s">
        <v>256</v>
      </c>
    </row>
    <row r="14" spans="2:11" ht="66.95" customHeight="1">
      <c r="B14" s="16" t="s">
        <v>110</v>
      </c>
      <c r="C14" s="39"/>
      <c r="D14" s="39"/>
      <c r="E14" s="39"/>
      <c r="F14" s="39"/>
      <c r="G14" s="39"/>
      <c r="H14" s="39"/>
      <c r="I14" s="39"/>
      <c r="J14" s="63"/>
    </row>
    <row r="15" spans="2:11" ht="66.95" customHeight="1">
      <c r="B15" s="16" t="s">
        <v>110</v>
      </c>
      <c r="C15" s="39"/>
      <c r="D15" s="39"/>
      <c r="E15" s="39"/>
      <c r="F15" s="39"/>
      <c r="G15" s="39"/>
      <c r="H15" s="39"/>
      <c r="I15" s="39"/>
      <c r="J15" s="63"/>
    </row>
    <row r="16" spans="2:11" ht="18.75">
      <c r="B16" s="54" t="s">
        <v>257</v>
      </c>
      <c r="C16" s="55">
        <f t="shared" ref="C16:I16" si="0">SUM(C3:C15)</f>
        <v>639</v>
      </c>
      <c r="D16" s="55">
        <f t="shared" si="0"/>
        <v>636</v>
      </c>
      <c r="E16" s="55">
        <f t="shared" si="0"/>
        <v>629</v>
      </c>
      <c r="F16" s="55">
        <f t="shared" si="0"/>
        <v>634</v>
      </c>
      <c r="G16" s="55">
        <f t="shared" si="0"/>
        <v>641</v>
      </c>
      <c r="H16" s="55">
        <f t="shared" si="0"/>
        <v>650</v>
      </c>
      <c r="I16" s="55">
        <f t="shared" si="0"/>
        <v>659</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paperSize="7" fitToWidth="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O18" sqref="O18"/>
    </sheetView>
  </sheetViews>
  <sheetFormatPr defaultColWidth="10.875" defaultRowHeight="17.25"/>
  <cols>
    <col min="1" max="1" width="5.375" customWidth="1"/>
    <col min="2" max="2" width="34.5" customWidth="1"/>
  </cols>
  <sheetData>
    <row r="2" spans="2:11" ht="47.1" customHeight="1">
      <c r="B2" s="96" t="s">
        <v>258</v>
      </c>
      <c r="C2" s="96"/>
      <c r="D2" s="96"/>
      <c r="E2" s="96"/>
      <c r="F2" s="96"/>
      <c r="G2" s="96"/>
      <c r="H2" s="96"/>
      <c r="I2" s="96"/>
      <c r="J2" s="96"/>
      <c r="K2" s="96"/>
    </row>
    <row r="3" spans="2:11" ht="47.1" customHeight="1">
      <c r="B3" s="96"/>
      <c r="C3" s="96"/>
      <c r="D3" s="96"/>
      <c r="E3" s="96"/>
      <c r="F3" s="96"/>
      <c r="G3" s="96"/>
      <c r="H3" s="96"/>
      <c r="I3" s="96"/>
      <c r="J3" s="96"/>
      <c r="K3" s="96"/>
    </row>
    <row r="4" spans="2:11" ht="47.1" customHeight="1">
      <c r="B4" s="96"/>
      <c r="C4" s="96"/>
      <c r="D4" s="96"/>
      <c r="E4" s="96"/>
      <c r="F4" s="96"/>
      <c r="G4" s="96"/>
      <c r="H4" s="96"/>
      <c r="I4" s="96"/>
      <c r="J4" s="96"/>
      <c r="K4" s="96"/>
    </row>
    <row r="5" spans="2:11" ht="47.1" customHeight="1">
      <c r="B5" s="96"/>
      <c r="C5" s="96"/>
      <c r="D5" s="96"/>
      <c r="E5" s="96"/>
      <c r="F5" s="96"/>
      <c r="G5" s="96"/>
      <c r="H5" s="96"/>
      <c r="I5" s="96"/>
      <c r="J5" s="96"/>
      <c r="K5" s="96"/>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S13" zoomScale="60" zoomScaleNormal="60" workbookViewId="0">
      <selection activeCell="Y20" sqref="Y20"/>
    </sheetView>
  </sheetViews>
  <sheetFormatPr defaultColWidth="11" defaultRowHeight="17.25"/>
  <cols>
    <col min="1" max="1" width="4.125" style="1" customWidth="1"/>
    <col min="2" max="2" width="51.5" style="1" customWidth="1"/>
    <col min="3" max="22" width="29.125" style="1" customWidth="1"/>
    <col min="23" max="23" width="57.875" style="1" customWidth="1"/>
  </cols>
  <sheetData>
    <row r="1" spans="2:23" ht="60" customHeight="1">
      <c r="B1" s="34" t="s">
        <v>259</v>
      </c>
    </row>
    <row r="2" spans="2:23" ht="60" customHeight="1">
      <c r="B2" s="68" t="s">
        <v>260</v>
      </c>
      <c r="C2" s="97" t="s">
        <v>261</v>
      </c>
      <c r="D2" s="97"/>
      <c r="E2" s="97"/>
      <c r="F2" s="97"/>
      <c r="G2" s="97" t="s">
        <v>262</v>
      </c>
      <c r="H2" s="97"/>
      <c r="I2" s="97"/>
      <c r="J2" s="97"/>
      <c r="K2" s="97"/>
      <c r="L2" s="97" t="s">
        <v>263</v>
      </c>
      <c r="M2" s="97"/>
      <c r="N2" s="97"/>
      <c r="O2" s="97"/>
      <c r="P2" s="97"/>
      <c r="Q2" s="97"/>
      <c r="R2" s="97"/>
      <c r="S2" s="97" t="s">
        <v>264</v>
      </c>
      <c r="T2" s="97"/>
      <c r="U2" s="97"/>
      <c r="V2" s="97"/>
    </row>
    <row r="3" spans="2:23" ht="60" customHeight="1">
      <c r="B3" s="16" t="s">
        <v>265</v>
      </c>
      <c r="C3" s="69" t="s">
        <v>266</v>
      </c>
      <c r="D3" s="69" t="s">
        <v>267</v>
      </c>
      <c r="E3" s="69" t="s">
        <v>268</v>
      </c>
      <c r="F3" s="69" t="s">
        <v>269</v>
      </c>
      <c r="G3" s="69" t="s">
        <v>270</v>
      </c>
      <c r="H3" s="69" t="s">
        <v>271</v>
      </c>
      <c r="I3" s="69" t="s">
        <v>272</v>
      </c>
      <c r="J3" s="69" t="s">
        <v>273</v>
      </c>
      <c r="K3" s="69" t="s">
        <v>274</v>
      </c>
      <c r="L3" s="69" t="s">
        <v>275</v>
      </c>
      <c r="M3" s="70" t="s">
        <v>276</v>
      </c>
      <c r="N3" s="69" t="s">
        <v>277</v>
      </c>
      <c r="O3" s="69" t="s">
        <v>278</v>
      </c>
      <c r="P3" s="69" t="s">
        <v>279</v>
      </c>
      <c r="Q3" s="69" t="s">
        <v>280</v>
      </c>
      <c r="R3" s="69" t="s">
        <v>281</v>
      </c>
      <c r="S3" s="69" t="s">
        <v>282</v>
      </c>
      <c r="T3" s="69" t="s">
        <v>283</v>
      </c>
      <c r="U3" s="69" t="s">
        <v>284</v>
      </c>
      <c r="V3" s="69" t="s">
        <v>285</v>
      </c>
      <c r="W3" s="16" t="s">
        <v>239</v>
      </c>
    </row>
    <row r="4" spans="2:23" ht="60" customHeight="1">
      <c r="B4" s="16" t="s">
        <v>286</v>
      </c>
      <c r="C4" s="39" t="s">
        <v>287</v>
      </c>
      <c r="D4" s="39" t="s">
        <v>287</v>
      </c>
      <c r="E4" s="39" t="s">
        <v>287</v>
      </c>
      <c r="F4" s="39" t="s">
        <v>287</v>
      </c>
      <c r="G4" s="39" t="s">
        <v>45</v>
      </c>
      <c r="H4" s="39" t="s">
        <v>45</v>
      </c>
      <c r="I4" s="39" t="s">
        <v>45</v>
      </c>
      <c r="J4" s="39" t="s">
        <v>45</v>
      </c>
      <c r="K4" s="39" t="s">
        <v>45</v>
      </c>
      <c r="L4" s="39" t="s">
        <v>45</v>
      </c>
      <c r="M4" s="39" t="s">
        <v>45</v>
      </c>
      <c r="N4" s="39" t="s">
        <v>45</v>
      </c>
      <c r="O4" s="39" t="s">
        <v>287</v>
      </c>
      <c r="P4" s="39" t="s">
        <v>45</v>
      </c>
      <c r="Q4" s="39" t="s">
        <v>287</v>
      </c>
      <c r="R4" s="39" t="s">
        <v>45</v>
      </c>
      <c r="S4" s="39" t="s">
        <v>45</v>
      </c>
      <c r="T4" s="39" t="s">
        <v>45</v>
      </c>
      <c r="U4" s="39" t="s">
        <v>287</v>
      </c>
      <c r="V4" s="39" t="s">
        <v>287</v>
      </c>
      <c r="W4" s="63"/>
    </row>
    <row r="5" spans="2:23" ht="60" customHeight="1">
      <c r="B5" s="36" t="s">
        <v>288</v>
      </c>
      <c r="C5" s="39" t="s">
        <v>289</v>
      </c>
      <c r="D5" s="39" t="s">
        <v>289</v>
      </c>
      <c r="E5" s="39" t="s">
        <v>289</v>
      </c>
      <c r="F5" s="39" t="s">
        <v>289</v>
      </c>
      <c r="G5" s="39" t="s">
        <v>154</v>
      </c>
      <c r="H5" s="39" t="s">
        <v>154</v>
      </c>
      <c r="I5" s="39" t="s">
        <v>154</v>
      </c>
      <c r="J5" s="39" t="s">
        <v>154</v>
      </c>
      <c r="K5" s="39" t="s">
        <v>154</v>
      </c>
      <c r="L5" s="39" t="s">
        <v>154</v>
      </c>
      <c r="M5" s="39" t="s">
        <v>154</v>
      </c>
      <c r="N5" s="39" t="s">
        <v>154</v>
      </c>
      <c r="O5" s="39" t="s">
        <v>289</v>
      </c>
      <c r="P5" s="39" t="s">
        <v>154</v>
      </c>
      <c r="Q5" s="39" t="s">
        <v>289</v>
      </c>
      <c r="R5" s="39" t="s">
        <v>154</v>
      </c>
      <c r="S5" s="39" t="s">
        <v>154</v>
      </c>
      <c r="T5" s="39" t="s">
        <v>154</v>
      </c>
      <c r="U5" s="39" t="s">
        <v>289</v>
      </c>
      <c r="V5" s="39" t="s">
        <v>211</v>
      </c>
      <c r="W5" s="63"/>
    </row>
    <row r="6" spans="2:23" ht="60" customHeight="1">
      <c r="B6" s="36" t="s">
        <v>290</v>
      </c>
      <c r="C6" s="39" t="s">
        <v>45</v>
      </c>
      <c r="D6" s="39" t="s">
        <v>45</v>
      </c>
      <c r="E6" s="39" t="s">
        <v>45</v>
      </c>
      <c r="F6" s="39" t="s">
        <v>45</v>
      </c>
      <c r="G6" s="39" t="s">
        <v>45</v>
      </c>
      <c r="H6" s="39" t="s">
        <v>45</v>
      </c>
      <c r="I6" s="39" t="s">
        <v>45</v>
      </c>
      <c r="J6" s="39" t="s">
        <v>45</v>
      </c>
      <c r="K6" s="39" t="s">
        <v>45</v>
      </c>
      <c r="L6" s="39" t="s">
        <v>45</v>
      </c>
      <c r="M6" s="39" t="s">
        <v>45</v>
      </c>
      <c r="N6" s="39" t="s">
        <v>45</v>
      </c>
      <c r="O6" s="39" t="s">
        <v>45</v>
      </c>
      <c r="P6" s="39" t="s">
        <v>45</v>
      </c>
      <c r="Q6" s="39" t="s">
        <v>45</v>
      </c>
      <c r="R6" s="39" t="s">
        <v>45</v>
      </c>
      <c r="S6" s="39" t="s">
        <v>45</v>
      </c>
      <c r="T6" s="39" t="s">
        <v>45</v>
      </c>
      <c r="U6" s="39" t="s">
        <v>45</v>
      </c>
      <c r="V6" s="39" t="s">
        <v>45</v>
      </c>
      <c r="W6" s="63"/>
    </row>
    <row r="7" spans="2:23" ht="60" customHeight="1">
      <c r="B7" s="36" t="s">
        <v>291</v>
      </c>
      <c r="C7" s="39" t="s">
        <v>292</v>
      </c>
      <c r="D7" s="39" t="s">
        <v>293</v>
      </c>
      <c r="E7" s="39" t="s">
        <v>294</v>
      </c>
      <c r="F7" s="39" t="s">
        <v>295</v>
      </c>
      <c r="G7" s="39" t="s">
        <v>154</v>
      </c>
      <c r="H7" s="39" t="s">
        <v>154</v>
      </c>
      <c r="I7" s="39" t="s">
        <v>154</v>
      </c>
      <c r="J7" s="39" t="s">
        <v>154</v>
      </c>
      <c r="K7" s="39" t="s">
        <v>154</v>
      </c>
      <c r="L7" s="39" t="s">
        <v>154</v>
      </c>
      <c r="M7" s="39" t="s">
        <v>154</v>
      </c>
      <c r="N7" s="39" t="s">
        <v>154</v>
      </c>
      <c r="O7" s="39" t="s">
        <v>296</v>
      </c>
      <c r="P7" s="39" t="s">
        <v>154</v>
      </c>
      <c r="Q7" s="39" t="s">
        <v>297</v>
      </c>
      <c r="R7" s="39" t="s">
        <v>154</v>
      </c>
      <c r="S7" s="39" t="s">
        <v>154</v>
      </c>
      <c r="T7" s="39" t="s">
        <v>154</v>
      </c>
      <c r="U7" s="39" t="s">
        <v>298</v>
      </c>
      <c r="V7" s="39" t="s">
        <v>299</v>
      </c>
      <c r="W7" s="63"/>
    </row>
    <row r="8" spans="2:23" ht="60" customHeight="1">
      <c r="B8" s="36" t="s">
        <v>300</v>
      </c>
      <c r="C8" s="39"/>
      <c r="D8" s="39"/>
      <c r="E8" s="39"/>
      <c r="F8" s="39"/>
      <c r="G8" s="39" t="s">
        <v>154</v>
      </c>
      <c r="H8" s="39" t="s">
        <v>154</v>
      </c>
      <c r="I8" s="39" t="s">
        <v>154</v>
      </c>
      <c r="J8" s="39" t="s">
        <v>154</v>
      </c>
      <c r="K8" s="39" t="s">
        <v>154</v>
      </c>
      <c r="L8" s="39" t="s">
        <v>154</v>
      </c>
      <c r="M8" s="39" t="s">
        <v>154</v>
      </c>
      <c r="N8" s="39" t="s">
        <v>154</v>
      </c>
      <c r="O8" s="39"/>
      <c r="P8" s="39" t="s">
        <v>154</v>
      </c>
      <c r="Q8" s="39"/>
      <c r="R8" s="39" t="s">
        <v>154</v>
      </c>
      <c r="S8" s="39" t="s">
        <v>154</v>
      </c>
      <c r="T8" s="39" t="s">
        <v>154</v>
      </c>
      <c r="U8" s="39"/>
      <c r="V8" s="39"/>
      <c r="W8" s="63"/>
    </row>
    <row r="9" spans="2:23" ht="60" customHeight="1">
      <c r="B9" s="36" t="s">
        <v>301</v>
      </c>
      <c r="C9" s="39" t="s">
        <v>302</v>
      </c>
      <c r="D9" s="39"/>
      <c r="E9" s="39"/>
      <c r="F9" s="39"/>
      <c r="G9" s="39" t="s">
        <v>154</v>
      </c>
      <c r="H9" s="39" t="s">
        <v>154</v>
      </c>
      <c r="I9" s="39" t="s">
        <v>154</v>
      </c>
      <c r="J9" s="39" t="s">
        <v>154</v>
      </c>
      <c r="K9" s="39" t="s">
        <v>154</v>
      </c>
      <c r="L9" s="39" t="s">
        <v>154</v>
      </c>
      <c r="M9" s="39" t="s">
        <v>154</v>
      </c>
      <c r="N9" s="39" t="s">
        <v>154</v>
      </c>
      <c r="O9" s="39" t="s">
        <v>303</v>
      </c>
      <c r="P9" s="39" t="s">
        <v>154</v>
      </c>
      <c r="Q9" s="39" t="s">
        <v>304</v>
      </c>
      <c r="R9" s="39" t="s">
        <v>154</v>
      </c>
      <c r="S9" s="39" t="s">
        <v>154</v>
      </c>
      <c r="T9" s="39" t="s">
        <v>154</v>
      </c>
      <c r="U9" s="39" t="s">
        <v>305</v>
      </c>
      <c r="V9" s="39"/>
      <c r="W9" s="63"/>
    </row>
    <row r="10" spans="2:23" ht="60" customHeight="1">
      <c r="B10" s="36" t="s">
        <v>306</v>
      </c>
      <c r="C10" s="39" t="s">
        <v>307</v>
      </c>
      <c r="D10" s="39"/>
      <c r="E10" s="39"/>
      <c r="F10" s="39"/>
      <c r="G10" s="39" t="s">
        <v>154</v>
      </c>
      <c r="H10" s="39" t="s">
        <v>154</v>
      </c>
      <c r="I10" s="39" t="s">
        <v>154</v>
      </c>
      <c r="J10" s="39" t="s">
        <v>154</v>
      </c>
      <c r="K10" s="39" t="s">
        <v>154</v>
      </c>
      <c r="L10" s="39" t="s">
        <v>154</v>
      </c>
      <c r="M10" s="39" t="s">
        <v>154</v>
      </c>
      <c r="N10" s="39" t="s">
        <v>154</v>
      </c>
      <c r="O10" s="39" t="s">
        <v>308</v>
      </c>
      <c r="P10" s="39" t="s">
        <v>154</v>
      </c>
      <c r="Q10" s="39"/>
      <c r="R10" s="39" t="s">
        <v>154</v>
      </c>
      <c r="S10" s="39" t="s">
        <v>154</v>
      </c>
      <c r="T10" s="39" t="s">
        <v>154</v>
      </c>
      <c r="U10" s="39"/>
      <c r="V10" s="39"/>
      <c r="W10" s="63"/>
    </row>
    <row r="11" spans="2:23" ht="60" customHeight="1">
      <c r="B11" s="36" t="s">
        <v>309</v>
      </c>
      <c r="C11" s="39" t="s">
        <v>310</v>
      </c>
      <c r="D11" s="39"/>
      <c r="E11" s="39"/>
      <c r="F11" s="39"/>
      <c r="G11" s="71" t="s">
        <v>154</v>
      </c>
      <c r="H11" s="39" t="s">
        <v>154</v>
      </c>
      <c r="I11" s="39" t="s">
        <v>154</v>
      </c>
      <c r="J11" s="39" t="s">
        <v>154</v>
      </c>
      <c r="K11" s="39" t="s">
        <v>154</v>
      </c>
      <c r="L11" s="39" t="s">
        <v>154</v>
      </c>
      <c r="M11" s="39" t="s">
        <v>154</v>
      </c>
      <c r="N11" s="39" t="s">
        <v>154</v>
      </c>
      <c r="O11" s="39" t="s">
        <v>311</v>
      </c>
      <c r="P11" s="39" t="s">
        <v>154</v>
      </c>
      <c r="Q11" s="39" t="s">
        <v>311</v>
      </c>
      <c r="R11" s="39" t="s">
        <v>154</v>
      </c>
      <c r="S11" s="39" t="s">
        <v>154</v>
      </c>
      <c r="T11" s="39" t="s">
        <v>154</v>
      </c>
      <c r="U11" s="39"/>
      <c r="V11" s="39" t="s">
        <v>312</v>
      </c>
      <c r="W11" s="63"/>
    </row>
    <row r="12" spans="2:23" ht="60" customHeight="1">
      <c r="B12" s="16" t="s">
        <v>313</v>
      </c>
      <c r="C12" s="39" t="s">
        <v>314</v>
      </c>
      <c r="D12" s="39" t="s">
        <v>315</v>
      </c>
      <c r="E12" s="39" t="s">
        <v>316</v>
      </c>
      <c r="F12" s="39" t="s">
        <v>316</v>
      </c>
      <c r="G12" s="39" t="s">
        <v>154</v>
      </c>
      <c r="H12" s="39" t="s">
        <v>154</v>
      </c>
      <c r="I12" s="39" t="s">
        <v>154</v>
      </c>
      <c r="J12" s="39" t="s">
        <v>154</v>
      </c>
      <c r="K12" s="39" t="s">
        <v>154</v>
      </c>
      <c r="L12" s="39" t="s">
        <v>154</v>
      </c>
      <c r="M12" s="39" t="s">
        <v>154</v>
      </c>
      <c r="N12" s="39" t="s">
        <v>154</v>
      </c>
      <c r="O12" s="39" t="s">
        <v>317</v>
      </c>
      <c r="P12" s="39" t="s">
        <v>154</v>
      </c>
      <c r="Q12" s="39" t="s">
        <v>318</v>
      </c>
      <c r="R12" s="39" t="s">
        <v>154</v>
      </c>
      <c r="S12" s="39" t="s">
        <v>154</v>
      </c>
      <c r="T12" s="39" t="s">
        <v>154</v>
      </c>
      <c r="U12" s="39"/>
      <c r="V12" s="39" t="s">
        <v>319</v>
      </c>
      <c r="W12" s="63"/>
    </row>
    <row r="13" spans="2:23" ht="60" customHeight="1">
      <c r="B13" s="36" t="s">
        <v>320</v>
      </c>
      <c r="C13" s="39"/>
      <c r="D13" s="39"/>
      <c r="E13" s="39"/>
      <c r="F13" s="39"/>
      <c r="G13" s="39" t="s">
        <v>154</v>
      </c>
      <c r="H13" s="39" t="s">
        <v>154</v>
      </c>
      <c r="I13" s="39" t="s">
        <v>154</v>
      </c>
      <c r="J13" s="39" t="s">
        <v>154</v>
      </c>
      <c r="K13" s="39" t="s">
        <v>154</v>
      </c>
      <c r="L13" s="39" t="s">
        <v>154</v>
      </c>
      <c r="M13" s="39" t="s">
        <v>154</v>
      </c>
      <c r="N13" s="39" t="s">
        <v>154</v>
      </c>
      <c r="O13" s="39"/>
      <c r="P13" s="39" t="s">
        <v>154</v>
      </c>
      <c r="Q13" s="39"/>
      <c r="R13" s="39" t="s">
        <v>154</v>
      </c>
      <c r="S13" s="39" t="s">
        <v>154</v>
      </c>
      <c r="T13" s="39" t="s">
        <v>154</v>
      </c>
      <c r="U13" s="39"/>
      <c r="V13" s="39"/>
      <c r="W13" s="63"/>
    </row>
    <row r="14" spans="2:23" ht="60" customHeight="1">
      <c r="B14" s="16" t="s">
        <v>321</v>
      </c>
      <c r="C14" s="39"/>
      <c r="D14" s="39"/>
      <c r="E14" s="39"/>
      <c r="F14" s="39"/>
      <c r="G14" s="39" t="s">
        <v>154</v>
      </c>
      <c r="H14" s="39" t="s">
        <v>154</v>
      </c>
      <c r="I14" s="39" t="s">
        <v>154</v>
      </c>
      <c r="J14" s="39" t="s">
        <v>154</v>
      </c>
      <c r="K14" s="39" t="s">
        <v>154</v>
      </c>
      <c r="L14" s="39" t="s">
        <v>154</v>
      </c>
      <c r="M14" s="39" t="s">
        <v>154</v>
      </c>
      <c r="N14" s="39" t="s">
        <v>154</v>
      </c>
      <c r="O14" s="39"/>
      <c r="P14" s="39" t="s">
        <v>154</v>
      </c>
      <c r="Q14" s="39"/>
      <c r="R14" s="39" t="s">
        <v>154</v>
      </c>
      <c r="S14" s="39" t="s">
        <v>154</v>
      </c>
      <c r="T14" s="39" t="s">
        <v>154</v>
      </c>
      <c r="U14" s="39"/>
      <c r="V14" s="39"/>
      <c r="W14" s="63"/>
    </row>
    <row r="15" spans="2:23" ht="60" customHeight="1">
      <c r="B15" s="16" t="s">
        <v>322</v>
      </c>
      <c r="C15" s="39"/>
      <c r="D15" s="39"/>
      <c r="E15" s="39"/>
      <c r="F15" s="39"/>
      <c r="G15" s="39" t="s">
        <v>154</v>
      </c>
      <c r="H15" s="39" t="s">
        <v>154</v>
      </c>
      <c r="I15" s="39" t="s">
        <v>154</v>
      </c>
      <c r="J15" s="39" t="s">
        <v>154</v>
      </c>
      <c r="K15" s="39" t="s">
        <v>154</v>
      </c>
      <c r="L15" s="39" t="s">
        <v>154</v>
      </c>
      <c r="M15" s="39" t="s">
        <v>154</v>
      </c>
      <c r="N15" s="39" t="s">
        <v>154</v>
      </c>
      <c r="O15" s="39"/>
      <c r="P15" s="39" t="s">
        <v>154</v>
      </c>
      <c r="Q15" s="39"/>
      <c r="R15" s="39" t="s">
        <v>154</v>
      </c>
      <c r="S15" s="39" t="s">
        <v>154</v>
      </c>
      <c r="T15" s="39" t="s">
        <v>154</v>
      </c>
      <c r="U15" s="39"/>
      <c r="V15" s="39"/>
      <c r="W15" s="63"/>
    </row>
    <row r="16" spans="2:23" ht="60" customHeight="1">
      <c r="B16" s="36" t="s">
        <v>323</v>
      </c>
      <c r="C16" s="39" t="s">
        <v>324</v>
      </c>
      <c r="D16" s="39" t="s">
        <v>324</v>
      </c>
      <c r="E16" s="39" t="s">
        <v>324</v>
      </c>
      <c r="F16" s="39" t="s">
        <v>324</v>
      </c>
      <c r="G16" s="39" t="s">
        <v>154</v>
      </c>
      <c r="H16" s="39" t="s">
        <v>154</v>
      </c>
      <c r="I16" s="39" t="s">
        <v>154</v>
      </c>
      <c r="J16" s="39" t="s">
        <v>154</v>
      </c>
      <c r="K16" s="39" t="s">
        <v>154</v>
      </c>
      <c r="L16" s="39" t="s">
        <v>154</v>
      </c>
      <c r="M16" s="39" t="s">
        <v>154</v>
      </c>
      <c r="N16" s="39" t="s">
        <v>154</v>
      </c>
      <c r="O16" s="82" t="s">
        <v>325</v>
      </c>
      <c r="P16" s="39" t="s">
        <v>154</v>
      </c>
      <c r="Q16" s="39" t="s">
        <v>326</v>
      </c>
      <c r="R16" s="39" t="s">
        <v>154</v>
      </c>
      <c r="S16" s="39" t="s">
        <v>154</v>
      </c>
      <c r="T16" s="39" t="s">
        <v>154</v>
      </c>
      <c r="U16" s="84" t="s">
        <v>327</v>
      </c>
      <c r="V16" s="39"/>
      <c r="W16" s="63" t="s">
        <v>328</v>
      </c>
    </row>
    <row r="17" spans="2:23" ht="60" customHeight="1">
      <c r="B17" s="16" t="s">
        <v>329</v>
      </c>
      <c r="C17" s="39" t="s">
        <v>324</v>
      </c>
      <c r="D17" s="39" t="s">
        <v>324</v>
      </c>
      <c r="E17" s="39" t="s">
        <v>324</v>
      </c>
      <c r="F17" s="39" t="s">
        <v>324</v>
      </c>
      <c r="G17" s="39" t="s">
        <v>154</v>
      </c>
      <c r="H17" s="39" t="s">
        <v>154</v>
      </c>
      <c r="I17" s="39" t="s">
        <v>154</v>
      </c>
      <c r="J17" s="39" t="s">
        <v>154</v>
      </c>
      <c r="K17" s="39" t="s">
        <v>154</v>
      </c>
      <c r="L17" s="39" t="s">
        <v>154</v>
      </c>
      <c r="M17" s="39" t="s">
        <v>154</v>
      </c>
      <c r="N17" s="39" t="s">
        <v>154</v>
      </c>
      <c r="O17" s="39" t="s">
        <v>330</v>
      </c>
      <c r="P17" s="39" t="s">
        <v>154</v>
      </c>
      <c r="Q17" s="39" t="s">
        <v>330</v>
      </c>
      <c r="R17" s="39" t="s">
        <v>154</v>
      </c>
      <c r="S17" s="39" t="s">
        <v>154</v>
      </c>
      <c r="T17" s="39" t="s">
        <v>154</v>
      </c>
      <c r="U17" s="39" t="s">
        <v>330</v>
      </c>
      <c r="V17" s="39"/>
      <c r="W17" s="63" t="s">
        <v>331</v>
      </c>
    </row>
    <row r="18" spans="2:23" ht="60" customHeight="1">
      <c r="B18" s="16" t="s">
        <v>332</v>
      </c>
      <c r="C18" s="39" t="s">
        <v>324</v>
      </c>
      <c r="D18" s="39" t="s">
        <v>324</v>
      </c>
      <c r="E18" s="39" t="s">
        <v>324</v>
      </c>
      <c r="F18" s="39" t="s">
        <v>324</v>
      </c>
      <c r="G18" s="39" t="s">
        <v>154</v>
      </c>
      <c r="H18" s="39" t="s">
        <v>154</v>
      </c>
      <c r="I18" s="39" t="s">
        <v>154</v>
      </c>
      <c r="J18" s="39" t="s">
        <v>154</v>
      </c>
      <c r="K18" s="39" t="s">
        <v>154</v>
      </c>
      <c r="L18" s="39" t="s">
        <v>154</v>
      </c>
      <c r="M18" s="39" t="s">
        <v>154</v>
      </c>
      <c r="N18" s="39" t="s">
        <v>154</v>
      </c>
      <c r="O18" s="83" t="s">
        <v>333</v>
      </c>
      <c r="P18" s="39" t="s">
        <v>154</v>
      </c>
      <c r="Q18" s="39" t="s">
        <v>333</v>
      </c>
      <c r="R18" s="39" t="s">
        <v>154</v>
      </c>
      <c r="S18" s="39" t="s">
        <v>154</v>
      </c>
      <c r="T18" s="39" t="s">
        <v>154</v>
      </c>
      <c r="U18" s="39" t="s">
        <v>333</v>
      </c>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5 C16:N16 P16:W16 C17: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S32"/>
  <sheetViews>
    <sheetView showGridLines="0" topLeftCell="A25" workbookViewId="0">
      <selection activeCell="D31" sqref="D31"/>
    </sheetView>
  </sheetViews>
  <sheetFormatPr defaultColWidth="10.875" defaultRowHeight="17.25"/>
  <cols>
    <col min="1" max="1" width="5.5" customWidth="1"/>
    <col min="2" max="2" width="22.875" bestFit="1" customWidth="1"/>
    <col min="4" max="4" width="10.5" customWidth="1"/>
    <col min="15" max="15" width="13.75" bestFit="1" customWidth="1"/>
  </cols>
  <sheetData>
    <row r="3" spans="2:19" ht="33.950000000000003" customHeight="1">
      <c r="B3" s="96" t="s">
        <v>334</v>
      </c>
      <c r="C3" s="96"/>
      <c r="D3" s="96"/>
      <c r="E3" s="96"/>
      <c r="F3" s="96"/>
      <c r="G3" s="96"/>
      <c r="H3" s="96"/>
      <c r="I3" s="96"/>
      <c r="J3" s="96"/>
      <c r="K3" s="96"/>
    </row>
    <row r="4" spans="2:19" ht="33.950000000000003" customHeight="1">
      <c r="B4" s="96"/>
      <c r="C4" s="96"/>
      <c r="D4" s="96"/>
      <c r="E4" s="96"/>
      <c r="F4" s="96"/>
      <c r="G4" s="96"/>
      <c r="H4" s="96"/>
      <c r="I4" s="96"/>
      <c r="J4" s="96"/>
      <c r="K4" s="96"/>
      <c r="O4" s="78" t="s">
        <v>335</v>
      </c>
    </row>
    <row r="5" spans="2:19" ht="33.950000000000003" customHeight="1">
      <c r="B5" s="96"/>
      <c r="C5" s="96"/>
      <c r="D5" s="96"/>
      <c r="E5" s="96"/>
      <c r="F5" s="96"/>
      <c r="G5" s="96"/>
      <c r="H5" s="96"/>
      <c r="I5" s="96"/>
      <c r="J5" s="96"/>
      <c r="K5" s="96"/>
      <c r="O5" s="79" t="s">
        <v>336</v>
      </c>
    </row>
    <row r="6" spans="2:19" ht="33.950000000000003" customHeight="1">
      <c r="B6" s="96"/>
      <c r="C6" s="96"/>
      <c r="D6" s="96"/>
      <c r="E6" s="96"/>
      <c r="F6" s="96"/>
      <c r="G6" s="96"/>
      <c r="H6" s="96"/>
      <c r="I6" s="96"/>
      <c r="J6" s="96"/>
      <c r="K6" s="96"/>
    </row>
    <row r="8" spans="2:19" ht="15.95" customHeight="1">
      <c r="D8" s="116" t="s">
        <v>337</v>
      </c>
      <c r="E8" s="116"/>
      <c r="F8" s="116"/>
      <c r="G8" s="116"/>
      <c r="H8" s="113" t="s">
        <v>338</v>
      </c>
      <c r="I8" s="113"/>
      <c r="J8" s="113"/>
      <c r="K8" s="113"/>
      <c r="L8" s="116" t="s">
        <v>339</v>
      </c>
      <c r="M8" s="116"/>
      <c r="N8" s="116"/>
      <c r="O8" s="116"/>
      <c r="P8" s="113" t="s">
        <v>340</v>
      </c>
      <c r="Q8" s="113"/>
      <c r="R8" s="113"/>
      <c r="S8" s="113"/>
    </row>
    <row r="9" spans="2:19">
      <c r="D9" s="77" t="s">
        <v>341</v>
      </c>
      <c r="E9" s="77" t="s">
        <v>342</v>
      </c>
      <c r="F9" s="77" t="s">
        <v>343</v>
      </c>
      <c r="G9" s="77" t="s">
        <v>344</v>
      </c>
      <c r="H9" t="s">
        <v>341</v>
      </c>
      <c r="I9" t="s">
        <v>342</v>
      </c>
      <c r="J9" t="s">
        <v>343</v>
      </c>
      <c r="K9" t="s">
        <v>344</v>
      </c>
      <c r="L9" s="77" t="s">
        <v>341</v>
      </c>
      <c r="M9" s="77" t="s">
        <v>342</v>
      </c>
      <c r="N9" s="77" t="s">
        <v>343</v>
      </c>
      <c r="O9" s="77" t="s">
        <v>344</v>
      </c>
      <c r="P9" t="s">
        <v>341</v>
      </c>
      <c r="Q9" t="s">
        <v>342</v>
      </c>
      <c r="R9" t="s">
        <v>343</v>
      </c>
      <c r="S9" t="s">
        <v>344</v>
      </c>
    </row>
    <row r="10" spans="2:19">
      <c r="B10" t="s">
        <v>345</v>
      </c>
      <c r="D10" s="112" t="s">
        <v>346</v>
      </c>
      <c r="E10" s="108"/>
      <c r="F10" s="108"/>
      <c r="G10" s="108"/>
      <c r="H10" s="108"/>
      <c r="I10" s="108"/>
      <c r="J10" s="108"/>
      <c r="K10" s="108"/>
      <c r="L10" s="107" t="s">
        <v>347</v>
      </c>
      <c r="M10" s="101"/>
      <c r="N10" s="101"/>
      <c r="O10" s="101"/>
      <c r="P10" s="101"/>
      <c r="Q10" s="101"/>
      <c r="R10" s="101"/>
      <c r="S10" s="102"/>
    </row>
    <row r="11" spans="2:19">
      <c r="D11" s="112" t="s">
        <v>348</v>
      </c>
      <c r="E11" s="108"/>
      <c r="F11" s="108"/>
      <c r="G11" s="108"/>
      <c r="H11" s="108"/>
      <c r="I11" s="108"/>
      <c r="J11" s="108"/>
      <c r="K11" s="115"/>
    </row>
    <row r="12" spans="2:19">
      <c r="D12" s="98" t="s">
        <v>349</v>
      </c>
      <c r="E12" s="99"/>
      <c r="F12" s="99"/>
      <c r="G12" s="99"/>
      <c r="H12" s="99"/>
      <c r="I12" s="99"/>
      <c r="J12" s="99"/>
      <c r="K12" s="99"/>
      <c r="L12" s="99"/>
      <c r="M12" s="99"/>
      <c r="N12" s="99"/>
      <c r="O12" s="99"/>
      <c r="P12" s="107" t="s">
        <v>350</v>
      </c>
      <c r="Q12" s="101"/>
      <c r="R12" s="101"/>
      <c r="S12" s="102"/>
    </row>
    <row r="14" spans="2:19">
      <c r="B14" t="s">
        <v>351</v>
      </c>
      <c r="D14" s="112" t="s">
        <v>352</v>
      </c>
      <c r="E14" s="108"/>
      <c r="F14" s="98" t="s">
        <v>353</v>
      </c>
      <c r="G14" s="99"/>
      <c r="H14" s="99"/>
      <c r="I14" s="99"/>
      <c r="J14" s="99"/>
      <c r="K14" s="99"/>
      <c r="L14" s="99"/>
      <c r="M14" s="99"/>
      <c r="N14" s="99"/>
      <c r="O14" s="99"/>
      <c r="P14" s="108"/>
      <c r="Q14" s="108"/>
      <c r="R14" s="108"/>
      <c r="S14" s="115"/>
    </row>
    <row r="15" spans="2:19">
      <c r="D15" s="112" t="s">
        <v>354</v>
      </c>
      <c r="E15" s="108"/>
      <c r="F15" s="105"/>
      <c r="G15" s="105"/>
      <c r="H15" s="105"/>
      <c r="I15" s="105"/>
      <c r="J15" s="105"/>
      <c r="K15" s="105"/>
      <c r="L15" s="105"/>
      <c r="M15" s="105"/>
      <c r="N15" s="105"/>
      <c r="O15" s="105"/>
      <c r="P15" s="107" t="s">
        <v>355</v>
      </c>
      <c r="Q15" s="101"/>
      <c r="R15" s="101"/>
      <c r="S15" s="102"/>
    </row>
    <row r="16" spans="2:19">
      <c r="D16" s="98" t="s">
        <v>356</v>
      </c>
      <c r="E16" s="99"/>
      <c r="F16" s="99"/>
      <c r="G16" s="99"/>
      <c r="H16" s="99"/>
      <c r="I16" s="99"/>
      <c r="J16" s="99"/>
      <c r="K16" s="99"/>
      <c r="L16" s="99"/>
      <c r="M16" s="99"/>
      <c r="N16" s="99"/>
      <c r="O16" s="99"/>
      <c r="P16" s="104"/>
      <c r="Q16" s="104"/>
      <c r="R16" s="104"/>
      <c r="S16" s="114"/>
    </row>
    <row r="18" spans="2:19">
      <c r="B18" t="s">
        <v>357</v>
      </c>
      <c r="D18" s="112" t="s">
        <v>358</v>
      </c>
      <c r="E18" s="108"/>
      <c r="F18" s="108"/>
      <c r="G18" s="108"/>
      <c r="H18" s="108"/>
      <c r="I18" s="108"/>
      <c r="J18" s="108"/>
      <c r="K18" s="107" t="s">
        <v>359</v>
      </c>
      <c r="L18" s="101"/>
      <c r="M18" s="101"/>
      <c r="N18" s="101"/>
      <c r="O18" s="101"/>
      <c r="P18" s="109"/>
      <c r="Q18" s="109"/>
      <c r="R18" s="109"/>
      <c r="S18" s="110"/>
    </row>
    <row r="19" spans="2:19">
      <c r="D19" s="98" t="s">
        <v>360</v>
      </c>
      <c r="E19" s="99"/>
      <c r="F19" s="99"/>
      <c r="G19" s="99"/>
      <c r="H19" s="99"/>
      <c r="I19" s="99"/>
      <c r="J19" s="108"/>
      <c r="K19" s="105"/>
      <c r="L19" s="105"/>
      <c r="M19" s="105"/>
      <c r="N19" s="105"/>
      <c r="O19" s="105"/>
      <c r="P19" s="111" t="s">
        <v>361</v>
      </c>
      <c r="Q19" s="109"/>
      <c r="R19" s="109"/>
      <c r="S19" s="110"/>
    </row>
    <row r="20" spans="2:19">
      <c r="J20" s="107" t="s">
        <v>362</v>
      </c>
      <c r="K20" s="101"/>
      <c r="L20" s="101"/>
      <c r="M20" s="101"/>
      <c r="N20" s="101"/>
      <c r="O20" s="107" t="s">
        <v>363</v>
      </c>
      <c r="P20" s="101"/>
      <c r="Q20" s="101"/>
      <c r="R20" s="101"/>
      <c r="S20" s="102"/>
    </row>
    <row r="22" spans="2:19">
      <c r="B22" t="s">
        <v>364</v>
      </c>
      <c r="D22" s="98" t="s">
        <v>365</v>
      </c>
      <c r="E22" s="99"/>
      <c r="F22" s="99"/>
      <c r="G22" s="99"/>
      <c r="H22" s="99"/>
      <c r="I22" s="99"/>
      <c r="J22" s="99"/>
      <c r="K22" s="99"/>
      <c r="L22" s="99"/>
      <c r="M22" s="99"/>
      <c r="N22" s="99"/>
      <c r="O22" s="99"/>
      <c r="P22" s="99"/>
      <c r="Q22" s="99"/>
      <c r="R22" s="99"/>
      <c r="S22" s="100"/>
    </row>
    <row r="23" spans="2:19">
      <c r="B23" s="60"/>
      <c r="D23" s="103" t="s">
        <v>366</v>
      </c>
      <c r="E23" s="104"/>
      <c r="F23" s="104"/>
      <c r="G23" s="104"/>
      <c r="H23" s="104"/>
      <c r="I23" s="104"/>
      <c r="J23" s="104"/>
      <c r="K23" s="104"/>
      <c r="L23" s="105"/>
      <c r="M23" s="105"/>
      <c r="N23" s="105"/>
      <c r="O23" s="105"/>
      <c r="P23" s="105"/>
      <c r="Q23" s="105"/>
      <c r="R23" s="105"/>
      <c r="S23" s="106"/>
    </row>
    <row r="24" spans="2:19">
      <c r="D24" s="103" t="s">
        <v>367</v>
      </c>
      <c r="E24" s="104"/>
      <c r="F24" s="104"/>
      <c r="G24" s="104"/>
      <c r="H24" s="104"/>
      <c r="I24" s="104"/>
      <c r="J24" s="104"/>
      <c r="K24" s="104"/>
      <c r="L24" s="107" t="s">
        <v>368</v>
      </c>
      <c r="M24" s="101"/>
      <c r="N24" s="101"/>
      <c r="O24" s="101"/>
      <c r="P24" s="101"/>
      <c r="Q24" s="101"/>
      <c r="R24" s="101"/>
      <c r="S24" s="102"/>
    </row>
    <row r="26" spans="2:19">
      <c r="B26" t="s">
        <v>369</v>
      </c>
      <c r="D26" s="98" t="s">
        <v>370</v>
      </c>
      <c r="E26" s="99"/>
      <c r="F26" s="99"/>
      <c r="G26" s="99"/>
      <c r="H26" s="99"/>
      <c r="I26" s="99"/>
      <c r="J26" s="99"/>
      <c r="K26" s="100"/>
      <c r="L26" s="101" t="s">
        <v>371</v>
      </c>
      <c r="M26" s="101"/>
      <c r="N26" s="101"/>
      <c r="O26" s="101"/>
      <c r="P26" s="101"/>
      <c r="Q26" s="101"/>
      <c r="R26" s="101"/>
      <c r="S26" s="102"/>
    </row>
    <row r="29" spans="2:19">
      <c r="B29" s="60"/>
    </row>
    <row r="32" spans="2:19">
      <c r="B32" s="60"/>
    </row>
  </sheetData>
  <mergeCells count="27">
    <mergeCell ref="B3:K6"/>
    <mergeCell ref="H8:K8"/>
    <mergeCell ref="D8:G8"/>
    <mergeCell ref="D11:K11"/>
    <mergeCell ref="D12:O12"/>
    <mergeCell ref="L8:O8"/>
    <mergeCell ref="D10:K10"/>
    <mergeCell ref="P8:S8"/>
    <mergeCell ref="L10:S10"/>
    <mergeCell ref="P12:S12"/>
    <mergeCell ref="D15:O15"/>
    <mergeCell ref="D16:S16"/>
    <mergeCell ref="F14:S14"/>
    <mergeCell ref="P15:S15"/>
    <mergeCell ref="D14:E14"/>
    <mergeCell ref="J20:N20"/>
    <mergeCell ref="O20:S20"/>
    <mergeCell ref="D19:O19"/>
    <mergeCell ref="K18:S18"/>
    <mergeCell ref="P19:S19"/>
    <mergeCell ref="D18:J18"/>
    <mergeCell ref="D26:K26"/>
    <mergeCell ref="L26:S26"/>
    <mergeCell ref="D24:K24"/>
    <mergeCell ref="D22:S22"/>
    <mergeCell ref="D23:S23"/>
    <mergeCell ref="L24:S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A10" zoomScale="70" zoomScaleNormal="100" workbookViewId="0">
      <selection activeCell="A31" sqref="A31"/>
    </sheetView>
  </sheetViews>
  <sheetFormatPr defaultColWidth="10.875" defaultRowHeight="21.75"/>
  <cols>
    <col min="1" max="1" width="4.125" style="57" customWidth="1"/>
    <col min="2" max="2" width="200.875" style="10" customWidth="1"/>
    <col min="3" max="3" width="67.5" style="13" customWidth="1"/>
    <col min="4" max="16384" width="10.875" style="51"/>
  </cols>
  <sheetData>
    <row r="2" spans="2:4">
      <c r="B2" s="8" t="s">
        <v>372</v>
      </c>
      <c r="C2" s="11"/>
    </row>
    <row r="3" spans="2:4">
      <c r="B3" s="44" t="s">
        <v>373</v>
      </c>
      <c r="C3" s="59"/>
    </row>
    <row r="4" spans="2:4">
      <c r="B4" s="58" t="s">
        <v>374</v>
      </c>
      <c r="C4" s="59"/>
    </row>
    <row r="5" spans="2:4" ht="65.25">
      <c r="B5" s="56" t="s">
        <v>375</v>
      </c>
      <c r="C5" s="50" t="s">
        <v>45</v>
      </c>
      <c r="D5" s="52" t="s">
        <v>376</v>
      </c>
    </row>
    <row r="6" spans="2:4">
      <c r="B6" s="58" t="s">
        <v>377</v>
      </c>
      <c r="C6" s="59"/>
      <c r="D6" s="52"/>
    </row>
    <row r="7" spans="2:4" ht="65.25">
      <c r="B7" s="56" t="s">
        <v>378</v>
      </c>
      <c r="C7" s="50" t="s">
        <v>45</v>
      </c>
      <c r="D7" s="52" t="s">
        <v>379</v>
      </c>
    </row>
    <row r="8" spans="2:4">
      <c r="B8" s="58" t="s">
        <v>380</v>
      </c>
      <c r="C8" s="59"/>
    </row>
    <row r="9" spans="2:4" ht="65.25">
      <c r="B9" s="56" t="s">
        <v>381</v>
      </c>
      <c r="C9" s="50" t="s">
        <v>287</v>
      </c>
    </row>
    <row r="10" spans="2:4">
      <c r="B10" s="58" t="s">
        <v>382</v>
      </c>
      <c r="C10" s="59"/>
    </row>
    <row r="11" spans="2:4" ht="65.25">
      <c r="B11" s="56" t="s">
        <v>383</v>
      </c>
      <c r="C11" s="50" t="s">
        <v>287</v>
      </c>
    </row>
    <row r="12" spans="2:4">
      <c r="B12" s="44" t="s">
        <v>384</v>
      </c>
      <c r="C12" s="59"/>
    </row>
    <row r="13" spans="2:4">
      <c r="B13" s="58" t="s">
        <v>385</v>
      </c>
      <c r="C13" s="59"/>
    </row>
    <row r="14" spans="2:4" ht="65.25">
      <c r="B14" s="56" t="s">
        <v>386</v>
      </c>
      <c r="C14" s="50" t="s">
        <v>287</v>
      </c>
    </row>
    <row r="15" spans="2:4">
      <c r="B15" s="58" t="s">
        <v>387</v>
      </c>
      <c r="C15" s="59"/>
    </row>
    <row r="16" spans="2:4" ht="65.25">
      <c r="B16" s="56" t="s">
        <v>388</v>
      </c>
      <c r="C16" s="50" t="s">
        <v>287</v>
      </c>
    </row>
    <row r="17" spans="2:3">
      <c r="B17" s="58" t="s">
        <v>389</v>
      </c>
      <c r="C17" s="59"/>
    </row>
    <row r="18" spans="2:3" ht="65.25">
      <c r="B18" s="56" t="s">
        <v>390</v>
      </c>
      <c r="C18" s="50" t="s">
        <v>45</v>
      </c>
    </row>
    <row r="19" spans="2:3">
      <c r="B19" s="58" t="s">
        <v>391</v>
      </c>
      <c r="C19" s="59"/>
    </row>
    <row r="20" spans="2:3" ht="65.25">
      <c r="B20" s="56" t="s">
        <v>392</v>
      </c>
      <c r="C20" s="50" t="s">
        <v>287</v>
      </c>
    </row>
    <row r="21" spans="2:3">
      <c r="B21" s="58" t="s">
        <v>393</v>
      </c>
      <c r="C21" s="59"/>
    </row>
    <row r="22" spans="2:3" ht="87">
      <c r="B22" s="56" t="s">
        <v>394</v>
      </c>
      <c r="C22" s="50" t="s">
        <v>287</v>
      </c>
    </row>
    <row r="23" spans="2:3">
      <c r="B23" s="58" t="s">
        <v>395</v>
      </c>
      <c r="C23" s="59"/>
    </row>
    <row r="24" spans="2:3" ht="87">
      <c r="B24" s="56" t="s">
        <v>396</v>
      </c>
      <c r="C24" s="50" t="s">
        <v>287</v>
      </c>
    </row>
    <row r="25" spans="2:3">
      <c r="B25" s="58" t="s">
        <v>397</v>
      </c>
      <c r="C25" s="59"/>
    </row>
    <row r="26" spans="2:3" ht="87">
      <c r="B26" s="56" t="s">
        <v>398</v>
      </c>
      <c r="C26" s="50" t="s">
        <v>287</v>
      </c>
    </row>
    <row r="27" spans="2:3">
      <c r="B27" s="58" t="s">
        <v>399</v>
      </c>
      <c r="C27" s="59"/>
    </row>
    <row r="28" spans="2:3" ht="87">
      <c r="B28" s="56" t="s">
        <v>400</v>
      </c>
      <c r="C28" s="50" t="s">
        <v>287</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6.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8">
      <c r="A1" s="1" t="s">
        <v>401</v>
      </c>
      <c r="C1" s="7" t="s">
        <v>402</v>
      </c>
      <c r="E1" s="5" t="s">
        <v>403</v>
      </c>
      <c r="G1" s="5" t="s">
        <v>404</v>
      </c>
    </row>
    <row r="2" spans="1:7">
      <c r="A2" s="1" t="s">
        <v>56</v>
      </c>
      <c r="C2" s="1" t="s">
        <v>405</v>
      </c>
      <c r="E2" s="1" t="s">
        <v>287</v>
      </c>
      <c r="G2" s="1" t="s">
        <v>406</v>
      </c>
    </row>
    <row r="3" spans="1:7">
      <c r="A3" s="1" t="s">
        <v>407</v>
      </c>
      <c r="C3" s="1" t="s">
        <v>282</v>
      </c>
      <c r="E3" s="1" t="s">
        <v>45</v>
      </c>
      <c r="G3" s="1" t="s">
        <v>408</v>
      </c>
    </row>
    <row r="4" spans="1:7">
      <c r="C4" s="1" t="s">
        <v>409</v>
      </c>
      <c r="G4" s="1" t="s">
        <v>410</v>
      </c>
    </row>
    <row r="5" spans="1:7">
      <c r="C5" s="1" t="s">
        <v>411</v>
      </c>
      <c r="G5" s="1" t="s">
        <v>412</v>
      </c>
    </row>
    <row r="6" spans="1:7">
      <c r="C6" s="1" t="s">
        <v>413</v>
      </c>
      <c r="G6" s="1" t="s">
        <v>414</v>
      </c>
    </row>
    <row r="7" spans="1:7">
      <c r="C7" s="1" t="s">
        <v>415</v>
      </c>
      <c r="G7" s="1" t="s">
        <v>203</v>
      </c>
    </row>
    <row r="8" spans="1:7">
      <c r="C8" s="1" t="s">
        <v>416</v>
      </c>
      <c r="G8" s="1" t="s">
        <v>417</v>
      </c>
    </row>
    <row r="9" spans="1:7">
      <c r="C9" s="1" t="s">
        <v>418</v>
      </c>
      <c r="G9" s="1" t="s">
        <v>419</v>
      </c>
    </row>
    <row r="10" spans="1:7">
      <c r="C10" s="1" t="s">
        <v>420</v>
      </c>
      <c r="G10" s="1" t="s">
        <v>421</v>
      </c>
    </row>
    <row r="11" spans="1:7">
      <c r="C11" s="1" t="s">
        <v>422</v>
      </c>
      <c r="G11" s="1" t="s">
        <v>423</v>
      </c>
    </row>
    <row r="12" spans="1:7">
      <c r="C12" s="1" t="s">
        <v>424</v>
      </c>
      <c r="G12" s="1" t="s">
        <v>107</v>
      </c>
    </row>
    <row r="13" spans="1:7">
      <c r="C13" s="1" t="s">
        <v>270</v>
      </c>
      <c r="G13" s="1" t="s">
        <v>425</v>
      </c>
    </row>
    <row r="14" spans="1:7">
      <c r="C14" s="1" t="s">
        <v>426</v>
      </c>
      <c r="G14" s="1" t="s">
        <v>427</v>
      </c>
    </row>
    <row r="15" spans="1:7">
      <c r="C15" s="1" t="s">
        <v>428</v>
      </c>
      <c r="G15" s="1" t="s">
        <v>429</v>
      </c>
    </row>
    <row r="16" spans="1:7">
      <c r="C16" s="1" t="s">
        <v>430</v>
      </c>
      <c r="G16" s="1" t="s">
        <v>431</v>
      </c>
    </row>
    <row r="17" spans="3:7">
      <c r="C17" s="1" t="s">
        <v>432</v>
      </c>
      <c r="G17" s="1" t="s">
        <v>433</v>
      </c>
    </row>
    <row r="18" spans="3:7">
      <c r="C18" s="1" t="s">
        <v>434</v>
      </c>
      <c r="G18" s="1" t="s">
        <v>435</v>
      </c>
    </row>
    <row r="19" spans="3:7">
      <c r="C19" s="1" t="s">
        <v>436</v>
      </c>
      <c r="G19" s="1" t="s">
        <v>437</v>
      </c>
    </row>
    <row r="20" spans="3:7">
      <c r="C20" s="1" t="s">
        <v>438</v>
      </c>
      <c r="G20" s="1" t="s">
        <v>439</v>
      </c>
    </row>
    <row r="21" spans="3:7">
      <c r="C21" s="1" t="s">
        <v>440</v>
      </c>
      <c r="G21" s="1" t="s">
        <v>441</v>
      </c>
    </row>
    <row r="22" spans="3:7">
      <c r="G22" s="1" t="s">
        <v>442</v>
      </c>
    </row>
    <row r="23" spans="3:7">
      <c r="G23" s="1" t="s">
        <v>443</v>
      </c>
    </row>
    <row r="24" spans="3:7">
      <c r="G24" s="1" t="s">
        <v>444</v>
      </c>
    </row>
    <row r="25" spans="3:7">
      <c r="G25" s="1" t="s">
        <v>445</v>
      </c>
    </row>
    <row r="26" spans="3:7">
      <c r="G26" s="1" t="s">
        <v>446</v>
      </c>
    </row>
    <row r="27" spans="3:7">
      <c r="G27" s="1" t="s">
        <v>200</v>
      </c>
    </row>
    <row r="28" spans="3:7">
      <c r="G28" s="1" t="s">
        <v>201</v>
      </c>
    </row>
    <row r="29" spans="3:7">
      <c r="G29" s="1" t="s">
        <v>447</v>
      </c>
    </row>
    <row r="30" spans="3:7">
      <c r="G30" s="1" t="s">
        <v>448</v>
      </c>
    </row>
    <row r="31" spans="3:7">
      <c r="G31" s="1" t="s">
        <v>449</v>
      </c>
    </row>
    <row r="32" spans="3:7">
      <c r="G32" s="1" t="s">
        <v>450</v>
      </c>
    </row>
    <row r="33" spans="7:7">
      <c r="G33" s="1" t="s">
        <v>451</v>
      </c>
    </row>
    <row r="34" spans="7:7">
      <c r="G34" s="1" t="s">
        <v>452</v>
      </c>
    </row>
    <row r="35" spans="7:7">
      <c r="G35" s="1" t="s">
        <v>453</v>
      </c>
    </row>
    <row r="36" spans="7:7">
      <c r="G36" s="1" t="s">
        <v>88</v>
      </c>
    </row>
    <row r="37" spans="7:7">
      <c r="G37" s="1" t="s">
        <v>454</v>
      </c>
    </row>
    <row r="38" spans="7:7">
      <c r="G38" s="1" t="s">
        <v>455</v>
      </c>
    </row>
    <row r="39" spans="7:7">
      <c r="G39" s="1" t="s">
        <v>456</v>
      </c>
    </row>
    <row r="40" spans="7:7">
      <c r="G40" s="1" t="s">
        <v>457</v>
      </c>
    </row>
    <row r="41" spans="7:7">
      <c r="G41" s="1" t="s">
        <v>458</v>
      </c>
    </row>
    <row r="42" spans="7:7">
      <c r="G42" s="1" t="s">
        <v>459</v>
      </c>
    </row>
    <row r="43" spans="7:7">
      <c r="G43" s="1" t="s">
        <v>460</v>
      </c>
    </row>
    <row r="44" spans="7:7">
      <c r="G44" s="1" t="s">
        <v>461</v>
      </c>
    </row>
    <row r="45" spans="7:7">
      <c r="G45" s="1" t="s">
        <v>147</v>
      </c>
    </row>
    <row r="46" spans="7:7">
      <c r="G46" s="1" t="s">
        <v>462</v>
      </c>
    </row>
    <row r="47" spans="7:7">
      <c r="G47" s="1" t="s">
        <v>463</v>
      </c>
    </row>
    <row r="48" spans="7:7">
      <c r="G48" s="1" t="s">
        <v>464</v>
      </c>
    </row>
    <row r="49" spans="7:7">
      <c r="G49" s="1" t="s">
        <v>465</v>
      </c>
    </row>
    <row r="50" spans="7:7">
      <c r="G50" s="1" t="s">
        <v>466</v>
      </c>
    </row>
    <row r="51" spans="7:7">
      <c r="G51" s="1" t="s">
        <v>467</v>
      </c>
    </row>
    <row r="52" spans="7:7">
      <c r="G52" s="1" t="s">
        <v>468</v>
      </c>
    </row>
    <row r="53" spans="7:7">
      <c r="G53" s="1" t="s">
        <v>469</v>
      </c>
    </row>
    <row r="54" spans="7:7">
      <c r="G54" s="1" t="s">
        <v>470</v>
      </c>
    </row>
    <row r="55" spans="7:7">
      <c r="G55" s="1" t="s">
        <v>77</v>
      </c>
    </row>
    <row r="56" spans="7:7">
      <c r="G56" s="1" t="s">
        <v>471</v>
      </c>
    </row>
    <row r="57" spans="7:7">
      <c r="G57" s="1"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Horner-Smith, Meghann</cp:lastModifiedBy>
  <cp:revision/>
  <dcterms:created xsi:type="dcterms:W3CDTF">2018-09-10T17:18:27Z</dcterms:created>
  <dcterms:modified xsi:type="dcterms:W3CDTF">2025-04-28T16:03:54Z</dcterms:modified>
  <cp:category/>
  <cp:contentStatus/>
</cp:coreProperties>
</file>