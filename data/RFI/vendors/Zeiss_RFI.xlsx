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https://api.box.com/wopi/files/1847775248468/WOPIServiceId_TP_BOX_2/WOPIUserId_-/"/>
    </mc:Choice>
  </mc:AlternateContent>
  <xr:revisionPtr revIDLastSave="342" documentId="13_ncr:1_{96E35911-66C1-E54E-8449-E640E70BD0FF}" xr6:coauthVersionLast="47" xr6:coauthVersionMax="47" xr10:uidLastSave="{6377B834-C35C-4DEA-A2B8-19C574BE8935}"/>
  <workbookProtection workbookAlgorithmName="SHA-512" workbookHashValue="DZ307OSwGf3RBgln30ohjK9cXpWpHHaHtd7yDeNi+Mrqi98RPfIMLB2jlZwwG/H9xWNSm6Szu+3goAXOg6dRiA==" workbookSaltValue="o4x2JKd6JvqWvCAbp3C4+Q==" workbookSpinCount="100000" lockStructure="1"/>
  <bookViews>
    <workbookView xWindow="0" yWindow="760" windowWidth="27080" windowHeight="16300" firstSheet="5" activeTab="7"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0" l="1"/>
  <c r="H16" i="20"/>
  <c r="G16" i="20"/>
  <c r="E16" i="20"/>
  <c r="D16" i="20"/>
  <c r="C16" i="20"/>
  <c r="F16" i="20" l="1"/>
</calcChain>
</file>

<file path=xl/sharedStrings.xml><?xml version="1.0" encoding="utf-8"?>
<sst xmlns="http://schemas.openxmlformats.org/spreadsheetml/2006/main" count="449" uniqueCount="395">
  <si>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</si>
  <si>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</si>
  <si>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</si>
  <si>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</si>
  <si>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</si>
  <si>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</si>
  <si>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</si>
  <si>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</si>
  <si>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</si>
  <si>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</si>
  <si>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</si>
  <si>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</si>
  <si>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</si>
  <si>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</si>
  <si>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</si>
  <si>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</si>
  <si>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</si>
  <si>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</si>
  <si>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</si>
  <si>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</si>
  <si>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</si>
  <si>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</si>
  <si>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</si>
  <si>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</si>
  <si>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</si>
  <si>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</si>
  <si>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</si>
  <si>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</si>
  <si>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</si>
  <si>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</si>
  <si>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</si>
  <si>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</si>
  <si>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</si>
  <si>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</si>
  <si>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</si>
  <si>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</si>
  <si>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</si>
  <si>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</si>
  <si>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</si>
  <si>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</si>
  <si>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</si>
  <si>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</si>
  <si>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</si>
  <si>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</si>
  <si>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</si>
  <si>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</si>
  <si>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</si>
  <si>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</si>
  <si>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</si>
  <si>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</si>
  <si>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</si>
  <si>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</si>
  <si>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</si>
  <si>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</si>
  <si>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</si>
  <si>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</si>
  <si>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</si>
  <si>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</si>
  <si>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</si>
  <si>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</si>
  <si>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</si>
  <si>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</si>
  <si>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</si>
  <si>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</si>
  <si>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</si>
  <si>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</si>
  <si>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</si>
  <si>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</si>
  <si>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</si>
  <si>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</si>
  <si>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</si>
  <si>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</si>
  <si>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</si>
  <si>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</si>
  <si>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</si>
  <si>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</si>
  <si>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</si>
  <si>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</si>
  <si>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</si>
  <si>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</si>
  <si>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</si>
  <si>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</si>
  <si>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</si>
  <si>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</si>
  <si>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</si>
  <si>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</si>
  <si>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</si>
  <si>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</si>
  <si>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</si>
  <si>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</si>
  <si>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</si>
  <si>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</si>
  <si>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</si>
  <si>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</si>
  <si>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</si>
  <si>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</si>
  <si>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</si>
  <si>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</si>
  <si>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</si>
  <si>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</si>
  <si>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</si>
  <si>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</si>
  <si>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</si>
  <si>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</si>
  <si>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</si>
  <si>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</si>
  <si>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</si>
  <si>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</si>
  <si>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</si>
  <si>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</si>
  <si>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</si>
  <si>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</si>
  <si>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</si>
  <si>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</si>
  <si>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</si>
  <si>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</si>
  <si>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</si>
  <si>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</si>
  <si>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</si>
  <si>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</si>
  <si>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</si>
  <si>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</si>
  <si>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</si>
  <si>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</si>
  <si>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</si>
  <si>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</si>
  <si>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</si>
  <si>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</si>
  <si>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</si>
  <si>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</si>
  <si>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</si>
  <si>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</si>
  <si>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</si>
  <si>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</si>
  <si>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</si>
  <si>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</si>
  <si>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</si>
  <si>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</si>
  <si>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</si>
  <si>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</si>
  <si>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</si>
  <si>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</si>
  <si>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</si>
  <si>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</si>
  <si>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</si>
  <si>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</si>
  <si>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</si>
  <si>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</si>
  <si>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</si>
  <si>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</si>
  <si>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</si>
  <si>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</si>
  <si>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</si>
  <si>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</si>
  <si>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</si>
  <si>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</si>
  <si>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</si>
  <si>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</si>
  <si>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</si>
  <si>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</si>
  <si>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</si>
  <si>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</si>
  <si>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</si>
  <si>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</si>
  <si>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</si>
  <si>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</si>
  <si>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</si>
  <si>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</si>
  <si>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</si>
  <si>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</si>
  <si>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</si>
  <si>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</si>
  <si>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</si>
  <si>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</si>
  <si>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</si>
  <si>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</si>
  <si>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</si>
  <si>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</si>
  <si>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</si>
  <si>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</si>
  <si>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</si>
  <si>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</si>
  <si>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</si>
  <si>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</si>
  <si>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</si>
  <si>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</si>
  <si>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</si>
  <si>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</si>
  <si>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</si>
  <si>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</si>
  <si>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</si>
  <si>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</si>
  <si>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</si>
  <si>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</si>
  <si>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</si>
  <si>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</si>
  <si>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</si>
  <si>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</si>
  <si>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</si>
  <si>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</si>
  <si>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</si>
  <si>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</si>
  <si>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</si>
  <si>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</si>
  <si>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</si>
  <si>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</si>
  <si>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</si>
  <si>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</si>
  <si>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</si>
  <si>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</si>
  <si>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</si>
  <si>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</si>
  <si>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</si>
  <si>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</si>
  <si>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</si>
  <si>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</si>
  <si>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</si>
  <si>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</si>
  <si>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</si>
  <si>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</si>
  <si>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</si>
  <si>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</si>
  <si>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</si>
  <si>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</si>
  <si>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</si>
  <si>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</si>
  <si>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</si>
  <si>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</si>
  <si>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</si>
  <si>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</si>
  <si>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</si>
  <si>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</si>
  <si>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</si>
  <si>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</si>
  <si>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</si>
  <si>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</si>
  <si>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</si>
  <si>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</si>
  <si>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</si>
  <si>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</si>
  <si>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</si>
  <si>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</si>
  <si>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</si>
  <si>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</si>
  <si>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</si>
  <si>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</si>
  <si>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</si>
  <si>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</si>
  <si>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</si>
  <si>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</si>
  <si>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</si>
  <si>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</si>
  <si>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</si>
  <si>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</si>
  <si>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</si>
  <si>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</si>
  <si>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</si>
  <si>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</si>
  <si>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</si>
  <si>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</si>
  <si>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</si>
  <si>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</si>
  <si>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</si>
  <si>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</si>
  <si>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</si>
  <si>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</si>
  <si>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</si>
  <si>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</si>
  <si>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</si>
  <si>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</si>
  <si>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</si>
  <si>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</si>
  <si>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</si>
  <si>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</si>
  <si>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</si>
  <si>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</si>
  <si>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</si>
  <si>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</si>
  <si>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</si>
  <si>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</si>
  <si>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</si>
  <si>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</si>
  <si>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</si>
  <si>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</si>
  <si>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</si>
  <si>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</si>
  <si>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</si>
  <si>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</si>
  <si>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</si>
  <si>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</si>
  <si>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</si>
  <si>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</si>
  <si>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</si>
  <si>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</si>
  <si>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</si>
  <si>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</si>
  <si>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</si>
  <si>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</si>
  <si>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</si>
  <si>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</si>
  <si>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</si>
  <si>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</si>
  <si>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</si>
  <si>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</si>
  <si>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</si>
  <si>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</si>
  <si>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</si>
  <si>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</si>
  <si>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</si>
  <si>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</si>
  <si>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</si>
  <si>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</si>
  <si>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</si>
  <si>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</si>
  <si>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</si>
  <si>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</si>
  <si>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</si>
  <si>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</si>
  <si>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</si>
  <si>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</si>
  <si>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Carl Zeiss Industrielle Messtechnik GmbH</t>
  </si>
  <si>
    <t>Carl Zeiss AG</t>
  </si>
  <si>
    <t>Carl-Zeiss-Straße 22
73446 Oberkochen, Germany</t>
  </si>
  <si>
    <t>www.zeiss.com</t>
  </si>
  <si>
    <t>N/A</t>
  </si>
  <si>
    <t>Foundation</t>
  </si>
  <si>
    <t>Giovanni Ramirez</t>
  </si>
  <si>
    <t>Wolfgang Schwarz</t>
  </si>
  <si>
    <t>Mark Wawerla</t>
  </si>
  <si>
    <t>Jehan</t>
  </si>
  <si>
    <t>CEO</t>
  </si>
  <si>
    <t>marc.wawerla@zeiss.com</t>
  </si>
  <si>
    <t>Global Key Account Manager</t>
  </si>
  <si>
    <t>giovanni.ramirez@zeiss.com</t>
  </si>
  <si>
    <t>(+49)7364206699</t>
  </si>
  <si>
    <t>(+1) 669 205 2314</t>
  </si>
  <si>
    <t>(+49) 7364 20 8085</t>
  </si>
  <si>
    <t xml:space="preserve">Head of Global Key Account Management </t>
  </si>
  <si>
    <t>wolfgang.schwarz@zeiss.com</t>
  </si>
  <si>
    <t xml:space="preserve">Sr. Project Specialist </t>
  </si>
  <si>
    <t>Jehan.oleiwi@zeiss.com</t>
  </si>
  <si>
    <t>(+1) (612)-805-4938</t>
  </si>
  <si>
    <t>Hendrie Viktor</t>
  </si>
  <si>
    <t>Hendrie.Viktor@zeiss.com</t>
  </si>
  <si>
    <t>Head of Sales, North America</t>
  </si>
  <si>
    <t>(+1) 763 744 2439</t>
  </si>
  <si>
    <t>Carl Zeiss India</t>
  </si>
  <si>
    <t>Carl Zeiss</t>
  </si>
  <si>
    <t>Carl Zeiss IQS</t>
  </si>
  <si>
    <t>Oberkochen, Germany</t>
  </si>
  <si>
    <t>Shanghai, China</t>
  </si>
  <si>
    <t>Maple Grove, MN, USA</t>
  </si>
  <si>
    <t>Carl-Zeiss-Straße 22, 73447 Oberkochen</t>
  </si>
  <si>
    <t>Plot.No. 3, Jigani Link Road, 
Bommasandra Industrial Area, 
Bangalore- 560099, India</t>
  </si>
  <si>
    <t>China Shanghai
No.60,Mei Yue Road</t>
  </si>
  <si>
    <t>6250 Sycamore Lane North 
Maple Grove, MN 55369, USA</t>
  </si>
  <si>
    <t>CMM</t>
  </si>
  <si>
    <t>Metrotom, Volumax, CMM, Electron Microscopes</t>
  </si>
  <si>
    <t>Prototyping at PD labs in US</t>
  </si>
  <si>
    <t>Inspection programs at facilities in India and China, 100% inspection of enclosures</t>
  </si>
  <si>
    <t xml:space="preserve">CMM </t>
  </si>
  <si>
    <t>Inspection by CMs</t>
  </si>
  <si>
    <t>SEA</t>
  </si>
  <si>
    <t>Low</t>
  </si>
  <si>
    <t>Medium</t>
  </si>
  <si>
    <t>Singapore, Vietnam, Thailand</t>
  </si>
  <si>
    <t>High</t>
  </si>
  <si>
    <t>Metrology and Quality Inspection</t>
  </si>
  <si>
    <t>CMMs, Microscopes, 3D scanners, X-ray CT</t>
  </si>
  <si>
    <t>Apple</t>
  </si>
  <si>
    <t>Accuracy, Reproducibility, Power Consupmtion, No other vendor has all the portfolio we have, Software made in house</t>
  </si>
  <si>
    <t>Over 400 systems installed. 300 at contract manufacturing sites, and 100 at Apple sites. 25 Volumax, 11 Metrotom, 166 CMMs, 70 3D scanners, 100 microscopes</t>
  </si>
  <si>
    <t>Kyle Boutin</t>
  </si>
  <si>
    <t>kboutin@apple.com</t>
  </si>
  <si>
    <t>12-16 weeks for most of the systems</t>
  </si>
  <si>
    <t>in same way we cant reference Apple due to NDAs, we might not be able to give reference of our key customers in Automotive, Aerospace, Medical and Consumer electronics sectors</t>
  </si>
  <si>
    <t>400 machines at Apple over 10 years timeframe</t>
  </si>
  <si>
    <t>Around $10M/year of spending by Apple and CMs</t>
  </si>
  <si>
    <t>The systems offered to Apple are off the shelf products, then, that allows to offer the best support and global availability, as described below:</t>
  </si>
  <si>
    <t>Carl Zeiss Shanghai (and Suzhou)</t>
  </si>
  <si>
    <t>Bangalore, India</t>
  </si>
  <si>
    <t>Localize production</t>
  </si>
  <si>
    <t>Local Export Restrictions may apply, thus, longer processing times on those cases</t>
  </si>
  <si>
    <t xml:space="preserve">Yes, within ZEISS corporate organization </t>
  </si>
  <si>
    <t>Decentralized production to serve the regions globally</t>
  </si>
  <si>
    <t>CMM, Metrotom, 3D Optical</t>
  </si>
  <si>
    <t>Metrotom, Volumax, CMM, Electron Microscopes (Crossbeam), 3D Optical</t>
  </si>
  <si>
    <t>Americas</t>
  </si>
  <si>
    <t>China and WW</t>
  </si>
  <si>
    <t>India and SEA</t>
  </si>
  <si>
    <t>Germany, Europe, WW</t>
  </si>
  <si>
    <t>There is expansion of India facility in the future</t>
  </si>
  <si>
    <t>Supply chain is very complex and it is aim to be localized. Some sensors and most advance components are made in Germany</t>
  </si>
  <si>
    <t>Deepnding product, very complex to describe here</t>
  </si>
  <si>
    <t>YES. 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</si>
</sst>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8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3" fontId="12"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182880</xdr:colOff>
      <xdr:row>7</xdr:row>
      <xdr:rowOff>190500</xdr:rowOff>
    </xdr:from>
    <xdr:to>
      <xdr:col>10</xdr:col>
      <xdr:colOff>696682</xdr:colOff>
      <xdr:row>34</xdr:row>
      <xdr:rowOff>52162</xdr:rowOff>
    </xdr:to>
    <xdr:pic>
      <xdr:nvPicPr>
        <xdr:cNvPr id="2" name="Picture 1">
          <a:extLst>
            <a:ext uri="{FF2B5EF4-FFF2-40B4-BE49-F238E27FC236}">
              <a16:creationId xmlns:a16="http://schemas.microsoft.com/office/drawing/2014/main" id="{9ACE2C5A-C731-0E2F-1E90-5D2331F79DD1}"/>
            </a:ext>
          </a:extLst>
        </xdr:cNvPr>
        <xdr:cNvPicPr>
          <a:picLocks noChangeAspect="1"/>
        </xdr:cNvPicPr>
      </xdr:nvPicPr>
      <xdr:blipFill>
        <a:blip xmlns:r="http://schemas.openxmlformats.org/officeDocument/2006/relationships" r:embed="rId1"/>
        <a:stretch>
          <a:fillRect/>
        </a:stretch>
      </xdr:blipFill>
      <xdr:spPr>
        <a:xfrm>
          <a:off x="586740" y="3162300"/>
          <a:ext cx="9726382" cy="52109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350520</xdr:colOff>
      <xdr:row>7</xdr:row>
      <xdr:rowOff>53340</xdr:rowOff>
    </xdr:from>
    <xdr:to>
      <xdr:col>13</xdr:col>
      <xdr:colOff>439541</xdr:colOff>
      <xdr:row>34</xdr:row>
      <xdr:rowOff>38844</xdr:rowOff>
    </xdr:to>
    <xdr:pic>
      <xdr:nvPicPr>
        <xdr:cNvPr id="2" name="Picture 1">
          <a:extLst>
            <a:ext uri="{FF2B5EF4-FFF2-40B4-BE49-F238E27FC236}">
              <a16:creationId xmlns:a16="http://schemas.microsoft.com/office/drawing/2014/main" id="{AB03294E-19AC-E936-6D72-4C6D4F9E7D22}"/>
            </a:ext>
          </a:extLst>
        </xdr:cNvPr>
        <xdr:cNvPicPr>
          <a:picLocks noChangeAspect="1"/>
        </xdr:cNvPicPr>
      </xdr:nvPicPr>
      <xdr:blipFill>
        <a:blip xmlns:r="http://schemas.openxmlformats.org/officeDocument/2006/relationships" r:embed="rId1"/>
        <a:stretch>
          <a:fillRect/>
        </a:stretch>
      </xdr:blipFill>
      <xdr:spPr>
        <a:xfrm>
          <a:off x="769620" y="2354580"/>
          <a:ext cx="9964541" cy="533474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8" workbookViewId="0">
      <selection activeCell="B14" sqref="B14"/>
    </sheetView>
  </sheetViews>
  <sheetFormatPr baseColWidth="10" defaultColWidth="10.83203125" defaultRowHeight="21"/>
  <cols>
    <col min="1" max="1" width="10.83203125" style="51"/>
    <col min="2" max="2" width="200.83203125" style="10" customWidth="1"/>
    <col min="3" max="16384" width="10.83203125" style="51"/>
  </cols>
  <sheetData>
    <row r="2" spans="2:2" ht="22">
      <c r="B2" s="8" t="s">
        <v>214</v>
      </c>
    </row>
    <row r="3" spans="2:2" ht="22">
      <c r="B3" s="44" t="s">
        <v>174</v>
      </c>
    </row>
    <row r="4" spans="2:2" ht="88">
      <c r="B4" s="9" t="s">
        <v>113</v>
      </c>
    </row>
    <row r="5" spans="2:2" ht="22">
      <c r="B5" s="44" t="s">
        <v>175</v>
      </c>
    </row>
    <row r="6" spans="2:2" ht="44">
      <c r="B6" s="9" t="s">
        <v>114</v>
      </c>
    </row>
    <row r="7" spans="2:2" ht="22">
      <c r="B7" s="44" t="s">
        <v>176</v>
      </c>
    </row>
    <row r="8" spans="2:2" ht="308">
      <c r="B8" s="9" t="s">
        <v>294</v>
      </c>
    </row>
    <row r="9" spans="2:2" ht="22">
      <c r="B9" s="44" t="s">
        <v>177</v>
      </c>
    </row>
    <row r="10" spans="2:2" ht="22">
      <c r="B10" s="9" t="s">
        <v>180</v>
      </c>
    </row>
    <row r="11" spans="2:2" ht="22">
      <c r="B11" s="44" t="s">
        <v>178</v>
      </c>
    </row>
    <row r="12" spans="2:2" ht="44">
      <c r="B12" s="9" t="s">
        <v>115</v>
      </c>
    </row>
    <row r="13" spans="2:2" ht="22">
      <c r="B13" s="44" t="s">
        <v>179</v>
      </c>
    </row>
    <row r="14" spans="2:2" ht="88">
      <c r="B14" s="72"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workbookViewId="0">
      <selection activeCell="A16" sqref="A1:XFD1048576"/>
    </sheetView>
  </sheetViews>
  <sheetFormatPr baseColWidth="10" defaultColWidth="10.83203125" defaultRowHeight="21"/>
  <cols>
    <col min="1" max="1" width="10.83203125" style="51"/>
    <col min="2" max="2" width="200.83203125" style="10" customWidth="1"/>
    <col min="3" max="16384" width="10.83203125" style="51"/>
  </cols>
  <sheetData>
    <row r="2" spans="2:2" ht="22">
      <c r="B2" s="8" t="s">
        <v>116</v>
      </c>
    </row>
    <row r="3" spans="2:2" ht="22">
      <c r="B3" s="43" t="s">
        <v>160</v>
      </c>
    </row>
    <row r="4" spans="2:2" ht="66">
      <c r="B4" s="9" t="s">
        <v>117</v>
      </c>
    </row>
    <row r="5" spans="2:2" ht="22">
      <c r="B5" s="44" t="s">
        <v>161</v>
      </c>
    </row>
    <row r="6" spans="2:2" ht="44">
      <c r="B6" s="9" t="s">
        <v>118</v>
      </c>
    </row>
    <row r="7" spans="2:2" ht="22">
      <c r="B7" s="44" t="s">
        <v>162</v>
      </c>
    </row>
    <row r="8" spans="2:2" ht="66">
      <c r="B8" s="9" t="s">
        <v>181</v>
      </c>
    </row>
    <row r="9" spans="2:2" ht="22">
      <c r="B9" s="44" t="s">
        <v>163</v>
      </c>
    </row>
    <row r="10" spans="2:2" ht="44">
      <c r="B10" s="9" t="s">
        <v>119</v>
      </c>
    </row>
    <row r="11" spans="2:2" ht="22">
      <c r="B11" s="44" t="s">
        <v>164</v>
      </c>
    </row>
    <row r="12" spans="2:2" ht="132">
      <c r="B12" s="9" t="s">
        <v>120</v>
      </c>
    </row>
    <row r="13" spans="2:2" ht="22">
      <c r="B13" s="44" t="s">
        <v>165</v>
      </c>
    </row>
    <row r="14" spans="2:2" ht="88">
      <c r="B14" s="9" t="s">
        <v>121</v>
      </c>
    </row>
    <row r="15" spans="2:2" ht="22">
      <c r="B15" s="44" t="s">
        <v>166</v>
      </c>
    </row>
    <row r="16" spans="2:2" ht="176">
      <c r="B16" s="9" t="s">
        <v>122</v>
      </c>
    </row>
    <row r="17" spans="2:2" ht="22">
      <c r="B17" s="44" t="s">
        <v>167</v>
      </c>
    </row>
    <row r="18" spans="2:2" ht="66">
      <c r="B18" s="9" t="s">
        <v>123</v>
      </c>
    </row>
    <row r="19" spans="2:2" ht="22">
      <c r="B19" s="44" t="s">
        <v>168</v>
      </c>
    </row>
    <row r="20" spans="2:2" ht="132">
      <c r="B20" s="9" t="s">
        <v>124</v>
      </c>
    </row>
    <row r="21" spans="2:2" ht="22">
      <c r="B21" s="44" t="s">
        <v>169</v>
      </c>
    </row>
    <row r="22" spans="2:2" ht="66">
      <c r="B22" s="9" t="s">
        <v>125</v>
      </c>
    </row>
    <row r="23" spans="2:2" ht="22">
      <c r="B23" s="44" t="s">
        <v>170</v>
      </c>
    </row>
    <row r="24" spans="2:2" ht="242">
      <c r="B24" s="9" t="s">
        <v>126</v>
      </c>
    </row>
    <row r="25" spans="2:2" ht="22">
      <c r="B25" s="44" t="s">
        <v>171</v>
      </c>
    </row>
    <row r="26" spans="2:2" ht="176">
      <c r="B26" s="9" t="s">
        <v>127</v>
      </c>
    </row>
    <row r="27" spans="2:2" ht="22">
      <c r="B27" s="44" t="s">
        <v>172</v>
      </c>
    </row>
    <row r="28" spans="2:2" ht="44">
      <c r="B28" s="9" t="s">
        <v>128</v>
      </c>
    </row>
    <row r="29" spans="2:2" ht="22">
      <c r="B29" s="44" t="s">
        <v>173</v>
      </c>
    </row>
    <row r="30" spans="2:2" ht="44">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topLeftCell="B1" workbookViewId="0">
      <selection activeCell="C4" sqref="C4"/>
    </sheetView>
  </sheetViews>
  <sheetFormatPr baseColWidth="10" defaultColWidth="10.83203125" defaultRowHeight="21"/>
  <cols>
    <col min="1" max="1" width="10.83203125" style="51"/>
    <col min="2" max="2" width="141.5" style="10" customWidth="1"/>
    <col min="3" max="3" width="40.83203125" style="13" customWidth="1"/>
    <col min="4" max="16384" width="10.83203125" style="51"/>
  </cols>
  <sheetData>
    <row r="2" spans="2:3" ht="22">
      <c r="B2" s="8" t="s">
        <v>130</v>
      </c>
      <c r="C2" s="11"/>
    </row>
    <row r="3" spans="2:3" ht="22">
      <c r="B3" s="43" t="s">
        <v>151</v>
      </c>
      <c r="C3" s="11"/>
    </row>
    <row r="4" spans="2:3" ht="220">
      <c r="B4" s="12" t="s">
        <v>131</v>
      </c>
      <c r="C4" s="50"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10" zoomScaleNormal="100" workbookViewId="0">
      <selection activeCell="D10" sqref="D10"/>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236</v>
      </c>
    </row>
    <row r="2" spans="1:7" ht="26" customHeight="1">
      <c r="A2" s="15">
        <v>1</v>
      </c>
      <c r="B2" s="16" t="s">
        <v>132</v>
      </c>
      <c r="C2" s="17">
        <v>45775</v>
      </c>
    </row>
    <row r="3" spans="1:7" ht="26" customHeight="1">
      <c r="A3" s="15">
        <v>2</v>
      </c>
      <c r="B3" s="16" t="s">
        <v>14</v>
      </c>
      <c r="C3" s="18" t="s">
        <v>320</v>
      </c>
    </row>
    <row r="4" spans="1:7" ht="26" customHeight="1">
      <c r="A4" s="15">
        <v>3</v>
      </c>
      <c r="B4" s="16" t="s">
        <v>13</v>
      </c>
      <c r="C4" s="18" t="s">
        <v>321</v>
      </c>
      <c r="E4" s="19"/>
    </row>
    <row r="5" spans="1:7" ht="26" customHeight="1">
      <c r="A5" s="15">
        <v>4</v>
      </c>
      <c r="B5" s="16" t="s">
        <v>133</v>
      </c>
      <c r="C5" s="18" t="s">
        <v>322</v>
      </c>
      <c r="E5" s="19"/>
    </row>
    <row r="6" spans="1:7" ht="26" customHeight="1">
      <c r="A6" s="15">
        <v>5</v>
      </c>
      <c r="B6" s="16" t="s">
        <v>0</v>
      </c>
      <c r="C6" s="20" t="s">
        <v>323</v>
      </c>
      <c r="E6" s="19"/>
    </row>
    <row r="7" spans="1:7" ht="26" customHeight="1">
      <c r="A7" s="15">
        <v>6</v>
      </c>
      <c r="B7" s="16" t="s">
        <v>1</v>
      </c>
      <c r="C7" s="18" t="s">
        <v>105</v>
      </c>
      <c r="E7" s="19"/>
    </row>
    <row r="8" spans="1:7" ht="26" customHeight="1">
      <c r="A8" s="15">
        <v>7</v>
      </c>
      <c r="B8" s="16" t="s">
        <v>2</v>
      </c>
      <c r="C8" s="18" t="s">
        <v>324</v>
      </c>
    </row>
    <row r="9" spans="1:7" ht="26" customHeight="1">
      <c r="A9" s="15">
        <v>8</v>
      </c>
      <c r="B9" s="16" t="s">
        <v>134</v>
      </c>
      <c r="C9" s="18" t="s">
        <v>325</v>
      </c>
    </row>
    <row r="10" spans="1:7" ht="26" customHeight="1">
      <c r="A10" s="15">
        <v>9</v>
      </c>
      <c r="B10" s="16" t="s">
        <v>5</v>
      </c>
      <c r="C10" s="77">
        <v>5415</v>
      </c>
    </row>
    <row r="11" spans="1:7">
      <c r="A11" s="15">
        <v>10</v>
      </c>
      <c r="B11" s="16" t="s">
        <v>3</v>
      </c>
      <c r="C11" s="18">
        <v>1864</v>
      </c>
    </row>
    <row r="12" spans="1:7">
      <c r="A12" s="15">
        <v>11</v>
      </c>
      <c r="B12" s="16" t="s">
        <v>4</v>
      </c>
      <c r="C12" s="18">
        <v>2015</v>
      </c>
      <c r="F12" s="21"/>
    </row>
    <row r="15" spans="1:7" ht="40">
      <c r="B15" s="24" t="s">
        <v>135</v>
      </c>
      <c r="C15" s="25" t="s">
        <v>136</v>
      </c>
      <c r="D15" s="25" t="s">
        <v>19</v>
      </c>
      <c r="E15" s="25" t="s">
        <v>112</v>
      </c>
      <c r="F15" s="25" t="s">
        <v>20</v>
      </c>
      <c r="G15" s="26" t="s">
        <v>137</v>
      </c>
    </row>
    <row r="16" spans="1:7" ht="20">
      <c r="B16" s="27" t="s">
        <v>21</v>
      </c>
      <c r="C16" s="18" t="s">
        <v>328</v>
      </c>
      <c r="D16" s="18" t="s">
        <v>330</v>
      </c>
      <c r="E16" s="18" t="s">
        <v>65</v>
      </c>
      <c r="F16" s="20" t="s">
        <v>331</v>
      </c>
      <c r="G16" s="28" t="s">
        <v>334</v>
      </c>
    </row>
    <row r="17" spans="2:7" ht="20">
      <c r="B17" s="27" t="s">
        <v>138</v>
      </c>
      <c r="C17" s="18" t="s">
        <v>326</v>
      </c>
      <c r="D17" s="18" t="s">
        <v>332</v>
      </c>
      <c r="E17" s="18" t="s">
        <v>102</v>
      </c>
      <c r="F17" s="20" t="s">
        <v>333</v>
      </c>
      <c r="G17" s="28" t="s">
        <v>335</v>
      </c>
    </row>
    <row r="18" spans="2:7">
      <c r="B18" s="27" t="s">
        <v>139</v>
      </c>
      <c r="C18" s="18"/>
      <c r="D18" s="18"/>
      <c r="E18" s="18"/>
      <c r="F18" s="20"/>
      <c r="G18" s="28"/>
    </row>
    <row r="19" spans="2:7">
      <c r="B19" s="27" t="s">
        <v>140</v>
      </c>
      <c r="C19" s="18"/>
      <c r="D19" s="18"/>
      <c r="E19" s="18"/>
      <c r="F19" s="20"/>
      <c r="G19" s="28"/>
    </row>
    <row r="20" spans="2:7">
      <c r="B20" s="29" t="s">
        <v>141</v>
      </c>
      <c r="C20" s="22"/>
      <c r="D20" s="22"/>
      <c r="E20" s="18"/>
      <c r="F20" s="23"/>
      <c r="G20" s="28"/>
    </row>
    <row r="21" spans="2:7">
      <c r="B21" s="27" t="s">
        <v>142</v>
      </c>
      <c r="C21" s="18"/>
      <c r="D21" s="18"/>
      <c r="E21" s="18"/>
      <c r="F21" s="20"/>
      <c r="G21" s="28"/>
    </row>
    <row r="22" spans="2:7" ht="20">
      <c r="B22" s="27" t="s">
        <v>143</v>
      </c>
      <c r="C22" s="18" t="s">
        <v>329</v>
      </c>
      <c r="D22" s="22" t="s">
        <v>339</v>
      </c>
      <c r="E22" s="18" t="s">
        <v>102</v>
      </c>
      <c r="F22" s="20" t="s">
        <v>340</v>
      </c>
      <c r="G22" s="28" t="s">
        <v>341</v>
      </c>
    </row>
    <row r="23" spans="2:7">
      <c r="B23" s="27" t="s">
        <v>144</v>
      </c>
      <c r="C23" s="18"/>
      <c r="D23" s="22"/>
      <c r="E23" s="18"/>
      <c r="F23" s="20"/>
      <c r="G23" s="28"/>
    </row>
    <row r="24" spans="2:7" ht="40">
      <c r="B24" s="27" t="s">
        <v>212</v>
      </c>
      <c r="C24" s="18" t="s">
        <v>327</v>
      </c>
      <c r="D24" s="18" t="s">
        <v>337</v>
      </c>
      <c r="E24" s="18" t="s">
        <v>65</v>
      </c>
      <c r="F24" s="20" t="s">
        <v>338</v>
      </c>
      <c r="G24" s="28" t="s">
        <v>336</v>
      </c>
    </row>
    <row r="25" spans="2:7" ht="20">
      <c r="B25" s="27" t="s">
        <v>212</v>
      </c>
      <c r="C25" s="30" t="s">
        <v>342</v>
      </c>
      <c r="D25" s="30" t="s">
        <v>344</v>
      </c>
      <c r="E25" s="30" t="s">
        <v>102</v>
      </c>
      <c r="F25" s="31" t="s">
        <v>343</v>
      </c>
      <c r="G25" s="32" t="s">
        <v>345</v>
      </c>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opLeftCell="B1" zoomScaleNormal="100" workbookViewId="0">
      <selection activeCell="I9" sqref="I9"/>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61"/>
      <c r="D3" s="61"/>
      <c r="E3" s="61"/>
      <c r="F3" s="61"/>
      <c r="G3" s="61"/>
      <c r="H3" s="61"/>
    </row>
    <row r="4" spans="2:9" ht="51" customHeight="1">
      <c r="B4" s="33" t="s">
        <v>10</v>
      </c>
      <c r="C4" s="61">
        <v>1268</v>
      </c>
      <c r="D4" s="61">
        <v>1385</v>
      </c>
      <c r="E4" s="61">
        <v>1454</v>
      </c>
      <c r="F4" s="61">
        <v>1474</v>
      </c>
      <c r="G4" s="61">
        <v>1551</v>
      </c>
      <c r="H4" s="61">
        <v>1551</v>
      </c>
      <c r="I4" s="4"/>
    </row>
    <row r="5" spans="2:9" ht="51" customHeight="1">
      <c r="B5" s="33" t="s">
        <v>11</v>
      </c>
      <c r="C5" s="61">
        <v>4.4000000000000004</v>
      </c>
      <c r="D5" s="61">
        <v>10</v>
      </c>
      <c r="E5" s="61">
        <v>4.5</v>
      </c>
      <c r="F5" s="61">
        <v>4</v>
      </c>
      <c r="G5" s="61">
        <v>5</v>
      </c>
      <c r="H5" s="61">
        <v>6</v>
      </c>
      <c r="I5" s="4" t="s">
        <v>18</v>
      </c>
    </row>
    <row r="6" spans="2:9" ht="51" customHeight="1">
      <c r="B6" s="33" t="s">
        <v>287</v>
      </c>
      <c r="C6" s="61">
        <v>4.5999999999999996</v>
      </c>
      <c r="D6" s="61">
        <v>5.3</v>
      </c>
      <c r="E6" s="61">
        <v>4.9000000000000004</v>
      </c>
      <c r="F6" s="61">
        <v>9</v>
      </c>
      <c r="G6" s="61">
        <v>15</v>
      </c>
      <c r="H6" s="61">
        <v>20</v>
      </c>
      <c r="I6" s="2" t="s">
        <v>150</v>
      </c>
    </row>
    <row r="8" spans="2:9" ht="19">
      <c r="B8" s="16" t="s">
        <v>145</v>
      </c>
      <c r="C8" s="16">
        <v>2023</v>
      </c>
      <c r="D8" s="16">
        <v>2023</v>
      </c>
      <c r="E8" s="16">
        <v>2024</v>
      </c>
      <c r="F8" s="16" t="s">
        <v>210</v>
      </c>
      <c r="G8" s="16" t="s">
        <v>146</v>
      </c>
      <c r="H8" s="16" t="s">
        <v>147</v>
      </c>
    </row>
    <row r="9" spans="2:9" ht="19">
      <c r="B9" s="33" t="s">
        <v>148</v>
      </c>
      <c r="C9" s="62"/>
      <c r="D9" s="62"/>
      <c r="E9" s="62"/>
      <c r="F9" s="62"/>
      <c r="G9" s="62"/>
      <c r="H9" s="62"/>
    </row>
    <row r="10" spans="2:9" ht="19">
      <c r="B10" s="33" t="s">
        <v>149</v>
      </c>
      <c r="C10" s="62"/>
      <c r="D10" s="62"/>
      <c r="E10" s="62"/>
      <c r="F10" s="62"/>
      <c r="G10" s="62"/>
      <c r="H10" s="62"/>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disablePrompts="1"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18" zoomScale="70" zoomScaleNormal="70" workbookViewId="0">
      <selection activeCell="G24" sqref="G24"/>
    </sheetView>
  </sheetViews>
  <sheetFormatPr baseColWidth="10" defaultColWidth="10.83203125" defaultRowHeight="26" customHeight="1"/>
  <cols>
    <col min="1" max="1" width="6.1640625" style="66"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4"/>
      <c r="B1" s="34" t="s">
        <v>296</v>
      </c>
    </row>
    <row r="2" spans="1:8" s="35" customFormat="1" ht="56" customHeight="1">
      <c r="A2" s="65"/>
      <c r="B2" s="16"/>
      <c r="C2" s="16" t="s">
        <v>15</v>
      </c>
      <c r="D2" s="36" t="s">
        <v>107</v>
      </c>
      <c r="E2" s="36" t="s">
        <v>108</v>
      </c>
      <c r="F2" s="36" t="s">
        <v>109</v>
      </c>
      <c r="G2" s="36" t="s">
        <v>110</v>
      </c>
      <c r="H2" s="36" t="s">
        <v>111</v>
      </c>
    </row>
    <row r="3" spans="1:8" ht="60" customHeight="1">
      <c r="A3" s="66">
        <v>1</v>
      </c>
      <c r="B3" s="16" t="s">
        <v>152</v>
      </c>
      <c r="C3" s="37" t="s">
        <v>347</v>
      </c>
      <c r="D3" s="37" t="s">
        <v>346</v>
      </c>
      <c r="E3" s="37" t="s">
        <v>379</v>
      </c>
      <c r="F3" s="18" t="s">
        <v>348</v>
      </c>
      <c r="G3" s="18"/>
      <c r="H3" s="18"/>
    </row>
    <row r="4" spans="1:8" ht="60" customHeight="1">
      <c r="A4" s="66">
        <v>2</v>
      </c>
      <c r="B4" s="16" t="s">
        <v>153</v>
      </c>
      <c r="C4" s="18" t="s">
        <v>349</v>
      </c>
      <c r="D4" s="18" t="s">
        <v>380</v>
      </c>
      <c r="E4" s="18" t="s">
        <v>350</v>
      </c>
      <c r="F4" s="18" t="s">
        <v>351</v>
      </c>
      <c r="G4" s="53"/>
      <c r="H4" s="18"/>
    </row>
    <row r="5" spans="1:8" ht="60" customHeight="1">
      <c r="A5" s="66">
        <v>3</v>
      </c>
      <c r="B5" s="16" t="s">
        <v>154</v>
      </c>
      <c r="C5" s="18" t="s">
        <v>352</v>
      </c>
      <c r="D5" s="18" t="s">
        <v>353</v>
      </c>
      <c r="E5" s="18" t="s">
        <v>354</v>
      </c>
      <c r="F5" s="18" t="s">
        <v>355</v>
      </c>
      <c r="G5" s="18"/>
      <c r="H5" s="18"/>
    </row>
    <row r="6" spans="1:8" ht="60" customHeight="1">
      <c r="A6" s="66">
        <v>4</v>
      </c>
      <c r="B6" s="36" t="s">
        <v>155</v>
      </c>
      <c r="C6" s="18" t="s">
        <v>359</v>
      </c>
      <c r="D6" s="18" t="s">
        <v>361</v>
      </c>
      <c r="E6" s="18" t="s">
        <v>361</v>
      </c>
      <c r="F6" s="18" t="s">
        <v>358</v>
      </c>
      <c r="G6" s="18"/>
      <c r="H6" s="18"/>
    </row>
    <row r="7" spans="1:8" ht="86" customHeight="1">
      <c r="A7" s="66">
        <v>5</v>
      </c>
      <c r="B7" s="36" t="s">
        <v>156</v>
      </c>
      <c r="C7" s="18" t="s">
        <v>386</v>
      </c>
      <c r="D7" s="18" t="s">
        <v>360</v>
      </c>
      <c r="E7" s="18" t="s">
        <v>385</v>
      </c>
      <c r="F7" s="18" t="s">
        <v>356</v>
      </c>
      <c r="G7" s="18"/>
      <c r="H7" s="18"/>
    </row>
    <row r="8" spans="1:8" ht="86" customHeight="1">
      <c r="A8" s="66">
        <v>6</v>
      </c>
      <c r="B8" s="36" t="s">
        <v>157</v>
      </c>
      <c r="C8" s="18" t="s">
        <v>357</v>
      </c>
      <c r="D8" s="18" t="s">
        <v>360</v>
      </c>
      <c r="E8" s="18" t="s">
        <v>356</v>
      </c>
      <c r="F8" s="18" t="s">
        <v>356</v>
      </c>
      <c r="G8" s="18"/>
      <c r="H8" s="18"/>
    </row>
    <row r="9" spans="1:8" ht="60" customHeight="1">
      <c r="A9" s="66">
        <v>7</v>
      </c>
      <c r="B9" s="16" t="s">
        <v>158</v>
      </c>
      <c r="C9" s="38">
        <v>28000</v>
      </c>
      <c r="D9" s="38">
        <v>3000</v>
      </c>
      <c r="E9" s="39">
        <v>14000</v>
      </c>
      <c r="F9" s="39">
        <v>10000</v>
      </c>
      <c r="G9" s="39"/>
      <c r="H9" s="39"/>
    </row>
    <row r="10" spans="1:8" ht="60" customHeight="1">
      <c r="A10" s="66">
        <v>8</v>
      </c>
      <c r="B10" s="36" t="s">
        <v>279</v>
      </c>
      <c r="C10" s="38">
        <v>330</v>
      </c>
      <c r="D10" s="38">
        <v>41</v>
      </c>
      <c r="E10" s="39">
        <v>140</v>
      </c>
      <c r="F10" s="39">
        <v>48</v>
      </c>
      <c r="G10" s="39"/>
      <c r="H10" s="39"/>
    </row>
    <row r="11" spans="1:8" ht="60" customHeight="1">
      <c r="A11" s="66">
        <v>9</v>
      </c>
      <c r="B11" s="36" t="s">
        <v>208</v>
      </c>
      <c r="C11" s="18">
        <v>4080</v>
      </c>
      <c r="D11" s="18">
        <v>440</v>
      </c>
      <c r="E11" s="18">
        <v>2000</v>
      </c>
      <c r="F11" s="18">
        <v>1440</v>
      </c>
      <c r="G11" s="18"/>
      <c r="H11" s="18"/>
    </row>
    <row r="12" spans="1:8" ht="60" customHeight="1">
      <c r="A12" s="66">
        <v>10</v>
      </c>
      <c r="B12" s="36" t="s">
        <v>207</v>
      </c>
      <c r="C12" s="18">
        <v>5100</v>
      </c>
      <c r="D12" s="18">
        <v>550</v>
      </c>
      <c r="E12" s="18">
        <v>2500</v>
      </c>
      <c r="F12" s="18">
        <v>1800</v>
      </c>
      <c r="G12" s="18"/>
      <c r="H12" s="18"/>
    </row>
    <row r="13" spans="1:8" ht="60" customHeight="1">
      <c r="A13" s="66">
        <v>11</v>
      </c>
      <c r="B13" s="36" t="s">
        <v>280</v>
      </c>
      <c r="C13" s="18"/>
      <c r="D13" s="18"/>
      <c r="E13" s="18"/>
      <c r="F13" s="18"/>
      <c r="G13" s="18"/>
      <c r="H13" s="18"/>
    </row>
    <row r="14" spans="1:8" ht="60" customHeight="1">
      <c r="A14" s="66">
        <v>12</v>
      </c>
      <c r="B14" s="36" t="s">
        <v>205</v>
      </c>
      <c r="C14" s="18"/>
      <c r="D14" s="18"/>
      <c r="E14" s="18"/>
      <c r="F14" s="18" t="s">
        <v>36</v>
      </c>
      <c r="G14" s="18"/>
      <c r="H14" s="18"/>
    </row>
    <row r="15" spans="1:8" ht="60" customHeight="1">
      <c r="A15" s="66">
        <v>13</v>
      </c>
      <c r="B15" s="36" t="s">
        <v>283</v>
      </c>
      <c r="C15" s="18"/>
      <c r="D15" s="18"/>
      <c r="E15" s="18"/>
      <c r="F15" s="18"/>
      <c r="G15" s="18"/>
      <c r="H15" s="18"/>
    </row>
    <row r="16" spans="1:8" ht="60" customHeight="1">
      <c r="A16" s="66">
        <v>14</v>
      </c>
      <c r="B16" s="36" t="s">
        <v>206</v>
      </c>
      <c r="C16" s="18" t="s">
        <v>390</v>
      </c>
      <c r="D16" s="18" t="s">
        <v>389</v>
      </c>
      <c r="E16" s="18" t="s">
        <v>388</v>
      </c>
      <c r="F16" s="18" t="s">
        <v>387</v>
      </c>
      <c r="G16" s="18"/>
      <c r="H16" s="18"/>
    </row>
    <row r="18" spans="1:8" ht="61" customHeight="1">
      <c r="A18" s="66">
        <v>15</v>
      </c>
      <c r="B18" s="78" t="s">
        <v>229</v>
      </c>
      <c r="C18" s="78"/>
      <c r="D18" s="79" t="s">
        <v>391</v>
      </c>
      <c r="E18" s="80"/>
      <c r="F18" s="80"/>
      <c r="G18" s="80"/>
      <c r="H18" s="81"/>
    </row>
    <row r="19" spans="1:8" ht="61" customHeight="1">
      <c r="A19" s="66">
        <v>16</v>
      </c>
      <c r="B19" s="78" t="s">
        <v>215</v>
      </c>
      <c r="C19" s="78"/>
      <c r="D19" s="79" t="s">
        <v>392</v>
      </c>
      <c r="E19" s="80"/>
      <c r="F19" s="80"/>
      <c r="G19" s="80"/>
      <c r="H19" s="81"/>
    </row>
    <row r="20" spans="1:8" ht="61" customHeight="1">
      <c r="A20" s="66">
        <v>17</v>
      </c>
      <c r="B20" s="78" t="s">
        <v>202</v>
      </c>
      <c r="C20" s="78"/>
      <c r="D20" s="79" t="s">
        <v>382</v>
      </c>
      <c r="E20" s="80"/>
      <c r="F20" s="80"/>
      <c r="G20" s="80"/>
      <c r="H20" s="81"/>
    </row>
    <row r="21" spans="1:8" ht="61" customHeight="1">
      <c r="A21" s="66">
        <v>18</v>
      </c>
      <c r="B21" s="78" t="s">
        <v>159</v>
      </c>
      <c r="C21" s="78"/>
      <c r="D21" s="79" t="s">
        <v>381</v>
      </c>
      <c r="E21" s="80"/>
      <c r="F21" s="80"/>
      <c r="G21" s="80"/>
      <c r="H21" s="81"/>
    </row>
    <row r="22" spans="1:8" ht="61" customHeight="1">
      <c r="A22" s="66">
        <v>19</v>
      </c>
      <c r="B22" s="78" t="s">
        <v>203</v>
      </c>
      <c r="C22" s="78"/>
      <c r="D22" s="79" t="s">
        <v>383</v>
      </c>
      <c r="E22" s="80"/>
      <c r="F22" s="80"/>
      <c r="G22" s="80"/>
      <c r="H22" s="81"/>
    </row>
    <row r="23" spans="1:8" ht="61" customHeight="1">
      <c r="A23" s="66">
        <v>20</v>
      </c>
      <c r="B23" s="82" t="s">
        <v>227</v>
      </c>
      <c r="C23" s="83"/>
      <c r="D23" s="40" t="s">
        <v>393</v>
      </c>
      <c r="E23" s="41"/>
      <c r="F23" s="41"/>
      <c r="G23" s="41"/>
      <c r="H23" s="42"/>
    </row>
    <row r="24" spans="1:8" ht="61" customHeight="1">
      <c r="A24" s="66">
        <v>21</v>
      </c>
      <c r="B24" s="82" t="s">
        <v>228</v>
      </c>
      <c r="C24" s="83"/>
      <c r="D24" s="40" t="s">
        <v>394</v>
      </c>
      <c r="E24" s="41" t="s">
        <v>394</v>
      </c>
      <c r="F24" s="41" t="s">
        <v>394</v>
      </c>
      <c r="G24" s="41" t="s">
        <v>394</v>
      </c>
      <c r="H24" s="42"/>
    </row>
    <row r="25" spans="1:8" ht="187.75" customHeight="1">
      <c r="A25" s="66">
        <v>22</v>
      </c>
      <c r="B25" s="78" t="s">
        <v>204</v>
      </c>
      <c r="C25" s="78"/>
      <c r="D25" s="79" t="s">
        <v>384</v>
      </c>
      <c r="E25" s="80"/>
      <c r="F25" s="80"/>
      <c r="G25" s="80"/>
      <c r="H25" s="81"/>
    </row>
    <row r="26" spans="1:8" ht="61" customHeight="1"/>
    <row r="27" spans="1:8" ht="61" customHeight="1"/>
    <row r="28" spans="1:8" ht="61" customHeight="1"/>
    <row r="29" spans="1:8" ht="61"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2" zoomScaleNormal="100" workbookViewId="0">
      <selection activeCell="C13" sqref="C13"/>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297</v>
      </c>
    </row>
    <row r="2" spans="2:10" ht="50" customHeight="1">
      <c r="B2" s="46"/>
      <c r="C2" s="47" t="s">
        <v>6</v>
      </c>
      <c r="D2" s="47" t="s">
        <v>7</v>
      </c>
      <c r="E2" s="47" t="s">
        <v>8</v>
      </c>
      <c r="F2" s="47" t="s">
        <v>16</v>
      </c>
      <c r="G2" s="47" t="s">
        <v>17</v>
      </c>
      <c r="H2" s="47" t="s">
        <v>182</v>
      </c>
      <c r="I2" s="47" t="s">
        <v>217</v>
      </c>
      <c r="J2" s="47" t="s">
        <v>218</v>
      </c>
    </row>
    <row r="3" spans="2:10" ht="50" customHeight="1">
      <c r="B3" s="47" t="s">
        <v>183</v>
      </c>
      <c r="C3" s="73" t="s">
        <v>102</v>
      </c>
      <c r="D3" s="73" t="s">
        <v>68</v>
      </c>
      <c r="E3" s="73" t="s">
        <v>58</v>
      </c>
      <c r="F3" s="73" t="s">
        <v>362</v>
      </c>
      <c r="G3" s="73"/>
      <c r="H3" s="73"/>
      <c r="I3" s="73"/>
      <c r="J3" s="73"/>
    </row>
    <row r="4" spans="2:10" ht="50" customHeight="1">
      <c r="B4" s="48" t="s">
        <v>265</v>
      </c>
      <c r="C4" s="73"/>
      <c r="D4" s="73"/>
      <c r="E4" s="73"/>
      <c r="F4" s="73"/>
      <c r="G4" s="73"/>
      <c r="H4" s="73"/>
      <c r="I4" s="73"/>
      <c r="J4" s="73"/>
    </row>
    <row r="5" spans="2:10" ht="50" customHeight="1">
      <c r="B5" s="48" t="s">
        <v>264</v>
      </c>
      <c r="C5" s="73">
        <v>200</v>
      </c>
      <c r="D5" s="73">
        <v>60</v>
      </c>
      <c r="E5" s="73">
        <v>160</v>
      </c>
      <c r="F5" s="73">
        <v>35</v>
      </c>
      <c r="G5" s="73"/>
      <c r="H5" s="73"/>
      <c r="I5" s="73"/>
      <c r="J5" s="73"/>
    </row>
    <row r="6" spans="2:10" ht="50" customHeight="1">
      <c r="B6" s="48" t="s">
        <v>266</v>
      </c>
      <c r="C6" s="73">
        <v>100</v>
      </c>
      <c r="D6" s="73">
        <v>40</v>
      </c>
      <c r="E6" s="73">
        <v>70</v>
      </c>
      <c r="F6" s="73">
        <v>20</v>
      </c>
      <c r="G6" s="73"/>
      <c r="H6" s="73"/>
      <c r="I6" s="73"/>
      <c r="J6" s="73"/>
    </row>
    <row r="7" spans="2:10" ht="50" customHeight="1">
      <c r="B7" s="48" t="s">
        <v>267</v>
      </c>
      <c r="C7" s="73">
        <v>15000</v>
      </c>
      <c r="D7" s="73">
        <v>4500</v>
      </c>
      <c r="E7" s="73">
        <v>9000</v>
      </c>
      <c r="F7" s="73">
        <v>1900</v>
      </c>
      <c r="G7" s="73"/>
      <c r="H7" s="73"/>
      <c r="I7" s="73"/>
      <c r="J7" s="73"/>
    </row>
    <row r="8" spans="2:10" ht="50" customHeight="1">
      <c r="B8" s="48" t="s">
        <v>216</v>
      </c>
      <c r="C8" s="73" t="s">
        <v>363</v>
      </c>
      <c r="D8" s="73" t="s">
        <v>363</v>
      </c>
      <c r="E8" s="73" t="s">
        <v>363</v>
      </c>
      <c r="F8" s="73" t="s">
        <v>363</v>
      </c>
      <c r="G8" s="73"/>
      <c r="H8" s="73"/>
      <c r="I8" s="73"/>
      <c r="J8" s="73"/>
    </row>
    <row r="9" spans="2:10" ht="50" customHeight="1">
      <c r="B9" s="48" t="s">
        <v>299</v>
      </c>
      <c r="C9" s="73" t="s">
        <v>364</v>
      </c>
      <c r="D9" s="73" t="s">
        <v>363</v>
      </c>
      <c r="E9" s="73" t="s">
        <v>363</v>
      </c>
      <c r="F9" s="73" t="s">
        <v>363</v>
      </c>
      <c r="G9" s="73"/>
      <c r="H9" s="73"/>
      <c r="I9" s="73"/>
      <c r="J9" s="73"/>
    </row>
    <row r="10" spans="2:10" ht="50" customHeight="1">
      <c r="B10" s="67" t="s">
        <v>293</v>
      </c>
      <c r="C10" s="73" t="s">
        <v>102</v>
      </c>
      <c r="D10" s="73" t="s">
        <v>68</v>
      </c>
      <c r="E10" s="73" t="s">
        <v>58</v>
      </c>
      <c r="F10" s="73" t="s">
        <v>365</v>
      </c>
      <c r="G10" s="73"/>
      <c r="H10" s="73"/>
      <c r="I10" s="73"/>
      <c r="J10" s="73"/>
    </row>
    <row r="11" spans="2:10" ht="50" customHeight="1">
      <c r="B11" s="48" t="s">
        <v>106</v>
      </c>
      <c r="C11" s="74">
        <v>26</v>
      </c>
      <c r="D11" s="74">
        <v>26</v>
      </c>
      <c r="E11" s="74">
        <v>26</v>
      </c>
      <c r="F11" s="73">
        <v>26</v>
      </c>
      <c r="G11" s="73"/>
      <c r="H11" s="73"/>
      <c r="I11" s="73"/>
      <c r="J11" s="73"/>
    </row>
    <row r="12" spans="2:10" ht="50" customHeight="1">
      <c r="B12" s="48" t="s">
        <v>201</v>
      </c>
      <c r="C12" s="75"/>
      <c r="D12" s="76"/>
      <c r="E12" s="76"/>
      <c r="F12" s="76"/>
      <c r="G12" s="76"/>
      <c r="H12" s="76"/>
      <c r="I12" s="76"/>
      <c r="J12" s="76"/>
    </row>
    <row r="14" spans="2:10" ht="50" customHeight="1">
      <c r="B14" s="85" t="s">
        <v>184</v>
      </c>
      <c r="C14" s="85"/>
      <c r="D14" s="85"/>
    </row>
    <row r="15" spans="2:10" ht="50" customHeight="1">
      <c r="B15" s="16" t="s">
        <v>185</v>
      </c>
      <c r="C15" s="85" t="s">
        <v>186</v>
      </c>
      <c r="D15" s="85"/>
    </row>
    <row r="16" spans="2:10" ht="50" customHeight="1">
      <c r="B16" s="49" t="s">
        <v>187</v>
      </c>
      <c r="C16" s="86" t="s">
        <v>188</v>
      </c>
      <c r="D16" s="86"/>
    </row>
    <row r="17" spans="2:4" ht="50" customHeight="1">
      <c r="B17" s="84" t="s">
        <v>189</v>
      </c>
      <c r="C17" s="84" t="s">
        <v>190</v>
      </c>
      <c r="D17" s="84"/>
    </row>
    <row r="18" spans="2:4" ht="50" customHeight="1">
      <c r="B18" s="84"/>
      <c r="C18" s="84" t="s">
        <v>191</v>
      </c>
      <c r="D18" s="84"/>
    </row>
    <row r="19" spans="2:4" ht="50" customHeight="1">
      <c r="B19" s="84"/>
      <c r="C19" s="84" t="s">
        <v>192</v>
      </c>
      <c r="D19" s="84"/>
    </row>
    <row r="20" spans="2:4" ht="50" customHeight="1">
      <c r="B20" s="84"/>
      <c r="C20" s="84" t="s">
        <v>193</v>
      </c>
      <c r="D20" s="84"/>
    </row>
    <row r="21" spans="2:4" ht="50" customHeight="1">
      <c r="B21" s="84" t="s">
        <v>194</v>
      </c>
      <c r="C21" s="84" t="s">
        <v>195</v>
      </c>
      <c r="D21" s="84"/>
    </row>
    <row r="22" spans="2:4" ht="50" customHeight="1">
      <c r="B22" s="84"/>
      <c r="C22" s="84" t="s">
        <v>196</v>
      </c>
      <c r="D22" s="84"/>
    </row>
    <row r="23" spans="2:4" ht="50" customHeight="1">
      <c r="B23" s="84"/>
      <c r="C23" s="84" t="s">
        <v>197</v>
      </c>
      <c r="D23" s="84"/>
    </row>
    <row r="24" spans="2:4" ht="50" customHeight="1">
      <c r="B24" s="84" t="s">
        <v>198</v>
      </c>
      <c r="C24" s="84" t="s">
        <v>199</v>
      </c>
      <c r="D24" s="84"/>
    </row>
    <row r="25" spans="2:4" ht="50" customHeight="1">
      <c r="B25" s="84"/>
      <c r="C25" s="84" t="s">
        <v>200</v>
      </c>
      <c r="D25" s="84"/>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abSelected="1" topLeftCell="A10" zoomScaleNormal="100" workbookViewId="0">
      <selection activeCell="F20" sqref="F20"/>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291</v>
      </c>
    </row>
    <row r="2" spans="2:11" ht="67" customHeight="1">
      <c r="B2" s="33"/>
      <c r="C2" s="16">
        <v>2022</v>
      </c>
      <c r="D2" s="16">
        <v>2023</v>
      </c>
      <c r="E2" s="16">
        <v>2024</v>
      </c>
      <c r="F2" s="16" t="s">
        <v>210</v>
      </c>
      <c r="G2" s="16" t="s">
        <v>146</v>
      </c>
      <c r="H2" s="16" t="s">
        <v>147</v>
      </c>
      <c r="I2" s="16" t="s">
        <v>211</v>
      </c>
      <c r="J2" s="16" t="s">
        <v>209</v>
      </c>
    </row>
    <row r="3" spans="2:11" ht="67" customHeight="1">
      <c r="B3" s="16" t="s">
        <v>268</v>
      </c>
      <c r="C3" s="39"/>
      <c r="D3" s="39"/>
      <c r="E3" s="39"/>
      <c r="F3" s="39"/>
      <c r="G3" s="39"/>
      <c r="H3" s="39"/>
      <c r="I3" s="39"/>
      <c r="J3" s="63"/>
    </row>
    <row r="4" spans="2:11" ht="67" customHeight="1">
      <c r="B4" s="36" t="s">
        <v>269</v>
      </c>
      <c r="C4" s="39">
        <v>622</v>
      </c>
      <c r="D4" s="39">
        <v>661</v>
      </c>
      <c r="E4" s="39">
        <v>653</v>
      </c>
      <c r="F4" s="39">
        <v>653</v>
      </c>
      <c r="G4" s="39"/>
      <c r="H4" s="39"/>
      <c r="I4" s="39"/>
      <c r="J4" s="63"/>
    </row>
    <row r="5" spans="2:11" ht="67" customHeight="1">
      <c r="B5" s="16" t="s">
        <v>270</v>
      </c>
      <c r="C5" s="39">
        <v>745</v>
      </c>
      <c r="D5" s="39">
        <v>757</v>
      </c>
      <c r="E5" s="39">
        <v>803</v>
      </c>
      <c r="F5" s="39">
        <v>803</v>
      </c>
      <c r="G5" s="39"/>
      <c r="H5" s="39"/>
      <c r="I5" s="39"/>
      <c r="J5" s="63"/>
    </row>
    <row r="6" spans="2:11" ht="67" customHeight="1">
      <c r="B6" s="16" t="s">
        <v>271</v>
      </c>
      <c r="C6" s="39">
        <v>1666</v>
      </c>
      <c r="D6" s="39">
        <v>1847</v>
      </c>
      <c r="E6" s="39">
        <v>1983</v>
      </c>
      <c r="F6" s="39">
        <v>1983</v>
      </c>
      <c r="G6" s="39"/>
      <c r="H6" s="39"/>
      <c r="I6" s="39"/>
      <c r="J6" s="63"/>
      <c r="K6" s="4" t="s">
        <v>219</v>
      </c>
    </row>
    <row r="7" spans="2:11" ht="67" customHeight="1">
      <c r="B7" s="16" t="s">
        <v>272</v>
      </c>
      <c r="C7" s="39"/>
      <c r="D7" s="39"/>
      <c r="E7" s="39"/>
      <c r="F7" s="39"/>
      <c r="G7" s="39"/>
      <c r="H7" s="39"/>
      <c r="I7" s="39"/>
      <c r="J7" s="63"/>
    </row>
    <row r="8" spans="2:11" ht="67" customHeight="1">
      <c r="B8" s="16" t="s">
        <v>273</v>
      </c>
      <c r="C8" s="39"/>
      <c r="D8" s="39"/>
      <c r="E8" s="39"/>
      <c r="F8" s="39"/>
      <c r="G8" s="39"/>
      <c r="H8" s="39"/>
      <c r="I8" s="39"/>
      <c r="J8" s="63"/>
    </row>
    <row r="9" spans="2:11" ht="67" customHeight="1">
      <c r="B9" s="16" t="s">
        <v>274</v>
      </c>
      <c r="C9" s="39"/>
      <c r="D9" s="39"/>
      <c r="E9" s="39"/>
      <c r="F9" s="39"/>
      <c r="G9" s="39"/>
      <c r="H9" s="39"/>
      <c r="I9" s="39"/>
      <c r="J9" s="63"/>
    </row>
    <row r="10" spans="2:11" ht="67" customHeight="1">
      <c r="B10" s="36" t="s">
        <v>288</v>
      </c>
      <c r="C10" s="39"/>
      <c r="D10" s="39"/>
      <c r="E10" s="39"/>
      <c r="F10" s="39"/>
      <c r="G10" s="39"/>
      <c r="H10" s="39"/>
      <c r="I10" s="39"/>
      <c r="J10" s="63"/>
    </row>
    <row r="11" spans="2:11" ht="67" customHeight="1">
      <c r="B11" s="16" t="s">
        <v>289</v>
      </c>
      <c r="C11" s="39">
        <v>1262</v>
      </c>
      <c r="D11" s="39">
        <v>1388</v>
      </c>
      <c r="E11" s="39">
        <v>1516</v>
      </c>
      <c r="F11" s="39">
        <v>1516</v>
      </c>
      <c r="G11" s="39"/>
      <c r="H11" s="39"/>
      <c r="I11" s="39"/>
      <c r="J11" s="63"/>
    </row>
    <row r="12" spans="2:11" ht="67" customHeight="1">
      <c r="B12" s="16" t="s">
        <v>290</v>
      </c>
      <c r="C12" s="39"/>
      <c r="D12" s="39"/>
      <c r="E12" s="39"/>
      <c r="F12" s="39"/>
      <c r="G12" s="39"/>
      <c r="H12" s="39"/>
      <c r="I12" s="39"/>
      <c r="J12" s="63"/>
    </row>
    <row r="13" spans="2:11" ht="67" customHeight="1">
      <c r="B13" s="16" t="s">
        <v>212</v>
      </c>
      <c r="C13" s="39">
        <v>405</v>
      </c>
      <c r="D13" s="39">
        <v>440</v>
      </c>
      <c r="E13" s="39">
        <v>459</v>
      </c>
      <c r="F13" s="39">
        <v>459</v>
      </c>
      <c r="G13" s="39"/>
      <c r="H13" s="39"/>
      <c r="I13" s="39"/>
      <c r="J13" s="63"/>
    </row>
    <row r="14" spans="2:11" ht="67" customHeight="1">
      <c r="B14" s="16" t="s">
        <v>212</v>
      </c>
      <c r="C14" s="39"/>
      <c r="D14" s="39"/>
      <c r="E14" s="39"/>
      <c r="F14" s="39"/>
      <c r="G14" s="39"/>
      <c r="H14" s="39"/>
      <c r="I14" s="39"/>
      <c r="J14" s="63"/>
    </row>
    <row r="15" spans="2:11" ht="67" customHeight="1">
      <c r="B15" s="16" t="s">
        <v>212</v>
      </c>
      <c r="C15" s="39"/>
      <c r="D15" s="39"/>
      <c r="E15" s="39"/>
      <c r="F15" s="39"/>
      <c r="G15" s="39"/>
      <c r="H15" s="39"/>
      <c r="I15" s="39"/>
      <c r="J15" s="63"/>
    </row>
    <row r="16" spans="2:11" ht="19">
      <c r="B16" s="54" t="s">
        <v>220</v>
      </c>
      <c r="C16" s="55">
        <f t="shared" ref="C16:I16" si="0">SUM(C3:C15)</f>
        <v>4700</v>
      </c>
      <c r="D16" s="55">
        <f t="shared" si="0"/>
        <v>5093</v>
      </c>
      <c r="E16" s="55">
        <f t="shared" si="0"/>
        <v>5414</v>
      </c>
      <c r="F16" s="55">
        <f t="shared" si="0"/>
        <v>5414</v>
      </c>
      <c r="G16" s="55">
        <f t="shared" si="0"/>
        <v>0</v>
      </c>
      <c r="H16" s="55">
        <f t="shared" si="0"/>
        <v>0</v>
      </c>
      <c r="I16" s="55">
        <f t="shared" si="0"/>
        <v>0</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7"/>
  <sheetViews>
    <sheetView showGridLines="0" workbookViewId="0">
      <selection activeCell="M7" sqref="M7"/>
    </sheetView>
  </sheetViews>
  <sheetFormatPr baseColWidth="10" defaultColWidth="10.83203125" defaultRowHeight="16"/>
  <cols>
    <col min="1" max="1" width="5.33203125" customWidth="1"/>
    <col min="2" max="2" width="34.5" customWidth="1"/>
  </cols>
  <sheetData>
    <row r="2" spans="2:11" ht="47" customHeight="1">
      <c r="B2" s="87" t="s">
        <v>318</v>
      </c>
      <c r="C2" s="87"/>
      <c r="D2" s="87"/>
      <c r="E2" s="87"/>
      <c r="F2" s="87"/>
      <c r="G2" s="87"/>
      <c r="H2" s="87"/>
      <c r="I2" s="87"/>
      <c r="J2" s="87"/>
      <c r="K2" s="87"/>
    </row>
    <row r="3" spans="2:11" ht="47" customHeight="1">
      <c r="B3" s="87"/>
      <c r="C3" s="87"/>
      <c r="D3" s="87"/>
      <c r="E3" s="87"/>
      <c r="F3" s="87"/>
      <c r="G3" s="87"/>
      <c r="H3" s="87"/>
      <c r="I3" s="87"/>
      <c r="J3" s="87"/>
      <c r="K3" s="87"/>
    </row>
    <row r="4" spans="2:11" ht="47" customHeight="1">
      <c r="B4" s="87"/>
      <c r="C4" s="87"/>
      <c r="D4" s="87"/>
      <c r="E4" s="87"/>
      <c r="F4" s="87"/>
      <c r="G4" s="87"/>
      <c r="H4" s="87"/>
      <c r="I4" s="87"/>
      <c r="J4" s="87"/>
      <c r="K4" s="87"/>
    </row>
    <row r="5" spans="2:11" ht="47" customHeight="1">
      <c r="B5" s="87"/>
      <c r="C5" s="87"/>
      <c r="D5" s="87"/>
      <c r="E5" s="87"/>
      <c r="F5" s="87"/>
      <c r="G5" s="87"/>
      <c r="H5" s="87"/>
      <c r="I5" s="87"/>
      <c r="J5" s="87"/>
      <c r="K5" s="87"/>
    </row>
    <row r="7" spans="2:11">
      <c r="B7" t="s">
        <v>378</v>
      </c>
    </row>
  </sheetData>
  <mergeCells count="1">
    <mergeCell ref="B2:K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J2" zoomScale="60" zoomScaleNormal="60" workbookViewId="0">
      <selection activeCell="U9" sqref="U9"/>
    </sheetView>
  </sheetViews>
  <sheetFormatPr baseColWidth="10" defaultColWidth="11.1640625"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249</v>
      </c>
    </row>
    <row r="2" spans="2:23" ht="60" customHeight="1">
      <c r="B2" s="68" t="s">
        <v>242</v>
      </c>
      <c r="C2" s="88" t="s">
        <v>244</v>
      </c>
      <c r="D2" s="88"/>
      <c r="E2" s="88"/>
      <c r="F2" s="88"/>
      <c r="G2" s="88" t="s">
        <v>245</v>
      </c>
      <c r="H2" s="88"/>
      <c r="I2" s="88"/>
      <c r="J2" s="88"/>
      <c r="K2" s="88"/>
      <c r="L2" s="88" t="s">
        <v>308</v>
      </c>
      <c r="M2" s="88"/>
      <c r="N2" s="88"/>
      <c r="O2" s="88"/>
      <c r="P2" s="88"/>
      <c r="Q2" s="88"/>
      <c r="R2" s="88"/>
      <c r="S2" s="88" t="s">
        <v>246</v>
      </c>
      <c r="T2" s="88"/>
      <c r="U2" s="88"/>
      <c r="V2" s="88"/>
    </row>
    <row r="3" spans="2:23" ht="60" customHeight="1">
      <c r="B3" s="16" t="s">
        <v>243</v>
      </c>
      <c r="C3" s="69" t="s">
        <v>247</v>
      </c>
      <c r="D3" s="69" t="s">
        <v>300</v>
      </c>
      <c r="E3" s="69" t="s">
        <v>237</v>
      </c>
      <c r="F3" s="69" t="s">
        <v>295</v>
      </c>
      <c r="G3" s="69" t="s">
        <v>41</v>
      </c>
      <c r="H3" s="69" t="s">
        <v>248</v>
      </c>
      <c r="I3" s="69" t="s">
        <v>238</v>
      </c>
      <c r="J3" s="69" t="s">
        <v>239</v>
      </c>
      <c r="K3" s="69" t="s">
        <v>292</v>
      </c>
      <c r="L3" s="69" t="s">
        <v>309</v>
      </c>
      <c r="M3" s="70" t="s">
        <v>315</v>
      </c>
      <c r="N3" s="69" t="s">
        <v>310</v>
      </c>
      <c r="O3" s="69" t="s">
        <v>314</v>
      </c>
      <c r="P3" s="69" t="s">
        <v>311</v>
      </c>
      <c r="Q3" s="69" t="s">
        <v>312</v>
      </c>
      <c r="R3" s="69" t="s">
        <v>313</v>
      </c>
      <c r="S3" s="69" t="s">
        <v>24</v>
      </c>
      <c r="T3" s="69" t="s">
        <v>240</v>
      </c>
      <c r="U3" s="69" t="s">
        <v>298</v>
      </c>
      <c r="V3" s="69" t="s">
        <v>241</v>
      </c>
      <c r="W3" s="16" t="s">
        <v>209</v>
      </c>
    </row>
    <row r="4" spans="2:23" ht="60" customHeight="1">
      <c r="B4" s="16" t="s">
        <v>256</v>
      </c>
      <c r="C4" s="39"/>
      <c r="D4" s="39"/>
      <c r="E4" s="39"/>
      <c r="F4" s="39"/>
      <c r="G4" s="39"/>
      <c r="H4" s="39"/>
      <c r="I4" s="39"/>
      <c r="J4" s="39"/>
      <c r="K4" s="39"/>
      <c r="L4" s="39"/>
      <c r="M4" s="39"/>
      <c r="N4" s="39"/>
      <c r="O4" s="39"/>
      <c r="P4" s="39"/>
      <c r="Q4" s="39"/>
      <c r="R4" s="39"/>
      <c r="S4" s="39"/>
      <c r="T4" s="39"/>
      <c r="U4" s="39" t="s">
        <v>36</v>
      </c>
      <c r="V4" s="39"/>
      <c r="W4" s="63"/>
    </row>
    <row r="5" spans="2:23" ht="60" customHeight="1">
      <c r="B5" s="36" t="s">
        <v>276</v>
      </c>
      <c r="C5" s="39"/>
      <c r="D5" s="39"/>
      <c r="E5" s="39"/>
      <c r="F5" s="39"/>
      <c r="G5" s="39"/>
      <c r="H5" s="39"/>
      <c r="I5" s="39"/>
      <c r="J5" s="39"/>
      <c r="K5" s="39"/>
      <c r="L5" s="39"/>
      <c r="M5" s="39"/>
      <c r="N5" s="39"/>
      <c r="O5" s="39"/>
      <c r="P5" s="39"/>
      <c r="Q5" s="39"/>
      <c r="R5" s="39"/>
      <c r="S5" s="39"/>
      <c r="T5" s="39"/>
      <c r="U5" s="39" t="s">
        <v>366</v>
      </c>
      <c r="V5" s="39"/>
      <c r="W5" s="63"/>
    </row>
    <row r="6" spans="2:23" ht="60" customHeight="1">
      <c r="B6" s="36" t="s">
        <v>257</v>
      </c>
      <c r="C6" s="39"/>
      <c r="D6" s="39"/>
      <c r="E6" s="39"/>
      <c r="F6" s="39"/>
      <c r="G6" s="39"/>
      <c r="H6" s="39"/>
      <c r="I6" s="39"/>
      <c r="J6" s="39"/>
      <c r="K6" s="39"/>
      <c r="L6" s="39"/>
      <c r="M6" s="39"/>
      <c r="N6" s="39"/>
      <c r="O6" s="39"/>
      <c r="P6" s="39"/>
      <c r="Q6" s="39"/>
      <c r="R6" s="39"/>
      <c r="S6" s="39"/>
      <c r="T6" s="39"/>
      <c r="U6" s="39" t="s">
        <v>37</v>
      </c>
      <c r="V6" s="39"/>
      <c r="W6" s="63"/>
    </row>
    <row r="7" spans="2:23" ht="60" customHeight="1">
      <c r="B7" s="36" t="s">
        <v>22</v>
      </c>
      <c r="C7" s="39"/>
      <c r="D7" s="39"/>
      <c r="E7" s="39"/>
      <c r="F7" s="39"/>
      <c r="G7" s="39"/>
      <c r="H7" s="39"/>
      <c r="I7" s="39"/>
      <c r="J7" s="39"/>
      <c r="K7" s="39"/>
      <c r="L7" s="39"/>
      <c r="M7" s="39"/>
      <c r="N7" s="39"/>
      <c r="O7" s="39"/>
      <c r="P7" s="39"/>
      <c r="Q7" s="39"/>
      <c r="R7" s="39"/>
      <c r="S7" s="39"/>
      <c r="T7" s="39"/>
      <c r="U7" s="39" t="s">
        <v>367</v>
      </c>
      <c r="V7" s="39"/>
      <c r="W7" s="63"/>
    </row>
    <row r="8" spans="2:23" ht="60" customHeight="1">
      <c r="B8" s="36" t="s">
        <v>275</v>
      </c>
      <c r="C8" s="39"/>
      <c r="D8" s="39"/>
      <c r="E8" s="39"/>
      <c r="F8" s="39"/>
      <c r="G8" s="39"/>
      <c r="H8" s="39"/>
      <c r="I8" s="39"/>
      <c r="J8" s="39"/>
      <c r="K8" s="39"/>
      <c r="L8" s="39"/>
      <c r="M8" s="39"/>
      <c r="N8" s="39"/>
      <c r="O8" s="39"/>
      <c r="P8" s="39"/>
      <c r="Q8" s="39"/>
      <c r="R8" s="39"/>
      <c r="S8" s="39"/>
      <c r="T8" s="39"/>
      <c r="U8" s="39">
        <v>5400</v>
      </c>
      <c r="V8" s="39"/>
      <c r="W8" s="63"/>
    </row>
    <row r="9" spans="2:23" ht="60" customHeight="1">
      <c r="B9" s="36" t="s">
        <v>258</v>
      </c>
      <c r="C9" s="39"/>
      <c r="D9" s="39"/>
      <c r="E9" s="39"/>
      <c r="F9" s="39"/>
      <c r="G9" s="39"/>
      <c r="H9" s="39"/>
      <c r="I9" s="39"/>
      <c r="J9" s="39"/>
      <c r="K9" s="39"/>
      <c r="L9" s="39"/>
      <c r="M9" s="39"/>
      <c r="N9" s="39"/>
      <c r="O9" s="39"/>
      <c r="P9" s="39"/>
      <c r="Q9" s="39"/>
      <c r="R9" s="39"/>
      <c r="S9" s="39"/>
      <c r="T9" s="39"/>
      <c r="U9" s="39" t="s">
        <v>368</v>
      </c>
      <c r="V9" s="39"/>
      <c r="W9" s="63"/>
    </row>
    <row r="10" spans="2:23" ht="60" customHeight="1">
      <c r="B10" s="36" t="s">
        <v>307</v>
      </c>
      <c r="C10" s="39"/>
      <c r="D10" s="39"/>
      <c r="E10" s="39"/>
      <c r="F10" s="39"/>
      <c r="G10" s="39"/>
      <c r="H10" s="39"/>
      <c r="I10" s="39"/>
      <c r="J10" s="39"/>
      <c r="K10" s="39"/>
      <c r="L10" s="39"/>
      <c r="M10" s="39"/>
      <c r="N10" s="39"/>
      <c r="O10" s="39"/>
      <c r="P10" s="39"/>
      <c r="Q10" s="39"/>
      <c r="R10" s="39"/>
      <c r="S10" s="39"/>
      <c r="T10" s="39"/>
      <c r="U10" s="39" t="s">
        <v>377</v>
      </c>
      <c r="V10" s="39"/>
      <c r="W10" s="63"/>
    </row>
    <row r="11" spans="2:23" ht="60" customHeight="1">
      <c r="B11" s="36" t="s">
        <v>277</v>
      </c>
      <c r="C11" s="39"/>
      <c r="D11" s="39"/>
      <c r="E11" s="39"/>
      <c r="F11" s="39"/>
      <c r="G11" s="71"/>
      <c r="H11" s="39"/>
      <c r="I11" s="39"/>
      <c r="J11" s="39"/>
      <c r="K11" s="39"/>
      <c r="L11" s="39"/>
      <c r="M11" s="39"/>
      <c r="N11" s="39"/>
      <c r="O11" s="39"/>
      <c r="P11" s="39"/>
      <c r="Q11" s="39"/>
      <c r="R11" s="39"/>
      <c r="S11" s="39"/>
      <c r="T11" s="39"/>
      <c r="U11" s="39" t="s">
        <v>374</v>
      </c>
      <c r="V11" s="39"/>
      <c r="W11" s="63"/>
    </row>
    <row r="12" spans="2:23" ht="60" customHeight="1">
      <c r="B12" s="16" t="s">
        <v>259</v>
      </c>
      <c r="C12" s="39"/>
      <c r="D12" s="39"/>
      <c r="E12" s="39"/>
      <c r="F12" s="39"/>
      <c r="G12" s="39"/>
      <c r="H12" s="39"/>
      <c r="I12" s="39"/>
      <c r="J12" s="39"/>
      <c r="K12" s="39"/>
      <c r="L12" s="39"/>
      <c r="M12" s="39"/>
      <c r="N12" s="39"/>
      <c r="O12" s="39"/>
      <c r="P12" s="39"/>
      <c r="Q12" s="39"/>
      <c r="R12" s="39"/>
      <c r="S12" s="39"/>
      <c r="T12" s="39"/>
      <c r="U12" s="39" t="s">
        <v>370</v>
      </c>
      <c r="V12" s="39"/>
      <c r="W12" s="63"/>
    </row>
    <row r="13" spans="2:23" ht="60" customHeight="1">
      <c r="B13" s="36" t="s">
        <v>254</v>
      </c>
      <c r="C13" s="39"/>
      <c r="D13" s="39"/>
      <c r="E13" s="39"/>
      <c r="F13" s="39"/>
      <c r="G13" s="39"/>
      <c r="H13" s="39"/>
      <c r="I13" s="39"/>
      <c r="J13" s="39"/>
      <c r="K13" s="39"/>
      <c r="L13" s="39"/>
      <c r="M13" s="39"/>
      <c r="N13" s="39"/>
      <c r="O13" s="39"/>
      <c r="P13" s="39"/>
      <c r="Q13" s="39"/>
      <c r="R13" s="39"/>
      <c r="S13" s="39"/>
      <c r="T13" s="39"/>
      <c r="U13" s="39" t="s">
        <v>376</v>
      </c>
      <c r="V13" s="39"/>
      <c r="W13" s="63"/>
    </row>
    <row r="14" spans="2:23" ht="60" customHeight="1">
      <c r="B14" s="16" t="s">
        <v>250</v>
      </c>
      <c r="C14" s="39"/>
      <c r="D14" s="39"/>
      <c r="E14" s="39"/>
      <c r="F14" s="39"/>
      <c r="G14" s="39"/>
      <c r="H14" s="39"/>
      <c r="I14" s="39"/>
      <c r="J14" s="39"/>
      <c r="K14" s="39"/>
      <c r="L14" s="39"/>
      <c r="M14" s="39"/>
      <c r="N14" s="39"/>
      <c r="O14" s="39"/>
      <c r="P14" s="39"/>
      <c r="Q14" s="39"/>
      <c r="R14" s="39"/>
      <c r="S14" s="39"/>
      <c r="T14" s="39"/>
      <c r="U14" s="39" t="s">
        <v>369</v>
      </c>
      <c r="V14" s="39"/>
      <c r="W14" s="63"/>
    </row>
    <row r="15" spans="2:23" ht="60" customHeight="1">
      <c r="B15" s="16" t="s">
        <v>253</v>
      </c>
      <c r="C15" s="39"/>
      <c r="D15" s="39"/>
      <c r="E15" s="39"/>
      <c r="F15" s="39"/>
      <c r="G15" s="39"/>
      <c r="H15" s="39"/>
      <c r="I15" s="39"/>
      <c r="J15" s="39"/>
      <c r="K15" s="39"/>
      <c r="L15" s="39"/>
      <c r="M15" s="39"/>
      <c r="N15" s="39"/>
      <c r="O15" s="39"/>
      <c r="P15" s="39"/>
      <c r="Q15" s="39"/>
      <c r="R15" s="39"/>
      <c r="S15" s="39"/>
      <c r="T15" s="39"/>
      <c r="U15" s="39" t="s">
        <v>375</v>
      </c>
      <c r="V15" s="39"/>
      <c r="W15" s="63"/>
    </row>
    <row r="16" spans="2:23" ht="60" customHeight="1">
      <c r="B16" s="36" t="s">
        <v>255</v>
      </c>
      <c r="C16" s="39"/>
      <c r="D16" s="39"/>
      <c r="E16" s="39"/>
      <c r="F16" s="39"/>
      <c r="G16" s="39"/>
      <c r="H16" s="39"/>
      <c r="I16" s="39"/>
      <c r="J16" s="39"/>
      <c r="K16" s="39"/>
      <c r="L16" s="39"/>
      <c r="M16" s="39"/>
      <c r="N16" s="39"/>
      <c r="O16" s="39"/>
      <c r="P16" s="39"/>
      <c r="Q16" s="39"/>
      <c r="R16" s="39"/>
      <c r="S16" s="39"/>
      <c r="T16" s="39"/>
      <c r="U16" s="39" t="s">
        <v>371</v>
      </c>
      <c r="V16" s="39"/>
      <c r="W16" s="63"/>
    </row>
    <row r="17" spans="2:23" ht="60" customHeight="1">
      <c r="B17" s="16" t="s">
        <v>251</v>
      </c>
      <c r="C17" s="39"/>
      <c r="D17" s="39"/>
      <c r="E17" s="39"/>
      <c r="F17" s="39"/>
      <c r="G17" s="39"/>
      <c r="H17" s="39"/>
      <c r="I17" s="39"/>
      <c r="J17" s="39"/>
      <c r="K17" s="39"/>
      <c r="L17" s="39"/>
      <c r="M17" s="39"/>
      <c r="N17" s="39"/>
      <c r="O17" s="39"/>
      <c r="P17" s="39"/>
      <c r="Q17" s="39"/>
      <c r="R17" s="39"/>
      <c r="S17" s="39"/>
      <c r="T17" s="39"/>
      <c r="U17" s="39" t="s">
        <v>372</v>
      </c>
      <c r="V17" s="39"/>
      <c r="W17" s="63"/>
    </row>
    <row r="18" spans="2:23" ht="60" customHeight="1">
      <c r="B18" s="16" t="s">
        <v>252</v>
      </c>
      <c r="C18" s="39"/>
      <c r="D18" s="39"/>
      <c r="E18" s="39"/>
      <c r="F18" s="39"/>
      <c r="G18" s="39"/>
      <c r="H18" s="39"/>
      <c r="I18" s="39"/>
      <c r="J18" s="39"/>
      <c r="K18" s="39"/>
      <c r="L18" s="39"/>
      <c r="M18" s="39"/>
      <c r="N18" s="39"/>
      <c r="O18" s="39"/>
      <c r="P18" s="39"/>
      <c r="Q18" s="39"/>
      <c r="R18" s="39"/>
      <c r="S18" s="39"/>
      <c r="T18" s="39"/>
      <c r="U18" s="39" t="s">
        <v>373</v>
      </c>
      <c r="V18" s="39"/>
      <c r="W18" s="63"/>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topLeftCell="A6" workbookViewId="0">
      <selection activeCell="P21" sqref="P21"/>
    </sheetView>
  </sheetViews>
  <sheetFormatPr baseColWidth="10" defaultColWidth="10.83203125" defaultRowHeight="16"/>
  <cols>
    <col min="1" max="1" width="5.5" customWidth="1"/>
  </cols>
  <sheetData>
    <row r="3" spans="2:11" ht="34" customHeight="1">
      <c r="B3" s="87" t="s">
        <v>226</v>
      </c>
      <c r="C3" s="87"/>
      <c r="D3" s="87"/>
      <c r="E3" s="87"/>
      <c r="F3" s="87"/>
      <c r="G3" s="87"/>
      <c r="H3" s="87"/>
      <c r="I3" s="87"/>
      <c r="J3" s="87"/>
      <c r="K3" s="87"/>
    </row>
    <row r="4" spans="2:11" ht="34" customHeight="1">
      <c r="B4" s="87"/>
      <c r="C4" s="87"/>
      <c r="D4" s="87"/>
      <c r="E4" s="87"/>
      <c r="F4" s="87"/>
      <c r="G4" s="87"/>
      <c r="H4" s="87"/>
      <c r="I4" s="87"/>
      <c r="J4" s="87"/>
      <c r="K4" s="87"/>
    </row>
    <row r="5" spans="2:11" ht="34" customHeight="1">
      <c r="B5" s="87"/>
      <c r="C5" s="87"/>
      <c r="D5" s="87"/>
      <c r="E5" s="87"/>
      <c r="F5" s="87"/>
      <c r="G5" s="87"/>
      <c r="H5" s="87"/>
      <c r="I5" s="87"/>
      <c r="J5" s="87"/>
      <c r="K5" s="87"/>
    </row>
    <row r="6" spans="2:11" ht="34" customHeight="1">
      <c r="B6" s="87"/>
      <c r="C6" s="87"/>
      <c r="D6" s="87"/>
      <c r="E6" s="87"/>
      <c r="F6" s="87"/>
      <c r="G6" s="87"/>
      <c r="H6" s="87"/>
      <c r="I6" s="87"/>
      <c r="J6" s="87"/>
      <c r="K6" s="87"/>
    </row>
    <row r="12" spans="2:11">
      <c r="B12" s="60"/>
    </row>
    <row r="15" spans="2:11">
      <c r="B15" s="60"/>
    </row>
    <row r="18" spans="2:2">
      <c r="B18" s="60"/>
    </row>
    <row r="21" spans="2:2">
      <c r="B21" s="60"/>
    </row>
    <row r="24" spans="2:2">
      <c r="B24" s="60"/>
    </row>
  </sheetData>
  <mergeCells count="1">
    <mergeCell ref="B3:K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11" zoomScaleNormal="100" workbookViewId="0">
      <selection activeCell="B18" sqref="B18"/>
    </sheetView>
  </sheetViews>
  <sheetFormatPr baseColWidth="10" defaultColWidth="10.83203125" defaultRowHeight="21"/>
  <cols>
    <col min="1" max="1" width="4.1640625" style="57" customWidth="1"/>
    <col min="2" max="2" width="200.83203125" style="10" customWidth="1"/>
    <col min="3" max="3" width="67.5" style="13" customWidth="1"/>
    <col min="4" max="16384" width="10.83203125" style="51"/>
  </cols>
  <sheetData>
    <row r="2" spans="2:4" ht="22">
      <c r="B2" s="8" t="s">
        <v>235</v>
      </c>
      <c r="C2" s="11"/>
    </row>
    <row r="3" spans="2:4" ht="22">
      <c r="B3" s="44" t="s">
        <v>233</v>
      </c>
      <c r="C3" s="59"/>
    </row>
    <row r="4" spans="2:4" ht="22">
      <c r="B4" s="58" t="s">
        <v>262</v>
      </c>
      <c r="C4" s="59"/>
    </row>
    <row r="5" spans="2:4" ht="66">
      <c r="B5" s="56" t="s">
        <v>285</v>
      </c>
      <c r="C5" s="50" t="s">
        <v>36</v>
      </c>
      <c r="D5" s="52" t="s">
        <v>286</v>
      </c>
    </row>
    <row r="6" spans="2:4" ht="22">
      <c r="B6" s="58" t="s">
        <v>261</v>
      </c>
      <c r="C6" s="59"/>
      <c r="D6" s="52"/>
    </row>
    <row r="7" spans="2:4" ht="66">
      <c r="B7" s="56" t="s">
        <v>223</v>
      </c>
      <c r="C7" s="50" t="s">
        <v>36</v>
      </c>
      <c r="D7" s="52" t="s">
        <v>278</v>
      </c>
    </row>
    <row r="8" spans="2:4" ht="22">
      <c r="B8" s="58" t="s">
        <v>260</v>
      </c>
      <c r="C8" s="59"/>
    </row>
    <row r="9" spans="2:4" ht="66">
      <c r="B9" s="56" t="s">
        <v>224</v>
      </c>
      <c r="C9" s="50" t="s">
        <v>36</v>
      </c>
    </row>
    <row r="10" spans="2:4" ht="22">
      <c r="B10" s="58" t="s">
        <v>281</v>
      </c>
      <c r="C10" s="59"/>
    </row>
    <row r="11" spans="2:4" ht="66">
      <c r="B11" s="56" t="s">
        <v>282</v>
      </c>
      <c r="C11" s="50" t="s">
        <v>36</v>
      </c>
    </row>
    <row r="12" spans="2:4" ht="22">
      <c r="B12" s="44" t="s">
        <v>232</v>
      </c>
      <c r="C12" s="59"/>
    </row>
    <row r="13" spans="2:4" ht="22">
      <c r="B13" s="58" t="s">
        <v>234</v>
      </c>
      <c r="C13" s="59"/>
    </row>
    <row r="14" spans="2:4" ht="66">
      <c r="B14" s="56" t="s">
        <v>221</v>
      </c>
      <c r="C14" s="50" t="s">
        <v>36</v>
      </c>
    </row>
    <row r="15" spans="2:4" ht="22">
      <c r="B15" s="58" t="s">
        <v>230</v>
      </c>
      <c r="C15" s="59"/>
    </row>
    <row r="16" spans="2:4" ht="66">
      <c r="B16" s="56" t="s">
        <v>222</v>
      </c>
      <c r="C16" s="50" t="s">
        <v>36</v>
      </c>
    </row>
    <row r="17" spans="2:3" ht="22">
      <c r="B17" s="58" t="s">
        <v>231</v>
      </c>
      <c r="C17" s="59"/>
    </row>
    <row r="18" spans="2:3" ht="66">
      <c r="B18" s="56" t="s">
        <v>225</v>
      </c>
      <c r="C18" s="50" t="s">
        <v>37</v>
      </c>
    </row>
    <row r="19" spans="2:3" ht="22">
      <c r="B19" s="58" t="s">
        <v>263</v>
      </c>
      <c r="C19" s="59"/>
    </row>
    <row r="20" spans="2:3" ht="66">
      <c r="B20" s="56" t="s">
        <v>284</v>
      </c>
      <c r="C20" s="50" t="s">
        <v>36</v>
      </c>
    </row>
    <row r="21" spans="2:3" ht="22">
      <c r="B21" s="58" t="s">
        <v>301</v>
      </c>
      <c r="C21" s="59"/>
    </row>
    <row r="22" spans="2:3" ht="88">
      <c r="B22" s="56" t="s">
        <v>303</v>
      </c>
      <c r="C22" s="50"/>
    </row>
    <row r="23" spans="2:3" ht="22">
      <c r="B23" s="58" t="s">
        <v>306</v>
      </c>
      <c r="C23" s="59"/>
    </row>
    <row r="24" spans="2:3" ht="88">
      <c r="B24" s="56" t="s">
        <v>304</v>
      </c>
      <c r="C24" s="50" t="s">
        <v>36</v>
      </c>
    </row>
    <row r="25" spans="2:3" ht="22">
      <c r="B25" s="58" t="s">
        <v>302</v>
      </c>
      <c r="C25" s="59"/>
    </row>
    <row r="26" spans="2:3" ht="88">
      <c r="B26" s="56" t="s">
        <v>305</v>
      </c>
      <c r="C26" s="50" t="s">
        <v>36</v>
      </c>
    </row>
    <row r="27" spans="2:3" ht="22">
      <c r="B27" s="58" t="s">
        <v>316</v>
      </c>
      <c r="C27" s="59"/>
    </row>
    <row r="28" spans="2:3" ht="88">
      <c r="B28" s="56" t="s">
        <v>319</v>
      </c>
      <c r="C28" s="50"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Metadata/LabelInfo.xml><?xml version="1.0" encoding="utf-8"?>
<clbl:labelList xmlns:clbl="http://schemas.microsoft.com/office/2020/mipLabelMetadata">
  <clbl:label id="{28042244-bb51-4cd6-8034-7776fa3703e8}" enabled="0" method="" siteId="{28042244-bb51-4cd6-8034-7776fa3703e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Kyle Boutin</cp:lastModifiedBy>
  <cp:lastPrinted>2018-09-13T16:04:18Z</cp:lastPrinted>
  <dcterms:created xsi:type="dcterms:W3CDTF">2018-09-10T17:18:27Z</dcterms:created>
  <dcterms:modified xsi:type="dcterms:W3CDTF">2025-10-15T13:18:33Z</dcterms:modified>
</cp:coreProperties>
</file>