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https://hexmet-my.sharepoint.com/personal/han-hsi_nolden_hexagon_com/Documents/RFI/"/>
    </mc:Choice>
  </mc:AlternateContent>
  <xr:revisionPtr revIDLastSave="18" documentId="8_{310CE5E3-92D7-A949-9036-A3B4F8DAEF64}" xr6:coauthVersionLast="47" xr6:coauthVersionMax="47" xr10:uidLastSave="{0A4E144C-7205-664F-86E0-14E0A09F2DFE}"/>
  <workbookProtection workbookAlgorithmName="SHA-512" workbookHashValue="DZ307OSwGf3RBgln30ohjK9cXpWpHHaHtd7yDeNi+Mrqi98RPfIMLB2jlZwwG/H9xWNSm6Szu+3goAXOg6dRiA==" workbookSaltValue="o4x2JKd6JvqWvCAbp3C4+Q==" workbookSpinCount="100000" lockStructure="1"/>
  <bookViews>
    <workbookView xWindow="34720" yWindow="660" windowWidth="38080" windowHeight="20780" firstSheet="5" activeTab="9"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<sst xmlns="http://schemas.openxmlformats.org/spreadsheetml/2006/main" count="584" uniqueCount="477">
  <si>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</si>
  <si>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</si>
  <si>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</si>
  <si>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</si>
  <si>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</si>
  <si>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</si>
  <si>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</si>
  <si>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</si>
  <si>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</si>
  <si>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</si>
  <si>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</si>
  <si>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</si>
  <si>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</si>
  <si>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</si>
  <si>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Company HQ</t>
  </si>
  <si>
    <t>Region 4</t>
  </si>
  <si>
    <t>Region 5</t>
  </si>
  <si>
    <t>*Apple issued a PO to you for this spend</t>
  </si>
  <si>
    <t>Title</t>
  </si>
  <si>
    <t>Email</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</si>
  <si>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</si>
  <si>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</si>
  <si>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</si>
  <si>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</si>
  <si>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</si>
  <si>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</si>
  <si>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</si>
  <si>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</si>
  <si>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</si>
  <si>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</si>
  <si>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</si>
  <si>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</si>
  <si>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</si>
  <si>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</si>
  <si>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</si>
  <si>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</si>
  <si>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</si>
  <si>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</si>
  <si>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</si>
  <si>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</si>
  <si>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</si>
  <si>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</si>
  <si>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</si>
  <si>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</si>
  <si>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</si>
  <si>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</si>
  <si>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</si>
  <si>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</si>
  <si>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</si>
  <si>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</si>
  <si>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</si>
  <si>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</si>
  <si>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</si>
  <si>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</si>
  <si>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</si>
  <si>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</si>
  <si>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</si>
  <si>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</si>
  <si>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</si>
  <si>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</si>
  <si>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</si>
  <si>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</si>
  <si>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</si>
  <si>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</si>
  <si>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</si>
  <si>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</si>
  <si>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</si>
  <si>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</si>
  <si>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</si>
  <si>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</si>
  <si>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</si>
  <si>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</si>
  <si>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</si>
  <si>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</si>
  <si>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</si>
  <si>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</si>
  <si>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</si>
  <si>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</si>
  <si>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</si>
  <si>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</si>
  <si>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</si>
  <si>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</si>
  <si>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</si>
  <si>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</si>
  <si>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</si>
  <si>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</si>
  <si>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</si>
  <si>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</si>
  <si>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</si>
  <si>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</si>
  <si>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</si>
  <si>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</si>
  <si>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</si>
  <si>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</si>
  <si>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</si>
  <si>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</si>
  <si>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</si>
  <si>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</si>
  <si>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</si>
  <si>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</si>
  <si>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</si>
  <si>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</si>
  <si>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</si>
  <si>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</si>
  <si>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</si>
  <si>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</si>
  <si>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</si>
  <si>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</si>
  <si>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</si>
  <si>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</si>
  <si>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</si>
  <si>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</si>
  <si>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</si>
  <si>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</si>
  <si>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</si>
  <si>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</si>
  <si>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</si>
  <si>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</si>
  <si>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</si>
  <si>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</si>
  <si>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</si>
  <si>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</si>
  <si>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</si>
  <si>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</si>
  <si>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</si>
  <si>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</si>
  <si>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</si>
  <si>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</si>
  <si>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</si>
  <si>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</si>
  <si>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</si>
  <si>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</si>
  <si>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</si>
  <si>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</si>
  <si>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</si>
  <si>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</si>
  <si>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</si>
  <si>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</si>
  <si>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</si>
  <si>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</si>
  <si>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</si>
  <si>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</si>
  <si>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</si>
  <si>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</si>
  <si>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</si>
  <si>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</si>
  <si>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</si>
  <si>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</si>
  <si>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</si>
  <si>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</si>
  <si>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</si>
  <si>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</si>
  <si>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</si>
  <si>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</si>
  <si>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</si>
  <si>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</si>
  <si>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</si>
  <si>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</si>
  <si>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</si>
  <si>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</si>
  <si>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</si>
  <si>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</si>
  <si>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</si>
  <si>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</si>
  <si>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</si>
  <si>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</si>
  <si>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</si>
  <si>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</si>
  <si>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</si>
  <si>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</si>
  <si>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</si>
  <si>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</si>
  <si>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</si>
  <si>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</si>
  <si>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</si>
  <si>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</si>
  <si>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</si>
  <si>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</si>
  <si>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</si>
  <si>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</si>
  <si>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</si>
  <si>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</si>
  <si>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</si>
  <si>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</si>
  <si>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</si>
  <si>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</si>
  <si>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</si>
  <si>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</si>
  <si>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</si>
  <si>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</si>
  <si>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</si>
  <si>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</si>
  <si>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</si>
  <si>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</si>
  <si>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</si>
  <si>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</si>
  <si>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</si>
  <si>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</si>
  <si>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</si>
  <si>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</si>
  <si>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</si>
  <si>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</si>
  <si>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</si>
  <si>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</si>
  <si>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</si>
  <si>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</si>
  <si>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</si>
  <si>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</si>
  <si>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</si>
  <si>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</si>
  <si>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</si>
  <si>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</si>
  <si>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</si>
  <si>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</si>
  <si>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</si>
  <si>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</si>
  <si>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</si>
  <si>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</si>
  <si>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</si>
  <si>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</si>
  <si>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</si>
  <si>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</si>
  <si>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</si>
  <si>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</si>
  <si>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</si>
  <si>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</si>
  <si>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</si>
  <si>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</si>
  <si>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</si>
  <si>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</si>
  <si>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</si>
  <si>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</si>
  <si>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</si>
  <si>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</si>
  <si>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</si>
  <si>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</si>
  <si>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</si>
  <si>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</si>
  <si>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</si>
  <si>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</si>
  <si>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</si>
  <si>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</si>
  <si>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</si>
  <si>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</si>
  <si>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</si>
  <si>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</si>
  <si>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</si>
  <si>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</si>
  <si>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</si>
  <si>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</si>
  <si>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</si>
  <si>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</si>
  <si>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</si>
  <si>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</si>
  <si>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</si>
  <si>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</si>
  <si>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</si>
  <si>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</si>
  <si>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</si>
  <si>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</si>
  <si>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</si>
  <si>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</si>
  <si>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</si>
  <si>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</si>
  <si>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</si>
  <si>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</si>
  <si>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</si>
  <si>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</si>
  <si>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</si>
  <si>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</si>
  <si>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</si>
  <si>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</si>
  <si>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</si>
  <si>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</si>
  <si>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</si>
  <si>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</si>
  <si>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</si>
  <si>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</si>
  <si>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</si>
  <si>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</si>
  <si>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</si>
  <si>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</si>
  <si>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</si>
  <si>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</si>
  <si>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</si>
  <si>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</si>
  <si>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</si>
  <si>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</si>
  <si>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</si>
  <si>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</si>
  <si>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</si>
  <si>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</si>
  <si>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</si>
  <si>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</si>
  <si>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</si>
  <si>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</si>
  <si>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</si>
  <si>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</si>
  <si>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</si>
  <si>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</si>
  <si>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</si>
  <si>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</si>
  <si>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</si>
  <si>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</si>
  <si>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</si>
  <si>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</si>
  <si>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</si>
  <si>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</si>
  <si>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</si>
  <si>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</si>
  <si>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</si>
  <si>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</si>
  <si>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</si>
  <si>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</si>
  <si>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</si>
  <si>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</si>
  <si>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Manufacturing Location 6</t>
  </si>
  <si>
    <t>Manufacturing Location 7</t>
  </si>
  <si>
    <t>Manufacturing Location 8</t>
  </si>
  <si>
    <t>Manufacturing Location 9</t>
  </si>
  <si>
    <t>Manufacturing Location 10</t>
  </si>
  <si>
    <t>Official Legal Name - China</t>
  </si>
  <si>
    <t>Official Legal Name - India</t>
  </si>
  <si>
    <t>Official Legal Name - US</t>
  </si>
  <si>
    <t>Official Legal Name - APK</t>
  </si>
  <si>
    <t>2a</t>
  </si>
  <si>
    <t>2b</t>
  </si>
  <si>
    <t>2c</t>
  </si>
  <si>
    <t>2d</t>
  </si>
  <si>
    <t>Hexagon AB</t>
  </si>
  <si>
    <t>Stockholm, Sweden</t>
  </si>
  <si>
    <t>https://hexagon.com/</t>
  </si>
  <si>
    <t>Nasdaq Stockholm: HEXA B</t>
  </si>
  <si>
    <t>Multinational Industrial Technology</t>
  </si>
  <si>
    <t>Hexagon AB (Publ) Head Office</t>
  </si>
  <si>
    <t>Hexagon China - Qingdao HQ</t>
  </si>
  <si>
    <t>Hexagon China - Shenzhen</t>
  </si>
  <si>
    <t>Hexagon India - Noida</t>
  </si>
  <si>
    <t>Hexagon India - Bangalore</t>
  </si>
  <si>
    <t>Hexagon America - Quonset Point HQ</t>
  </si>
  <si>
    <t>Qingdao, China</t>
  </si>
  <si>
    <t>Shenzhen, China</t>
  </si>
  <si>
    <t xml:space="preserve">Noida Uttar Pradesh India </t>
  </si>
  <si>
    <t>Bangalore Karnataka</t>
  </si>
  <si>
    <t>North Kingstown, RI</t>
  </si>
  <si>
    <t>Lilla Bantorget 15
SE-111 23 Stockholm, Sweden</t>
  </si>
  <si>
    <t>No. 885 HuaGuan Road, Hi-Tech Development Zone, Qingdao, Shandong Province, China (266114)</t>
  </si>
  <si>
    <t>Fuyuan 1st Road, Fuyong street, Bao'an District, Shenzhen, China</t>
  </si>
  <si>
    <t>A-9, A Block, Sector-65, Noida, Uttar Pradesh 201301</t>
  </si>
  <si>
    <t xml:space="preserve"> G05, Brigade Rubix, 20, Watch Factory Rd, Phase 1, Peenya, Bengaluru, Karnataka 560022</t>
  </si>
  <si>
    <t>50 Circuit Drive, North Kingstown, RI 02852</t>
  </si>
  <si>
    <t>V5x/D23/D9x 4y/N227/N216/N230/N24x</t>
  </si>
  <si>
    <t>V57,D37,D94,D47,N199</t>
  </si>
  <si>
    <t>FX Houston US (no code provided)</t>
  </si>
  <si>
    <t>Metrology - CMM, OMMs</t>
  </si>
  <si>
    <t>Metrology - CMM, OMMs, AOI</t>
  </si>
  <si>
    <t>CMM,VMM</t>
  </si>
  <si>
    <t>China: Foxconn, Luxshare, Lens, BYD, Biel, etc.
Vietnam: LGD, SDV, Luxshare</t>
  </si>
  <si>
    <t>China: Foxconn, Luxshare, Lens, BYD, Biel, etc.
Vietnam: Luxshare, BYD, Everwin</t>
  </si>
  <si>
    <t>India: Aequs, Salcomp</t>
  </si>
  <si>
    <t>Foxconn - Houston US</t>
  </si>
  <si>
    <t>Hexagon Germany - Wetzlar</t>
  </si>
  <si>
    <t>Hexagon Italy - Torino</t>
  </si>
  <si>
    <t>Wetzlar, Germany</t>
  </si>
  <si>
    <t>Torino, Italy</t>
  </si>
  <si>
    <t>Siegmund-Hiepe-Straße 2-12, 35578 Wetzlar, Germany</t>
  </si>
  <si>
    <t>Str. del Portone, 113, 10095 Grugliasco TO, Italy</t>
  </si>
  <si>
    <t>Optiv CMMs for various programs</t>
  </si>
  <si>
    <t>Global CMMs for various programs</t>
  </si>
  <si>
    <t>Metrology - CMMs</t>
  </si>
  <si>
    <t>Worldwide</t>
  </si>
  <si>
    <t>India, Europe, US and China</t>
  </si>
  <si>
    <t xml:space="preserve">The CMMs consist on hundreds of components that are sourced both locally and globally with multiple sources. </t>
  </si>
  <si>
    <t>Some issues shipping from Qingdao trade zone to India in 2025 but no issue with Shenzhen tradezone. No other issues at other locations.</t>
  </si>
  <si>
    <t>Local and Global supply chains with multiple sources to ensure supply resiliency and business continuity.</t>
  </si>
  <si>
    <t xml:space="preserve">In house machining capacity exists in multiple local and global locations - Milling, Turning, Grinding, Lapping, CNC and Manual </t>
  </si>
  <si>
    <t>ERP LX (Ionfor) and Smart Factory Manager (SFM / MES)</t>
  </si>
  <si>
    <t xml:space="preserve">India </t>
  </si>
  <si>
    <t>Americas</t>
  </si>
  <si>
    <t>High</t>
  </si>
  <si>
    <t>Medium</t>
  </si>
  <si>
    <t>Low</t>
  </si>
  <si>
    <t>China: 850
Vietnam: 100</t>
  </si>
  <si>
    <t>US, CA, MX, BR, 
(South Americal and Central America, but these are the primary countries)</t>
  </si>
  <si>
    <t>China Practice</t>
  </si>
  <si>
    <t>System integration of off the shelf products and combining with Hexagon's metrology equipment</t>
  </si>
  <si>
    <t>Design &amp; manufacturing metrology fixtures</t>
  </si>
  <si>
    <t>Complete system solutions including sensor technology</t>
  </si>
  <si>
    <t>Compatibality to Hexagon's metrology SW</t>
  </si>
  <si>
    <t>Loading &amp; unloading systems for measuring systems</t>
  </si>
  <si>
    <t>Metrology fixtures</t>
  </si>
  <si>
    <t>Optiv machines, Bridge CMM, Shop floor CMMs, Tectile Sensors, Optical Sensors, Application SW compensation</t>
  </si>
  <si>
    <t>Supporting technology for metrology usecases</t>
  </si>
  <si>
    <t>Controller, sensors, drive systems, application SW, cameras etc.</t>
  </si>
  <si>
    <t>6-10 weeks</t>
  </si>
  <si>
    <t>Design for Optiv 443 and other Hexagon measuring equipment</t>
  </si>
  <si>
    <t>Design for Optiv 443</t>
  </si>
  <si>
    <t>Accuraccy, throughput, full system ownership, 50+years experience</t>
  </si>
  <si>
    <t>System integration to standard Hexagon measurement equipment</t>
  </si>
  <si>
    <t>50+years experience serving the automotive, aerospace, medical, electronics industries</t>
  </si>
  <si>
    <t>8-10years, AOI, Optiv 443 etc.</t>
  </si>
  <si>
    <t>12years, Optiv443</t>
  </si>
  <si>
    <t>12 years, Optiv443</t>
  </si>
  <si>
    <t>2years, ViD on AOI</t>
  </si>
  <si>
    <t>Julius Ndulue</t>
  </si>
  <si>
    <t>jndulue@apple.com</t>
  </si>
  <si>
    <t>Hexagon Manufacturing Intelligence (Qingdao) Co., Ltd.</t>
  </si>
  <si>
    <t>Hao Jian</t>
  </si>
  <si>
    <t>CEO</t>
  </si>
  <si>
    <t>jian.hao@hexagon.com</t>
  </si>
  <si>
    <t>-</t>
  </si>
  <si>
    <t>Xie Weize</t>
  </si>
  <si>
    <t>Commercial GM</t>
  </si>
  <si>
    <t>weize.xie@hexagon.com</t>
  </si>
  <si>
    <t>+86 1345066 6525</t>
  </si>
  <si>
    <t>Wang Huizhen</t>
  </si>
  <si>
    <t>Technical GM</t>
  </si>
  <si>
    <t>huizhen.wang@hexagon.com</t>
  </si>
  <si>
    <t>+86 18153218536</t>
  </si>
  <si>
    <t>Lv Hongyan</t>
  </si>
  <si>
    <t>AR manager</t>
  </si>
  <si>
    <t>hongyan.lv@hexagon.com</t>
  </si>
  <si>
    <t>+86 13791985872</t>
  </si>
  <si>
    <t>Wang Zhaowei</t>
  </si>
  <si>
    <t>PM Director</t>
  </si>
  <si>
    <t>zhaowei.wang@hexagon.com</t>
  </si>
  <si>
    <t>+86 13724293824</t>
  </si>
  <si>
    <t>Peng Peng</t>
  </si>
  <si>
    <t>Production GM</t>
  </si>
  <si>
    <t>peng.peng@hexagon.com</t>
  </si>
  <si>
    <t>+86 18562603798</t>
  </si>
  <si>
    <t>Hexagon Metrology Inc.</t>
  </si>
  <si>
    <t>Hexagon Metrology India Pvt. Ltd.,</t>
  </si>
  <si>
    <t>CEO or President - China</t>
  </si>
  <si>
    <t>Commercial DRI / Apple Executive Contact - China</t>
  </si>
  <si>
    <t>CEO/President - India</t>
  </si>
  <si>
    <t>Commercial DRI / Apple Executive Contact - APK</t>
  </si>
  <si>
    <t>Nancy Nolden</t>
  </si>
  <si>
    <t>Global Key Account Director</t>
  </si>
  <si>
    <t>Commercial DRI / Apple Executive Contact - US &amp; Global</t>
  </si>
  <si>
    <t>nancy.nolden@hexagon.com</t>
  </si>
  <si>
    <t>+1 562 323 2915</t>
  </si>
  <si>
    <t>Pramod Kaushik</t>
  </si>
  <si>
    <t>President</t>
  </si>
  <si>
    <t>pramod.kaushik@hexagon.com</t>
  </si>
  <si>
    <t>+91 124 643 4510</t>
  </si>
  <si>
    <t>Nawdeep Puranik</t>
  </si>
  <si>
    <t>VP</t>
  </si>
  <si>
    <t>nawdeep.puranik.1@hexagon.com</t>
  </si>
  <si>
    <t>+91 900 439 9325</t>
  </si>
  <si>
    <t>CEO/President - APK &amp; US</t>
  </si>
  <si>
    <t>Paul Rogers</t>
  </si>
  <si>
    <t>paul.rogers@hexagon.com</t>
  </si>
  <si>
    <t>+1 248 672 3290</t>
  </si>
  <si>
    <t>Kah Khoon (KK) Goh</t>
  </si>
  <si>
    <t>kahkhoon.goh@hexagon.com</t>
  </si>
  <si>
    <t>+65 96690010</t>
  </si>
  <si>
    <t>Commercial DRI / Apple Executive Contact - India</t>
  </si>
  <si>
    <t>Operations Leader - China</t>
  </si>
  <si>
    <t>Operations Leader - India</t>
  </si>
  <si>
    <t>Mohan Rajamani</t>
  </si>
  <si>
    <t>Sr. GM</t>
  </si>
  <si>
    <t>mohan.rajamani@hexagon.com</t>
  </si>
  <si>
    <t>+91 93414 12314</t>
  </si>
  <si>
    <t>Potentially. Driven by demand and policy.</t>
  </si>
  <si>
    <t>Several ISO and Quality Certifications are in place (ISO9001, ISO 17025)</t>
  </si>
  <si>
    <t>China, India, APK and US</t>
  </si>
  <si>
    <t>China, India and US, application engineering</t>
  </si>
  <si>
    <t>Automation scheme desigh &amp; system integration based on hexagon's optical technology and metrology experience</t>
  </si>
  <si>
    <t>Glue cleaning machine; system integration</t>
  </si>
  <si>
    <t>Metrology &amp; industry experience, system integration, software development, service</t>
  </si>
  <si>
    <t>6 years, more than 100 sets glue cleaning machine etc.</t>
  </si>
  <si>
    <t>Foxconn</t>
  </si>
  <si>
    <t>Automation scheme desigh &amp; system integration</t>
  </si>
  <si>
    <t>Canopy Force/Arm Sliding /Clamping Force; system integration, calibration and customized software</t>
  </si>
  <si>
    <t>6 years, more than 20 sets force test etc.</t>
  </si>
  <si>
    <t>Green Point, BYD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</si>
</sst>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3">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8"/>
      <name val="Calibri"/>
      <family val="2"/>
      <scheme val="minor"/>
    </font>
    <font>
      <sz val="14"/>
      <color rgb="FF000000"/>
      <name val="Calibri"/>
      <family val="2"/>
      <scheme val="minor"/>
    </font>
    <font>
      <b/>
      <sz val="16"/>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90">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2" fillId="5" borderId="9" xfId="0" quotePrefix="1" applyFont="1" applyFill="1" applyBorder="1" applyAlignment="1" applyProtection="1">
      <alignment horizontal="center" vertical="center" wrapText="1"/>
      <protection locked="0"/>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13" fillId="4" borderId="8" xfId="0" applyFont="1" applyFill="1" applyBorder="1" applyAlignment="1" applyProtection="1">
      <alignment horizontal="center" vertical="center"/>
      <protection locked="0"/>
    </xf>
    <xf numFmtId="0" fontId="13" fillId="4" borderId="10" xfId="0" applyFont="1" applyFill="1" applyBorder="1" applyAlignment="1" applyProtection="1">
      <alignment horizontal="center" vertical="center"/>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xf numFmtId="1" fontId="31" fillId="9" borderId="1" xfId="0" applyNumberFormat="1" applyFont="1" applyFill="1" applyBorder="1" applyAlignment="1" applyProtection="1">
      <alignment vertical="center" wrapText="1"/>
      <protection locked="0"/>
    </xf>
    <xf numFmtId="0" fontId="32" fillId="0" borderId="0" xfId="0" applyFont="1"/>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101600</xdr:colOff>
      <xdr:row>77</xdr:row>
      <xdr:rowOff>139700</xdr:rowOff>
    </xdr:from>
    <xdr:to>
      <xdr:col>9</xdr:col>
      <xdr:colOff>177800</xdr:colOff>
      <xdr:row>125</xdr:row>
      <xdr:rowOff>114300</xdr:rowOff>
    </xdr:to>
    <xdr:pic>
      <xdr:nvPicPr>
        <xdr:cNvPr id="2" name="图片 2">
          <a:extLst>
            <a:ext uri="{FF2B5EF4-FFF2-40B4-BE49-F238E27FC236}">
              <a16:creationId xmlns:a16="http://schemas.microsoft.com/office/drawing/2014/main" id="{5697E805-1517-5E45-8724-98F7D7CD773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267" t="8374" r="14075" b="34860"/>
        <a:stretch/>
      </xdr:blipFill>
      <xdr:spPr bwMode="auto">
        <a:xfrm>
          <a:off x="508000" y="17424400"/>
          <a:ext cx="8483600" cy="972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xdr:row>
      <xdr:rowOff>0</xdr:rowOff>
    </xdr:from>
    <xdr:to>
      <xdr:col>9</xdr:col>
      <xdr:colOff>266700</xdr:colOff>
      <xdr:row>77</xdr:row>
      <xdr:rowOff>38100</xdr:rowOff>
    </xdr:to>
    <xdr:pic>
      <xdr:nvPicPr>
        <xdr:cNvPr id="3" name="图片 1">
          <a:extLst>
            <a:ext uri="{FF2B5EF4-FFF2-40B4-BE49-F238E27FC236}">
              <a16:creationId xmlns:a16="http://schemas.microsoft.com/office/drawing/2014/main" id="{9E282676-787F-9947-AC22-2EEB9EA6B268}"/>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3409" t="8300" r="13323" b="9664"/>
        <a:stretch/>
      </xdr:blipFill>
      <xdr:spPr bwMode="auto">
        <a:xfrm>
          <a:off x="406400" y="3263900"/>
          <a:ext cx="8674100" cy="140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workbookViewId="0">
      <selection activeCell="B2" sqref="B2"/>
    </sheetView>
  </sheetViews>
  <sheetFormatPr baseColWidth="10" defaultRowHeight="20"/>
  <cols>
    <col min="1" max="1" width="10.83203125" style="49"/>
    <col min="2" max="2" width="200.83203125" style="10" customWidth="1"/>
    <col min="3" max="16384" width="10.83203125" style="49"/>
  </cols>
  <sheetData>
    <row r="2" spans="2:2" ht="22">
      <c r="B2" s="8" t="s">
        <v>210</v>
      </c>
    </row>
    <row r="3" spans="2:2" ht="22">
      <c r="B3" s="42" t="s">
        <v>170</v>
      </c>
    </row>
    <row r="4" spans="2:2" ht="84">
      <c r="B4" s="9" t="s">
        <v>111</v>
      </c>
    </row>
    <row r="5" spans="2:2" ht="22">
      <c r="B5" s="42" t="s">
        <v>171</v>
      </c>
    </row>
    <row r="6" spans="2:2" ht="42">
      <c r="B6" s="9" t="s">
        <v>112</v>
      </c>
    </row>
    <row r="7" spans="2:2" ht="22">
      <c r="B7" s="42" t="s">
        <v>172</v>
      </c>
    </row>
    <row r="8" spans="2:2" ht="294">
      <c r="B8" s="9" t="s">
        <v>290</v>
      </c>
    </row>
    <row r="9" spans="2:2" ht="22">
      <c r="B9" s="42" t="s">
        <v>173</v>
      </c>
    </row>
    <row r="10" spans="2:2" ht="22">
      <c r="B10" s="9" t="s">
        <v>176</v>
      </c>
    </row>
    <row r="11" spans="2:2" ht="22">
      <c r="B11" s="42" t="s">
        <v>174</v>
      </c>
    </row>
    <row r="12" spans="2:2" ht="42">
      <c r="B12" s="9" t="s">
        <v>113</v>
      </c>
    </row>
    <row r="13" spans="2:2" ht="22">
      <c r="B13" s="42" t="s">
        <v>175</v>
      </c>
    </row>
    <row r="14" spans="2:2" ht="84">
      <c r="B14" s="70" t="s">
        <v>313</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3" workbookViewId="0">
      <selection activeCell="A16" sqref="A1:XFD1048576"/>
    </sheetView>
  </sheetViews>
  <sheetFormatPr baseColWidth="10" defaultRowHeight="20"/>
  <cols>
    <col min="1" max="1" width="10.83203125" style="49"/>
    <col min="2" max="2" width="200.83203125" style="10" customWidth="1"/>
    <col min="3" max="16384" width="10.83203125" style="49"/>
  </cols>
  <sheetData>
    <row r="2" spans="2:2" ht="22">
      <c r="B2" s="8" t="s">
        <v>114</v>
      </c>
    </row>
    <row r="3" spans="2:2" ht="22">
      <c r="B3" s="41" t="s">
        <v>156</v>
      </c>
    </row>
    <row r="4" spans="2:2" ht="42">
      <c r="B4" s="9" t="s">
        <v>115</v>
      </c>
    </row>
    <row r="5" spans="2:2" ht="22">
      <c r="B5" s="42" t="s">
        <v>157</v>
      </c>
    </row>
    <row r="6" spans="2:2" ht="42">
      <c r="B6" s="9" t="s">
        <v>116</v>
      </c>
    </row>
    <row r="7" spans="2:2" ht="22">
      <c r="B7" s="42" t="s">
        <v>158</v>
      </c>
    </row>
    <row r="8" spans="2:2" ht="64">
      <c r="B8" s="9" t="s">
        <v>177</v>
      </c>
    </row>
    <row r="9" spans="2:2" ht="22">
      <c r="B9" s="42" t="s">
        <v>159</v>
      </c>
    </row>
    <row r="10" spans="2:2" ht="42">
      <c r="B10" s="9" t="s">
        <v>117</v>
      </c>
    </row>
    <row r="11" spans="2:2" ht="22">
      <c r="B11" s="42" t="s">
        <v>160</v>
      </c>
    </row>
    <row r="12" spans="2:2" ht="105">
      <c r="B12" s="9" t="s">
        <v>118</v>
      </c>
    </row>
    <row r="13" spans="2:2" ht="22">
      <c r="B13" s="42" t="s">
        <v>161</v>
      </c>
    </row>
    <row r="14" spans="2:2" ht="84">
      <c r="B14" s="9" t="s">
        <v>119</v>
      </c>
    </row>
    <row r="15" spans="2:2" ht="22">
      <c r="B15" s="42" t="s">
        <v>162</v>
      </c>
    </row>
    <row r="16" spans="2:2" ht="168">
      <c r="B16" s="9" t="s">
        <v>120</v>
      </c>
    </row>
    <row r="17" spans="2:2" ht="22">
      <c r="B17" s="42" t="s">
        <v>163</v>
      </c>
    </row>
    <row r="18" spans="2:2" ht="42">
      <c r="B18" s="9" t="s">
        <v>121</v>
      </c>
    </row>
    <row r="19" spans="2:2" ht="22">
      <c r="B19" s="42" t="s">
        <v>164</v>
      </c>
    </row>
    <row r="20" spans="2:2" ht="105">
      <c r="B20" s="9" t="s">
        <v>122</v>
      </c>
    </row>
    <row r="21" spans="2:2" ht="22">
      <c r="B21" s="42" t="s">
        <v>165</v>
      </c>
    </row>
    <row r="22" spans="2:2" ht="63">
      <c r="B22" s="9" t="s">
        <v>123</v>
      </c>
    </row>
    <row r="23" spans="2:2" ht="22">
      <c r="B23" s="42" t="s">
        <v>166</v>
      </c>
    </row>
    <row r="24" spans="2:2" ht="210">
      <c r="B24" s="9" t="s">
        <v>124</v>
      </c>
    </row>
    <row r="25" spans="2:2" ht="22">
      <c r="B25" s="42" t="s">
        <v>167</v>
      </c>
    </row>
    <row r="26" spans="2:2" ht="147">
      <c r="B26" s="9" t="s">
        <v>125</v>
      </c>
    </row>
    <row r="27" spans="2:2" ht="22">
      <c r="B27" s="42" t="s">
        <v>168</v>
      </c>
    </row>
    <row r="28" spans="2:2" ht="42">
      <c r="B28" s="9" t="s">
        <v>126</v>
      </c>
    </row>
    <row r="29" spans="2:2" ht="22">
      <c r="B29" s="42" t="s">
        <v>169</v>
      </c>
    </row>
    <row r="30" spans="2:2" ht="42">
      <c r="B30" s="9" t="s">
        <v>127</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baseColWidth="10" defaultRowHeight="20"/>
  <cols>
    <col min="1" max="1" width="10.83203125" style="49"/>
    <col min="2" max="2" width="141.5" style="10" customWidth="1"/>
    <col min="3" max="3" width="40.83203125" style="13" customWidth="1"/>
    <col min="4" max="16384" width="10.83203125" style="49"/>
  </cols>
  <sheetData>
    <row r="2" spans="2:3" ht="22">
      <c r="B2" s="8" t="s">
        <v>128</v>
      </c>
      <c r="C2" s="11"/>
    </row>
    <row r="3" spans="2:3" ht="22">
      <c r="B3" s="41" t="s">
        <v>147</v>
      </c>
      <c r="C3" s="11"/>
    </row>
    <row r="4" spans="2:3" ht="210">
      <c r="B4" s="12" t="s">
        <v>129</v>
      </c>
      <c r="C4" s="48" t="s">
        <v>34</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33"/>
  <sheetViews>
    <sheetView showGridLines="0" zoomScale="110" zoomScaleNormal="110" workbookViewId="0">
      <selection activeCell="C30" sqref="C30"/>
    </sheetView>
  </sheetViews>
  <sheetFormatPr baseColWidth="10"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6" ht="26" customHeight="1">
      <c r="B1" s="14" t="s">
        <v>232</v>
      </c>
    </row>
    <row r="2" spans="1:6" ht="26" customHeight="1">
      <c r="A2" s="15">
        <v>1</v>
      </c>
      <c r="B2" s="16" t="s">
        <v>130</v>
      </c>
      <c r="C2" s="17">
        <v>45775</v>
      </c>
    </row>
    <row r="3" spans="1:6" ht="26" customHeight="1">
      <c r="A3" s="15" t="s">
        <v>325</v>
      </c>
      <c r="B3" s="16" t="s">
        <v>321</v>
      </c>
      <c r="C3" s="18" t="s">
        <v>406</v>
      </c>
    </row>
    <row r="4" spans="1:6" ht="26" customHeight="1">
      <c r="A4" s="15" t="s">
        <v>326</v>
      </c>
      <c r="B4" s="16" t="s">
        <v>322</v>
      </c>
      <c r="C4" s="18" t="s">
        <v>432</v>
      </c>
    </row>
    <row r="5" spans="1:6" ht="26" customHeight="1">
      <c r="A5" s="15" t="s">
        <v>327</v>
      </c>
      <c r="B5" s="16" t="s">
        <v>324</v>
      </c>
      <c r="C5" s="18"/>
    </row>
    <row r="6" spans="1:6" ht="26" customHeight="1">
      <c r="A6" s="15" t="s">
        <v>328</v>
      </c>
      <c r="B6" s="16" t="s">
        <v>323</v>
      </c>
      <c r="C6" s="18" t="s">
        <v>431</v>
      </c>
    </row>
    <row r="7" spans="1:6" ht="26" customHeight="1">
      <c r="A7" s="15">
        <v>3</v>
      </c>
      <c r="B7" s="16" t="s">
        <v>13</v>
      </c>
      <c r="C7" s="18" t="s">
        <v>329</v>
      </c>
      <c r="E7" s="19"/>
    </row>
    <row r="8" spans="1:6" ht="26" customHeight="1">
      <c r="A8" s="15">
        <v>4</v>
      </c>
      <c r="B8" s="16" t="s">
        <v>131</v>
      </c>
      <c r="C8" s="18" t="s">
        <v>330</v>
      </c>
      <c r="E8" s="19"/>
    </row>
    <row r="9" spans="1:6" ht="26" customHeight="1">
      <c r="A9" s="15">
        <v>5</v>
      </c>
      <c r="B9" s="16" t="s">
        <v>0</v>
      </c>
      <c r="C9" s="20" t="s">
        <v>331</v>
      </c>
      <c r="E9" s="19"/>
    </row>
    <row r="10" spans="1:6" ht="26" customHeight="1">
      <c r="A10" s="15">
        <v>6</v>
      </c>
      <c r="B10" s="16" t="s">
        <v>1</v>
      </c>
      <c r="C10" s="18" t="s">
        <v>12</v>
      </c>
      <c r="E10" s="19"/>
    </row>
    <row r="11" spans="1:6" ht="26" customHeight="1">
      <c r="A11" s="15">
        <v>7</v>
      </c>
      <c r="B11" s="16" t="s">
        <v>2</v>
      </c>
      <c r="C11" s="18" t="s">
        <v>332</v>
      </c>
    </row>
    <row r="12" spans="1:6" ht="26" customHeight="1">
      <c r="A12" s="15">
        <v>8</v>
      </c>
      <c r="B12" s="16" t="s">
        <v>132</v>
      </c>
      <c r="C12" s="18" t="s">
        <v>333</v>
      </c>
    </row>
    <row r="13" spans="1:6" ht="26" customHeight="1">
      <c r="A13" s="15">
        <v>9</v>
      </c>
      <c r="B13" s="16" t="s">
        <v>5</v>
      </c>
      <c r="C13" s="18">
        <v>24182</v>
      </c>
    </row>
    <row r="14" spans="1:6">
      <c r="A14" s="15">
        <v>10</v>
      </c>
      <c r="B14" s="16" t="s">
        <v>3</v>
      </c>
      <c r="C14" s="18">
        <v>1992</v>
      </c>
    </row>
    <row r="15" spans="1:6">
      <c r="A15" s="15">
        <v>11</v>
      </c>
      <c r="B15" s="16" t="s">
        <v>4</v>
      </c>
      <c r="C15" s="18">
        <v>2010</v>
      </c>
      <c r="F15" s="21"/>
    </row>
    <row r="18" spans="2:7" ht="40">
      <c r="B18" s="24" t="s">
        <v>133</v>
      </c>
      <c r="C18" s="25" t="s">
        <v>134</v>
      </c>
      <c r="D18" s="25" t="s">
        <v>18</v>
      </c>
      <c r="E18" s="25" t="s">
        <v>110</v>
      </c>
      <c r="F18" s="25" t="s">
        <v>19</v>
      </c>
      <c r="G18" s="26" t="s">
        <v>135</v>
      </c>
    </row>
    <row r="19" spans="2:7" ht="20">
      <c r="B19" s="75" t="s">
        <v>433</v>
      </c>
      <c r="C19" s="18" t="s">
        <v>407</v>
      </c>
      <c r="D19" s="18" t="s">
        <v>408</v>
      </c>
      <c r="E19" s="18" t="s">
        <v>56</v>
      </c>
      <c r="F19" s="20" t="s">
        <v>409</v>
      </c>
      <c r="G19" s="27" t="s">
        <v>410</v>
      </c>
    </row>
    <row r="20" spans="2:7" ht="20">
      <c r="B20" s="75" t="s">
        <v>434</v>
      </c>
      <c r="C20" s="18" t="s">
        <v>411</v>
      </c>
      <c r="D20" s="18" t="s">
        <v>412</v>
      </c>
      <c r="E20" s="18" t="s">
        <v>56</v>
      </c>
      <c r="F20" s="20" t="s">
        <v>413</v>
      </c>
      <c r="G20" s="27" t="s">
        <v>414</v>
      </c>
    </row>
    <row r="21" spans="2:7" ht="20">
      <c r="B21" s="75" t="s">
        <v>458</v>
      </c>
      <c r="C21" s="18" t="s">
        <v>415</v>
      </c>
      <c r="D21" s="18" t="s">
        <v>416</v>
      </c>
      <c r="E21" s="18" t="s">
        <v>56</v>
      </c>
      <c r="F21" s="20" t="s">
        <v>417</v>
      </c>
      <c r="G21" s="27" t="s">
        <v>418</v>
      </c>
    </row>
    <row r="22" spans="2:7" ht="20">
      <c r="B22" s="75" t="s">
        <v>136</v>
      </c>
      <c r="C22" s="18" t="s">
        <v>419</v>
      </c>
      <c r="D22" s="18" t="s">
        <v>420</v>
      </c>
      <c r="E22" s="18" t="s">
        <v>56</v>
      </c>
      <c r="F22" s="20" t="s">
        <v>421</v>
      </c>
      <c r="G22" s="27" t="s">
        <v>422</v>
      </c>
    </row>
    <row r="23" spans="2:7">
      <c r="B23" s="76" t="s">
        <v>137</v>
      </c>
      <c r="C23" s="22"/>
      <c r="D23" s="22"/>
      <c r="E23" s="18"/>
      <c r="F23" s="23"/>
      <c r="G23" s="27"/>
    </row>
    <row r="24" spans="2:7">
      <c r="B24" s="75" t="s">
        <v>138</v>
      </c>
      <c r="C24" s="18"/>
      <c r="D24" s="18"/>
      <c r="E24" s="18"/>
      <c r="F24" s="20"/>
      <c r="G24" s="27"/>
    </row>
    <row r="25" spans="2:7" ht="20">
      <c r="B25" s="75" t="s">
        <v>139</v>
      </c>
      <c r="C25" s="18" t="s">
        <v>423</v>
      </c>
      <c r="D25" s="22" t="s">
        <v>424</v>
      </c>
      <c r="E25" s="18" t="s">
        <v>56</v>
      </c>
      <c r="F25" s="20" t="s">
        <v>425</v>
      </c>
      <c r="G25" s="27" t="s">
        <v>426</v>
      </c>
    </row>
    <row r="26" spans="2:7" ht="20">
      <c r="B26" s="75" t="s">
        <v>140</v>
      </c>
      <c r="C26" s="18" t="s">
        <v>427</v>
      </c>
      <c r="D26" s="22" t="s">
        <v>428</v>
      </c>
      <c r="E26" s="18" t="s">
        <v>56</v>
      </c>
      <c r="F26" s="20" t="s">
        <v>429</v>
      </c>
      <c r="G26" s="27" t="s">
        <v>430</v>
      </c>
    </row>
    <row r="27" spans="2:7" ht="20">
      <c r="B27" s="75" t="s">
        <v>435</v>
      </c>
      <c r="C27" s="18" t="s">
        <v>442</v>
      </c>
      <c r="D27" s="18" t="s">
        <v>443</v>
      </c>
      <c r="E27" s="18" t="s">
        <v>66</v>
      </c>
      <c r="F27" s="20" t="s">
        <v>444</v>
      </c>
      <c r="G27" s="27" t="s">
        <v>445</v>
      </c>
    </row>
    <row r="28" spans="2:7" ht="34">
      <c r="B28" s="75" t="s">
        <v>457</v>
      </c>
      <c r="C28" s="28" t="s">
        <v>446</v>
      </c>
      <c r="D28" s="28" t="s">
        <v>447</v>
      </c>
      <c r="E28" s="28" t="s">
        <v>66</v>
      </c>
      <c r="F28" s="29" t="s">
        <v>448</v>
      </c>
      <c r="G28" s="30" t="s">
        <v>449</v>
      </c>
    </row>
    <row r="29" spans="2:7" ht="20">
      <c r="B29" s="75" t="s">
        <v>459</v>
      </c>
      <c r="C29" s="28" t="s">
        <v>460</v>
      </c>
      <c r="D29" s="28" t="s">
        <v>461</v>
      </c>
      <c r="E29" s="28" t="s">
        <v>66</v>
      </c>
      <c r="F29" s="29" t="s">
        <v>462</v>
      </c>
      <c r="G29" s="30" t="s">
        <v>463</v>
      </c>
    </row>
    <row r="30" spans="2:7" ht="20">
      <c r="B30" s="75" t="s">
        <v>450</v>
      </c>
      <c r="C30" s="28" t="s">
        <v>451</v>
      </c>
      <c r="D30" s="28" t="s">
        <v>443</v>
      </c>
      <c r="E30" s="28" t="s">
        <v>100</v>
      </c>
      <c r="F30" s="29" t="s">
        <v>452</v>
      </c>
      <c r="G30" s="30" t="s">
        <v>453</v>
      </c>
    </row>
    <row r="31" spans="2:7">
      <c r="B31" s="75" t="s">
        <v>436</v>
      </c>
      <c r="C31" s="28" t="s">
        <v>454</v>
      </c>
      <c r="D31" s="28" t="s">
        <v>447</v>
      </c>
      <c r="E31" s="28" t="s">
        <v>89</v>
      </c>
      <c r="F31" s="29" t="s">
        <v>455</v>
      </c>
      <c r="G31" s="30" t="s">
        <v>456</v>
      </c>
    </row>
    <row r="32" spans="2:7">
      <c r="B32" s="75" t="s">
        <v>439</v>
      </c>
      <c r="C32" s="28" t="s">
        <v>437</v>
      </c>
      <c r="D32" s="28" t="s">
        <v>438</v>
      </c>
      <c r="E32" s="28" t="s">
        <v>100</v>
      </c>
      <c r="F32" s="29" t="s">
        <v>440</v>
      </c>
      <c r="G32" s="30" t="s">
        <v>441</v>
      </c>
    </row>
    <row r="33" spans="2:7">
      <c r="B33" s="75" t="s">
        <v>208</v>
      </c>
      <c r="C33" s="28"/>
      <c r="D33" s="28"/>
      <c r="E33" s="28"/>
      <c r="F33" s="29"/>
      <c r="G33" s="30"/>
    </row>
  </sheetData>
  <sheetProtection algorithmName="SHA-512" hashValue="N8bRcnSVnfrTWX2wMTIIzmicnonUY6GyIr1jdFtYuZGRojgcd2DtYyPo61xe8U+lcCeRQJN5ivAg3RAX5kywnQ==" saltValue="AMqk/mmMoEEZRPC8Rx25aw==" spinCount="100000" sheet="1" objects="1" scenarios="1"/>
  <conditionalFormatting sqref="C2:C15">
    <cfRule type="notContainsBlanks" dxfId="62" priority="7">
      <formula>LEN(TRIM(C2))&gt;0</formula>
    </cfRule>
  </conditionalFormatting>
  <conditionalFormatting sqref="C19:G33">
    <cfRule type="notContainsBlanks" dxfId="61" priority="1">
      <formula>LEN(TRIM(C19))&gt;0</formula>
    </cfRule>
  </conditionalFormatting>
  <dataValidations count="1">
    <dataValidation type="whole" operator="greaterThan" allowBlank="1" showInputMessage="1" showErrorMessage="1" sqref="C13"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110" zoomScaleNormal="110" workbookViewId="0">
      <selection activeCell="F5" sqref="F5"/>
    </sheetView>
  </sheetViews>
  <sheetFormatPr baseColWidth="10" defaultRowHeight="16"/>
  <cols>
    <col min="1" max="1" width="4.83203125" customWidth="1"/>
    <col min="2" max="2" width="53.83203125" customWidth="1"/>
    <col min="3" max="8" width="28.1640625" customWidth="1"/>
    <col min="9" max="16384" width="10.83203125" style="1"/>
  </cols>
  <sheetData>
    <row r="1" spans="2:9" ht="51" customHeight="1">
      <c r="B1" s="14" t="s">
        <v>209</v>
      </c>
    </row>
    <row r="2" spans="2:9" ht="51" customHeight="1">
      <c r="B2" s="16" t="s">
        <v>141</v>
      </c>
      <c r="C2" s="16">
        <v>2022</v>
      </c>
      <c r="D2" s="16">
        <v>2023</v>
      </c>
      <c r="E2" s="16">
        <v>2024</v>
      </c>
      <c r="F2" s="16" t="s">
        <v>206</v>
      </c>
      <c r="G2" s="16" t="s">
        <v>142</v>
      </c>
      <c r="H2" s="16" t="s">
        <v>143</v>
      </c>
    </row>
    <row r="3" spans="2:9" ht="51" customHeight="1">
      <c r="B3" s="31" t="s">
        <v>9</v>
      </c>
      <c r="C3" s="59">
        <v>26330000000</v>
      </c>
      <c r="D3" s="59">
        <v>29120000000</v>
      </c>
      <c r="E3" s="59">
        <v>24740000000</v>
      </c>
      <c r="F3" s="59">
        <v>25440000000</v>
      </c>
      <c r="G3" s="59"/>
      <c r="H3" s="59"/>
    </row>
    <row r="4" spans="2:9" ht="51" customHeight="1">
      <c r="B4" s="31" t="s">
        <v>10</v>
      </c>
      <c r="C4" s="59">
        <v>5590000000</v>
      </c>
      <c r="D4" s="59">
        <v>5900000000</v>
      </c>
      <c r="E4" s="59">
        <v>5810000000</v>
      </c>
      <c r="F4" s="59">
        <v>6140000000</v>
      </c>
      <c r="G4" s="59"/>
      <c r="H4" s="59"/>
      <c r="I4" s="4"/>
    </row>
    <row r="5" spans="2:9" ht="51" customHeight="1">
      <c r="B5" s="31" t="s">
        <v>11</v>
      </c>
      <c r="C5" s="59">
        <v>23000000</v>
      </c>
      <c r="D5" s="59">
        <v>20000000</v>
      </c>
      <c r="E5" s="59">
        <v>17000000</v>
      </c>
      <c r="F5" s="59">
        <v>10000000</v>
      </c>
      <c r="G5" s="59"/>
      <c r="H5" s="59"/>
      <c r="I5" s="4" t="s">
        <v>17</v>
      </c>
    </row>
    <row r="6" spans="2:9" ht="51" customHeight="1">
      <c r="B6" s="31" t="s">
        <v>283</v>
      </c>
      <c r="C6" s="59">
        <v>37000000</v>
      </c>
      <c r="D6" s="59">
        <v>56000000</v>
      </c>
      <c r="E6" s="59">
        <v>53000000</v>
      </c>
      <c r="F6" s="59">
        <v>60000000</v>
      </c>
      <c r="G6" s="59"/>
      <c r="H6" s="59"/>
      <c r="I6" s="2" t="s">
        <v>146</v>
      </c>
    </row>
    <row r="8" spans="2:9" ht="19">
      <c r="B8" s="16" t="s">
        <v>141</v>
      </c>
      <c r="C8" s="16">
        <v>2023</v>
      </c>
      <c r="D8" s="16">
        <v>2023</v>
      </c>
      <c r="E8" s="16">
        <v>2024</v>
      </c>
      <c r="F8" s="16" t="s">
        <v>206</v>
      </c>
      <c r="G8" s="16" t="s">
        <v>142</v>
      </c>
      <c r="H8" s="16" t="s">
        <v>143</v>
      </c>
    </row>
    <row r="9" spans="2:9" ht="19">
      <c r="B9" s="31" t="s">
        <v>144</v>
      </c>
      <c r="C9" s="60">
        <v>3844000000</v>
      </c>
      <c r="D9" s="60">
        <v>4082000000</v>
      </c>
      <c r="E9" s="60">
        <v>4100000000</v>
      </c>
      <c r="F9" s="60"/>
      <c r="G9" s="60"/>
      <c r="H9" s="60"/>
    </row>
    <row r="10" spans="2:9" ht="19">
      <c r="B10" s="31" t="s">
        <v>145</v>
      </c>
      <c r="C10" s="60">
        <v>1333000000</v>
      </c>
      <c r="D10" s="60">
        <v>1250000000</v>
      </c>
      <c r="E10" s="60">
        <v>1422000000</v>
      </c>
      <c r="F10" s="60"/>
      <c r="G10" s="60"/>
      <c r="H10" s="60"/>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M29"/>
  <sheetViews>
    <sheetView showGridLines="0" zoomScale="90" zoomScaleNormal="90" workbookViewId="0">
      <selection activeCell="E5" sqref="E5"/>
    </sheetView>
  </sheetViews>
  <sheetFormatPr baseColWidth="10" defaultColWidth="10.83203125" defaultRowHeight="26" customHeight="1"/>
  <cols>
    <col min="1" max="1" width="6.1640625" style="64" customWidth="1"/>
    <col min="2" max="2" width="59" style="33" customWidth="1"/>
    <col min="3" max="3" width="38.5" style="3" customWidth="1"/>
    <col min="4" max="8" width="38.5" style="6" customWidth="1"/>
    <col min="9" max="13" width="38.5" style="3" customWidth="1"/>
    <col min="14" max="16384" width="10.83203125" style="3"/>
  </cols>
  <sheetData>
    <row r="1" spans="1:13" s="15" customFormat="1" ht="51" customHeight="1">
      <c r="A1" s="62"/>
      <c r="B1" s="32" t="s">
        <v>292</v>
      </c>
    </row>
    <row r="2" spans="1:13" s="33" customFormat="1" ht="56" customHeight="1">
      <c r="A2" s="63"/>
      <c r="B2" s="16"/>
      <c r="C2" s="16" t="s">
        <v>14</v>
      </c>
      <c r="D2" s="34" t="s">
        <v>105</v>
      </c>
      <c r="E2" s="34" t="s">
        <v>106</v>
      </c>
      <c r="F2" s="34" t="s">
        <v>107</v>
      </c>
      <c r="G2" s="34" t="s">
        <v>108</v>
      </c>
      <c r="H2" s="34" t="s">
        <v>109</v>
      </c>
      <c r="I2" s="34" t="s">
        <v>316</v>
      </c>
      <c r="J2" s="34" t="s">
        <v>317</v>
      </c>
      <c r="K2" s="34" t="s">
        <v>318</v>
      </c>
      <c r="L2" s="34" t="s">
        <v>319</v>
      </c>
      <c r="M2" s="34" t="s">
        <v>320</v>
      </c>
    </row>
    <row r="3" spans="1:13" ht="60" customHeight="1">
      <c r="A3" s="64">
        <v>1</v>
      </c>
      <c r="B3" s="16" t="s">
        <v>148</v>
      </c>
      <c r="C3" s="35" t="s">
        <v>334</v>
      </c>
      <c r="D3" s="35" t="s">
        <v>335</v>
      </c>
      <c r="E3" s="35" t="s">
        <v>336</v>
      </c>
      <c r="F3" s="18" t="s">
        <v>337</v>
      </c>
      <c r="G3" s="18" t="s">
        <v>338</v>
      </c>
      <c r="H3" s="18" t="s">
        <v>339</v>
      </c>
      <c r="I3" s="18" t="s">
        <v>361</v>
      </c>
      <c r="J3" s="18" t="s">
        <v>362</v>
      </c>
      <c r="K3" s="18"/>
      <c r="L3" s="18"/>
      <c r="M3" s="18"/>
    </row>
    <row r="4" spans="1:13" ht="60" customHeight="1">
      <c r="A4" s="64">
        <v>2</v>
      </c>
      <c r="B4" s="16" t="s">
        <v>149</v>
      </c>
      <c r="C4" s="18" t="s">
        <v>330</v>
      </c>
      <c r="D4" s="18" t="s">
        <v>340</v>
      </c>
      <c r="E4" s="18" t="s">
        <v>341</v>
      </c>
      <c r="F4" s="18" t="s">
        <v>342</v>
      </c>
      <c r="G4" s="51" t="s">
        <v>343</v>
      </c>
      <c r="H4" s="18" t="s">
        <v>344</v>
      </c>
      <c r="I4" s="18" t="s">
        <v>363</v>
      </c>
      <c r="J4" s="18" t="s">
        <v>364</v>
      </c>
      <c r="K4" s="18"/>
      <c r="L4" s="18"/>
      <c r="M4" s="18"/>
    </row>
    <row r="5" spans="1:13" ht="60" customHeight="1">
      <c r="A5" s="64">
        <v>3</v>
      </c>
      <c r="B5" s="16" t="s">
        <v>150</v>
      </c>
      <c r="C5" s="18" t="s">
        <v>345</v>
      </c>
      <c r="D5" s="18" t="s">
        <v>346</v>
      </c>
      <c r="E5" s="18" t="s">
        <v>347</v>
      </c>
      <c r="F5" s="18" t="s">
        <v>348</v>
      </c>
      <c r="G5" s="18" t="s">
        <v>349</v>
      </c>
      <c r="H5" s="18" t="s">
        <v>350</v>
      </c>
      <c r="I5" s="18" t="s">
        <v>365</v>
      </c>
      <c r="J5" s="18" t="s">
        <v>366</v>
      </c>
      <c r="K5" s="18"/>
      <c r="L5" s="18"/>
      <c r="M5" s="18"/>
    </row>
    <row r="6" spans="1:13" ht="60" customHeight="1">
      <c r="A6" s="64">
        <v>4</v>
      </c>
      <c r="B6" s="34" t="s">
        <v>151</v>
      </c>
      <c r="C6" s="18"/>
      <c r="D6" s="18" t="s">
        <v>351</v>
      </c>
      <c r="E6" s="18" t="s">
        <v>351</v>
      </c>
      <c r="F6" s="18" t="s">
        <v>352</v>
      </c>
      <c r="G6" s="18"/>
      <c r="H6" s="18" t="s">
        <v>353</v>
      </c>
      <c r="I6" s="18" t="s">
        <v>367</v>
      </c>
      <c r="J6" s="18" t="s">
        <v>368</v>
      </c>
      <c r="K6" s="18"/>
      <c r="L6" s="18"/>
      <c r="M6" s="18"/>
    </row>
    <row r="7" spans="1:13" ht="86" customHeight="1">
      <c r="A7" s="64">
        <v>5</v>
      </c>
      <c r="B7" s="34" t="s">
        <v>152</v>
      </c>
      <c r="C7" s="18"/>
      <c r="D7" s="18" t="s">
        <v>354</v>
      </c>
      <c r="E7" s="18" t="s">
        <v>355</v>
      </c>
      <c r="F7" s="18" t="s">
        <v>356</v>
      </c>
      <c r="G7" s="18"/>
      <c r="H7" s="18" t="s">
        <v>242</v>
      </c>
      <c r="I7" s="18" t="s">
        <v>369</v>
      </c>
      <c r="J7" s="18" t="s">
        <v>369</v>
      </c>
      <c r="K7" s="18"/>
      <c r="L7" s="18"/>
      <c r="M7" s="18"/>
    </row>
    <row r="8" spans="1:13" ht="86" customHeight="1">
      <c r="A8" s="64">
        <v>6</v>
      </c>
      <c r="B8" s="34" t="s">
        <v>153</v>
      </c>
      <c r="C8" s="18"/>
      <c r="D8" s="18" t="s">
        <v>354</v>
      </c>
      <c r="E8" s="18" t="s">
        <v>355</v>
      </c>
      <c r="F8" s="18" t="s">
        <v>356</v>
      </c>
      <c r="G8" s="18"/>
      <c r="H8" s="18" t="s">
        <v>242</v>
      </c>
      <c r="I8" s="18" t="s">
        <v>369</v>
      </c>
      <c r="J8" s="18" t="s">
        <v>369</v>
      </c>
      <c r="K8" s="18"/>
      <c r="L8" s="18"/>
      <c r="M8" s="18"/>
    </row>
    <row r="9" spans="1:13" ht="60" customHeight="1">
      <c r="A9" s="64">
        <v>7</v>
      </c>
      <c r="B9" s="16" t="s">
        <v>154</v>
      </c>
      <c r="C9" s="36"/>
      <c r="D9" s="36">
        <v>38000</v>
      </c>
      <c r="E9" s="37">
        <v>12000</v>
      </c>
      <c r="F9" s="37">
        <v>936</v>
      </c>
      <c r="G9" s="37"/>
      <c r="H9" s="37"/>
      <c r="I9" s="37">
        <v>7100</v>
      </c>
      <c r="J9" s="37">
        <v>11165</v>
      </c>
      <c r="K9" s="37"/>
      <c r="L9" s="37"/>
      <c r="M9" s="37"/>
    </row>
    <row r="10" spans="1:13" ht="60" customHeight="1">
      <c r="A10" s="64">
        <v>8</v>
      </c>
      <c r="B10" s="34" t="s">
        <v>275</v>
      </c>
      <c r="C10" s="36"/>
      <c r="D10" s="36">
        <v>1800</v>
      </c>
      <c r="E10" s="37">
        <v>500</v>
      </c>
      <c r="F10" s="37"/>
      <c r="G10" s="37"/>
      <c r="H10" s="37">
        <v>1000</v>
      </c>
      <c r="I10" s="37">
        <v>400</v>
      </c>
      <c r="J10" s="37">
        <v>250</v>
      </c>
      <c r="K10" s="37"/>
      <c r="L10" s="37"/>
      <c r="M10" s="37"/>
    </row>
    <row r="11" spans="1:13" ht="60" customHeight="1">
      <c r="A11" s="64">
        <v>9</v>
      </c>
      <c r="B11" s="34" t="s">
        <v>204</v>
      </c>
      <c r="C11" s="18"/>
      <c r="D11" s="18">
        <v>6</v>
      </c>
      <c r="E11" s="18">
        <v>5</v>
      </c>
      <c r="F11" s="18">
        <v>3</v>
      </c>
      <c r="G11" s="18"/>
      <c r="H11" s="18">
        <v>10</v>
      </c>
      <c r="I11" s="18">
        <v>5</v>
      </c>
      <c r="J11" s="18">
        <v>13</v>
      </c>
      <c r="K11" s="18"/>
      <c r="L11" s="18"/>
      <c r="M11" s="18"/>
    </row>
    <row r="12" spans="1:13" ht="60" customHeight="1">
      <c r="A12" s="64">
        <v>10</v>
      </c>
      <c r="B12" s="34" t="s">
        <v>203</v>
      </c>
      <c r="C12" s="18"/>
      <c r="D12" s="18">
        <v>10</v>
      </c>
      <c r="E12" s="18">
        <v>8</v>
      </c>
      <c r="F12" s="18">
        <v>6</v>
      </c>
      <c r="G12" s="18"/>
      <c r="H12" s="18">
        <v>15</v>
      </c>
      <c r="I12" s="18">
        <v>10</v>
      </c>
      <c r="J12" s="18">
        <v>19</v>
      </c>
      <c r="K12" s="18"/>
      <c r="L12" s="18"/>
      <c r="M12" s="18"/>
    </row>
    <row r="13" spans="1:13" ht="60" customHeight="1">
      <c r="A13" s="64">
        <v>11</v>
      </c>
      <c r="B13" s="34" t="s">
        <v>276</v>
      </c>
      <c r="C13" s="18"/>
      <c r="D13" s="18">
        <v>285700000</v>
      </c>
      <c r="E13" s="18">
        <v>71420000</v>
      </c>
      <c r="F13" s="18">
        <v>182000</v>
      </c>
      <c r="G13" s="18"/>
      <c r="H13" s="18"/>
      <c r="I13" s="18"/>
      <c r="J13" s="18"/>
      <c r="K13" s="18"/>
      <c r="L13" s="18"/>
      <c r="M13" s="18"/>
    </row>
    <row r="14" spans="1:13" ht="60" customHeight="1">
      <c r="A14" s="64">
        <v>12</v>
      </c>
      <c r="B14" s="34" t="s">
        <v>201</v>
      </c>
      <c r="C14" s="18"/>
      <c r="D14" s="18" t="s">
        <v>34</v>
      </c>
      <c r="E14" s="18" t="s">
        <v>35</v>
      </c>
      <c r="F14" s="18" t="s">
        <v>35</v>
      </c>
      <c r="G14" s="18" t="s">
        <v>34</v>
      </c>
      <c r="H14" s="18"/>
      <c r="I14" s="18" t="s">
        <v>34</v>
      </c>
      <c r="J14" s="18" t="s">
        <v>35</v>
      </c>
      <c r="K14" s="18"/>
      <c r="L14" s="18"/>
      <c r="M14" s="18"/>
    </row>
    <row r="15" spans="1:13" ht="60" customHeight="1">
      <c r="A15" s="64">
        <v>13</v>
      </c>
      <c r="B15" s="34" t="s">
        <v>279</v>
      </c>
      <c r="C15" s="18"/>
      <c r="D15" s="18" t="s">
        <v>35</v>
      </c>
      <c r="E15" s="18" t="s">
        <v>35</v>
      </c>
      <c r="F15" s="18" t="s">
        <v>34</v>
      </c>
      <c r="G15" s="18"/>
      <c r="H15" s="18"/>
      <c r="I15" s="18" t="s">
        <v>35</v>
      </c>
      <c r="J15" s="18" t="s">
        <v>35</v>
      </c>
      <c r="K15" s="18"/>
      <c r="L15" s="18"/>
      <c r="M15" s="18"/>
    </row>
    <row r="16" spans="1:13" ht="60" customHeight="1">
      <c r="A16" s="64">
        <v>14</v>
      </c>
      <c r="B16" s="34" t="s">
        <v>202</v>
      </c>
      <c r="C16" s="18"/>
      <c r="D16" s="18" t="s">
        <v>357</v>
      </c>
      <c r="E16" s="18" t="s">
        <v>358</v>
      </c>
      <c r="F16" s="18" t="s">
        <v>359</v>
      </c>
      <c r="G16" s="18"/>
      <c r="H16" s="18" t="s">
        <v>360</v>
      </c>
      <c r="I16" s="18" t="s">
        <v>370</v>
      </c>
      <c r="J16" s="18" t="s">
        <v>371</v>
      </c>
      <c r="K16" s="18"/>
      <c r="L16" s="18"/>
      <c r="M16" s="18"/>
    </row>
    <row r="18" spans="1:8" ht="61" customHeight="1">
      <c r="A18" s="64">
        <v>15</v>
      </c>
      <c r="B18" s="77" t="s">
        <v>225</v>
      </c>
      <c r="C18" s="77"/>
      <c r="D18" s="78" t="s">
        <v>464</v>
      </c>
      <c r="E18" s="79"/>
      <c r="F18" s="79"/>
      <c r="G18" s="79"/>
      <c r="H18" s="80"/>
    </row>
    <row r="19" spans="1:8" ht="61" customHeight="1">
      <c r="A19" s="64">
        <v>16</v>
      </c>
      <c r="B19" s="77" t="s">
        <v>211</v>
      </c>
      <c r="C19" s="77"/>
      <c r="D19" s="78" t="s">
        <v>372</v>
      </c>
      <c r="E19" s="79"/>
      <c r="F19" s="79"/>
      <c r="G19" s="79"/>
      <c r="H19" s="80"/>
    </row>
    <row r="20" spans="1:8" ht="61" customHeight="1">
      <c r="A20" s="64">
        <v>17</v>
      </c>
      <c r="B20" s="77" t="s">
        <v>198</v>
      </c>
      <c r="C20" s="77"/>
      <c r="D20" s="78" t="s">
        <v>373</v>
      </c>
      <c r="E20" s="79"/>
      <c r="F20" s="79"/>
      <c r="G20" s="79"/>
      <c r="H20" s="80"/>
    </row>
    <row r="21" spans="1:8" ht="61" customHeight="1">
      <c r="A21" s="64">
        <v>18</v>
      </c>
      <c r="B21" s="77" t="s">
        <v>155</v>
      </c>
      <c r="C21" s="77"/>
      <c r="D21" s="78" t="s">
        <v>374</v>
      </c>
      <c r="E21" s="79"/>
      <c r="F21" s="79"/>
      <c r="G21" s="79"/>
      <c r="H21" s="80"/>
    </row>
    <row r="22" spans="1:8" ht="61" customHeight="1">
      <c r="A22" s="64">
        <v>19</v>
      </c>
      <c r="B22" s="77" t="s">
        <v>199</v>
      </c>
      <c r="C22" s="77"/>
      <c r="D22" s="78" t="s">
        <v>375</v>
      </c>
      <c r="E22" s="79"/>
      <c r="F22" s="79"/>
      <c r="G22" s="79"/>
      <c r="H22" s="80"/>
    </row>
    <row r="23" spans="1:8" ht="61" customHeight="1">
      <c r="A23" s="64">
        <v>20</v>
      </c>
      <c r="B23" s="81" t="s">
        <v>223</v>
      </c>
      <c r="C23" s="82"/>
      <c r="D23" s="38" t="s">
        <v>465</v>
      </c>
      <c r="E23" s="39"/>
      <c r="F23" s="39"/>
      <c r="G23" s="39"/>
      <c r="H23" s="40"/>
    </row>
    <row r="24" spans="1:8" ht="61" customHeight="1">
      <c r="A24" s="64">
        <v>21</v>
      </c>
      <c r="B24" s="81" t="s">
        <v>224</v>
      </c>
      <c r="C24" s="82"/>
      <c r="D24" s="38" t="s">
        <v>376</v>
      </c>
      <c r="E24" s="39"/>
      <c r="F24" s="39"/>
      <c r="G24" s="39"/>
      <c r="H24" s="40"/>
    </row>
    <row r="25" spans="1:8" ht="187.75" customHeight="1">
      <c r="A25" s="64">
        <v>22</v>
      </c>
      <c r="B25" s="77" t="s">
        <v>200</v>
      </c>
      <c r="C25" s="77"/>
      <c r="D25" s="78" t="s">
        <v>374</v>
      </c>
      <c r="E25" s="79"/>
      <c r="F25" s="79"/>
      <c r="G25" s="79"/>
      <c r="H25" s="80"/>
    </row>
    <row r="26" spans="1:8" ht="61" customHeight="1"/>
    <row r="27" spans="1:8" ht="61" customHeight="1"/>
    <row r="28" spans="1:8" ht="61" customHeight="1"/>
    <row r="29" spans="1:8" ht="61" customHeight="1"/>
  </sheetData>
  <sheetProtection algorithmName="SHA-512" hashValue="7Id69BJIBQ4geXnuPicOtgFUYI1M4AyrYmj7vCGOuCAreTb/hulTgZpHfZqQsejk1SkCjeqsGWFa2yhpn+wAUA==" saltValue="5SWSAcLxQTmnITf/XsAjFg=="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phoneticPr fontId="30" type="noConversion"/>
  <conditionalFormatting sqref="C3:M16">
    <cfRule type="notContainsBlanks" dxfId="58" priority="1">
      <formula>LEN(TRIM(C3))&gt;0</formula>
    </cfRule>
  </conditionalFormatting>
  <conditionalFormatting sqref="D18:D25">
    <cfRule type="notContainsBlanks" dxfId="57" priority="7">
      <formula>LEN(TRIM(D18))&gt;0</formula>
    </cfRule>
  </conditionalFormatting>
  <dataValidations count="3">
    <dataValidation type="decimal" operator="greaterThan" allowBlank="1" showInputMessage="1" showErrorMessage="1" sqref="C9:M10" xr:uid="{729C1851-60B4-2548-B527-9EB9AF6842FF}">
      <formula1>0</formula1>
    </dataValidation>
    <dataValidation type="list" allowBlank="1" showInputMessage="1" showErrorMessage="1" sqref="C14:M15" xr:uid="{BED30279-6FF8-9540-B9F0-66107877420E}">
      <formula1>"Yes,No"</formula1>
    </dataValidation>
    <dataValidation type="whole" operator="greaterThan" allowBlank="1" showInputMessage="1" showErrorMessage="1" sqref="C11:M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60" zoomScaleNormal="60" workbookViewId="0">
      <selection activeCell="G15" sqref="G15"/>
    </sheetView>
  </sheetViews>
  <sheetFormatPr baseColWidth="10"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3" t="s">
        <v>293</v>
      </c>
    </row>
    <row r="2" spans="2:10" ht="50" customHeight="1">
      <c r="B2" s="44"/>
      <c r="C2" s="45" t="s">
        <v>6</v>
      </c>
      <c r="D2" s="45" t="s">
        <v>7</v>
      </c>
      <c r="E2" s="45" t="s">
        <v>8</v>
      </c>
      <c r="F2" s="45" t="s">
        <v>15</v>
      </c>
      <c r="G2" s="45" t="s">
        <v>16</v>
      </c>
      <c r="H2" s="45" t="s">
        <v>178</v>
      </c>
      <c r="I2" s="45" t="s">
        <v>213</v>
      </c>
      <c r="J2" s="45" t="s">
        <v>214</v>
      </c>
    </row>
    <row r="3" spans="2:10" ht="50" customHeight="1">
      <c r="B3" s="45" t="s">
        <v>179</v>
      </c>
      <c r="C3" s="71" t="s">
        <v>56</v>
      </c>
      <c r="D3" s="71" t="s">
        <v>377</v>
      </c>
      <c r="E3" s="71" t="s">
        <v>95</v>
      </c>
      <c r="F3" s="71" t="s">
        <v>101</v>
      </c>
      <c r="G3" s="71" t="s">
        <v>378</v>
      </c>
      <c r="H3" s="71"/>
      <c r="I3" s="71"/>
      <c r="J3" s="71"/>
    </row>
    <row r="4" spans="2:10" ht="50" customHeight="1">
      <c r="B4" s="46" t="s">
        <v>261</v>
      </c>
      <c r="C4" s="71">
        <v>5</v>
      </c>
      <c r="D4" s="71"/>
      <c r="E4" s="71">
        <v>2</v>
      </c>
      <c r="F4" s="71">
        <v>2</v>
      </c>
      <c r="G4" s="71">
        <v>12</v>
      </c>
      <c r="H4" s="71"/>
      <c r="I4" s="71"/>
      <c r="J4" s="71"/>
    </row>
    <row r="5" spans="2:10" ht="50" customHeight="1">
      <c r="B5" s="46" t="s">
        <v>260</v>
      </c>
      <c r="C5" s="71">
        <v>20</v>
      </c>
      <c r="D5" s="71">
        <v>6</v>
      </c>
      <c r="E5" s="71">
        <v>5</v>
      </c>
      <c r="F5" s="71">
        <v>6</v>
      </c>
      <c r="G5" s="71">
        <v>93</v>
      </c>
      <c r="H5" s="71"/>
      <c r="I5" s="71"/>
      <c r="J5" s="71"/>
    </row>
    <row r="6" spans="2:10" ht="50" customHeight="1">
      <c r="B6" s="46" t="s">
        <v>262</v>
      </c>
      <c r="C6" s="71">
        <v>180</v>
      </c>
      <c r="D6" s="71">
        <v>2</v>
      </c>
      <c r="E6" s="71">
        <v>1</v>
      </c>
      <c r="F6" s="71">
        <v>3</v>
      </c>
      <c r="G6" s="71">
        <v>73</v>
      </c>
      <c r="H6" s="71"/>
      <c r="I6" s="71"/>
      <c r="J6" s="71"/>
    </row>
    <row r="7" spans="2:10" ht="50" customHeight="1">
      <c r="B7" s="46" t="s">
        <v>263</v>
      </c>
      <c r="C7" s="71">
        <v>950</v>
      </c>
      <c r="D7" s="71">
        <v>192</v>
      </c>
      <c r="E7" s="71">
        <v>4</v>
      </c>
      <c r="F7" s="71">
        <v>120</v>
      </c>
      <c r="G7" s="71">
        <v>10000</v>
      </c>
      <c r="H7" s="71"/>
      <c r="I7" s="71"/>
      <c r="J7" s="71"/>
    </row>
    <row r="8" spans="2:10" ht="50" customHeight="1">
      <c r="B8" s="46" t="s">
        <v>212</v>
      </c>
      <c r="C8" s="71" t="s">
        <v>379</v>
      </c>
      <c r="D8" s="71" t="s">
        <v>380</v>
      </c>
      <c r="E8" s="71" t="s">
        <v>381</v>
      </c>
      <c r="F8" s="71" t="s">
        <v>381</v>
      </c>
      <c r="G8" s="71" t="s">
        <v>381</v>
      </c>
      <c r="H8" s="71"/>
      <c r="I8" s="71"/>
      <c r="J8" s="71"/>
    </row>
    <row r="9" spans="2:10" ht="50" customHeight="1">
      <c r="B9" s="46" t="s">
        <v>295</v>
      </c>
      <c r="C9" s="71" t="s">
        <v>380</v>
      </c>
      <c r="D9" s="71" t="s">
        <v>381</v>
      </c>
      <c r="E9" s="71" t="s">
        <v>381</v>
      </c>
      <c r="F9" s="71" t="s">
        <v>381</v>
      </c>
      <c r="G9" s="71" t="s">
        <v>381</v>
      </c>
      <c r="H9" s="71"/>
      <c r="I9" s="71"/>
      <c r="J9" s="71"/>
    </row>
    <row r="10" spans="2:10" ht="50" customHeight="1">
      <c r="B10" s="65" t="s">
        <v>289</v>
      </c>
      <c r="C10" s="71" t="s">
        <v>382</v>
      </c>
      <c r="D10" s="71" t="s">
        <v>377</v>
      </c>
      <c r="E10" s="71">
        <v>1</v>
      </c>
      <c r="F10" s="71">
        <v>1</v>
      </c>
      <c r="G10" s="71" t="s">
        <v>383</v>
      </c>
      <c r="H10" s="71"/>
      <c r="I10" s="71"/>
      <c r="J10" s="71"/>
    </row>
    <row r="11" spans="2:10" ht="50" customHeight="1">
      <c r="B11" s="46" t="s">
        <v>104</v>
      </c>
      <c r="C11" s="72">
        <v>8</v>
      </c>
      <c r="D11" s="72">
        <v>8</v>
      </c>
      <c r="E11" s="72">
        <v>4</v>
      </c>
      <c r="F11" s="71">
        <v>4</v>
      </c>
      <c r="G11" s="71">
        <v>12</v>
      </c>
      <c r="H11" s="71"/>
      <c r="I11" s="71"/>
      <c r="J11" s="71"/>
    </row>
    <row r="12" spans="2:10" ht="50" customHeight="1">
      <c r="B12" s="46" t="s">
        <v>197</v>
      </c>
      <c r="C12" s="73">
        <v>0.05</v>
      </c>
      <c r="D12" s="74">
        <v>0.1</v>
      </c>
      <c r="E12" s="74">
        <v>6</v>
      </c>
      <c r="F12" s="74">
        <v>6</v>
      </c>
      <c r="G12" s="74">
        <v>0.1</v>
      </c>
      <c r="H12" s="74"/>
      <c r="I12" s="74"/>
      <c r="J12" s="74"/>
    </row>
    <row r="14" spans="2:10" ht="50" customHeight="1">
      <c r="B14" s="83" t="s">
        <v>180</v>
      </c>
      <c r="C14" s="83"/>
      <c r="D14" s="83"/>
    </row>
    <row r="15" spans="2:10" ht="50" customHeight="1">
      <c r="B15" s="16" t="s">
        <v>181</v>
      </c>
      <c r="C15" s="83" t="s">
        <v>182</v>
      </c>
      <c r="D15" s="83"/>
    </row>
    <row r="16" spans="2:10" ht="50" customHeight="1">
      <c r="B16" s="47" t="s">
        <v>183</v>
      </c>
      <c r="C16" s="84" t="s">
        <v>184</v>
      </c>
      <c r="D16" s="84"/>
    </row>
    <row r="17" spans="2:4" ht="50" customHeight="1">
      <c r="B17" s="85" t="s">
        <v>185</v>
      </c>
      <c r="C17" s="85" t="s">
        <v>186</v>
      </c>
      <c r="D17" s="85"/>
    </row>
    <row r="18" spans="2:4" ht="50" customHeight="1">
      <c r="B18" s="85"/>
      <c r="C18" s="85" t="s">
        <v>187</v>
      </c>
      <c r="D18" s="85"/>
    </row>
    <row r="19" spans="2:4" ht="50" customHeight="1">
      <c r="B19" s="85"/>
      <c r="C19" s="85" t="s">
        <v>188</v>
      </c>
      <c r="D19" s="85"/>
    </row>
    <row r="20" spans="2:4" ht="50" customHeight="1">
      <c r="B20" s="85"/>
      <c r="C20" s="85" t="s">
        <v>189</v>
      </c>
      <c r="D20" s="85"/>
    </row>
    <row r="21" spans="2:4" ht="50" customHeight="1">
      <c r="B21" s="85" t="s">
        <v>190</v>
      </c>
      <c r="C21" s="85" t="s">
        <v>191</v>
      </c>
      <c r="D21" s="85"/>
    </row>
    <row r="22" spans="2:4" ht="50" customHeight="1">
      <c r="B22" s="85"/>
      <c r="C22" s="85" t="s">
        <v>192</v>
      </c>
      <c r="D22" s="85"/>
    </row>
    <row r="23" spans="2:4" ht="50" customHeight="1">
      <c r="B23" s="85"/>
      <c r="C23" s="85" t="s">
        <v>193</v>
      </c>
      <c r="D23" s="85"/>
    </row>
    <row r="24" spans="2:4" ht="50" customHeight="1">
      <c r="B24" s="85" t="s">
        <v>194</v>
      </c>
      <c r="C24" s="85" t="s">
        <v>195</v>
      </c>
      <c r="D24" s="85"/>
    </row>
    <row r="25" spans="2:4" ht="50" customHeight="1">
      <c r="B25" s="85"/>
      <c r="C25" s="85" t="s">
        <v>196</v>
      </c>
      <c r="D25" s="85"/>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80" zoomScaleNormal="80" workbookViewId="0">
      <selection activeCell="J15" sqref="J15"/>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31.33203125" style="1" bestFit="1" customWidth="1"/>
    <col min="12" max="15" width="29.1640625" style="1" customWidth="1"/>
    <col min="16" max="16384" width="10.83203125" style="1"/>
  </cols>
  <sheetData>
    <row r="1" spans="2:11" ht="67" customHeight="1">
      <c r="B1" s="32" t="s">
        <v>287</v>
      </c>
    </row>
    <row r="2" spans="2:11" ht="67" customHeight="1">
      <c r="B2" s="31"/>
      <c r="C2" s="16">
        <v>2022</v>
      </c>
      <c r="D2" s="16">
        <v>2023</v>
      </c>
      <c r="E2" s="16">
        <v>2024</v>
      </c>
      <c r="F2" s="16" t="s">
        <v>206</v>
      </c>
      <c r="G2" s="16" t="s">
        <v>142</v>
      </c>
      <c r="H2" s="16" t="s">
        <v>143</v>
      </c>
      <c r="I2" s="16" t="s">
        <v>207</v>
      </c>
      <c r="J2" s="16" t="s">
        <v>205</v>
      </c>
    </row>
    <row r="3" spans="2:11" ht="67" customHeight="1">
      <c r="B3" s="16" t="s">
        <v>264</v>
      </c>
      <c r="C3" s="37">
        <v>22</v>
      </c>
      <c r="D3" s="37">
        <v>23</v>
      </c>
      <c r="E3" s="37">
        <v>27</v>
      </c>
      <c r="F3" s="37">
        <v>27</v>
      </c>
      <c r="G3" s="37"/>
      <c r="H3" s="37"/>
      <c r="I3" s="37"/>
      <c r="J3" s="88" t="s">
        <v>466</v>
      </c>
    </row>
    <row r="4" spans="2:11" ht="67" customHeight="1">
      <c r="B4" s="34" t="s">
        <v>265</v>
      </c>
      <c r="C4" s="37">
        <v>832</v>
      </c>
      <c r="D4" s="37">
        <v>830</v>
      </c>
      <c r="E4" s="37">
        <v>905</v>
      </c>
      <c r="F4" s="37">
        <v>915</v>
      </c>
      <c r="G4" s="37"/>
      <c r="H4" s="37"/>
      <c r="I4" s="37"/>
      <c r="J4" s="88" t="s">
        <v>466</v>
      </c>
    </row>
    <row r="5" spans="2:11" ht="67" customHeight="1">
      <c r="B5" s="16" t="s">
        <v>266</v>
      </c>
      <c r="C5" s="37">
        <v>959</v>
      </c>
      <c r="D5" s="37">
        <v>957</v>
      </c>
      <c r="E5" s="37">
        <v>950</v>
      </c>
      <c r="F5" s="37">
        <v>973</v>
      </c>
      <c r="G5" s="37"/>
      <c r="H5" s="37"/>
      <c r="I5" s="37"/>
      <c r="J5" s="88" t="s">
        <v>466</v>
      </c>
    </row>
    <row r="6" spans="2:11" ht="67" customHeight="1">
      <c r="B6" s="16" t="s">
        <v>267</v>
      </c>
      <c r="C6" s="37">
        <v>219</v>
      </c>
      <c r="D6" s="37">
        <v>219</v>
      </c>
      <c r="E6" s="37">
        <v>227</v>
      </c>
      <c r="F6" s="37">
        <v>238</v>
      </c>
      <c r="G6" s="37"/>
      <c r="H6" s="37"/>
      <c r="I6" s="37"/>
      <c r="J6" s="88" t="s">
        <v>466</v>
      </c>
      <c r="K6" s="4" t="s">
        <v>215</v>
      </c>
    </row>
    <row r="7" spans="2:11" ht="67" customHeight="1">
      <c r="B7" s="16" t="s">
        <v>268</v>
      </c>
      <c r="C7" s="37">
        <v>61</v>
      </c>
      <c r="D7" s="37">
        <v>63</v>
      </c>
      <c r="E7" s="37">
        <v>68</v>
      </c>
      <c r="F7" s="37">
        <v>66</v>
      </c>
      <c r="G7" s="37"/>
      <c r="H7" s="37"/>
      <c r="I7" s="37"/>
      <c r="J7" s="88" t="s">
        <v>466</v>
      </c>
    </row>
    <row r="8" spans="2:11" ht="67" customHeight="1">
      <c r="B8" s="16" t="s">
        <v>269</v>
      </c>
      <c r="C8" s="37">
        <v>28</v>
      </c>
      <c r="D8" s="37">
        <v>23</v>
      </c>
      <c r="E8" s="37">
        <v>25</v>
      </c>
      <c r="F8" s="37">
        <v>27</v>
      </c>
      <c r="G8" s="37"/>
      <c r="H8" s="37"/>
      <c r="I8" s="37"/>
      <c r="J8" s="88" t="s">
        <v>466</v>
      </c>
    </row>
    <row r="9" spans="2:11" ht="67" customHeight="1">
      <c r="B9" s="16" t="s">
        <v>270</v>
      </c>
      <c r="C9" s="37">
        <v>40</v>
      </c>
      <c r="D9" s="37">
        <v>36</v>
      </c>
      <c r="E9" s="37">
        <v>43</v>
      </c>
      <c r="F9" s="37">
        <v>39</v>
      </c>
      <c r="G9" s="37"/>
      <c r="H9" s="37"/>
      <c r="I9" s="37"/>
      <c r="J9" s="88" t="s">
        <v>466</v>
      </c>
    </row>
    <row r="10" spans="2:11" ht="67" customHeight="1">
      <c r="B10" s="34" t="s">
        <v>284</v>
      </c>
      <c r="C10" s="37">
        <v>440</v>
      </c>
      <c r="D10" s="37">
        <v>431</v>
      </c>
      <c r="E10" s="37">
        <v>416</v>
      </c>
      <c r="F10" s="37">
        <v>464</v>
      </c>
      <c r="G10" s="37"/>
      <c r="H10" s="37"/>
      <c r="I10" s="37"/>
      <c r="J10" s="88" t="s">
        <v>466</v>
      </c>
    </row>
    <row r="11" spans="2:11" ht="67" customHeight="1">
      <c r="B11" s="16" t="s">
        <v>285</v>
      </c>
      <c r="C11" s="37">
        <v>568</v>
      </c>
      <c r="D11" s="37">
        <v>554</v>
      </c>
      <c r="E11" s="37">
        <v>581</v>
      </c>
      <c r="F11" s="37">
        <v>586</v>
      </c>
      <c r="G11" s="37"/>
      <c r="H11" s="37"/>
      <c r="I11" s="37"/>
      <c r="J11" s="88" t="s">
        <v>466</v>
      </c>
    </row>
    <row r="12" spans="2:11" ht="67" customHeight="1">
      <c r="B12" s="16" t="s">
        <v>286</v>
      </c>
      <c r="C12" s="37">
        <v>28</v>
      </c>
      <c r="D12" s="37">
        <v>24</v>
      </c>
      <c r="E12" s="37">
        <v>33</v>
      </c>
      <c r="F12" s="37">
        <v>33</v>
      </c>
      <c r="G12" s="37"/>
      <c r="H12" s="37"/>
      <c r="I12" s="37"/>
      <c r="J12" s="88" t="s">
        <v>466</v>
      </c>
    </row>
    <row r="13" spans="2:11" ht="67" customHeight="1">
      <c r="B13" s="16" t="s">
        <v>208</v>
      </c>
      <c r="C13" s="37">
        <v>390</v>
      </c>
      <c r="D13" s="37">
        <v>393</v>
      </c>
      <c r="E13" s="37">
        <v>386</v>
      </c>
      <c r="F13" s="37">
        <v>433</v>
      </c>
      <c r="G13" s="37"/>
      <c r="H13" s="37"/>
      <c r="I13" s="37"/>
      <c r="J13" s="88" t="s">
        <v>467</v>
      </c>
    </row>
    <row r="14" spans="2:11" ht="67" customHeight="1">
      <c r="B14" s="16" t="s">
        <v>208</v>
      </c>
      <c r="C14" s="37"/>
      <c r="D14" s="37"/>
      <c r="E14" s="37"/>
      <c r="F14" s="37"/>
      <c r="G14" s="37"/>
      <c r="H14" s="37"/>
      <c r="I14" s="37"/>
      <c r="J14" s="61"/>
    </row>
    <row r="15" spans="2:11" ht="67" customHeight="1">
      <c r="B15" s="16" t="s">
        <v>208</v>
      </c>
      <c r="C15" s="37"/>
      <c r="D15" s="37"/>
      <c r="E15" s="37"/>
      <c r="F15" s="37"/>
      <c r="G15" s="37"/>
      <c r="H15" s="37"/>
      <c r="I15" s="37"/>
      <c r="J15" s="61"/>
    </row>
    <row r="16" spans="2:11" ht="19">
      <c r="B16" s="52" t="s">
        <v>216</v>
      </c>
      <c r="C16" s="53">
        <f t="shared" ref="C16:I16" si="0">SUM(C3:C15)</f>
        <v>3587</v>
      </c>
      <c r="D16" s="53">
        <f t="shared" si="0"/>
        <v>3553</v>
      </c>
      <c r="E16" s="53">
        <f t="shared" si="0"/>
        <v>3661</v>
      </c>
      <c r="F16" s="53">
        <f t="shared" si="0"/>
        <v>3801</v>
      </c>
      <c r="G16" s="53">
        <f t="shared" si="0"/>
        <v>0</v>
      </c>
      <c r="H16" s="53">
        <f t="shared" si="0"/>
        <v>0</v>
      </c>
      <c r="I16" s="53">
        <f t="shared" si="0"/>
        <v>0</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7"/>
  <sheetViews>
    <sheetView showGridLines="0" workbookViewId="0">
      <selection activeCell="B9" sqref="B9"/>
    </sheetView>
  </sheetViews>
  <sheetFormatPr baseColWidth="10" defaultColWidth="10.83203125" defaultRowHeight="16"/>
  <cols>
    <col min="1" max="1" width="5.33203125" customWidth="1"/>
    <col min="2" max="2" width="34.5" customWidth="1"/>
  </cols>
  <sheetData>
    <row r="2" spans="2:11" ht="47" customHeight="1">
      <c r="B2" s="86" t="s">
        <v>314</v>
      </c>
      <c r="C2" s="86"/>
      <c r="D2" s="86"/>
      <c r="E2" s="86"/>
      <c r="F2" s="86"/>
      <c r="G2" s="86"/>
      <c r="H2" s="86"/>
      <c r="I2" s="86"/>
      <c r="J2" s="86"/>
      <c r="K2" s="86"/>
    </row>
    <row r="3" spans="2:11" ht="47" customHeight="1">
      <c r="B3" s="86"/>
      <c r="C3" s="86"/>
      <c r="D3" s="86"/>
      <c r="E3" s="86"/>
      <c r="F3" s="86"/>
      <c r="G3" s="86"/>
      <c r="H3" s="86"/>
      <c r="I3" s="86"/>
      <c r="J3" s="86"/>
      <c r="K3" s="86"/>
    </row>
    <row r="4" spans="2:11" ht="47" customHeight="1">
      <c r="B4" s="86"/>
      <c r="C4" s="86"/>
      <c r="D4" s="86"/>
      <c r="E4" s="86"/>
      <c r="F4" s="86"/>
      <c r="G4" s="86"/>
      <c r="H4" s="86"/>
      <c r="I4" s="86"/>
      <c r="J4" s="86"/>
      <c r="K4" s="86"/>
    </row>
    <row r="5" spans="2:11" ht="47" customHeight="1">
      <c r="B5" s="86"/>
      <c r="C5" s="86"/>
      <c r="D5" s="86"/>
      <c r="E5" s="86"/>
      <c r="F5" s="86"/>
      <c r="G5" s="86"/>
      <c r="H5" s="86"/>
      <c r="I5" s="86"/>
      <c r="J5" s="86"/>
      <c r="K5" s="86"/>
    </row>
    <row r="7" spans="2:11" ht="21">
      <c r="B7" s="89" t="s">
        <v>384</v>
      </c>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abSelected="1" zoomScale="80" zoomScaleNormal="80" workbookViewId="0">
      <selection activeCell="O15" sqref="O15"/>
    </sheetView>
  </sheetViews>
  <sheetFormatPr baseColWidth="10" defaultRowHeight="16"/>
  <cols>
    <col min="1" max="1" width="4.1640625" style="1" customWidth="1"/>
    <col min="2" max="2" width="51.5" style="1" customWidth="1"/>
    <col min="3" max="22" width="29.1640625" style="1" customWidth="1"/>
    <col min="23" max="23" width="57.83203125" style="1" customWidth="1"/>
  </cols>
  <sheetData>
    <row r="1" spans="2:23" ht="60" customHeight="1">
      <c r="B1" s="32" t="s">
        <v>245</v>
      </c>
    </row>
    <row r="2" spans="2:23" ht="60" customHeight="1">
      <c r="B2" s="66" t="s">
        <v>238</v>
      </c>
      <c r="C2" s="87" t="s">
        <v>240</v>
      </c>
      <c r="D2" s="87"/>
      <c r="E2" s="87"/>
      <c r="F2" s="87"/>
      <c r="G2" s="87" t="s">
        <v>241</v>
      </c>
      <c r="H2" s="87"/>
      <c r="I2" s="87"/>
      <c r="J2" s="87"/>
      <c r="K2" s="87"/>
      <c r="L2" s="87" t="s">
        <v>304</v>
      </c>
      <c r="M2" s="87"/>
      <c r="N2" s="87"/>
      <c r="O2" s="87"/>
      <c r="P2" s="87"/>
      <c r="Q2" s="87"/>
      <c r="R2" s="87"/>
      <c r="S2" s="87" t="s">
        <v>242</v>
      </c>
      <c r="T2" s="87"/>
      <c r="U2" s="87"/>
      <c r="V2" s="87"/>
    </row>
    <row r="3" spans="2:23" ht="60" customHeight="1">
      <c r="B3" s="16" t="s">
        <v>239</v>
      </c>
      <c r="C3" s="67" t="s">
        <v>243</v>
      </c>
      <c r="D3" s="67" t="s">
        <v>296</v>
      </c>
      <c r="E3" s="67" t="s">
        <v>233</v>
      </c>
      <c r="F3" s="67" t="s">
        <v>291</v>
      </c>
      <c r="G3" s="67" t="s">
        <v>39</v>
      </c>
      <c r="H3" s="67" t="s">
        <v>244</v>
      </c>
      <c r="I3" s="67" t="s">
        <v>234</v>
      </c>
      <c r="J3" s="67" t="s">
        <v>235</v>
      </c>
      <c r="K3" s="67" t="s">
        <v>288</v>
      </c>
      <c r="L3" s="67" t="s">
        <v>305</v>
      </c>
      <c r="M3" s="68" t="s">
        <v>311</v>
      </c>
      <c r="N3" s="67" t="s">
        <v>306</v>
      </c>
      <c r="O3" s="67" t="s">
        <v>310</v>
      </c>
      <c r="P3" s="67" t="s">
        <v>307</v>
      </c>
      <c r="Q3" s="67" t="s">
        <v>308</v>
      </c>
      <c r="R3" s="67" t="s">
        <v>309</v>
      </c>
      <c r="S3" s="67" t="s">
        <v>22</v>
      </c>
      <c r="T3" s="67" t="s">
        <v>236</v>
      </c>
      <c r="U3" s="67" t="s">
        <v>294</v>
      </c>
      <c r="V3" s="67" t="s">
        <v>237</v>
      </c>
      <c r="W3" s="16" t="s">
        <v>205</v>
      </c>
    </row>
    <row r="4" spans="2:23" ht="60" customHeight="1">
      <c r="B4" s="16" t="s">
        <v>252</v>
      </c>
      <c r="C4" s="37"/>
      <c r="D4" s="37"/>
      <c r="E4" s="37" t="s">
        <v>34</v>
      </c>
      <c r="F4" s="37" t="s">
        <v>34</v>
      </c>
      <c r="G4" s="37"/>
      <c r="H4" s="37"/>
      <c r="I4" s="37"/>
      <c r="J4" s="37"/>
      <c r="K4" s="37" t="s">
        <v>34</v>
      </c>
      <c r="L4" s="37"/>
      <c r="M4" s="37"/>
      <c r="N4" s="37"/>
      <c r="O4" s="37" t="s">
        <v>34</v>
      </c>
      <c r="P4" s="37"/>
      <c r="Q4" s="37"/>
      <c r="R4" s="37"/>
      <c r="S4" s="37"/>
      <c r="T4" s="37"/>
      <c r="U4" s="37" t="s">
        <v>34</v>
      </c>
      <c r="V4" s="37" t="s">
        <v>34</v>
      </c>
      <c r="W4" s="61"/>
    </row>
    <row r="5" spans="2:23" ht="60" customHeight="1">
      <c r="B5" s="34" t="s">
        <v>272</v>
      </c>
      <c r="C5" s="37"/>
      <c r="D5" s="37"/>
      <c r="E5" s="37" t="s">
        <v>379</v>
      </c>
      <c r="F5" s="37" t="s">
        <v>379</v>
      </c>
      <c r="G5" s="37"/>
      <c r="H5" s="37"/>
      <c r="I5" s="37"/>
      <c r="J5" s="37"/>
      <c r="K5" s="37" t="s">
        <v>379</v>
      </c>
      <c r="L5" s="37"/>
      <c r="M5" s="37"/>
      <c r="N5" s="37"/>
      <c r="O5" s="37" t="s">
        <v>379</v>
      </c>
      <c r="P5" s="37"/>
      <c r="Q5" s="37"/>
      <c r="R5" s="37"/>
      <c r="S5" s="37"/>
      <c r="T5" s="37"/>
      <c r="U5" s="37" t="s">
        <v>379</v>
      </c>
      <c r="V5" s="37"/>
      <c r="W5" s="61"/>
    </row>
    <row r="6" spans="2:23" ht="60" customHeight="1">
      <c r="B6" s="34" t="s">
        <v>253</v>
      </c>
      <c r="C6" s="37"/>
      <c r="D6" s="37"/>
      <c r="E6" s="37" t="s">
        <v>34</v>
      </c>
      <c r="F6" s="37" t="s">
        <v>35</v>
      </c>
      <c r="G6" s="37"/>
      <c r="H6" s="37"/>
      <c r="I6" s="37"/>
      <c r="J6" s="37"/>
      <c r="K6" s="37" t="s">
        <v>35</v>
      </c>
      <c r="L6" s="37"/>
      <c r="M6" s="37"/>
      <c r="N6" s="37"/>
      <c r="O6" s="37" t="s">
        <v>34</v>
      </c>
      <c r="P6" s="37"/>
      <c r="Q6" s="37"/>
      <c r="R6" s="37"/>
      <c r="S6" s="37"/>
      <c r="T6" s="37"/>
      <c r="U6" s="37" t="s">
        <v>35</v>
      </c>
      <c r="V6" s="37" t="s">
        <v>35</v>
      </c>
      <c r="W6" s="61"/>
    </row>
    <row r="7" spans="2:23" ht="60" customHeight="1">
      <c r="B7" s="34" t="s">
        <v>20</v>
      </c>
      <c r="C7" s="37"/>
      <c r="D7" s="37"/>
      <c r="E7" s="37" t="s">
        <v>385</v>
      </c>
      <c r="F7" s="37" t="s">
        <v>386</v>
      </c>
      <c r="G7" s="37"/>
      <c r="H7" s="37"/>
      <c r="I7" s="37"/>
      <c r="J7" s="37"/>
      <c r="K7" s="37" t="s">
        <v>468</v>
      </c>
      <c r="L7" s="37"/>
      <c r="M7" s="37"/>
      <c r="N7" s="37"/>
      <c r="O7" s="37" t="s">
        <v>473</v>
      </c>
      <c r="P7" s="37"/>
      <c r="Q7" s="37"/>
      <c r="R7" s="37"/>
      <c r="S7" s="37"/>
      <c r="T7" s="37"/>
      <c r="U7" s="37" t="s">
        <v>387</v>
      </c>
      <c r="V7" s="37" t="s">
        <v>388</v>
      </c>
      <c r="W7" s="61"/>
    </row>
    <row r="8" spans="2:23" ht="60" customHeight="1">
      <c r="B8" s="34" t="s">
        <v>271</v>
      </c>
      <c r="C8" s="37"/>
      <c r="D8" s="37"/>
      <c r="E8" s="37"/>
      <c r="F8" s="37"/>
      <c r="G8" s="37"/>
      <c r="H8" s="37"/>
      <c r="I8" s="37"/>
      <c r="J8" s="37"/>
      <c r="K8" s="37"/>
      <c r="L8" s="37"/>
      <c r="M8" s="37"/>
      <c r="N8" s="37"/>
      <c r="O8" s="37"/>
      <c r="P8" s="37"/>
      <c r="Q8" s="37"/>
      <c r="R8" s="37"/>
      <c r="S8" s="37"/>
      <c r="T8" s="37"/>
      <c r="U8" s="37">
        <v>4000</v>
      </c>
      <c r="V8" s="37"/>
      <c r="W8" s="61"/>
    </row>
    <row r="9" spans="2:23" ht="60" customHeight="1">
      <c r="B9" s="34" t="s">
        <v>254</v>
      </c>
      <c r="C9" s="37"/>
      <c r="D9" s="37"/>
      <c r="E9" s="37" t="s">
        <v>389</v>
      </c>
      <c r="F9" s="37" t="s">
        <v>390</v>
      </c>
      <c r="G9" s="37"/>
      <c r="H9" s="37"/>
      <c r="I9" s="37"/>
      <c r="J9" s="37"/>
      <c r="K9" s="37" t="s">
        <v>469</v>
      </c>
      <c r="L9" s="37"/>
      <c r="M9" s="37"/>
      <c r="N9" s="37"/>
      <c r="O9" s="37" t="s">
        <v>474</v>
      </c>
      <c r="P9" s="37"/>
      <c r="Q9" s="37"/>
      <c r="R9" s="37"/>
      <c r="S9" s="37"/>
      <c r="T9" s="37"/>
      <c r="U9" s="37" t="s">
        <v>391</v>
      </c>
      <c r="V9" s="37" t="s">
        <v>392</v>
      </c>
      <c r="W9" s="61"/>
    </row>
    <row r="10" spans="2:23" ht="60" customHeight="1">
      <c r="B10" s="34" t="s">
        <v>303</v>
      </c>
      <c r="C10" s="37"/>
      <c r="D10" s="37"/>
      <c r="E10" s="37"/>
      <c r="F10" s="37"/>
      <c r="G10" s="37"/>
      <c r="H10" s="37"/>
      <c r="I10" s="37"/>
      <c r="J10" s="37"/>
      <c r="K10" s="37"/>
      <c r="L10" s="37"/>
      <c r="M10" s="37"/>
      <c r="N10" s="37"/>
      <c r="O10" s="37"/>
      <c r="P10" s="37"/>
      <c r="Q10" s="37"/>
      <c r="R10" s="37"/>
      <c r="S10" s="37"/>
      <c r="T10" s="37"/>
      <c r="U10" s="37" t="s">
        <v>393</v>
      </c>
      <c r="V10" s="37"/>
      <c r="W10" s="61"/>
    </row>
    <row r="11" spans="2:23" ht="60" customHeight="1">
      <c r="B11" s="34" t="s">
        <v>273</v>
      </c>
      <c r="C11" s="37"/>
      <c r="D11" s="37"/>
      <c r="E11" s="37"/>
      <c r="F11" s="37"/>
      <c r="G11" s="69"/>
      <c r="H11" s="37"/>
      <c r="I11" s="37"/>
      <c r="J11" s="37"/>
      <c r="K11" s="37"/>
      <c r="L11" s="37"/>
      <c r="M11" s="37"/>
      <c r="N11" s="37"/>
      <c r="O11" s="37"/>
      <c r="P11" s="37"/>
      <c r="Q11" s="37"/>
      <c r="R11" s="37"/>
      <c r="S11" s="37"/>
      <c r="T11" s="37"/>
      <c r="U11" s="37" t="s">
        <v>394</v>
      </c>
      <c r="V11" s="37"/>
      <c r="W11" s="61"/>
    </row>
    <row r="12" spans="2:23" ht="60" customHeight="1">
      <c r="B12" s="16" t="s">
        <v>255</v>
      </c>
      <c r="C12" s="37"/>
      <c r="D12" s="37"/>
      <c r="E12" s="37" t="s">
        <v>395</v>
      </c>
      <c r="F12" s="37" t="s">
        <v>396</v>
      </c>
      <c r="G12" s="37"/>
      <c r="H12" s="37"/>
      <c r="I12" s="37"/>
      <c r="J12" s="37"/>
      <c r="K12" s="37" t="s">
        <v>470</v>
      </c>
      <c r="L12" s="37"/>
      <c r="M12" s="37"/>
      <c r="N12" s="37"/>
      <c r="O12" s="37" t="s">
        <v>470</v>
      </c>
      <c r="P12" s="37"/>
      <c r="Q12" s="37"/>
      <c r="R12" s="37"/>
      <c r="S12" s="37"/>
      <c r="T12" s="37"/>
      <c r="U12" s="37" t="s">
        <v>397</v>
      </c>
      <c r="V12" s="37" t="s">
        <v>398</v>
      </c>
      <c r="W12" s="61"/>
    </row>
    <row r="13" spans="2:23" ht="60" customHeight="1">
      <c r="B13" s="34" t="s">
        <v>250</v>
      </c>
      <c r="C13" s="37"/>
      <c r="D13" s="37"/>
      <c r="E13" s="37"/>
      <c r="F13" s="37"/>
      <c r="G13" s="37"/>
      <c r="H13" s="37"/>
      <c r="I13" s="37"/>
      <c r="J13" s="37"/>
      <c r="K13" s="37" t="s">
        <v>471</v>
      </c>
      <c r="L13" s="37"/>
      <c r="M13" s="37"/>
      <c r="N13" s="37"/>
      <c r="O13" s="37" t="s">
        <v>475</v>
      </c>
      <c r="P13" s="37"/>
      <c r="Q13" s="37"/>
      <c r="R13" s="37"/>
      <c r="S13" s="37"/>
      <c r="T13" s="37"/>
      <c r="U13" s="37" t="s">
        <v>399</v>
      </c>
      <c r="V13" s="37"/>
      <c r="W13" s="61"/>
    </row>
    <row r="14" spans="2:23" ht="60" customHeight="1">
      <c r="B14" s="16" t="s">
        <v>246</v>
      </c>
      <c r="C14" s="37"/>
      <c r="D14" s="37"/>
      <c r="E14" s="37"/>
      <c r="F14" s="37"/>
      <c r="G14" s="37"/>
      <c r="H14" s="37"/>
      <c r="I14" s="37"/>
      <c r="J14" s="37"/>
      <c r="K14" s="37" t="s">
        <v>472</v>
      </c>
      <c r="L14" s="37"/>
      <c r="M14" s="37"/>
      <c r="N14" s="37"/>
      <c r="O14" s="37" t="s">
        <v>476</v>
      </c>
      <c r="P14" s="37"/>
      <c r="Q14" s="37"/>
      <c r="R14" s="37"/>
      <c r="S14" s="37"/>
      <c r="T14" s="37"/>
      <c r="U14" s="37"/>
      <c r="V14" s="37"/>
      <c r="W14" s="61"/>
    </row>
    <row r="15" spans="2:23" ht="60" customHeight="1">
      <c r="B15" s="16" t="s">
        <v>249</v>
      </c>
      <c r="C15" s="37"/>
      <c r="D15" s="37"/>
      <c r="E15" s="37"/>
      <c r="F15" s="37"/>
      <c r="G15" s="37"/>
      <c r="H15" s="37"/>
      <c r="I15" s="37"/>
      <c r="J15" s="37"/>
      <c r="K15" s="37"/>
      <c r="L15" s="37"/>
      <c r="M15" s="37"/>
      <c r="N15" s="37"/>
      <c r="O15" s="37"/>
      <c r="P15" s="37"/>
      <c r="Q15" s="37"/>
      <c r="R15" s="37"/>
      <c r="S15" s="37"/>
      <c r="T15" s="37"/>
      <c r="U15" s="37"/>
      <c r="V15" s="37"/>
      <c r="W15" s="61"/>
    </row>
    <row r="16" spans="2:23" ht="60" customHeight="1">
      <c r="B16" s="34" t="s">
        <v>251</v>
      </c>
      <c r="C16" s="37"/>
      <c r="D16" s="37"/>
      <c r="E16" s="37" t="s">
        <v>400</v>
      </c>
      <c r="F16" s="37" t="s">
        <v>401</v>
      </c>
      <c r="G16" s="37"/>
      <c r="H16" s="37"/>
      <c r="I16" s="37"/>
      <c r="J16" s="37"/>
      <c r="K16" s="37"/>
      <c r="L16" s="37"/>
      <c r="M16" s="37"/>
      <c r="N16" s="37"/>
      <c r="O16" s="37"/>
      <c r="P16" s="37"/>
      <c r="Q16" s="37"/>
      <c r="R16" s="37"/>
      <c r="S16" s="37"/>
      <c r="T16" s="37"/>
      <c r="U16" s="37" t="s">
        <v>402</v>
      </c>
      <c r="V16" s="37" t="s">
        <v>403</v>
      </c>
      <c r="W16" s="61"/>
    </row>
    <row r="17" spans="2:23" ht="60" customHeight="1">
      <c r="B17" s="16" t="s">
        <v>247</v>
      </c>
      <c r="C17" s="37"/>
      <c r="D17" s="37"/>
      <c r="E17" s="37" t="s">
        <v>404</v>
      </c>
      <c r="F17" s="37" t="s">
        <v>404</v>
      </c>
      <c r="G17" s="37"/>
      <c r="H17" s="37"/>
      <c r="I17" s="37"/>
      <c r="J17" s="37"/>
      <c r="K17" s="37"/>
      <c r="L17" s="37"/>
      <c r="M17" s="37"/>
      <c r="N17" s="37"/>
      <c r="O17" s="37"/>
      <c r="P17" s="37"/>
      <c r="Q17" s="37"/>
      <c r="R17" s="37"/>
      <c r="S17" s="37"/>
      <c r="T17" s="37"/>
      <c r="U17" s="37" t="s">
        <v>404</v>
      </c>
      <c r="V17" s="37" t="s">
        <v>404</v>
      </c>
      <c r="W17" s="61"/>
    </row>
    <row r="18" spans="2:23" ht="60" customHeight="1">
      <c r="B18" s="16" t="s">
        <v>248</v>
      </c>
      <c r="C18" s="37"/>
      <c r="D18" s="37"/>
      <c r="E18" s="37" t="s">
        <v>405</v>
      </c>
      <c r="F18" s="37" t="s">
        <v>405</v>
      </c>
      <c r="G18" s="37"/>
      <c r="H18" s="37"/>
      <c r="I18" s="37"/>
      <c r="J18" s="37"/>
      <c r="K18" s="37"/>
      <c r="L18" s="37"/>
      <c r="M18" s="37"/>
      <c r="N18" s="37"/>
      <c r="O18" s="37"/>
      <c r="P18" s="37"/>
      <c r="Q18" s="37"/>
      <c r="R18" s="37"/>
      <c r="S18" s="37"/>
      <c r="T18" s="37"/>
      <c r="U18" s="37" t="s">
        <v>405</v>
      </c>
      <c r="V18" s="37" t="s">
        <v>405</v>
      </c>
      <c r="W18" s="61"/>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B8" sqref="B8"/>
    </sheetView>
  </sheetViews>
  <sheetFormatPr baseColWidth="10" defaultColWidth="10.83203125" defaultRowHeight="16"/>
  <cols>
    <col min="1" max="1" width="5.5" customWidth="1"/>
  </cols>
  <sheetData>
    <row r="3" spans="2:11" ht="34" customHeight="1">
      <c r="B3" s="86" t="s">
        <v>222</v>
      </c>
      <c r="C3" s="86"/>
      <c r="D3" s="86"/>
      <c r="E3" s="86"/>
      <c r="F3" s="86"/>
      <c r="G3" s="86"/>
      <c r="H3" s="86"/>
      <c r="I3" s="86"/>
      <c r="J3" s="86"/>
      <c r="K3" s="86"/>
    </row>
    <row r="4" spans="2:11" ht="34" customHeight="1">
      <c r="B4" s="86"/>
      <c r="C4" s="86"/>
      <c r="D4" s="86"/>
      <c r="E4" s="86"/>
      <c r="F4" s="86"/>
      <c r="G4" s="86"/>
      <c r="H4" s="86"/>
      <c r="I4" s="86"/>
      <c r="J4" s="86"/>
      <c r="K4" s="86"/>
    </row>
    <row r="5" spans="2:11" ht="34" customHeight="1">
      <c r="B5" s="86"/>
      <c r="C5" s="86"/>
      <c r="D5" s="86"/>
      <c r="E5" s="86"/>
      <c r="F5" s="86"/>
      <c r="G5" s="86"/>
      <c r="H5" s="86"/>
      <c r="I5" s="86"/>
      <c r="J5" s="86"/>
      <c r="K5" s="86"/>
    </row>
    <row r="6" spans="2:11" ht="34" customHeight="1">
      <c r="B6" s="86"/>
      <c r="C6" s="86"/>
      <c r="D6" s="86"/>
      <c r="E6" s="86"/>
      <c r="F6" s="86"/>
      <c r="G6" s="86"/>
      <c r="H6" s="86"/>
      <c r="I6" s="86"/>
      <c r="J6" s="86"/>
      <c r="K6" s="86"/>
    </row>
    <row r="12" spans="2:11">
      <c r="B12" s="58"/>
    </row>
    <row r="15" spans="2:11">
      <c r="B15" s="58"/>
    </row>
    <row r="18" spans="2:2">
      <c r="B18" s="58"/>
    </row>
    <row r="21" spans="2:2">
      <c r="B21" s="58"/>
    </row>
    <row r="24" spans="2:2">
      <c r="B24" s="58"/>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B22" sqref="B22"/>
    </sheetView>
  </sheetViews>
  <sheetFormatPr baseColWidth="10" defaultRowHeight="20"/>
  <cols>
    <col min="1" max="1" width="4.1640625" style="55" customWidth="1"/>
    <col min="2" max="2" width="200.83203125" style="10" customWidth="1"/>
    <col min="3" max="3" width="67.5" style="13" customWidth="1"/>
    <col min="4" max="16384" width="10.83203125" style="49"/>
  </cols>
  <sheetData>
    <row r="2" spans="2:4" ht="22">
      <c r="B2" s="8" t="s">
        <v>231</v>
      </c>
      <c r="C2" s="11"/>
    </row>
    <row r="3" spans="2:4" ht="22">
      <c r="B3" s="42" t="s">
        <v>229</v>
      </c>
      <c r="C3" s="57"/>
    </row>
    <row r="4" spans="2:4" ht="22">
      <c r="B4" s="56" t="s">
        <v>258</v>
      </c>
      <c r="C4" s="57"/>
    </row>
    <row r="5" spans="2:4" ht="63">
      <c r="B5" s="54" t="s">
        <v>281</v>
      </c>
      <c r="C5" s="48" t="s">
        <v>35</v>
      </c>
      <c r="D5" s="50" t="s">
        <v>282</v>
      </c>
    </row>
    <row r="6" spans="2:4" ht="22">
      <c r="B6" s="56" t="s">
        <v>257</v>
      </c>
      <c r="C6" s="57"/>
      <c r="D6" s="50"/>
    </row>
    <row r="7" spans="2:4" ht="63">
      <c r="B7" s="54" t="s">
        <v>219</v>
      </c>
      <c r="C7" s="48" t="s">
        <v>34</v>
      </c>
      <c r="D7" s="50" t="s">
        <v>274</v>
      </c>
    </row>
    <row r="8" spans="2:4" ht="22">
      <c r="B8" s="56" t="s">
        <v>256</v>
      </c>
      <c r="C8" s="57"/>
    </row>
    <row r="9" spans="2:4" ht="63">
      <c r="B9" s="54" t="s">
        <v>220</v>
      </c>
      <c r="C9" s="48" t="s">
        <v>34</v>
      </c>
    </row>
    <row r="10" spans="2:4" ht="22">
      <c r="B10" s="56" t="s">
        <v>277</v>
      </c>
      <c r="C10" s="57"/>
    </row>
    <row r="11" spans="2:4" ht="63">
      <c r="B11" s="54" t="s">
        <v>278</v>
      </c>
      <c r="C11" s="48" t="s">
        <v>34</v>
      </c>
    </row>
    <row r="12" spans="2:4" ht="22">
      <c r="B12" s="42" t="s">
        <v>228</v>
      </c>
      <c r="C12" s="57"/>
    </row>
    <row r="13" spans="2:4" ht="22">
      <c r="B13" s="56" t="s">
        <v>230</v>
      </c>
      <c r="C13" s="57"/>
    </row>
    <row r="14" spans="2:4" ht="42">
      <c r="B14" s="54" t="s">
        <v>217</v>
      </c>
      <c r="C14" s="48" t="s">
        <v>35</v>
      </c>
    </row>
    <row r="15" spans="2:4" ht="22">
      <c r="B15" s="56" t="s">
        <v>226</v>
      </c>
      <c r="C15" s="57"/>
    </row>
    <row r="16" spans="2:4" ht="42">
      <c r="B16" s="54" t="s">
        <v>218</v>
      </c>
      <c r="C16" s="48" t="s">
        <v>35</v>
      </c>
    </row>
    <row r="17" spans="2:3" ht="22">
      <c r="B17" s="56" t="s">
        <v>227</v>
      </c>
      <c r="C17" s="57"/>
    </row>
    <row r="18" spans="2:3" ht="42">
      <c r="B18" s="54" t="s">
        <v>221</v>
      </c>
      <c r="C18" s="48" t="s">
        <v>34</v>
      </c>
    </row>
    <row r="19" spans="2:3" ht="22">
      <c r="B19" s="56" t="s">
        <v>259</v>
      </c>
      <c r="C19" s="57"/>
    </row>
    <row r="20" spans="2:3" ht="63">
      <c r="B20" s="54" t="s">
        <v>280</v>
      </c>
      <c r="C20" s="48" t="s">
        <v>35</v>
      </c>
    </row>
    <row r="21" spans="2:3" ht="22">
      <c r="B21" s="56" t="s">
        <v>297</v>
      </c>
      <c r="C21" s="57"/>
    </row>
    <row r="22" spans="2:3" ht="63">
      <c r="B22" s="54" t="s">
        <v>299</v>
      </c>
      <c r="C22" s="48" t="s">
        <v>34</v>
      </c>
    </row>
    <row r="23" spans="2:3" ht="22">
      <c r="B23" s="56" t="s">
        <v>302</v>
      </c>
      <c r="C23" s="57"/>
    </row>
    <row r="24" spans="2:3" ht="84">
      <c r="B24" s="54" t="s">
        <v>300</v>
      </c>
      <c r="C24" s="48" t="s">
        <v>34</v>
      </c>
    </row>
    <row r="25" spans="2:3" ht="22">
      <c r="B25" s="56" t="s">
        <v>298</v>
      </c>
      <c r="C25" s="57"/>
    </row>
    <row r="26" spans="2:3" ht="84">
      <c r="B26" s="54" t="s">
        <v>301</v>
      </c>
      <c r="C26" s="48" t="s">
        <v>34</v>
      </c>
    </row>
    <row r="27" spans="2:3" ht="22">
      <c r="B27" s="56" t="s">
        <v>312</v>
      </c>
      <c r="C27" s="57"/>
    </row>
    <row r="28" spans="2:3" ht="84">
      <c r="B28" s="54" t="s">
        <v>315</v>
      </c>
      <c r="C28" s="48" t="s">
        <v>34</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102</v>
      </c>
      <c r="C1" s="7" t="s">
        <v>21</v>
      </c>
      <c r="E1" s="5" t="s">
        <v>33</v>
      </c>
      <c r="G1" s="5" t="s">
        <v>45</v>
      </c>
    </row>
    <row r="2" spans="1:7">
      <c r="A2" s="1" t="s">
        <v>12</v>
      </c>
      <c r="C2" s="1" t="s">
        <v>24</v>
      </c>
      <c r="E2" s="1" t="s">
        <v>34</v>
      </c>
      <c r="G2" s="1" t="s">
        <v>46</v>
      </c>
    </row>
    <row r="3" spans="1:7">
      <c r="A3" s="1" t="s">
        <v>103</v>
      </c>
      <c r="C3" s="1" t="s">
        <v>22</v>
      </c>
      <c r="E3" s="1" t="s">
        <v>35</v>
      </c>
      <c r="G3" s="1" t="s">
        <v>47</v>
      </c>
    </row>
    <row r="4" spans="1:7">
      <c r="C4" s="1" t="s">
        <v>26</v>
      </c>
      <c r="G4" s="1" t="s">
        <v>48</v>
      </c>
    </row>
    <row r="5" spans="1:7">
      <c r="C5" s="1" t="s">
        <v>42</v>
      </c>
      <c r="G5" s="1" t="s">
        <v>49</v>
      </c>
    </row>
    <row r="6" spans="1:7">
      <c r="C6" s="1" t="s">
        <v>25</v>
      </c>
      <c r="G6" s="1" t="s">
        <v>50</v>
      </c>
    </row>
    <row r="7" spans="1:7">
      <c r="C7" s="1" t="s">
        <v>36</v>
      </c>
      <c r="G7" s="1" t="s">
        <v>51</v>
      </c>
    </row>
    <row r="8" spans="1:7">
      <c r="C8" s="1" t="s">
        <v>23</v>
      </c>
      <c r="G8" s="1" t="s">
        <v>52</v>
      </c>
    </row>
    <row r="9" spans="1:7">
      <c r="C9" s="1" t="s">
        <v>27</v>
      </c>
      <c r="G9" s="1" t="s">
        <v>53</v>
      </c>
    </row>
    <row r="10" spans="1:7">
      <c r="C10" s="1" t="s">
        <v>37</v>
      </c>
      <c r="G10" s="1" t="s">
        <v>54</v>
      </c>
    </row>
    <row r="11" spans="1:7">
      <c r="C11" s="1" t="s">
        <v>38</v>
      </c>
      <c r="G11" s="1" t="s">
        <v>55</v>
      </c>
    </row>
    <row r="12" spans="1:7">
      <c r="C12" s="1" t="s">
        <v>44</v>
      </c>
      <c r="G12" s="1" t="s">
        <v>56</v>
      </c>
    </row>
    <row r="13" spans="1:7">
      <c r="C13" s="1" t="s">
        <v>39</v>
      </c>
      <c r="G13" s="1" t="s">
        <v>57</v>
      </c>
    </row>
    <row r="14" spans="1:7">
      <c r="C14" s="1" t="s">
        <v>30</v>
      </c>
      <c r="G14" s="1" t="s">
        <v>58</v>
      </c>
    </row>
    <row r="15" spans="1:7">
      <c r="C15" s="1" t="s">
        <v>31</v>
      </c>
      <c r="G15" s="1" t="s">
        <v>59</v>
      </c>
    </row>
    <row r="16" spans="1:7">
      <c r="C16" s="1" t="s">
        <v>28</v>
      </c>
      <c r="G16" s="1" t="s">
        <v>60</v>
      </c>
    </row>
    <row r="17" spans="3:7">
      <c r="C17" s="1" t="s">
        <v>43</v>
      </c>
      <c r="G17" s="1" t="s">
        <v>61</v>
      </c>
    </row>
    <row r="18" spans="3:7">
      <c r="C18" s="1" t="s">
        <v>29</v>
      </c>
      <c r="G18" s="1" t="s">
        <v>62</v>
      </c>
    </row>
    <row r="19" spans="3:7">
      <c r="C19" s="1" t="s">
        <v>40</v>
      </c>
      <c r="G19" s="1" t="s">
        <v>63</v>
      </c>
    </row>
    <row r="20" spans="3:7">
      <c r="C20" s="1" t="s">
        <v>41</v>
      </c>
      <c r="G20" s="1" t="s">
        <v>64</v>
      </c>
    </row>
    <row r="21" spans="3:7">
      <c r="C21" s="1" t="s">
        <v>32</v>
      </c>
      <c r="G21" s="1" t="s">
        <v>65</v>
      </c>
    </row>
    <row r="22" spans="3:7">
      <c r="G22" s="1" t="s">
        <v>66</v>
      </c>
    </row>
    <row r="23" spans="3:7">
      <c r="G23" s="1" t="s">
        <v>67</v>
      </c>
    </row>
    <row r="24" spans="3:7">
      <c r="G24" s="1" t="s">
        <v>68</v>
      </c>
    </row>
    <row r="25" spans="3:7">
      <c r="G25" s="1" t="s">
        <v>69</v>
      </c>
    </row>
    <row r="26" spans="3:7">
      <c r="G26" s="1" t="s">
        <v>70</v>
      </c>
    </row>
    <row r="27" spans="3:7">
      <c r="G27" s="1" t="s">
        <v>71</v>
      </c>
    </row>
    <row r="28" spans="3:7">
      <c r="G28" s="1" t="s">
        <v>72</v>
      </c>
    </row>
    <row r="29" spans="3:7">
      <c r="G29" s="1" t="s">
        <v>73</v>
      </c>
    </row>
    <row r="30" spans="3:7">
      <c r="G30" s="1" t="s">
        <v>74</v>
      </c>
    </row>
    <row r="31" spans="3:7">
      <c r="G31" s="1" t="s">
        <v>75</v>
      </c>
    </row>
    <row r="32" spans="3:7">
      <c r="G32" s="1" t="s">
        <v>76</v>
      </c>
    </row>
    <row r="33" spans="7:7">
      <c r="G33" s="1" t="s">
        <v>77</v>
      </c>
    </row>
    <row r="34" spans="7:7">
      <c r="G34" s="1" t="s">
        <v>78</v>
      </c>
    </row>
    <row r="35" spans="7:7">
      <c r="G35" s="1" t="s">
        <v>79</v>
      </c>
    </row>
    <row r="36" spans="7:7">
      <c r="G36" s="1" t="s">
        <v>80</v>
      </c>
    </row>
    <row r="37" spans="7:7">
      <c r="G37" s="1" t="s">
        <v>81</v>
      </c>
    </row>
    <row r="38" spans="7:7">
      <c r="G38" s="1" t="s">
        <v>82</v>
      </c>
    </row>
    <row r="39" spans="7:7">
      <c r="G39" s="1" t="s">
        <v>83</v>
      </c>
    </row>
    <row r="40" spans="7:7">
      <c r="G40" s="1" t="s">
        <v>84</v>
      </c>
    </row>
    <row r="41" spans="7:7">
      <c r="G41" s="1" t="s">
        <v>85</v>
      </c>
    </row>
    <row r="42" spans="7:7">
      <c r="G42" s="1" t="s">
        <v>86</v>
      </c>
    </row>
    <row r="43" spans="7:7">
      <c r="G43" s="1" t="s">
        <v>87</v>
      </c>
    </row>
    <row r="44" spans="7:7">
      <c r="G44" s="1" t="s">
        <v>88</v>
      </c>
    </row>
    <row r="45" spans="7:7">
      <c r="G45" s="1" t="s">
        <v>89</v>
      </c>
    </row>
    <row r="46" spans="7:7">
      <c r="G46" s="1" t="s">
        <v>90</v>
      </c>
    </row>
    <row r="47" spans="7:7">
      <c r="G47" s="1" t="s">
        <v>91</v>
      </c>
    </row>
    <row r="48" spans="7:7">
      <c r="G48" s="1" t="s">
        <v>92</v>
      </c>
    </row>
    <row r="49" spans="7:7">
      <c r="G49" s="1" t="s">
        <v>93</v>
      </c>
    </row>
    <row r="50" spans="7:7">
      <c r="G50" s="1" t="s">
        <v>94</v>
      </c>
    </row>
    <row r="51" spans="7:7">
      <c r="G51" s="1" t="s">
        <v>95</v>
      </c>
    </row>
    <row r="52" spans="7:7">
      <c r="G52" s="1" t="s">
        <v>96</v>
      </c>
    </row>
    <row r="53" spans="7:7">
      <c r="G53" s="1" t="s">
        <v>97</v>
      </c>
    </row>
    <row r="54" spans="7:7">
      <c r="G54" s="1" t="s">
        <v>98</v>
      </c>
    </row>
    <row r="55" spans="7:7">
      <c r="G55" s="1" t="s">
        <v>99</v>
      </c>
    </row>
    <row r="56" spans="7:7">
      <c r="G56" s="1" t="s">
        <v>100</v>
      </c>
    </row>
    <row r="57" spans="7:7">
      <c r="G57" s="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NOLDEN Nancy</cp:lastModifiedBy>
  <cp:lastPrinted>2018-09-13T16:04:18Z</cp:lastPrinted>
  <dcterms:created xsi:type="dcterms:W3CDTF">2018-09-10T17:18:27Z</dcterms:created>
  <dcterms:modified xsi:type="dcterms:W3CDTF">2025-05-09T17:47:21Z</dcterms:modified>
</cp:coreProperties>
</file>