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D:\Apple-ok\equipment RFI 2025\"/>
    </mc:Choice>
  </mc:AlternateContent>
  <xr:revisionPtr revIDLastSave="0" documentId="13_ncr:1_{DE3B4BA9-3020-4EFE-8EE4-929A7E476647}" xr6:coauthVersionLast="36" xr6:coauthVersionMax="36"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0" yWindow="0" windowWidth="23040" windowHeight="9000" tabRatio="929" activeTab="3"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 i="19" l="1"/>
  <c r="E11" i="19"/>
  <c r="I16" i="20" l="1"/>
  <c r="H16" i="20"/>
  <c r="G16" i="20"/>
  <c r="F16" i="20"/>
  <c r="E16" i="20"/>
  <c r="D16" i="20"/>
  <c r="C16" i="20"/>
</calcChain>
</file>

<file path=xl/sharedStrings.xml><?xml version="1.0" encoding="utf-8"?>
<sst xmlns="http://schemas.openxmlformats.org/spreadsheetml/2006/main" count="625" uniqueCount="454">
  <si>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</si>
  <si>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</si>
  <si>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</si>
  <si>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</si>
  <si>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</si>
  <si>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</si>
  <si>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</si>
  <si>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</si>
  <si>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</si>
  <si>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</si>
  <si>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</si>
  <si>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</si>
  <si>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</si>
  <si>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</si>
  <si>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</si>
  <si>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</si>
  <si>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</si>
  <si>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</si>
  <si>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</si>
  <si>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</si>
  <si>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</si>
  <si>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</si>
  <si>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</si>
  <si>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</si>
  <si>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</si>
  <si>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</si>
  <si>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</si>
  <si>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</si>
  <si>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</si>
  <si>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</si>
  <si>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</si>
  <si>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</si>
  <si>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</si>
  <si>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</si>
  <si>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</si>
  <si>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</si>
  <si>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</si>
  <si>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</si>
  <si>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</si>
  <si>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</si>
  <si>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</si>
  <si>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</si>
  <si>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</si>
  <si>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</si>
  <si>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</si>
  <si>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</si>
  <si>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</si>
  <si>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</si>
  <si>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</si>
  <si>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</si>
  <si>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</si>
  <si>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</si>
  <si>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</si>
  <si>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</si>
  <si>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</si>
  <si>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</si>
  <si>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</si>
  <si>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</si>
  <si>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</si>
  <si>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</si>
  <si>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</si>
  <si>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</si>
  <si>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</si>
  <si>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</si>
  <si>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</si>
  <si>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</si>
  <si>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</si>
  <si>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</si>
  <si>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</si>
  <si>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</si>
  <si>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</si>
  <si>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</si>
  <si>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</si>
  <si>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</si>
  <si>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</si>
  <si>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</si>
  <si>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</si>
  <si>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</si>
  <si>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</si>
  <si>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</si>
  <si>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</si>
  <si>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</si>
  <si>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</si>
  <si>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</si>
  <si>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</si>
  <si>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</si>
  <si>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</si>
  <si>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</si>
  <si>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</si>
  <si>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</si>
  <si>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</si>
  <si>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</si>
  <si>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</si>
  <si>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</si>
  <si>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</si>
  <si>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</si>
  <si>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</si>
  <si>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</si>
  <si>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</si>
  <si>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</si>
  <si>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</si>
  <si>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</si>
  <si>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</si>
  <si>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</si>
  <si>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</si>
  <si>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</si>
  <si>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</si>
  <si>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</si>
  <si>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</si>
  <si>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</si>
  <si>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</si>
  <si>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</si>
  <si>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</si>
  <si>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</si>
  <si>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</si>
  <si>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</si>
  <si>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</si>
  <si>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</si>
  <si>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</si>
  <si>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</si>
  <si>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</si>
  <si>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</si>
  <si>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</si>
  <si>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</si>
  <si>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</si>
  <si>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</si>
  <si>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</si>
  <si>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</si>
  <si>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</si>
  <si>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</si>
  <si>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</si>
  <si>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</si>
  <si>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</si>
  <si>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</si>
  <si>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</si>
  <si>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</si>
  <si>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</si>
  <si>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</si>
  <si>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</si>
  <si>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</si>
  <si>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</si>
  <si>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</si>
  <si>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</si>
  <si>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</si>
  <si>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</si>
  <si>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</si>
  <si>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</si>
  <si>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</si>
  <si>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</si>
  <si>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</si>
  <si>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</si>
  <si>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</si>
  <si>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</si>
  <si>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</si>
  <si>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</si>
  <si>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</si>
  <si>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</si>
  <si>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</si>
  <si>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</si>
  <si>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</si>
  <si>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</si>
  <si>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</si>
  <si>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</si>
  <si>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</si>
  <si>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</si>
  <si>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</si>
  <si>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</si>
  <si>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</si>
  <si>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</si>
  <si>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</si>
  <si>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</si>
  <si>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</si>
  <si>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</si>
  <si>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</si>
  <si>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</si>
  <si>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</si>
  <si>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</si>
  <si>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</si>
  <si>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</si>
  <si>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</si>
  <si>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</si>
  <si>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</si>
  <si>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</si>
  <si>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</si>
  <si>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</si>
  <si>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</si>
  <si>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</si>
  <si>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</si>
  <si>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</si>
  <si>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</si>
  <si>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</si>
  <si>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</si>
  <si>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</si>
  <si>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</si>
  <si>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</si>
  <si>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</si>
  <si>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</si>
  <si>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</si>
  <si>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</si>
  <si>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</si>
  <si>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</si>
  <si>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</si>
  <si>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</si>
  <si>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</si>
  <si>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</si>
  <si>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</si>
  <si>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</si>
  <si>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</si>
  <si>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</si>
  <si>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</si>
  <si>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</si>
  <si>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</si>
  <si>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</si>
  <si>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</si>
  <si>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</si>
  <si>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</si>
  <si>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</si>
  <si>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</si>
  <si>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</si>
  <si>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</si>
  <si>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</si>
  <si>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</si>
  <si>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</si>
  <si>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</si>
  <si>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</si>
  <si>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</si>
  <si>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</si>
  <si>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</si>
  <si>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</si>
  <si>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</si>
  <si>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</si>
  <si>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</si>
  <si>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</si>
  <si>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</si>
  <si>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</si>
  <si>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</si>
  <si>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</si>
  <si>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</si>
  <si>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</si>
  <si>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</si>
  <si>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</si>
  <si>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</si>
  <si>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</si>
  <si>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</si>
  <si>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</si>
  <si>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</si>
  <si>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</si>
  <si>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</si>
  <si>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</si>
  <si>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</si>
  <si>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</si>
  <si>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</si>
  <si>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</si>
  <si>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</si>
  <si>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</si>
  <si>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</si>
  <si>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</si>
  <si>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</si>
  <si>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</si>
  <si>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</si>
  <si>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</si>
  <si>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</si>
  <si>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</si>
  <si>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</si>
  <si>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</si>
  <si>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</si>
  <si>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</si>
  <si>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</si>
  <si>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</si>
  <si>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</si>
  <si>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</si>
  <si>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</si>
  <si>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</si>
  <si>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</si>
  <si>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</si>
  <si>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</si>
  <si>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</si>
  <si>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</si>
  <si>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</si>
  <si>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</si>
  <si>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</si>
  <si>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</si>
  <si>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</si>
  <si>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</si>
  <si>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</si>
  <si>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</si>
  <si>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</si>
  <si>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</si>
  <si>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</si>
  <si>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</si>
  <si>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</si>
  <si>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</si>
  <si>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</si>
  <si>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</si>
  <si>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</si>
  <si>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</si>
  <si>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</si>
  <si>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</si>
  <si>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</si>
  <si>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</si>
  <si>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</si>
  <si>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</si>
  <si>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</si>
  <si>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</si>
  <si>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</si>
  <si>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</si>
  <si>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</si>
  <si>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</si>
  <si>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</si>
  <si>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</si>
  <si>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</si>
  <si>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</si>
  <si>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</si>
  <si>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</si>
  <si>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</si>
  <si>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</si>
  <si>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</si>
  <si>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</si>
  <si>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</si>
  <si>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</si>
  <si>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Delta Thailand</t>
    <phoneticPr fontId="30" type="noConversion"/>
  </si>
  <si>
    <t>Delta China</t>
    <phoneticPr fontId="30" type="noConversion"/>
  </si>
  <si>
    <t>Delta India</t>
    <phoneticPr fontId="30" type="noConversion"/>
  </si>
  <si>
    <t>Delta Taiwan</t>
    <phoneticPr fontId="30" type="noConversion"/>
  </si>
  <si>
    <t>High</t>
  </si>
  <si>
    <t>Yes</t>
    <phoneticPr fontId="30" type="noConversion"/>
  </si>
  <si>
    <t>No</t>
    <phoneticPr fontId="30" type="noConversion"/>
  </si>
  <si>
    <t>Assembly</t>
    <phoneticPr fontId="30" type="noConversion"/>
  </si>
  <si>
    <t>AOI</t>
    <phoneticPr fontId="30" type="noConversion"/>
  </si>
  <si>
    <t>Bangkok/Thailand</t>
    <phoneticPr fontId="30" type="noConversion"/>
  </si>
  <si>
    <t>Gurgaon/India</t>
    <phoneticPr fontId="30" type="noConversion"/>
  </si>
  <si>
    <t>Taoyaun/Taiwan</t>
    <phoneticPr fontId="30" type="noConversion"/>
  </si>
  <si>
    <t xml:space="preserve">DG Plant : Dongduan/China
WJ Plant : Wujiang </t>
    <phoneticPr fontId="30" type="noConversion"/>
  </si>
  <si>
    <t>DG Plant : Delta Industrial,Shijie 
Town,Dongguan City, Guangdong
                Province, P.R.C.        
WJ Plant : 215200, No.1688, Jingxing
East Road,Wujiang Economy Development
 Zone, Wujiang City,Jiangsu Province, P.R.C.</t>
    <phoneticPr fontId="30" type="noConversion"/>
  </si>
  <si>
    <t>HM39+3QJ, Soi E-7, Phraeksa, Mueang Samut Prakan District, Samut Prakan 10280 Thailand</t>
    <phoneticPr fontId="30" type="noConversion"/>
  </si>
  <si>
    <t>HSIIDC, plot no 43, Sector 35, Gurugram, Haryana 122001 India</t>
    <phoneticPr fontId="30" type="noConversion"/>
  </si>
  <si>
    <t>No. 5, Ziqiang 1st Rd., Zhongli Dist., Taoyuan City 320023, Taiwan (R.O.C.)</t>
    <phoneticPr fontId="30" type="noConversion"/>
  </si>
  <si>
    <t>Dispense, Pick and place,Assembly, Test, Winding, AOI</t>
    <phoneticPr fontId="30" type="noConversion"/>
  </si>
  <si>
    <t>Dispense, Pick and place,Assembly, Test</t>
    <phoneticPr fontId="30" type="noConversion"/>
  </si>
  <si>
    <t>Medium</t>
  </si>
  <si>
    <t>Low</t>
  </si>
  <si>
    <t>Inductor Assembly line</t>
    <phoneticPr fontId="30" type="noConversion"/>
  </si>
  <si>
    <t>Line Management</t>
    <phoneticPr fontId="30" type="noConversion"/>
  </si>
  <si>
    <t>Passive Compontent Bending Fixture</t>
    <phoneticPr fontId="30" type="noConversion"/>
  </si>
  <si>
    <t>FIPG Gluing MC/ Alignment and AOI</t>
    <phoneticPr fontId="30" type="noConversion"/>
  </si>
  <si>
    <t>Fan Assembly/Winding</t>
    <phoneticPr fontId="30" type="noConversion"/>
  </si>
  <si>
    <t>AMD Button Test MC/ Alignment Position</t>
    <phoneticPr fontId="30" type="noConversion"/>
  </si>
  <si>
    <t>Servo Press/ Quick Response</t>
    <phoneticPr fontId="30" type="noConversion"/>
  </si>
  <si>
    <t>Fan Acoustic Test MC/ AI</t>
    <phoneticPr fontId="30" type="noConversion"/>
  </si>
  <si>
    <t>Wafer Inspection MC,Panel InspectionMC/ AI,Lighting,Image Processing</t>
    <phoneticPr fontId="30" type="noConversion"/>
  </si>
  <si>
    <t>Fan Dimension Measurement/ 3 D Shape fitting</t>
    <phoneticPr fontId="30" type="noConversion"/>
  </si>
  <si>
    <t>Chip Inspection MC /Segmentation,LLM</t>
    <phoneticPr fontId="30" type="noConversion"/>
  </si>
  <si>
    <t>X ray Inspection MC, Wafer Micro Crack Inspection MC/ Tomography, 3D  Reconstruction</t>
    <phoneticPr fontId="30" type="noConversion"/>
  </si>
  <si>
    <t>Automotive Head Light driver Assembly &amp; Test Line</t>
    <phoneticPr fontId="30" type="noConversion"/>
  </si>
  <si>
    <t>Yes, we will expand India factory and add Slovakia factory.</t>
    <phoneticPr fontId="30" type="noConversion"/>
  </si>
  <si>
    <t>Seimonductor + Precision Automation</t>
  </si>
  <si>
    <t>Fuzion, FuzionSC, Uflex &amp; Flexbond</t>
  </si>
  <si>
    <t>3 to 6 months</t>
  </si>
  <si>
    <t>US Brand, Platform concept with high accuracy and flexibility</t>
  </si>
  <si>
    <t>2016 ~ 2018 starts keyboard, phone, watch and portable multi projects</t>
  </si>
  <si>
    <t xml:space="preserve">Google, Nvidia, Amazon, Intel, tsmc, ASE, Amkor, Foxconn, Celestica, Fabrinate </t>
  </si>
  <si>
    <t>Venus Zhou &lt;zhouv@apple.com&gt;; Sonakshi Malhotra &lt;sonakshi_malhotra@apple.com&gt;; Shelley Meredith-Carpeni &lt;smeredithcarpeni@apple.com&gt;;Roger Weng &lt;roger_weng@apple.com&gt;; Tony Tao &lt;tony_tao2@apple.com&gt;;Za;Eva (Finance) Xu &lt;eva_xu@apple.com&gt;chary Yin &lt;yin_zachary@apple.com&gt;; Feng Zhigang &lt;zhigang_feng@apple.com&gt;;Sarah Guo &lt;sarah_guo@apple.com&gt;; serina_hu@apple.com; Apple-Kun James &lt;jqin24@apple.com&gt;;Brenda Zelaya bzelaya@apple.com; Eva (Finance) Xu &lt;eva_xu@apple.com&gt;</t>
  </si>
  <si>
    <t>Venus Zhou &lt;zhouv@apple.com&gt;; Sonakshi Malhotra &lt;sonakshi_malhotra@apple.com&gt;; Shelley Meredith-Carpeni &lt;smeredithcarpeni@apple.com&gt;;Roger Weng &lt;roger_weng@apple.com&gt;; Tony Tao &lt;tony_tao2@apple.com&gt;;Zachary Yin &lt;yin_zachary@apple.com&gt;; Feng Zhigang &lt;zhigang_feng@apple.com&gt;;Sarah Guo &lt;sarah_guo@apple.com&gt;; serina_hu@apple.com; Apple-Kun James &lt;jqin24@apple.com&gt;;Brenda Zelaya bzelaya@apple.com; Eva (Finance) Xu &lt;eva_xu@apple.com&gt;</t>
  </si>
  <si>
    <t>CANADA</t>
  </si>
  <si>
    <t>LATAM</t>
  </si>
  <si>
    <t>ASIA (CHINA)</t>
  </si>
  <si>
    <t>SEA (THAILANDIA/INDIA)</t>
  </si>
  <si>
    <t>EUROPE</t>
  </si>
  <si>
    <t>USA, 1</t>
    <phoneticPr fontId="30" type="noConversion"/>
  </si>
  <si>
    <t>Canada, 1</t>
    <phoneticPr fontId="30" type="noConversion"/>
  </si>
  <si>
    <r>
      <t xml:space="preserve">Mexico, </t>
    </r>
    <r>
      <rPr>
        <sz val="12"/>
        <color theme="1"/>
        <rFont val="Calibri"/>
        <family val="2"/>
      </rPr>
      <t>Brazil, 2</t>
    </r>
  </si>
  <si>
    <t>China, Janpan, Korean, Vietnam &amp; Taiwan, 5</t>
    <phoneticPr fontId="30" type="noConversion"/>
  </si>
  <si>
    <t>India, Thailand, Malaysia, Philippines, Signapore, 5</t>
    <phoneticPr fontId="30" type="noConversion"/>
  </si>
  <si>
    <t>EMEA, UK, 2</t>
    <phoneticPr fontId="30" type="noConversion"/>
  </si>
  <si>
    <t>UIC(Universal Instruments Corporation)</t>
    <phoneticPr fontId="30" type="noConversion"/>
  </si>
  <si>
    <t>CONKLIN, NY USA</t>
  </si>
  <si>
    <t>33 Broome Corporate Parkway
Conklin, NY 13748 | USA</t>
  </si>
  <si>
    <t xml:space="preserve">Phone, Watch, Portable &amp; Keyboard
</t>
    <phoneticPr fontId="30" type="noConversion"/>
  </si>
  <si>
    <t>CPP Pick &amp; Place
CHBS Hot Bar
Precision Bonder</t>
    <phoneticPr fontId="30" type="noConversion"/>
  </si>
  <si>
    <t xml:space="preserve">Pick &amp; Place
Die attached
Advance Packaging  Assebly
Through-Hole insertion
Automation solution
Dispense / screw draving
Advance Process Lab
</t>
  </si>
  <si>
    <t>WW</t>
  </si>
  <si>
    <t>Delta Electronics, Inc.</t>
  </si>
  <si>
    <t>Neihu, Taiwan</t>
  </si>
  <si>
    <t>2016(for equipment)</t>
    <phoneticPr fontId="30" type="noConversion"/>
  </si>
  <si>
    <t>Public</t>
    <phoneticPr fontId="30" type="noConversion"/>
  </si>
  <si>
    <t>electroincs manufacturing</t>
    <phoneticPr fontId="30" type="noConversion"/>
  </si>
  <si>
    <t>Lester Chao/ Andy Sun</t>
    <phoneticPr fontId="30" type="noConversion"/>
  </si>
  <si>
    <t>LESTER.CHAO@deltaww.com/ANDY.SUN@deltaww.com</t>
    <phoneticPr fontId="30" type="noConversion"/>
  </si>
  <si>
    <t>Paul Lin</t>
    <phoneticPr fontId="30" type="noConversion"/>
  </si>
  <si>
    <t>Marian Tzeng</t>
    <phoneticPr fontId="30" type="noConversion"/>
  </si>
  <si>
    <t>Vincent Lin</t>
    <phoneticPr fontId="30" type="noConversion"/>
  </si>
  <si>
    <t>Aaron Chang</t>
    <phoneticPr fontId="30" type="noConversion"/>
  </si>
  <si>
    <t>George Hwang</t>
    <phoneticPr fontId="30" type="noConversion"/>
  </si>
  <si>
    <t>Alan Chiu</t>
    <phoneticPr fontId="30" type="noConversion"/>
  </si>
  <si>
    <t>Ping Cheng</t>
    <phoneticPr fontId="30" type="noConversion"/>
  </si>
  <si>
    <t>CEO</t>
    <phoneticPr fontId="30" type="noConversion"/>
  </si>
  <si>
    <t>Taiwan</t>
    <phoneticPr fontId="30" type="noConversion"/>
  </si>
  <si>
    <t>GM of Manufacturing</t>
    <phoneticPr fontId="30" type="noConversion"/>
  </si>
  <si>
    <t>Plant Manager</t>
    <phoneticPr fontId="30" type="noConversion"/>
  </si>
  <si>
    <t xml:space="preserve"> TQRDC is our core supplier chain developing direction. Currently we are also working on localization and multiple sources. </t>
    <phoneticPr fontId="30" type="noConversion"/>
  </si>
  <si>
    <r>
      <t>IQC</t>
    </r>
    <r>
      <rPr>
        <sz val="14"/>
        <rFont val="微軟正黑體"/>
        <family val="2"/>
        <charset val="136"/>
      </rPr>
      <t>：</t>
    </r>
    <r>
      <rPr>
        <sz val="14"/>
        <rFont val="Calibri"/>
        <family val="2"/>
      </rPr>
      <t>Material inspection is carried out according to ANSI/ASQ Z1.4-2008 sampling plan. If the material is determined to be unqualified, it will be handled according to the MRB process. If the MRB determines that the material is a return, a return label will be affixed and the material will be isolated until returning. If the material is determined to be a special purchase ones, a special purchase label will be affixed for identification.
IPQC &amp; OQC</t>
    </r>
    <r>
      <rPr>
        <sz val="14"/>
        <rFont val="微軟正黑體"/>
        <family val="2"/>
        <charset val="136"/>
      </rPr>
      <t>：</t>
    </r>
    <r>
      <rPr>
        <sz val="14"/>
        <rFont val="Calibri"/>
        <family val="2"/>
      </rPr>
      <t>The production process of automation factory generally includes assembly, adjustment and FQC. During the assembly and adjustment stations, manufacturing operators would use the self-inspection checklists to confirm after completing the work. Furthermore, Quality engineers would use the 6T and FQC checklist to double-confirm the quality during the FQC stage. Only the machine product that meet all the requirements can be put into storage and shipment. If not, corrected actions must be made or receiving the permission for the deviation from customer.</t>
    </r>
    <phoneticPr fontId="30" type="noConversion"/>
  </si>
  <si>
    <t>SAP, PLM, OA, EC (E-Procurement), Supply Portal and Smart Warehouse system are all adopted in Delta AMBU.</t>
    <phoneticPr fontId="30" type="noConversion"/>
  </si>
  <si>
    <t>Multiple source is available here in Delta AMBU for all key components. And with Delta Group’s support, AMBU can have completed supplier list for any emergency case.</t>
    <phoneticPr fontId="30" type="noConversion"/>
  </si>
  <si>
    <t>same</t>
    <phoneticPr fontId="30" type="noConversion"/>
  </si>
  <si>
    <t>https://www.deltaww.com/en-US/index</t>
    <phoneticPr fontId="30" type="noConversion"/>
  </si>
  <si>
    <t>Business Finanace Manager</t>
    <phoneticPr fontId="30" type="noConversion"/>
  </si>
  <si>
    <t>Global Key Account Manager/ Senior Director of Global Sales &amp; Marketing</t>
    <phoneticPr fontId="30" type="noConversion"/>
  </si>
  <si>
    <t>Director of Central Procurement</t>
    <phoneticPr fontId="30" type="noConversion"/>
  </si>
  <si>
    <t>Senior Director of Automation Solutions of AMBU</t>
    <phoneticPr fontId="30" type="noConversion"/>
  </si>
  <si>
    <t>GM of Advanced Manufacturing Business Unit(AMBU)</t>
    <phoneticPr fontId="30" type="noConversion"/>
  </si>
  <si>
    <t>VINCENT.CM.LIN@deltaww.com</t>
    <phoneticPr fontId="30" type="noConversion"/>
  </si>
  <si>
    <t>GEORGE.HWANG@deltaww.com</t>
  </si>
  <si>
    <t>IABG</t>
    <phoneticPr fontId="30" type="noConversion"/>
  </si>
  <si>
    <t>No 18, Xinglong Rd.,Taoyuan City, Taiwan</t>
    <phoneticPr fontId="30" type="noConversion"/>
  </si>
  <si>
    <t>Taoyuan, Taiwan</t>
    <phoneticPr fontId="30" type="noConversion"/>
  </si>
  <si>
    <t>No</t>
    <phoneticPr fontId="30" type="noConversion"/>
  </si>
  <si>
    <t>In house expertise of electronics manufacutring</t>
    <phoneticPr fontId="30" type="noConversion"/>
  </si>
  <si>
    <t>alignment; glue inspection with AOI</t>
    <phoneticPr fontId="30" type="noConversion"/>
  </si>
  <si>
    <t>winding</t>
    <phoneticPr fontId="30" type="noConversion"/>
  </si>
  <si>
    <t>Alingment</t>
    <phoneticPr fontId="30" type="noConversion"/>
  </si>
  <si>
    <t>Quick response</t>
    <phoneticPr fontId="30" type="noConversion"/>
  </si>
  <si>
    <t>AI</t>
    <phoneticPr fontId="30" type="noConversion"/>
  </si>
  <si>
    <t>since 2017</t>
    <phoneticPr fontId="30" type="noConversion"/>
  </si>
  <si>
    <t>since 2018, accumlulative QTY to be more than 700 sets</t>
    <phoneticPr fontId="30" type="noConversion"/>
  </si>
  <si>
    <t xml:space="preserve">since 1998, accumlulative QTY to be more than 20000 sets </t>
    <phoneticPr fontId="30" type="noConversion"/>
  </si>
  <si>
    <t xml:space="preserve">since 2018, accumlulative QTY to be more than 300 sets </t>
    <phoneticPr fontId="30" type="noConversion"/>
  </si>
  <si>
    <t>since 2020</t>
    <phoneticPr fontId="30" type="noConversion"/>
  </si>
  <si>
    <t xml:space="preserve">since 2009, accumlulative QTY to be more than 1000 sets </t>
    <phoneticPr fontId="30" type="noConversion"/>
  </si>
  <si>
    <t>since 2019</t>
    <phoneticPr fontId="30" type="noConversion"/>
  </si>
  <si>
    <t>since 2009</t>
    <phoneticPr fontId="30" type="noConversion"/>
  </si>
  <si>
    <t xml:space="preserve">since 2022, accumlulative QTY to be more than 200 sets </t>
    <phoneticPr fontId="30" type="noConversion"/>
  </si>
  <si>
    <t>Delta Electroincs Inc. ; Top automotive electroincs maker in Taiwan( company name starts with L)</t>
    <phoneticPr fontId="30" type="noConversion"/>
  </si>
  <si>
    <t>Global top 8 EMS(company name starts with I); Top 3C brand( Brand starts with A)</t>
    <phoneticPr fontId="30" type="noConversion"/>
  </si>
  <si>
    <t>Cyntec</t>
    <phoneticPr fontId="30" type="noConversion"/>
  </si>
  <si>
    <t>Y2016, AOI inspection machine for Apple choke</t>
    <phoneticPr fontId="30" type="noConversion"/>
  </si>
  <si>
    <t>Y2016, AOI inspection machine for Apple choke, accumulative aroudn 30M</t>
    <phoneticPr fontId="30" type="noConversion"/>
  </si>
  <si>
    <t>Cyntec(for Apple); Global top DC brushless motor maker in Japan( company name starts with M)</t>
    <phoneticPr fontId="30" type="noConversion"/>
  </si>
  <si>
    <t>5 mouths</t>
    <phoneticPr fontId="30" type="noConversion"/>
  </si>
  <si>
    <t>3 months</t>
    <phoneticPr fontId="30" type="noConversion"/>
  </si>
  <si>
    <t>4 months</t>
    <phoneticPr fontId="30" type="noConversion"/>
  </si>
  <si>
    <t>1 months</t>
    <phoneticPr fontId="30" type="noConversion"/>
  </si>
  <si>
    <t>3.5 months</t>
    <phoneticPr fontId="30" type="noConversion"/>
  </si>
  <si>
    <t>AI,Lighting,Image Processing</t>
  </si>
  <si>
    <t>Tomography, 3D  Reconstruction</t>
  </si>
  <si>
    <t>3 D Shape fitting</t>
  </si>
  <si>
    <t>Segmentation,LLM</t>
  </si>
  <si>
    <t>speed and accuracy</t>
    <phoneticPr fontId="30" type="noConversion"/>
  </si>
  <si>
    <t>Delta Electroincis Inc, FMBG(global number one fan provider)</t>
    <phoneticPr fontId="30" type="noConversion"/>
  </si>
  <si>
    <t>Laser marking MC/  alignment and positioning</t>
    <phoneticPr fontId="30" type="noConversion"/>
  </si>
  <si>
    <t>In house expertise of electronics manufacutring; In house development and manufacturered products for machines</t>
    <phoneticPr fontId="30" type="noConversion"/>
  </si>
  <si>
    <t>off-the-shelf transmission parts&gt; 10M; Delta branded part &gt;10M; off-the-shelf optical parts &gt; 10M</t>
    <phoneticPr fontId="30" type="noConversion"/>
  </si>
  <si>
    <t>Assembly,In spection</t>
    <phoneticPr fontId="30" type="noConversion"/>
  </si>
  <si>
    <t>Dispens, Assembly, Test, Inspection</t>
    <phoneticPr fontId="30" type="noConversion"/>
  </si>
  <si>
    <t>Japan, Taiwan, China brands. off-the-shelf transmission parts&gt; 10M; Delta branded part &gt;10M; off-the-shelf optical parts &gt; 10M</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</si>
</sst>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409]* #,##0_ ;_-[$$-409]* \-#,##0\ ;_-[$$-409]* &quot;-&quot;??_ ;_-@_ "/>
    <numFmt numFmtId="177" formatCode="_-[$$-409]* #,##0.00_ ;_-[$$-409]* \-#,##0.00\ ;_-[$$-409]* &quot;-&quot;_ ;_-@_ "/>
    <numFmt numFmtId="178" formatCode="m&quot;月&quot;d&quot;日&quot;"/>
  </numFmts>
  <fonts count="33">
    <font>
      <sz val="12"/>
      <color theme="1"/>
      <name val="新細明體"/>
      <family val="2"/>
      <scheme val="minor"/>
    </font>
    <font>
      <sz val="12"/>
      <color theme="1"/>
      <name val="新細明體"/>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新細明體"/>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新細明體"/>
      <family val="2"/>
      <scheme val="minor"/>
    </font>
    <font>
      <b/>
      <u/>
      <sz val="12"/>
      <color theme="1"/>
      <name val="新細明體"/>
      <family val="2"/>
      <scheme val="minor"/>
    </font>
    <font>
      <sz val="14"/>
      <name val="Helvetica Neue"/>
      <family val="2"/>
    </font>
    <font>
      <sz val="12"/>
      <name val="Helvetica Neue"/>
      <family val="2"/>
    </font>
    <font>
      <b/>
      <u/>
      <sz val="14"/>
      <color theme="1"/>
      <name val="Helvetica Neue"/>
      <family val="2"/>
    </font>
    <font>
      <sz val="9"/>
      <name val="新細明體"/>
      <family val="3"/>
      <charset val="136"/>
      <scheme val="minor"/>
    </font>
    <font>
      <sz val="12"/>
      <color theme="1"/>
      <name val="Calibri"/>
      <family val="2"/>
    </font>
    <font>
      <sz val="14"/>
      <name val="微軟正黑體"/>
      <family val="2"/>
      <charset val="136"/>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8" fillId="0" borderId="0" applyNumberFormat="0" applyFill="0" applyBorder="0" applyAlignment="0" applyProtection="0"/>
    <xf numFmtId="41" fontId="1" fillId="0" borderId="0" applyFont="0" applyFill="0" applyBorder="0" applyAlignment="0" applyProtection="0">
      <alignment vertical="center"/>
    </xf>
  </cellStyleXfs>
  <cellXfs count="7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1"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1"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0" fontId="12" fillId="5" borderId="1" xfId="0" applyFont="1" applyFill="1" applyBorder="1" applyAlignment="1" applyProtection="1">
      <alignment horizontal="center" vertical="center" wrapText="1"/>
      <protection locked="0"/>
    </xf>
    <xf numFmtId="176" fontId="10" fillId="0" borderId="0" xfId="0" applyNumberFormat="1" applyFont="1" applyAlignment="1">
      <alignment horizontal="center" vertical="center"/>
    </xf>
    <xf numFmtId="0" fontId="8" fillId="5" borderId="1" xfId="2"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2"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2"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1" applyFont="1" applyFill="1" applyBorder="1" applyAlignment="1">
      <alignment horizontal="left" vertical="top" wrapText="1" indent="1"/>
    </xf>
    <xf numFmtId="0" fontId="15" fillId="4" borderId="1" xfId="1"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5" fillId="0" borderId="0" xfId="0" applyFont="1" applyAlignment="1">
      <alignment horizontal="right"/>
    </xf>
    <xf numFmtId="1" fontId="25" fillId="0" borderId="0" xfId="0" applyNumberFormat="1" applyFont="1"/>
    <xf numFmtId="0" fontId="6" fillId="0" borderId="1" xfId="1" applyFont="1" applyBorder="1" applyAlignment="1">
      <alignment horizontal="left" vertical="top" wrapText="1" indent="6"/>
    </xf>
    <xf numFmtId="0" fontId="6" fillId="0" borderId="0" xfId="0" applyFont="1" applyAlignment="1">
      <alignment horizontal="left"/>
    </xf>
    <xf numFmtId="0" fontId="15" fillId="4" borderId="1" xfId="1"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77" fontId="12" fillId="5" borderId="1" xfId="0" applyNumberFormat="1" applyFont="1" applyFill="1" applyBorder="1" applyAlignment="1" applyProtection="1">
      <alignment horizontal="center" vertical="center" wrapText="1"/>
      <protection locked="0"/>
    </xf>
    <xf numFmtId="177" fontId="12" fillId="5" borderId="1" xfId="3"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178" fontId="12" fillId="5" borderId="1" xfId="0" applyNumberFormat="1" applyFont="1" applyFill="1" applyBorder="1" applyAlignment="1" applyProtection="1">
      <alignment horizontal="center" vertical="center" wrapText="1"/>
      <protection locked="0"/>
    </xf>
  </cellXfs>
  <cellStyles count="4">
    <cellStyle name="Comma [0] 2" xfId="3" xr:uid="{286E3D10-827B-F54C-817D-B29004B17F97}"/>
    <cellStyle name="Normal 2" xfId="1" xr:uid="{C3243E13-6EF8-E042-BC12-751DCDBFECFE}"/>
    <cellStyle name="一般" xfId="0" builtinId="0"/>
    <cellStyle name="超連結" xfId="2" builtinId="8"/>
  </cellStyles>
  <dxfs count="102">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15</xdr:col>
      <xdr:colOff>426912</xdr:colOff>
      <xdr:row>41</xdr:row>
      <xdr:rowOff>208607</xdr:rowOff>
    </xdr:to>
    <xdr:pic>
      <xdr:nvPicPr>
        <xdr:cNvPr id="3" name="圖片 2">
          <a:extLst>
            <a:ext uri="{FF2B5EF4-FFF2-40B4-BE49-F238E27FC236}">
              <a16:creationId xmlns:a16="http://schemas.microsoft.com/office/drawing/2014/main" id="{BF6D2761-F4B4-46D0-A531-41A8EBCAAF1C}"/>
            </a:ext>
          </a:extLst>
        </xdr:cNvPr>
        <xdr:cNvPicPr>
          <a:picLocks noChangeAspect="1"/>
        </xdr:cNvPicPr>
      </xdr:nvPicPr>
      <xdr:blipFill>
        <a:blip xmlns:r="http://schemas.openxmlformats.org/officeDocument/2006/relationships" r:embed="rId1"/>
        <a:stretch>
          <a:fillRect/>
        </a:stretch>
      </xdr:blipFill>
      <xdr:spPr>
        <a:xfrm>
          <a:off x="409575" y="2781300"/>
          <a:ext cx="13704762" cy="75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7</xdr:row>
      <xdr:rowOff>95250</xdr:rowOff>
    </xdr:from>
    <xdr:to>
      <xdr:col>15</xdr:col>
      <xdr:colOff>85725</xdr:colOff>
      <xdr:row>122</xdr:row>
      <xdr:rowOff>57150</xdr:rowOff>
    </xdr:to>
    <xdr:pic>
      <xdr:nvPicPr>
        <xdr:cNvPr id="2" name="圖片 1">
          <a:extLst>
            <a:ext uri="{FF2B5EF4-FFF2-40B4-BE49-F238E27FC236}">
              <a16:creationId xmlns:a16="http://schemas.microsoft.com/office/drawing/2014/main" id="{755FE008-E08B-41B5-8995-914D569BB8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8625" y="2438400"/>
          <a:ext cx="11544300" cy="2406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8" workbookViewId="0">
      <selection activeCell="B14" sqref="B14"/>
    </sheetView>
  </sheetViews>
  <sheetFormatPr defaultColWidth="10.77734375" defaultRowHeight="20.399999999999999"/>
  <cols>
    <col min="1" max="1" width="10.77734375" style="46"/>
    <col min="2" max="2" width="200.77734375" style="10" customWidth="1"/>
    <col min="3" max="16384" width="10.77734375" style="46"/>
  </cols>
  <sheetData>
    <row r="2" spans="2:2" ht="21">
      <c r="B2" s="8" t="s">
        <v>214</v>
      </c>
    </row>
    <row r="3" spans="2:2" ht="21">
      <c r="B3" s="39" t="s">
        <v>174</v>
      </c>
    </row>
    <row r="4" spans="2:2" ht="102">
      <c r="B4" s="9" t="s">
        <v>113</v>
      </c>
    </row>
    <row r="5" spans="2:2" ht="21">
      <c r="B5" s="39" t="s">
        <v>175</v>
      </c>
    </row>
    <row r="6" spans="2:2" ht="61.2">
      <c r="B6" s="9" t="s">
        <v>114</v>
      </c>
    </row>
    <row r="7" spans="2:2" ht="21">
      <c r="B7" s="39" t="s">
        <v>176</v>
      </c>
    </row>
    <row r="8" spans="2:2" ht="285.60000000000002">
      <c r="B8" s="9" t="s">
        <v>294</v>
      </c>
    </row>
    <row r="9" spans="2:2" ht="21">
      <c r="B9" s="39" t="s">
        <v>177</v>
      </c>
    </row>
    <row r="10" spans="2:2" ht="21">
      <c r="B10" s="9" t="s">
        <v>180</v>
      </c>
    </row>
    <row r="11" spans="2:2" ht="21">
      <c r="B11" s="39" t="s">
        <v>178</v>
      </c>
    </row>
    <row r="12" spans="2:2" ht="40.799999999999997">
      <c r="B12" s="9" t="s">
        <v>115</v>
      </c>
    </row>
    <row r="13" spans="2:2" ht="21">
      <c r="B13" s="39" t="s">
        <v>179</v>
      </c>
    </row>
    <row r="14" spans="2:2" ht="81.599999999999994">
      <c r="B14" s="65" t="s">
        <v>317</v>
      </c>
    </row>
  </sheetData>
  <sheetProtection algorithmName="SHA-512" hashValue="oqQmTTL1TGDehFTcAOr2PQzV2AF19eG2fsUcc8MPwK3DeUGnHmuByNhhMgg5CE2BrggHILzN+R4S0gsFxK+kfw==" saltValue="b/vDCHd/sP/Ufj+9MTyigg==" spinCount="100000" sheet="1" objects="1" scenarios="1"/>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17" workbookViewId="0">
      <selection activeCell="B24" sqref="B24"/>
    </sheetView>
  </sheetViews>
  <sheetFormatPr defaultColWidth="10.77734375" defaultRowHeight="20.399999999999999"/>
  <cols>
    <col min="1" max="1" width="10.77734375" style="46"/>
    <col min="2" max="2" width="200.77734375" style="10" customWidth="1"/>
    <col min="3" max="16384" width="10.77734375" style="46"/>
  </cols>
  <sheetData>
    <row r="2" spans="2:2" ht="21">
      <c r="B2" s="8" t="s">
        <v>116</v>
      </c>
    </row>
    <row r="3" spans="2:2" ht="21">
      <c r="B3" s="38" t="s">
        <v>160</v>
      </c>
    </row>
    <row r="4" spans="2:2" ht="61.2">
      <c r="B4" s="9" t="s">
        <v>117</v>
      </c>
    </row>
    <row r="5" spans="2:2" ht="21">
      <c r="B5" s="39" t="s">
        <v>161</v>
      </c>
    </row>
    <row r="6" spans="2:2" ht="61.2">
      <c r="B6" s="9" t="s">
        <v>118</v>
      </c>
    </row>
    <row r="7" spans="2:2" ht="21">
      <c r="B7" s="39" t="s">
        <v>162</v>
      </c>
    </row>
    <row r="8" spans="2:2" ht="61.8">
      <c r="B8" s="9" t="s">
        <v>181</v>
      </c>
    </row>
    <row r="9" spans="2:2" ht="21">
      <c r="B9" s="39" t="s">
        <v>163</v>
      </c>
    </row>
    <row r="10" spans="2:2" ht="61.2">
      <c r="B10" s="9" t="s">
        <v>119</v>
      </c>
    </row>
    <row r="11" spans="2:2" ht="21">
      <c r="B11" s="39" t="s">
        <v>164</v>
      </c>
    </row>
    <row r="12" spans="2:2" ht="122.4">
      <c r="B12" s="9" t="s">
        <v>120</v>
      </c>
    </row>
    <row r="13" spans="2:2" ht="21">
      <c r="B13" s="39" t="s">
        <v>165</v>
      </c>
    </row>
    <row r="14" spans="2:2" ht="81.599999999999994">
      <c r="B14" s="9" t="s">
        <v>121</v>
      </c>
    </row>
    <row r="15" spans="2:2" ht="21">
      <c r="B15" s="39" t="s">
        <v>166</v>
      </c>
    </row>
    <row r="16" spans="2:2" ht="183.6">
      <c r="B16" s="9" t="s">
        <v>122</v>
      </c>
    </row>
    <row r="17" spans="2:2" ht="21">
      <c r="B17" s="39" t="s">
        <v>167</v>
      </c>
    </row>
    <row r="18" spans="2:2" ht="61.2">
      <c r="B18" s="9" t="s">
        <v>123</v>
      </c>
    </row>
    <row r="19" spans="2:2" ht="21">
      <c r="B19" s="39" t="s">
        <v>168</v>
      </c>
    </row>
    <row r="20" spans="2:2" ht="122.4">
      <c r="B20" s="9" t="s">
        <v>124</v>
      </c>
    </row>
    <row r="21" spans="2:2" ht="21">
      <c r="B21" s="39" t="s">
        <v>169</v>
      </c>
    </row>
    <row r="22" spans="2:2" ht="61.2">
      <c r="B22" s="9" t="s">
        <v>125</v>
      </c>
    </row>
    <row r="23" spans="2:2" ht="21">
      <c r="B23" s="39" t="s">
        <v>170</v>
      </c>
    </row>
    <row r="24" spans="2:2" ht="244.8">
      <c r="B24" s="9" t="s">
        <v>126</v>
      </c>
    </row>
    <row r="25" spans="2:2" ht="21">
      <c r="B25" s="39" t="s">
        <v>171</v>
      </c>
    </row>
    <row r="26" spans="2:2" ht="183.6">
      <c r="B26" s="9" t="s">
        <v>127</v>
      </c>
    </row>
    <row r="27" spans="2:2" ht="21">
      <c r="B27" s="39" t="s">
        <v>172</v>
      </c>
    </row>
    <row r="28" spans="2:2" ht="40.799999999999997">
      <c r="B28" s="9" t="s">
        <v>128</v>
      </c>
    </row>
    <row r="29" spans="2:2" ht="21">
      <c r="B29" s="39" t="s">
        <v>173</v>
      </c>
    </row>
    <row r="30" spans="2:2" ht="40.799999999999997">
      <c r="B30" s="9" t="s">
        <v>129</v>
      </c>
    </row>
  </sheetData>
  <sheetProtection algorithmName="SHA-512" hashValue="16lh0SMdOYpgz3mnq1FR8VPhkQB9WkH38CSEnYhumJ7oOgzraD5PFwCtlNgfhiodXtWpUFbS52RGhhbDqUMGuw==" saltValue="TscPftiJMrKjkcTdY+qO4A==" spinCount="100000" sheet="1" objects="1" scenarios="1"/>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80" zoomScaleNormal="80" workbookViewId="0">
      <selection activeCell="B16" sqref="B16"/>
    </sheetView>
  </sheetViews>
  <sheetFormatPr defaultColWidth="10.77734375" defaultRowHeight="20.399999999999999"/>
  <cols>
    <col min="1" max="1" width="10.77734375" style="46"/>
    <col min="2" max="2" width="141.44140625" style="10" customWidth="1"/>
    <col min="3" max="3" width="40.77734375" style="13" customWidth="1"/>
    <col min="4" max="16384" width="10.77734375" style="46"/>
  </cols>
  <sheetData>
    <row r="2" spans="2:3" ht="21">
      <c r="B2" s="8" t="s">
        <v>130</v>
      </c>
      <c r="C2" s="11"/>
    </row>
    <row r="3" spans="2:3" ht="21">
      <c r="B3" s="38" t="s">
        <v>151</v>
      </c>
      <c r="C3" s="11"/>
    </row>
    <row r="4" spans="2:3" ht="204">
      <c r="B4" s="12" t="s">
        <v>131</v>
      </c>
      <c r="C4" s="45" t="s">
        <v>36</v>
      </c>
    </row>
  </sheetData>
  <sheetProtection algorithmName="SHA-512" hashValue="cPVBRGIOKtrTXlo8MnBnv30QuoK2ij4jvok7Fuxi7SU44lPIkdnO5QVJCpjHhshse5xZzxGkMdhwa1LXka8wWQ==" saltValue="QyILU6nUmgu4hisGiP9AQw==" spinCount="100000" sheet="1" objects="1" scenarios="1"/>
  <phoneticPr fontId="30" type="noConversion"/>
  <conditionalFormatting sqref="C4">
    <cfRule type="containsText" dxfId="101" priority="1" operator="containsText" text="Yes">
      <formula>NOT(ISERROR(SEARCH("Yes",C4)))</formula>
    </cfRule>
    <cfRule type="containsText" dxfId="100" priority="2" operator="containsText" text="No">
      <formula>NOT(ISERROR(SEARCH("No",C4)))</formula>
    </cfRule>
    <cfRule type="notContainsBlanks" dxfId="99"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abSelected="1" zoomScaleNormal="100" workbookViewId="0">
      <selection activeCell="F26" sqref="F26"/>
    </sheetView>
  </sheetViews>
  <sheetFormatPr defaultColWidth="10.77734375" defaultRowHeight="18"/>
  <cols>
    <col min="1" max="1" width="3.44140625" style="15" customWidth="1"/>
    <col min="2" max="2" width="74.6640625" style="15" customWidth="1"/>
    <col min="3" max="4" width="29.109375" style="15" customWidth="1"/>
    <col min="5" max="5" width="30.33203125" style="15" bestFit="1" customWidth="1"/>
    <col min="6" max="6" width="29.109375" style="15" customWidth="1"/>
    <col min="7" max="7" width="38.33203125" style="15" customWidth="1"/>
    <col min="8" max="8" width="10.77734375" style="3" customWidth="1"/>
    <col min="9" max="16384" width="10.77734375" style="3"/>
  </cols>
  <sheetData>
    <row r="1" spans="1:7" ht="25.95" customHeight="1">
      <c r="B1" s="14" t="s">
        <v>236</v>
      </c>
    </row>
    <row r="2" spans="1:7" ht="25.95" customHeight="1">
      <c r="A2" s="15">
        <v>1</v>
      </c>
      <c r="B2" s="16" t="s">
        <v>132</v>
      </c>
      <c r="C2" s="78">
        <v>45775</v>
      </c>
    </row>
    <row r="3" spans="1:7" ht="25.95" customHeight="1">
      <c r="A3" s="15">
        <v>2</v>
      </c>
      <c r="B3" s="16" t="s">
        <v>14</v>
      </c>
      <c r="C3" s="17" t="s">
        <v>381</v>
      </c>
    </row>
    <row r="4" spans="1:7" ht="25.95" customHeight="1">
      <c r="A4" s="15">
        <v>3</v>
      </c>
      <c r="B4" s="16" t="s">
        <v>13</v>
      </c>
      <c r="C4" s="17" t="s">
        <v>403</v>
      </c>
      <c r="E4" s="18"/>
    </row>
    <row r="5" spans="1:7" ht="25.95" customHeight="1">
      <c r="A5" s="15">
        <v>4</v>
      </c>
      <c r="B5" s="16" t="s">
        <v>133</v>
      </c>
      <c r="C5" s="17" t="s">
        <v>382</v>
      </c>
      <c r="E5" s="18"/>
    </row>
    <row r="6" spans="1:7" ht="25.95" customHeight="1">
      <c r="A6" s="15">
        <v>5</v>
      </c>
      <c r="B6" s="16" t="s">
        <v>0</v>
      </c>
      <c r="C6" s="19" t="s">
        <v>404</v>
      </c>
      <c r="E6" s="18"/>
    </row>
    <row r="7" spans="1:7" ht="25.95" customHeight="1">
      <c r="A7" s="15">
        <v>6</v>
      </c>
      <c r="B7" s="16" t="s">
        <v>1</v>
      </c>
      <c r="C7" s="17" t="s">
        <v>384</v>
      </c>
      <c r="E7" s="18"/>
    </row>
    <row r="8" spans="1:7" ht="25.95" customHeight="1">
      <c r="A8" s="15">
        <v>7</v>
      </c>
      <c r="B8" s="16" t="s">
        <v>2</v>
      </c>
      <c r="C8" s="17">
        <v>2308</v>
      </c>
    </row>
    <row r="9" spans="1:7" ht="25.95" customHeight="1">
      <c r="A9" s="15">
        <v>8</v>
      </c>
      <c r="B9" s="16" t="s">
        <v>134</v>
      </c>
      <c r="C9" s="17" t="s">
        <v>385</v>
      </c>
    </row>
    <row r="10" spans="1:7" ht="25.95" customHeight="1">
      <c r="A10" s="15">
        <v>9</v>
      </c>
      <c r="B10" s="16" t="s">
        <v>5</v>
      </c>
      <c r="C10" s="17">
        <v>81855</v>
      </c>
    </row>
    <row r="11" spans="1:7">
      <c r="A11" s="15">
        <v>10</v>
      </c>
      <c r="B11" s="16" t="s">
        <v>3</v>
      </c>
      <c r="C11" s="17">
        <v>1971</v>
      </c>
    </row>
    <row r="12" spans="1:7">
      <c r="A12" s="15">
        <v>11</v>
      </c>
      <c r="B12" s="16" t="s">
        <v>4</v>
      </c>
      <c r="C12" s="17" t="s">
        <v>383</v>
      </c>
      <c r="F12" s="20"/>
    </row>
    <row r="15" spans="1:7" ht="36">
      <c r="B15" s="23" t="s">
        <v>135</v>
      </c>
      <c r="C15" s="24" t="s">
        <v>136</v>
      </c>
      <c r="D15" s="24" t="s">
        <v>19</v>
      </c>
      <c r="E15" s="24" t="s">
        <v>112</v>
      </c>
      <c r="F15" s="24" t="s">
        <v>20</v>
      </c>
      <c r="G15" s="25" t="s">
        <v>137</v>
      </c>
    </row>
    <row r="16" spans="1:7">
      <c r="B16" s="26" t="s">
        <v>21</v>
      </c>
      <c r="C16" s="17" t="s">
        <v>394</v>
      </c>
      <c r="D16" s="17" t="s">
        <v>395</v>
      </c>
      <c r="E16" s="17" t="s">
        <v>396</v>
      </c>
      <c r="F16" s="17"/>
      <c r="G16" s="17"/>
    </row>
    <row r="17" spans="2:7" ht="72">
      <c r="B17" s="26" t="s">
        <v>138</v>
      </c>
      <c r="C17" s="17" t="s">
        <v>386</v>
      </c>
      <c r="D17" s="17" t="s">
        <v>406</v>
      </c>
      <c r="E17" s="17" t="s">
        <v>396</v>
      </c>
      <c r="F17" s="19" t="s">
        <v>387</v>
      </c>
      <c r="G17" s="27"/>
    </row>
    <row r="18" spans="2:7">
      <c r="B18" s="26" t="s">
        <v>139</v>
      </c>
      <c r="C18" s="17" t="s">
        <v>388</v>
      </c>
      <c r="D18" s="17" t="s">
        <v>397</v>
      </c>
      <c r="E18" s="17" t="s">
        <v>96</v>
      </c>
      <c r="F18" s="19"/>
      <c r="G18" s="27"/>
    </row>
    <row r="19" spans="2:7" ht="36">
      <c r="B19" s="26" t="s">
        <v>140</v>
      </c>
      <c r="C19" s="17" t="s">
        <v>389</v>
      </c>
      <c r="D19" s="17" t="s">
        <v>405</v>
      </c>
      <c r="E19" s="17" t="s">
        <v>96</v>
      </c>
      <c r="F19" s="19"/>
      <c r="G19" s="27"/>
    </row>
    <row r="20" spans="2:7" ht="54">
      <c r="B20" s="28" t="s">
        <v>141</v>
      </c>
      <c r="C20" s="21" t="s">
        <v>390</v>
      </c>
      <c r="D20" s="21" t="s">
        <v>409</v>
      </c>
      <c r="E20" s="17" t="s">
        <v>96</v>
      </c>
      <c r="F20" s="22" t="s">
        <v>410</v>
      </c>
      <c r="G20" s="27"/>
    </row>
    <row r="21" spans="2:7" ht="36">
      <c r="B21" s="26" t="s">
        <v>142</v>
      </c>
      <c r="C21" s="17" t="s">
        <v>391</v>
      </c>
      <c r="D21" s="17" t="s">
        <v>407</v>
      </c>
      <c r="E21" s="17" t="s">
        <v>96</v>
      </c>
      <c r="F21" s="19"/>
      <c r="G21" s="27"/>
    </row>
    <row r="22" spans="2:7" ht="54">
      <c r="B22" s="26" t="s">
        <v>143</v>
      </c>
      <c r="C22" s="17" t="s">
        <v>392</v>
      </c>
      <c r="D22" s="21" t="s">
        <v>408</v>
      </c>
      <c r="E22" s="17" t="s">
        <v>96</v>
      </c>
      <c r="F22" s="19" t="s">
        <v>411</v>
      </c>
      <c r="G22" s="27"/>
    </row>
    <row r="23" spans="2:7">
      <c r="B23" s="26" t="s">
        <v>144</v>
      </c>
      <c r="C23" s="17" t="s">
        <v>393</v>
      </c>
      <c r="D23" s="21" t="s">
        <v>398</v>
      </c>
      <c r="E23" s="17" t="s">
        <v>96</v>
      </c>
      <c r="F23" s="19"/>
      <c r="G23" s="27"/>
    </row>
    <row r="24" spans="2:7">
      <c r="B24" s="26" t="s">
        <v>212</v>
      </c>
      <c r="C24" s="17"/>
      <c r="D24" s="17"/>
      <c r="E24" s="17"/>
      <c r="F24" s="19"/>
      <c r="G24" s="27"/>
    </row>
    <row r="25" spans="2:7">
      <c r="B25" s="26" t="s">
        <v>212</v>
      </c>
      <c r="C25" s="29"/>
      <c r="D25" s="29"/>
      <c r="E25" s="29"/>
      <c r="F25" s="30"/>
      <c r="G25" s="31"/>
    </row>
  </sheetData>
  <sheetProtection algorithmName="SHA-512" hashValue="6yI60cFygKABQ6hsh5VMwt5lwhrATZ21Hzv2csGFFn0nCOgRIkGTqVPEw9cgpAkSwjap78AvGrfGpwdsFd9Lnw==" saltValue="sj8fAt/Q3fALWU/fQ7kXBA==" spinCount="100000" sheet="1" objects="1" scenarios="1"/>
  <phoneticPr fontId="30" type="noConversion"/>
  <conditionalFormatting sqref="C3:C12">
    <cfRule type="notContainsBlanks" dxfId="98" priority="5">
      <formula>LEN(TRIM(C3))&gt;0</formula>
    </cfRule>
  </conditionalFormatting>
  <conditionalFormatting sqref="C16:G25">
    <cfRule type="notContainsBlanks" dxfId="32" priority="2">
      <formula>LEN(TRIM(C16))&gt;0</formula>
    </cfRule>
  </conditionalFormatting>
  <conditionalFormatting sqref="C2">
    <cfRule type="notContainsBlanks" dxfId="26" priority="1">
      <formula>LEN(TRIM(C2))&gt;0</formula>
    </cfRule>
  </conditionalFormatting>
  <dataValidations count="1">
    <dataValidation type="whole" operator="greaterThan" allowBlank="1" showInputMessage="1" showErrorMessage="1" sqref="C11"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85" zoomScaleNormal="85" workbookViewId="0">
      <selection activeCell="I3" sqref="I3"/>
    </sheetView>
  </sheetViews>
  <sheetFormatPr defaultColWidth="10.77734375" defaultRowHeight="16.2"/>
  <cols>
    <col min="1" max="1" width="4.77734375" customWidth="1"/>
    <col min="2" max="2" width="53.77734375" customWidth="1"/>
    <col min="3" max="8" width="28.109375" customWidth="1"/>
    <col min="9" max="16384" width="10.7773437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2" t="s">
        <v>9</v>
      </c>
      <c r="C3" s="55">
        <v>24180</v>
      </c>
      <c r="D3" s="55">
        <v>26550</v>
      </c>
      <c r="E3" s="55">
        <v>34190</v>
      </c>
      <c r="F3" s="55"/>
      <c r="G3" s="55"/>
      <c r="H3" s="55"/>
    </row>
    <row r="4" spans="2:9" ht="51" customHeight="1">
      <c r="B4" s="32" t="s">
        <v>10</v>
      </c>
      <c r="C4" s="55">
        <v>12518</v>
      </c>
      <c r="D4" s="55">
        <v>13067</v>
      </c>
      <c r="E4" s="55">
        <v>12845</v>
      </c>
      <c r="F4" s="55"/>
      <c r="G4" s="55"/>
      <c r="H4" s="55"/>
      <c r="I4" s="4"/>
    </row>
    <row r="5" spans="2:9" ht="51" customHeight="1">
      <c r="B5" s="32" t="s">
        <v>11</v>
      </c>
      <c r="C5" s="55"/>
      <c r="D5" s="55"/>
      <c r="E5" s="55"/>
      <c r="F5" s="55"/>
      <c r="G5" s="55"/>
      <c r="H5" s="55"/>
      <c r="I5" s="4" t="s">
        <v>18</v>
      </c>
    </row>
    <row r="6" spans="2:9" ht="51" customHeight="1">
      <c r="B6" s="32" t="s">
        <v>287</v>
      </c>
      <c r="C6" s="55">
        <v>10</v>
      </c>
      <c r="D6" s="55">
        <v>12</v>
      </c>
      <c r="E6" s="55">
        <v>15</v>
      </c>
      <c r="F6" s="55"/>
      <c r="G6" s="55"/>
      <c r="H6" s="55"/>
      <c r="I6" s="2" t="s">
        <v>150</v>
      </c>
    </row>
    <row r="8" spans="2:9" ht="18">
      <c r="B8" s="16" t="s">
        <v>145</v>
      </c>
      <c r="C8" s="16">
        <v>2023</v>
      </c>
      <c r="D8" s="16">
        <v>2023</v>
      </c>
      <c r="E8" s="16">
        <v>2024</v>
      </c>
      <c r="F8" s="16" t="s">
        <v>210</v>
      </c>
      <c r="G8" s="16" t="s">
        <v>146</v>
      </c>
      <c r="H8" s="16" t="s">
        <v>147</v>
      </c>
    </row>
    <row r="9" spans="2:9" ht="18">
      <c r="B9" s="32" t="s">
        <v>148</v>
      </c>
      <c r="C9" s="56">
        <v>3607</v>
      </c>
      <c r="D9" s="56">
        <v>3817</v>
      </c>
      <c r="E9" s="56">
        <v>4165</v>
      </c>
      <c r="F9" s="56"/>
      <c r="G9" s="56"/>
      <c r="H9" s="56"/>
    </row>
    <row r="10" spans="2:9" ht="18">
      <c r="B10" s="32" t="s">
        <v>149</v>
      </c>
      <c r="C10" s="56">
        <v>1349</v>
      </c>
      <c r="D10" s="56">
        <v>1333</v>
      </c>
      <c r="E10" s="56">
        <v>1453</v>
      </c>
      <c r="F10" s="56"/>
      <c r="G10" s="56"/>
      <c r="H10" s="56"/>
    </row>
  </sheetData>
  <sheetProtection algorithmName="SHA-512" hashValue="ADYHa84FNvxgDAPkQMA/ds4sXCGn4cmNRk+QJEHJSD6Mj+8x0KTQ9z3XQL2xdLYTVckdH232Lggvd0pM/Osjng==" saltValue="pjSFd/rHk5+ena2trvj3tA==" spinCount="100000" sheet="1" objects="1" scenarios="1"/>
  <phoneticPr fontId="30" type="noConversion"/>
  <conditionalFormatting sqref="C5:H6">
    <cfRule type="notContainsBlanks" dxfId="97" priority="6" stopIfTrue="1">
      <formula>LEN(TRIM(C5))&gt;0</formula>
    </cfRule>
  </conditionalFormatting>
  <conditionalFormatting sqref="F9:H10">
    <cfRule type="notContainsBlanks" dxfId="96" priority="5" stopIfTrue="1">
      <formula>LEN(TRIM(F9))&gt;0</formula>
    </cfRule>
  </conditionalFormatting>
  <conditionalFormatting sqref="C3:H4">
    <cfRule type="notContainsBlanks" dxfId="95" priority="2" stopIfTrue="1">
      <formula>LEN(TRIM(C3))&gt;0</formula>
    </cfRule>
  </conditionalFormatting>
  <conditionalFormatting sqref="C9:E10">
    <cfRule type="notContainsBlanks" dxfId="94" priority="1"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70" zoomScaleNormal="70" workbookViewId="0">
      <pane xSplit="3" ySplit="2" topLeftCell="D12" activePane="bottomRight" state="frozen"/>
      <selection pane="topRight" activeCell="D1" sqref="D1"/>
      <selection pane="bottomLeft" activeCell="A3" sqref="A3"/>
      <selection pane="bottomRight" activeCell="C13" sqref="C13"/>
    </sheetView>
  </sheetViews>
  <sheetFormatPr defaultColWidth="10.77734375" defaultRowHeight="25.95" customHeight="1"/>
  <cols>
    <col min="1" max="1" width="6.109375" style="60" customWidth="1"/>
    <col min="2" max="2" width="59" style="34" customWidth="1"/>
    <col min="3" max="3" width="38.44140625" style="3" customWidth="1"/>
    <col min="4" max="8" width="38.44140625" style="6" customWidth="1"/>
    <col min="9" max="11" width="29.109375" style="3" customWidth="1"/>
    <col min="12" max="16384" width="10.77734375" style="3"/>
  </cols>
  <sheetData>
    <row r="1" spans="1:8" s="15" customFormat="1" ht="51" customHeight="1">
      <c r="A1" s="58"/>
      <c r="B1" s="33" t="s">
        <v>296</v>
      </c>
    </row>
    <row r="2" spans="1:8" s="34" customFormat="1" ht="55.95" customHeight="1">
      <c r="A2" s="59"/>
      <c r="B2" s="16"/>
      <c r="C2" s="16" t="s">
        <v>15</v>
      </c>
      <c r="D2" s="35" t="s">
        <v>107</v>
      </c>
      <c r="E2" s="35" t="s">
        <v>108</v>
      </c>
      <c r="F2" s="35" t="s">
        <v>109</v>
      </c>
      <c r="G2" s="35" t="s">
        <v>110</v>
      </c>
      <c r="H2" s="35" t="s">
        <v>111</v>
      </c>
    </row>
    <row r="3" spans="1:8" ht="60" customHeight="1">
      <c r="A3" s="60">
        <v>1</v>
      </c>
      <c r="B3" s="16" t="s">
        <v>152</v>
      </c>
      <c r="C3" s="36" t="s">
        <v>412</v>
      </c>
      <c r="D3" s="36" t="s">
        <v>374</v>
      </c>
      <c r="E3" s="36" t="s">
        <v>321</v>
      </c>
      <c r="F3" s="17" t="s">
        <v>320</v>
      </c>
      <c r="G3" s="17" t="s">
        <v>322</v>
      </c>
      <c r="H3" s="17" t="s">
        <v>323</v>
      </c>
    </row>
    <row r="4" spans="1:8" ht="60" customHeight="1">
      <c r="A4" s="60">
        <v>2</v>
      </c>
      <c r="B4" s="16" t="s">
        <v>153</v>
      </c>
      <c r="C4" s="17" t="s">
        <v>414</v>
      </c>
      <c r="D4" s="17" t="s">
        <v>375</v>
      </c>
      <c r="E4" s="17" t="s">
        <v>332</v>
      </c>
      <c r="F4" s="17" t="s">
        <v>329</v>
      </c>
      <c r="G4" s="17" t="s">
        <v>330</v>
      </c>
      <c r="H4" s="17" t="s">
        <v>331</v>
      </c>
    </row>
    <row r="5" spans="1:8" ht="60" customHeight="1">
      <c r="A5" s="60">
        <v>3</v>
      </c>
      <c r="B5" s="16" t="s">
        <v>154</v>
      </c>
      <c r="C5" s="17" t="s">
        <v>413</v>
      </c>
      <c r="D5" s="17" t="s">
        <v>376</v>
      </c>
      <c r="E5" s="17" t="s">
        <v>333</v>
      </c>
      <c r="F5" s="17" t="s">
        <v>334</v>
      </c>
      <c r="G5" s="17" t="s">
        <v>335</v>
      </c>
      <c r="H5" s="17" t="s">
        <v>336</v>
      </c>
    </row>
    <row r="6" spans="1:8" ht="60" customHeight="1">
      <c r="A6" s="60">
        <v>4</v>
      </c>
      <c r="B6" s="35" t="s">
        <v>155</v>
      </c>
      <c r="C6" s="17" t="s">
        <v>415</v>
      </c>
      <c r="D6" s="17" t="s">
        <v>377</v>
      </c>
      <c r="E6" s="17" t="s">
        <v>326</v>
      </c>
      <c r="F6" s="17" t="s">
        <v>326</v>
      </c>
      <c r="G6" s="17" t="s">
        <v>327</v>
      </c>
      <c r="H6" s="17" t="s">
        <v>328</v>
      </c>
    </row>
    <row r="7" spans="1:8" ht="85.95" customHeight="1">
      <c r="A7" s="60">
        <v>5</v>
      </c>
      <c r="B7" s="35" t="s">
        <v>156</v>
      </c>
      <c r="C7" s="17" t="s">
        <v>451</v>
      </c>
      <c r="D7" s="17" t="s">
        <v>378</v>
      </c>
      <c r="E7" s="17" t="s">
        <v>326</v>
      </c>
      <c r="F7" s="17" t="s">
        <v>326</v>
      </c>
      <c r="G7" s="17" t="s">
        <v>327</v>
      </c>
      <c r="H7" s="17" t="s">
        <v>328</v>
      </c>
    </row>
    <row r="8" spans="1:8" ht="85.95" customHeight="1">
      <c r="A8" s="60">
        <v>6</v>
      </c>
      <c r="B8" s="35" t="s">
        <v>157</v>
      </c>
      <c r="C8" s="17" t="s">
        <v>452</v>
      </c>
      <c r="D8" s="17" t="s">
        <v>379</v>
      </c>
      <c r="E8" s="17" t="s">
        <v>337</v>
      </c>
      <c r="F8" s="17" t="s">
        <v>338</v>
      </c>
      <c r="G8" s="17" t="s">
        <v>338</v>
      </c>
      <c r="H8" s="17" t="s">
        <v>337</v>
      </c>
    </row>
    <row r="9" spans="1:8" ht="60" customHeight="1">
      <c r="A9" s="60">
        <v>7</v>
      </c>
      <c r="B9" s="16" t="s">
        <v>158</v>
      </c>
      <c r="C9" s="17">
        <v>1802</v>
      </c>
      <c r="D9" s="17">
        <v>9290</v>
      </c>
      <c r="E9" s="17">
        <v>10392</v>
      </c>
      <c r="F9" s="17">
        <v>1930</v>
      </c>
      <c r="G9" s="17">
        <v>1080</v>
      </c>
      <c r="H9" s="17">
        <v>1802</v>
      </c>
    </row>
    <row r="10" spans="1:8" ht="60" customHeight="1">
      <c r="A10" s="60">
        <v>8</v>
      </c>
      <c r="B10" s="35" t="s">
        <v>279</v>
      </c>
      <c r="C10" s="17">
        <v>74</v>
      </c>
      <c r="D10" s="17">
        <v>300</v>
      </c>
      <c r="E10" s="17">
        <v>224</v>
      </c>
      <c r="F10" s="17">
        <v>42</v>
      </c>
      <c r="G10" s="17">
        <v>51</v>
      </c>
      <c r="H10" s="17">
        <v>74</v>
      </c>
    </row>
    <row r="11" spans="1:8" ht="60" customHeight="1">
      <c r="A11" s="60">
        <v>9</v>
      </c>
      <c r="B11" s="35" t="s">
        <v>208</v>
      </c>
      <c r="C11" s="17">
        <v>10</v>
      </c>
      <c r="D11" s="17">
        <v>7</v>
      </c>
      <c r="E11" s="17">
        <f>46+25</f>
        <v>71</v>
      </c>
      <c r="F11" s="17">
        <v>5</v>
      </c>
      <c r="G11" s="17">
        <v>5</v>
      </c>
      <c r="H11" s="17">
        <v>10</v>
      </c>
    </row>
    <row r="12" spans="1:8" ht="60" customHeight="1">
      <c r="A12" s="60">
        <v>10</v>
      </c>
      <c r="B12" s="35" t="s">
        <v>207</v>
      </c>
      <c r="C12" s="17">
        <v>15</v>
      </c>
      <c r="D12" s="17">
        <v>10</v>
      </c>
      <c r="E12" s="17">
        <f>52+30</f>
        <v>82</v>
      </c>
      <c r="F12" s="17">
        <v>10</v>
      </c>
      <c r="G12" s="17">
        <v>10</v>
      </c>
      <c r="H12" s="17">
        <v>15</v>
      </c>
    </row>
    <row r="13" spans="1:8" ht="60" customHeight="1">
      <c r="A13" s="60">
        <v>11</v>
      </c>
      <c r="B13" s="35" t="s">
        <v>280</v>
      </c>
      <c r="C13" s="17"/>
      <c r="D13" s="17"/>
      <c r="E13" s="17"/>
      <c r="F13" s="17"/>
      <c r="G13" s="17"/>
      <c r="H13" s="17"/>
    </row>
    <row r="14" spans="1:8" ht="60" customHeight="1">
      <c r="A14" s="60">
        <v>12</v>
      </c>
      <c r="B14" s="35" t="s">
        <v>205</v>
      </c>
      <c r="C14" s="17" t="s">
        <v>326</v>
      </c>
      <c r="D14" s="17" t="s">
        <v>325</v>
      </c>
      <c r="E14" s="17" t="s">
        <v>326</v>
      </c>
      <c r="F14" s="17" t="s">
        <v>326</v>
      </c>
      <c r="G14" s="17" t="s">
        <v>326</v>
      </c>
      <c r="H14" s="17" t="s">
        <v>326</v>
      </c>
    </row>
    <row r="15" spans="1:8" ht="60" customHeight="1">
      <c r="A15" s="60">
        <v>13</v>
      </c>
      <c r="B15" s="35" t="s">
        <v>283</v>
      </c>
      <c r="C15" s="17" t="s">
        <v>325</v>
      </c>
      <c r="D15" s="17" t="s">
        <v>36</v>
      </c>
      <c r="E15" s="17" t="s">
        <v>325</v>
      </c>
      <c r="F15" s="17" t="s">
        <v>325</v>
      </c>
      <c r="G15" s="17" t="s">
        <v>325</v>
      </c>
      <c r="H15" s="17" t="s">
        <v>325</v>
      </c>
    </row>
    <row r="16" spans="1:8" ht="60" customHeight="1">
      <c r="A16" s="60">
        <v>14</v>
      </c>
      <c r="B16" s="35" t="s">
        <v>206</v>
      </c>
      <c r="C16" s="17" t="s">
        <v>380</v>
      </c>
      <c r="D16" s="17" t="s">
        <v>380</v>
      </c>
      <c r="E16" s="17" t="s">
        <v>380</v>
      </c>
      <c r="F16" s="17" t="s">
        <v>380</v>
      </c>
      <c r="G16" s="17" t="s">
        <v>380</v>
      </c>
      <c r="H16" s="17" t="s">
        <v>380</v>
      </c>
    </row>
    <row r="18" spans="1:8" ht="61.2" customHeight="1">
      <c r="A18" s="60">
        <v>15</v>
      </c>
      <c r="B18" s="67" t="s">
        <v>229</v>
      </c>
      <c r="C18" s="67"/>
      <c r="D18" s="68" t="s">
        <v>354</v>
      </c>
      <c r="E18" s="69"/>
      <c r="F18" s="69"/>
      <c r="G18" s="69"/>
      <c r="H18" s="70"/>
    </row>
    <row r="19" spans="1:8" ht="61.2" customHeight="1">
      <c r="A19" s="60">
        <v>16</v>
      </c>
      <c r="B19" s="67" t="s">
        <v>215</v>
      </c>
      <c r="C19" s="67"/>
      <c r="D19" s="68" t="s">
        <v>453</v>
      </c>
      <c r="E19" s="69"/>
      <c r="F19" s="69"/>
      <c r="G19" s="69"/>
      <c r="H19" s="70"/>
    </row>
    <row r="20" spans="1:8" ht="61.2" customHeight="1">
      <c r="A20" s="60">
        <v>17</v>
      </c>
      <c r="B20" s="67" t="s">
        <v>202</v>
      </c>
      <c r="C20" s="67"/>
      <c r="D20" s="68" t="s">
        <v>326</v>
      </c>
      <c r="E20" s="69"/>
      <c r="F20" s="69"/>
      <c r="G20" s="69"/>
      <c r="H20" s="70"/>
    </row>
    <row r="21" spans="1:8" ht="61.2" customHeight="1">
      <c r="A21" s="60">
        <v>18</v>
      </c>
      <c r="B21" s="67" t="s">
        <v>159</v>
      </c>
      <c r="C21" s="67"/>
      <c r="D21" s="68" t="s">
        <v>399</v>
      </c>
      <c r="E21" s="69"/>
      <c r="F21" s="69"/>
      <c r="G21" s="69"/>
      <c r="H21" s="70"/>
    </row>
    <row r="22" spans="1:8" ht="61.2" customHeight="1">
      <c r="A22" s="60">
        <v>19</v>
      </c>
      <c r="B22" s="67" t="s">
        <v>203</v>
      </c>
      <c r="C22" s="67"/>
      <c r="D22" s="68" t="s">
        <v>415</v>
      </c>
      <c r="E22" s="69"/>
      <c r="F22" s="69"/>
      <c r="G22" s="69"/>
      <c r="H22" s="70"/>
    </row>
    <row r="23" spans="1:8" ht="61.2" customHeight="1">
      <c r="A23" s="60">
        <v>20</v>
      </c>
      <c r="B23" s="71" t="s">
        <v>227</v>
      </c>
      <c r="C23" s="72"/>
      <c r="D23" s="68" t="s">
        <v>400</v>
      </c>
      <c r="E23" s="69"/>
      <c r="F23" s="69"/>
      <c r="G23" s="69"/>
      <c r="H23" s="70"/>
    </row>
    <row r="24" spans="1:8" ht="61.2" customHeight="1">
      <c r="A24" s="60">
        <v>21</v>
      </c>
      <c r="B24" s="71" t="s">
        <v>228</v>
      </c>
      <c r="C24" s="72"/>
      <c r="D24" s="68" t="s">
        <v>401</v>
      </c>
      <c r="E24" s="69"/>
      <c r="F24" s="69"/>
      <c r="G24" s="69"/>
      <c r="H24" s="70"/>
    </row>
    <row r="25" spans="1:8" ht="187.95" customHeight="1">
      <c r="A25" s="60">
        <v>22</v>
      </c>
      <c r="B25" s="67" t="s">
        <v>204</v>
      </c>
      <c r="C25" s="67"/>
      <c r="D25" s="68" t="s">
        <v>402</v>
      </c>
      <c r="E25" s="69"/>
      <c r="F25" s="69"/>
      <c r="G25" s="69"/>
      <c r="H25" s="70"/>
    </row>
    <row r="26" spans="1:8" ht="61.2" customHeight="1"/>
    <row r="27" spans="1:8" ht="61.2" customHeight="1"/>
    <row r="28" spans="1:8" ht="61.2" customHeight="1"/>
    <row r="29" spans="1:8" ht="61.2" customHeight="1"/>
  </sheetData>
  <sheetProtection algorithmName="SHA-512" hashValue="MfMEAblZjKBqAPX9VPQm6sFACoYf1wgSCXTunSYdqxnUDVIBn7Ehzs0RsgzyRvt0O5q+B8a8sVj/VubePBmZ+w==" saltValue="i4XABQq/CBPEu2Kvm2yl+A==" spinCount="100000" sheet="1" selectLockedCells="1"/>
  <mergeCells count="16">
    <mergeCell ref="B21:C21"/>
    <mergeCell ref="D21:H21"/>
    <mergeCell ref="B22:C22"/>
    <mergeCell ref="D22:H22"/>
    <mergeCell ref="B25:C25"/>
    <mergeCell ref="D25:H25"/>
    <mergeCell ref="B24:C24"/>
    <mergeCell ref="B23:C23"/>
    <mergeCell ref="D23:H23"/>
    <mergeCell ref="D24:H24"/>
    <mergeCell ref="B18:C18"/>
    <mergeCell ref="D18:H18"/>
    <mergeCell ref="B19:C19"/>
    <mergeCell ref="D19:H19"/>
    <mergeCell ref="B20:C20"/>
    <mergeCell ref="D20:H20"/>
  </mergeCells>
  <phoneticPr fontId="30" type="noConversion"/>
  <conditionalFormatting sqref="C3:C8">
    <cfRule type="notContainsBlanks" dxfId="93" priority="9">
      <formula>LEN(TRIM(C3))&gt;0</formula>
    </cfRule>
  </conditionalFormatting>
  <conditionalFormatting sqref="D3:D16 E16:H16">
    <cfRule type="notContainsBlanks" dxfId="91" priority="8">
      <formula>LEN(TRIM(D3))&gt;0</formula>
    </cfRule>
  </conditionalFormatting>
  <conditionalFormatting sqref="E3:H15">
    <cfRule type="notContainsBlanks" dxfId="31" priority="7">
      <formula>LEN(TRIM(E3))&gt;0</formula>
    </cfRule>
  </conditionalFormatting>
  <conditionalFormatting sqref="D18:D22 D25">
    <cfRule type="notContainsBlanks" dxfId="30" priority="6">
      <formula>LEN(TRIM(D18))&gt;0</formula>
    </cfRule>
  </conditionalFormatting>
  <conditionalFormatting sqref="D23">
    <cfRule type="notContainsBlanks" dxfId="25" priority="5">
      <formula>LEN(TRIM(D23))&gt;0</formula>
    </cfRule>
  </conditionalFormatting>
  <conditionalFormatting sqref="D24">
    <cfRule type="notContainsBlanks" dxfId="24" priority="4">
      <formula>LEN(TRIM(D24))&gt;0</formula>
    </cfRule>
  </conditionalFormatting>
  <conditionalFormatting sqref="C9:C14">
    <cfRule type="notContainsBlanks" dxfId="23" priority="3">
      <formula>LEN(TRIM(C9))&gt;0</formula>
    </cfRule>
  </conditionalFormatting>
  <conditionalFormatting sqref="C16">
    <cfRule type="notContainsBlanks" dxfId="22" priority="2">
      <formula>LEN(TRIM(C16))&gt;0</formula>
    </cfRule>
  </conditionalFormatting>
  <conditionalFormatting sqref="C15">
    <cfRule type="notContainsBlanks" dxfId="21" priority="1">
      <formula>LEN(TRIM(C15))&gt;0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70" zoomScaleNormal="70" workbookViewId="0">
      <selection activeCell="E5" sqref="E5"/>
    </sheetView>
  </sheetViews>
  <sheetFormatPr defaultColWidth="10.77734375" defaultRowHeight="49.95" customHeight="1"/>
  <cols>
    <col min="1" max="1" width="5.109375" style="3" customWidth="1"/>
    <col min="2" max="2" width="53.109375" style="3" customWidth="1"/>
    <col min="3" max="10" width="32.6640625" style="3" customWidth="1"/>
    <col min="11" max="16384" width="10.77734375" style="3"/>
  </cols>
  <sheetData>
    <row r="1" spans="2:10" ht="49.95" customHeight="1">
      <c r="B1" s="40" t="s">
        <v>297</v>
      </c>
    </row>
    <row r="2" spans="2:10" ht="49.95" customHeight="1">
      <c r="B2" s="41"/>
      <c r="C2" s="42" t="s">
        <v>6</v>
      </c>
      <c r="D2" s="42" t="s">
        <v>7</v>
      </c>
      <c r="E2" s="42" t="s">
        <v>8</v>
      </c>
      <c r="F2" s="42" t="s">
        <v>16</v>
      </c>
      <c r="G2" s="42" t="s">
        <v>17</v>
      </c>
      <c r="H2" s="42" t="s">
        <v>182</v>
      </c>
      <c r="I2" s="42" t="s">
        <v>217</v>
      </c>
      <c r="J2" s="42" t="s">
        <v>218</v>
      </c>
    </row>
    <row r="3" spans="2:10" ht="49.95" customHeight="1">
      <c r="B3" s="42" t="s">
        <v>183</v>
      </c>
      <c r="C3" s="66" t="s">
        <v>102</v>
      </c>
      <c r="D3" s="66" t="s">
        <v>363</v>
      </c>
      <c r="E3" s="66" t="s">
        <v>364</v>
      </c>
      <c r="F3" s="66" t="s">
        <v>365</v>
      </c>
      <c r="G3" s="66" t="s">
        <v>366</v>
      </c>
      <c r="H3" s="66" t="s">
        <v>367</v>
      </c>
      <c r="I3" s="66"/>
      <c r="J3" s="66"/>
    </row>
    <row r="4" spans="2:10" ht="49.95" customHeight="1">
      <c r="B4" s="43" t="s">
        <v>265</v>
      </c>
      <c r="C4" s="66"/>
      <c r="D4" s="66"/>
      <c r="E4" s="66"/>
      <c r="F4" s="66">
        <v>5</v>
      </c>
      <c r="G4" s="66"/>
      <c r="H4" s="66"/>
      <c r="I4" s="66"/>
      <c r="J4" s="66"/>
    </row>
    <row r="5" spans="2:10" ht="49.95" customHeight="1">
      <c r="B5" s="43" t="s">
        <v>264</v>
      </c>
      <c r="C5" s="66"/>
      <c r="D5" s="66"/>
      <c r="E5" s="66"/>
      <c r="F5" s="66">
        <v>15</v>
      </c>
      <c r="G5" s="66">
        <v>3</v>
      </c>
      <c r="H5" s="66">
        <v>2</v>
      </c>
      <c r="I5" s="66"/>
      <c r="J5" s="66"/>
    </row>
    <row r="6" spans="2:10" ht="49.95" customHeight="1">
      <c r="B6" s="43" t="s">
        <v>266</v>
      </c>
      <c r="C6" s="66">
        <v>13</v>
      </c>
      <c r="D6" s="66">
        <v>2</v>
      </c>
      <c r="E6" s="66">
        <v>8</v>
      </c>
      <c r="F6" s="66">
        <v>54</v>
      </c>
      <c r="G6" s="66">
        <v>8</v>
      </c>
      <c r="H6" s="66">
        <v>6</v>
      </c>
      <c r="I6" s="66"/>
      <c r="J6" s="66"/>
    </row>
    <row r="7" spans="2:10" ht="49.95" customHeight="1">
      <c r="B7" s="43" t="s">
        <v>267</v>
      </c>
      <c r="C7" s="66">
        <v>13</v>
      </c>
      <c r="D7" s="66">
        <v>2</v>
      </c>
      <c r="E7" s="66">
        <v>8</v>
      </c>
      <c r="F7" s="66">
        <v>74</v>
      </c>
      <c r="G7" s="66">
        <v>11</v>
      </c>
      <c r="H7" s="66">
        <v>8</v>
      </c>
      <c r="I7" s="66"/>
      <c r="J7" s="66"/>
    </row>
    <row r="8" spans="2:10" ht="49.95" customHeight="1">
      <c r="B8" s="43" t="s">
        <v>216</v>
      </c>
      <c r="C8" s="66" t="s">
        <v>340</v>
      </c>
      <c r="D8" s="66" t="s">
        <v>340</v>
      </c>
      <c r="E8" s="66" t="s">
        <v>340</v>
      </c>
      <c r="F8" s="66" t="s">
        <v>340</v>
      </c>
      <c r="G8" s="66" t="s">
        <v>340</v>
      </c>
      <c r="H8" s="66" t="s">
        <v>340</v>
      </c>
      <c r="I8" s="66"/>
      <c r="J8" s="66"/>
    </row>
    <row r="9" spans="2:10" ht="49.95" customHeight="1">
      <c r="B9" s="43" t="s">
        <v>299</v>
      </c>
      <c r="C9" s="66" t="s">
        <v>340</v>
      </c>
      <c r="D9" s="66" t="s">
        <v>340</v>
      </c>
      <c r="E9" s="66" t="s">
        <v>340</v>
      </c>
      <c r="F9" s="66" t="s">
        <v>340</v>
      </c>
      <c r="G9" s="66" t="s">
        <v>340</v>
      </c>
      <c r="H9" s="66" t="s">
        <v>340</v>
      </c>
      <c r="I9" s="66"/>
      <c r="J9" s="66"/>
    </row>
    <row r="10" spans="2:10" ht="49.95" customHeight="1">
      <c r="B10" s="61" t="s">
        <v>293</v>
      </c>
      <c r="C10" s="66" t="s">
        <v>368</v>
      </c>
      <c r="D10" s="66" t="s">
        <v>369</v>
      </c>
      <c r="E10" s="66" t="s">
        <v>370</v>
      </c>
      <c r="F10" s="66" t="s">
        <v>371</v>
      </c>
      <c r="G10" s="66" t="s">
        <v>372</v>
      </c>
      <c r="H10" s="66" t="s">
        <v>373</v>
      </c>
      <c r="I10" s="66"/>
      <c r="J10" s="66"/>
    </row>
    <row r="11" spans="2:10" ht="49.95" customHeight="1">
      <c r="B11" s="43" t="s">
        <v>106</v>
      </c>
      <c r="C11" s="66">
        <v>4</v>
      </c>
      <c r="D11" s="66">
        <v>4</v>
      </c>
      <c r="E11" s="66">
        <v>4</v>
      </c>
      <c r="F11" s="66">
        <v>4</v>
      </c>
      <c r="G11" s="66">
        <v>4</v>
      </c>
      <c r="H11" s="66">
        <v>4</v>
      </c>
      <c r="I11" s="66"/>
      <c r="J11" s="66"/>
    </row>
    <row r="12" spans="2:10" ht="49.95" customHeight="1">
      <c r="B12" s="43" t="s">
        <v>201</v>
      </c>
      <c r="C12" s="66">
        <v>10</v>
      </c>
      <c r="D12" s="66">
        <v>1</v>
      </c>
      <c r="E12" s="66">
        <v>1</v>
      </c>
      <c r="F12" s="66">
        <v>5</v>
      </c>
      <c r="G12" s="66">
        <v>1</v>
      </c>
      <c r="H12" s="66">
        <v>1</v>
      </c>
      <c r="I12" s="66"/>
      <c r="J12" s="66"/>
    </row>
    <row r="14" spans="2:10" ht="49.95" customHeight="1">
      <c r="B14" s="73" t="s">
        <v>184</v>
      </c>
      <c r="C14" s="73"/>
      <c r="D14" s="73"/>
    </row>
    <row r="15" spans="2:10" ht="49.95" customHeight="1">
      <c r="B15" s="16" t="s">
        <v>185</v>
      </c>
      <c r="C15" s="73" t="s">
        <v>186</v>
      </c>
      <c r="D15" s="73"/>
    </row>
    <row r="16" spans="2:10" ht="49.95" customHeight="1">
      <c r="B16" s="44" t="s">
        <v>187</v>
      </c>
      <c r="C16" s="74" t="s">
        <v>188</v>
      </c>
      <c r="D16" s="74"/>
    </row>
    <row r="17" spans="2:4" ht="49.95" customHeight="1">
      <c r="B17" s="75" t="s">
        <v>189</v>
      </c>
      <c r="C17" s="75" t="s">
        <v>190</v>
      </c>
      <c r="D17" s="75"/>
    </row>
    <row r="18" spans="2:4" ht="49.95" customHeight="1">
      <c r="B18" s="75"/>
      <c r="C18" s="75" t="s">
        <v>191</v>
      </c>
      <c r="D18" s="75"/>
    </row>
    <row r="19" spans="2:4" ht="49.95" customHeight="1">
      <c r="B19" s="75"/>
      <c r="C19" s="75" t="s">
        <v>192</v>
      </c>
      <c r="D19" s="75"/>
    </row>
    <row r="20" spans="2:4" ht="49.95" customHeight="1">
      <c r="B20" s="75"/>
      <c r="C20" s="75" t="s">
        <v>193</v>
      </c>
      <c r="D20" s="75"/>
    </row>
    <row r="21" spans="2:4" ht="49.95" customHeight="1">
      <c r="B21" s="75" t="s">
        <v>194</v>
      </c>
      <c r="C21" s="75" t="s">
        <v>195</v>
      </c>
      <c r="D21" s="75"/>
    </row>
    <row r="22" spans="2:4" ht="49.95" customHeight="1">
      <c r="B22" s="75"/>
      <c r="C22" s="75" t="s">
        <v>196</v>
      </c>
      <c r="D22" s="75"/>
    </row>
    <row r="23" spans="2:4" ht="49.95" customHeight="1">
      <c r="B23" s="75"/>
      <c r="C23" s="75" t="s">
        <v>197</v>
      </c>
      <c r="D23" s="75"/>
    </row>
    <row r="24" spans="2:4" ht="49.95" customHeight="1">
      <c r="B24" s="75" t="s">
        <v>198</v>
      </c>
      <c r="C24" s="75" t="s">
        <v>199</v>
      </c>
      <c r="D24" s="75"/>
    </row>
    <row r="25" spans="2:4" ht="49.95" customHeight="1">
      <c r="B25" s="75"/>
      <c r="C25" s="75" t="s">
        <v>200</v>
      </c>
      <c r="D25" s="75"/>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phoneticPr fontId="30" type="noConversion"/>
  <conditionalFormatting sqref="I3:J12">
    <cfRule type="containsBlanks" dxfId="90" priority="2" stopIfTrue="1">
      <formula>LEN(TRIM(I3))=0</formula>
    </cfRule>
  </conditionalFormatting>
  <conditionalFormatting sqref="C3:H12">
    <cfRule type="containsBlanks" dxfId="89"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70" zoomScaleNormal="70" workbookViewId="0">
      <selection activeCell="G12" sqref="G12"/>
    </sheetView>
  </sheetViews>
  <sheetFormatPr defaultColWidth="10.77734375" defaultRowHeight="15"/>
  <cols>
    <col min="1" max="1" width="4.109375" style="1" customWidth="1"/>
    <col min="2" max="2" width="51.44140625" style="1" customWidth="1"/>
    <col min="3" max="9" width="29.109375" style="1" customWidth="1"/>
    <col min="10" max="10" width="57.77734375" style="1" customWidth="1"/>
    <col min="11" max="11" width="31.33203125" style="1" bestFit="1" customWidth="1"/>
    <col min="12" max="15" width="29.109375" style="1" customWidth="1"/>
    <col min="16" max="16384" width="10.77734375" style="1"/>
  </cols>
  <sheetData>
    <row r="1" spans="2:11" ht="67.2" customHeight="1">
      <c r="B1" s="33" t="s">
        <v>291</v>
      </c>
    </row>
    <row r="2" spans="2:11" ht="67.2" customHeight="1">
      <c r="B2" s="32"/>
      <c r="C2" s="16">
        <v>2022</v>
      </c>
      <c r="D2" s="16">
        <v>2023</v>
      </c>
      <c r="E2" s="16">
        <v>2024</v>
      </c>
      <c r="F2" s="16" t="s">
        <v>210</v>
      </c>
      <c r="G2" s="16" t="s">
        <v>146</v>
      </c>
      <c r="H2" s="16" t="s">
        <v>147</v>
      </c>
      <c r="I2" s="16" t="s">
        <v>211</v>
      </c>
      <c r="J2" s="16" t="s">
        <v>209</v>
      </c>
    </row>
    <row r="3" spans="2:11" ht="67.2" customHeight="1">
      <c r="B3" s="16" t="s">
        <v>268</v>
      </c>
      <c r="C3" s="37">
        <v>20</v>
      </c>
      <c r="D3" s="37">
        <v>29</v>
      </c>
      <c r="E3" s="37">
        <v>42</v>
      </c>
      <c r="F3" s="37">
        <v>50</v>
      </c>
      <c r="G3" s="37">
        <v>65</v>
      </c>
      <c r="H3" s="37">
        <v>80</v>
      </c>
      <c r="I3" s="37">
        <v>100</v>
      </c>
      <c r="J3" s="57"/>
    </row>
    <row r="4" spans="2:11" ht="67.2" customHeight="1">
      <c r="B4" s="35" t="s">
        <v>269</v>
      </c>
      <c r="C4" s="37">
        <v>287</v>
      </c>
      <c r="D4" s="37">
        <v>330</v>
      </c>
      <c r="E4" s="37">
        <v>362</v>
      </c>
      <c r="F4" s="37">
        <v>386</v>
      </c>
      <c r="G4" s="37">
        <v>451</v>
      </c>
      <c r="H4" s="37">
        <v>476</v>
      </c>
      <c r="I4" s="37">
        <v>513</v>
      </c>
      <c r="J4" s="57"/>
    </row>
    <row r="5" spans="2:11" ht="67.2" customHeight="1">
      <c r="B5" s="16" t="s">
        <v>270</v>
      </c>
      <c r="C5" s="37">
        <v>342</v>
      </c>
      <c r="D5" s="37">
        <v>352</v>
      </c>
      <c r="E5" s="37">
        <v>333</v>
      </c>
      <c r="F5" s="37">
        <v>397</v>
      </c>
      <c r="G5" s="37">
        <v>449</v>
      </c>
      <c r="H5" s="37">
        <v>502</v>
      </c>
      <c r="I5" s="37">
        <v>561</v>
      </c>
      <c r="J5" s="57"/>
    </row>
    <row r="6" spans="2:11" ht="67.2" customHeight="1">
      <c r="B6" s="16" t="s">
        <v>271</v>
      </c>
      <c r="C6" s="37">
        <v>44</v>
      </c>
      <c r="D6" s="37">
        <v>47</v>
      </c>
      <c r="E6" s="37">
        <v>42</v>
      </c>
      <c r="F6" s="37">
        <v>38</v>
      </c>
      <c r="G6" s="37">
        <v>44</v>
      </c>
      <c r="H6" s="37">
        <v>50</v>
      </c>
      <c r="I6" s="37">
        <v>65</v>
      </c>
      <c r="J6" s="57"/>
      <c r="K6" s="4" t="s">
        <v>219</v>
      </c>
    </row>
    <row r="7" spans="2:11" ht="67.2" customHeight="1">
      <c r="B7" s="16" t="s">
        <v>272</v>
      </c>
      <c r="C7" s="37">
        <v>57</v>
      </c>
      <c r="D7" s="37">
        <v>61</v>
      </c>
      <c r="E7" s="37">
        <v>66</v>
      </c>
      <c r="F7" s="37">
        <v>69</v>
      </c>
      <c r="G7" s="37">
        <v>73</v>
      </c>
      <c r="H7" s="37">
        <v>80</v>
      </c>
      <c r="I7" s="37">
        <v>87</v>
      </c>
      <c r="J7" s="57"/>
    </row>
    <row r="8" spans="2:11" ht="67.2" customHeight="1">
      <c r="B8" s="16" t="s">
        <v>273</v>
      </c>
      <c r="C8" s="37">
        <v>37</v>
      </c>
      <c r="D8" s="37">
        <v>37</v>
      </c>
      <c r="E8" s="37">
        <v>37</v>
      </c>
      <c r="F8" s="37">
        <v>37</v>
      </c>
      <c r="G8" s="37">
        <v>51</v>
      </c>
      <c r="H8" s="37">
        <v>54</v>
      </c>
      <c r="I8" s="37">
        <v>60</v>
      </c>
      <c r="J8" s="57"/>
    </row>
    <row r="9" spans="2:11" ht="67.2" customHeight="1">
      <c r="B9" s="16" t="s">
        <v>274</v>
      </c>
      <c r="C9" s="37">
        <v>5</v>
      </c>
      <c r="D9" s="37">
        <v>5</v>
      </c>
      <c r="E9" s="37">
        <v>7</v>
      </c>
      <c r="F9" s="37">
        <v>8</v>
      </c>
      <c r="G9" s="37">
        <v>8</v>
      </c>
      <c r="H9" s="37">
        <v>9</v>
      </c>
      <c r="I9" s="37">
        <v>9</v>
      </c>
      <c r="J9" s="57"/>
    </row>
    <row r="10" spans="2:11" ht="67.2" customHeight="1">
      <c r="B10" s="35" t="s">
        <v>288</v>
      </c>
      <c r="C10" s="37">
        <v>112</v>
      </c>
      <c r="D10" s="37">
        <v>115</v>
      </c>
      <c r="E10" s="37">
        <v>120</v>
      </c>
      <c r="F10" s="37">
        <v>145</v>
      </c>
      <c r="G10" s="37">
        <v>186</v>
      </c>
      <c r="H10" s="37">
        <v>231</v>
      </c>
      <c r="I10" s="37">
        <v>263</v>
      </c>
      <c r="J10" s="57"/>
    </row>
    <row r="11" spans="2:11" ht="67.2" customHeight="1">
      <c r="B11" s="16" t="s">
        <v>289</v>
      </c>
      <c r="C11" s="37">
        <v>168</v>
      </c>
      <c r="D11" s="37">
        <v>178</v>
      </c>
      <c r="E11" s="37">
        <v>185</v>
      </c>
      <c r="F11" s="37">
        <v>192</v>
      </c>
      <c r="G11" s="37">
        <v>195</v>
      </c>
      <c r="H11" s="37">
        <v>206</v>
      </c>
      <c r="I11" s="37">
        <v>219</v>
      </c>
      <c r="J11" s="57"/>
    </row>
    <row r="12" spans="2:11" ht="67.2" customHeight="1">
      <c r="B12" s="16" t="s">
        <v>290</v>
      </c>
      <c r="C12" s="37">
        <v>39</v>
      </c>
      <c r="D12" s="37">
        <v>43</v>
      </c>
      <c r="E12" s="37">
        <v>45</v>
      </c>
      <c r="F12" s="37">
        <v>52</v>
      </c>
      <c r="G12" s="37">
        <v>59</v>
      </c>
      <c r="H12" s="37">
        <v>65</v>
      </c>
      <c r="I12" s="37">
        <v>72</v>
      </c>
      <c r="J12" s="57"/>
    </row>
    <row r="13" spans="2:11" ht="67.2" customHeight="1">
      <c r="B13" s="16" t="s">
        <v>212</v>
      </c>
      <c r="C13" s="37"/>
      <c r="D13" s="37"/>
      <c r="E13" s="37"/>
      <c r="F13" s="37"/>
      <c r="G13" s="37"/>
      <c r="H13" s="37"/>
      <c r="I13" s="37"/>
      <c r="J13" s="57"/>
    </row>
    <row r="14" spans="2:11" ht="67.2" customHeight="1">
      <c r="B14" s="16" t="s">
        <v>212</v>
      </c>
      <c r="C14" s="37"/>
      <c r="D14" s="37"/>
      <c r="E14" s="37"/>
      <c r="F14" s="37"/>
      <c r="G14" s="37"/>
      <c r="H14" s="37"/>
      <c r="I14" s="37"/>
      <c r="J14" s="57"/>
    </row>
    <row r="15" spans="2:11" ht="67.2" customHeight="1">
      <c r="B15" s="16" t="s">
        <v>212</v>
      </c>
      <c r="C15" s="37"/>
      <c r="D15" s="37"/>
      <c r="E15" s="37"/>
      <c r="F15" s="37"/>
      <c r="G15" s="37"/>
      <c r="H15" s="37"/>
      <c r="I15" s="37"/>
      <c r="J15" s="57"/>
    </row>
    <row r="16" spans="2:11" ht="19.8">
      <c r="B16" s="48" t="s">
        <v>220</v>
      </c>
      <c r="C16" s="49">
        <f t="shared" ref="C16:I16" si="0">SUM(C3:C15)</f>
        <v>1111</v>
      </c>
      <c r="D16" s="49">
        <f t="shared" si="0"/>
        <v>1197</v>
      </c>
      <c r="E16" s="49">
        <f t="shared" si="0"/>
        <v>1239</v>
      </c>
      <c r="F16" s="49">
        <f t="shared" si="0"/>
        <v>1374</v>
      </c>
      <c r="G16" s="49">
        <f t="shared" si="0"/>
        <v>1581</v>
      </c>
      <c r="H16" s="49">
        <f t="shared" si="0"/>
        <v>1753</v>
      </c>
      <c r="I16" s="49">
        <f t="shared" si="0"/>
        <v>1949</v>
      </c>
    </row>
  </sheetData>
  <sheetProtection sheet="1" objects="1" scenarios="1"/>
  <phoneticPr fontId="30" type="noConversion"/>
  <conditionalFormatting sqref="C3:J15">
    <cfRule type="notContainsBlanks" dxfId="88"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topLeftCell="A7" workbookViewId="0">
      <selection activeCell="B7" sqref="B7"/>
    </sheetView>
  </sheetViews>
  <sheetFormatPr defaultColWidth="10.77734375" defaultRowHeight="16.2"/>
  <cols>
    <col min="1" max="1" width="5.33203125" customWidth="1"/>
    <col min="2" max="2" width="34.44140625" customWidth="1"/>
  </cols>
  <sheetData>
    <row r="2" spans="2:11" ht="46.95" customHeight="1">
      <c r="B2" s="76" t="s">
        <v>318</v>
      </c>
      <c r="C2" s="76"/>
      <c r="D2" s="76"/>
      <c r="E2" s="76"/>
      <c r="F2" s="76"/>
      <c r="G2" s="76"/>
      <c r="H2" s="76"/>
      <c r="I2" s="76"/>
      <c r="J2" s="76"/>
      <c r="K2" s="76"/>
    </row>
    <row r="3" spans="2:11" ht="46.95" customHeight="1">
      <c r="B3" s="76"/>
      <c r="C3" s="76"/>
      <c r="D3" s="76"/>
      <c r="E3" s="76"/>
      <c r="F3" s="76"/>
      <c r="G3" s="76"/>
      <c r="H3" s="76"/>
      <c r="I3" s="76"/>
      <c r="J3" s="76"/>
      <c r="K3" s="76"/>
    </row>
    <row r="4" spans="2:11" ht="46.95" customHeight="1">
      <c r="B4" s="76"/>
      <c r="C4" s="76"/>
      <c r="D4" s="76"/>
      <c r="E4" s="76"/>
      <c r="F4" s="76"/>
      <c r="G4" s="76"/>
      <c r="H4" s="76"/>
      <c r="I4" s="76"/>
      <c r="J4" s="76"/>
      <c r="K4" s="76"/>
    </row>
    <row r="5" spans="2:11" ht="46.95" customHeight="1">
      <c r="B5" s="76"/>
      <c r="C5" s="76"/>
      <c r="D5" s="76"/>
      <c r="E5" s="76"/>
      <c r="F5" s="76"/>
      <c r="G5" s="76"/>
      <c r="H5" s="76"/>
      <c r="I5" s="76"/>
      <c r="J5" s="76"/>
      <c r="K5" s="76"/>
    </row>
  </sheetData>
  <mergeCells count="1">
    <mergeCell ref="B2:K5"/>
  </mergeCells>
  <phoneticPr fontId="30"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2" zoomScale="70" zoomScaleNormal="70" workbookViewId="0">
      <pane xSplit="2" ySplit="2" topLeftCell="J4" activePane="bottomRight" state="frozen"/>
      <selection activeCell="A2" sqref="A2"/>
      <selection pane="topRight" activeCell="C2" sqref="C2"/>
      <selection pane="bottomLeft" activeCell="A4" sqref="A4"/>
      <selection pane="bottomRight" activeCell="O10" sqref="O10"/>
    </sheetView>
  </sheetViews>
  <sheetFormatPr defaultColWidth="11.44140625" defaultRowHeight="16.2"/>
  <cols>
    <col min="1" max="1" width="4.109375" style="1" customWidth="1"/>
    <col min="2" max="2" width="51.44140625" style="1" customWidth="1"/>
    <col min="3" max="22" width="29.109375" style="1" customWidth="1"/>
    <col min="23" max="23" width="57.77734375" style="1" customWidth="1"/>
  </cols>
  <sheetData>
    <row r="1" spans="2:23" ht="60" customHeight="1">
      <c r="B1" s="33" t="s">
        <v>249</v>
      </c>
    </row>
    <row r="2" spans="2:23" ht="60" customHeight="1">
      <c r="B2" s="62" t="s">
        <v>242</v>
      </c>
      <c r="C2" s="77" t="s">
        <v>244</v>
      </c>
      <c r="D2" s="77"/>
      <c r="E2" s="77"/>
      <c r="F2" s="77"/>
      <c r="G2" s="77" t="s">
        <v>245</v>
      </c>
      <c r="H2" s="77"/>
      <c r="I2" s="77"/>
      <c r="J2" s="77"/>
      <c r="K2" s="77"/>
      <c r="L2" s="77" t="s">
        <v>308</v>
      </c>
      <c r="M2" s="77"/>
      <c r="N2" s="77"/>
      <c r="O2" s="77"/>
      <c r="P2" s="77"/>
      <c r="Q2" s="77"/>
      <c r="R2" s="77"/>
      <c r="S2" s="77" t="s">
        <v>246</v>
      </c>
      <c r="T2" s="77"/>
      <c r="U2" s="77"/>
      <c r="V2" s="77"/>
    </row>
    <row r="3" spans="2:23" ht="60" customHeight="1">
      <c r="B3" s="16" t="s">
        <v>243</v>
      </c>
      <c r="C3" s="63" t="s">
        <v>247</v>
      </c>
      <c r="D3" s="63" t="s">
        <v>300</v>
      </c>
      <c r="E3" s="63" t="s">
        <v>237</v>
      </c>
      <c r="F3" s="63" t="s">
        <v>295</v>
      </c>
      <c r="G3" s="63" t="s">
        <v>41</v>
      </c>
      <c r="H3" s="63" t="s">
        <v>248</v>
      </c>
      <c r="I3" s="63" t="s">
        <v>238</v>
      </c>
      <c r="J3" s="63" t="s">
        <v>239</v>
      </c>
      <c r="K3" s="63" t="s">
        <v>292</v>
      </c>
      <c r="L3" s="63" t="s">
        <v>309</v>
      </c>
      <c r="M3" s="64" t="s">
        <v>315</v>
      </c>
      <c r="N3" s="63" t="s">
        <v>310</v>
      </c>
      <c r="O3" s="63" t="s">
        <v>314</v>
      </c>
      <c r="P3" s="63" t="s">
        <v>311</v>
      </c>
      <c r="Q3" s="63" t="s">
        <v>312</v>
      </c>
      <c r="R3" s="63" t="s">
        <v>313</v>
      </c>
      <c r="S3" s="63" t="s">
        <v>24</v>
      </c>
      <c r="T3" s="63" t="s">
        <v>240</v>
      </c>
      <c r="U3" s="63" t="s">
        <v>298</v>
      </c>
      <c r="V3" s="63" t="s">
        <v>241</v>
      </c>
      <c r="W3" s="16" t="s">
        <v>209</v>
      </c>
    </row>
    <row r="4" spans="2:23" ht="60" customHeight="1">
      <c r="B4" s="16" t="s">
        <v>256</v>
      </c>
      <c r="C4" s="37" t="s">
        <v>36</v>
      </c>
      <c r="D4" s="37" t="s">
        <v>36</v>
      </c>
      <c r="E4" s="37" t="s">
        <v>36</v>
      </c>
      <c r="F4" s="37" t="s">
        <v>36</v>
      </c>
      <c r="G4" s="37" t="s">
        <v>36</v>
      </c>
      <c r="H4" s="37" t="s">
        <v>36</v>
      </c>
      <c r="I4" s="37" t="s">
        <v>37</v>
      </c>
      <c r="J4" s="37" t="s">
        <v>36</v>
      </c>
      <c r="K4" s="37" t="s">
        <v>36</v>
      </c>
      <c r="L4" s="37" t="s">
        <v>326</v>
      </c>
      <c r="M4" s="37" t="s">
        <v>326</v>
      </c>
      <c r="N4" s="37" t="s">
        <v>36</v>
      </c>
      <c r="O4" s="37" t="s">
        <v>36</v>
      </c>
      <c r="P4" s="37" t="s">
        <v>326</v>
      </c>
      <c r="Q4" s="37" t="s">
        <v>37</v>
      </c>
      <c r="R4" s="37" t="s">
        <v>36</v>
      </c>
      <c r="S4" s="37" t="s">
        <v>36</v>
      </c>
      <c r="T4" s="37" t="s">
        <v>36</v>
      </c>
      <c r="U4" s="37" t="s">
        <v>36</v>
      </c>
      <c r="V4" s="37" t="s">
        <v>36</v>
      </c>
      <c r="W4" s="57"/>
    </row>
    <row r="5" spans="2:23" ht="60" customHeight="1">
      <c r="B5" s="35" t="s">
        <v>276</v>
      </c>
      <c r="C5" s="37" t="s">
        <v>324</v>
      </c>
      <c r="D5" s="37" t="s">
        <v>324</v>
      </c>
      <c r="E5" s="37" t="s">
        <v>324</v>
      </c>
      <c r="F5" s="37" t="s">
        <v>324</v>
      </c>
      <c r="G5" s="37" t="s">
        <v>324</v>
      </c>
      <c r="H5" s="37" t="s">
        <v>339</v>
      </c>
      <c r="I5" s="37" t="s">
        <v>340</v>
      </c>
      <c r="J5" s="37" t="s">
        <v>324</v>
      </c>
      <c r="K5" s="37" t="s">
        <v>324</v>
      </c>
      <c r="L5" s="37" t="s">
        <v>340</v>
      </c>
      <c r="M5" s="37" t="s">
        <v>340</v>
      </c>
      <c r="N5" s="37" t="s">
        <v>339</v>
      </c>
      <c r="O5" s="37" t="s">
        <v>324</v>
      </c>
      <c r="P5" s="37" t="s">
        <v>340</v>
      </c>
      <c r="Q5" s="37" t="s">
        <v>340</v>
      </c>
      <c r="R5" s="37" t="s">
        <v>339</v>
      </c>
      <c r="S5" s="37" t="s">
        <v>324</v>
      </c>
      <c r="T5" s="37" t="s">
        <v>324</v>
      </c>
      <c r="U5" s="37" t="s">
        <v>324</v>
      </c>
      <c r="V5" s="37" t="s">
        <v>324</v>
      </c>
      <c r="W5" s="57"/>
    </row>
    <row r="6" spans="2:23" ht="60" customHeight="1">
      <c r="B6" s="35" t="s">
        <v>257</v>
      </c>
      <c r="C6" s="37" t="s">
        <v>36</v>
      </c>
      <c r="D6" s="37" t="s">
        <v>36</v>
      </c>
      <c r="E6" s="37" t="s">
        <v>36</v>
      </c>
      <c r="F6" s="37" t="s">
        <v>36</v>
      </c>
      <c r="G6" s="37" t="s">
        <v>36</v>
      </c>
      <c r="H6" s="37" t="s">
        <v>36</v>
      </c>
      <c r="I6" s="37" t="s">
        <v>36</v>
      </c>
      <c r="J6" s="37" t="s">
        <v>37</v>
      </c>
      <c r="K6" s="37" t="s">
        <v>36</v>
      </c>
      <c r="L6" s="37" t="s">
        <v>326</v>
      </c>
      <c r="M6" s="37" t="s">
        <v>326</v>
      </c>
      <c r="N6" s="37" t="s">
        <v>36</v>
      </c>
      <c r="O6" s="37" t="s">
        <v>36</v>
      </c>
      <c r="P6" s="37" t="s">
        <v>326</v>
      </c>
      <c r="Q6" s="37" t="s">
        <v>37</v>
      </c>
      <c r="R6" s="37" t="s">
        <v>36</v>
      </c>
      <c r="S6" s="37" t="s">
        <v>36</v>
      </c>
      <c r="T6" s="37" t="s">
        <v>36</v>
      </c>
      <c r="U6" s="37" t="s">
        <v>36</v>
      </c>
      <c r="V6" s="37" t="s">
        <v>36</v>
      </c>
      <c r="W6" s="57"/>
    </row>
    <row r="7" spans="2:23" ht="60" customHeight="1">
      <c r="B7" s="35" t="s">
        <v>22</v>
      </c>
      <c r="C7" s="37" t="s">
        <v>325</v>
      </c>
      <c r="D7" s="37" t="s">
        <v>325</v>
      </c>
      <c r="E7" s="37" t="s">
        <v>325</v>
      </c>
      <c r="F7" s="37" t="s">
        <v>325</v>
      </c>
      <c r="G7" s="37" t="s">
        <v>325</v>
      </c>
      <c r="H7" s="37" t="s">
        <v>325</v>
      </c>
      <c r="I7" s="37"/>
      <c r="J7" s="37" t="s">
        <v>355</v>
      </c>
      <c r="K7" s="37" t="s">
        <v>325</v>
      </c>
      <c r="L7" s="37"/>
      <c r="M7" s="37"/>
      <c r="N7" s="37" t="s">
        <v>325</v>
      </c>
      <c r="O7" s="37" t="s">
        <v>325</v>
      </c>
      <c r="P7" s="37"/>
      <c r="Q7" s="37"/>
      <c r="R7" s="37" t="s">
        <v>325</v>
      </c>
      <c r="S7" s="37" t="s">
        <v>325</v>
      </c>
      <c r="T7" s="37" t="s">
        <v>325</v>
      </c>
      <c r="U7" s="37" t="s">
        <v>325</v>
      </c>
      <c r="V7" s="37" t="s">
        <v>325</v>
      </c>
      <c r="W7" s="57"/>
    </row>
    <row r="8" spans="2:23" ht="60" customHeight="1">
      <c r="B8" s="35" t="s">
        <v>275</v>
      </c>
      <c r="C8" s="37">
        <v>50</v>
      </c>
      <c r="D8" s="37">
        <v>100</v>
      </c>
      <c r="E8" s="37">
        <v>50</v>
      </c>
      <c r="F8" s="37">
        <v>20</v>
      </c>
      <c r="G8" s="37">
        <v>40</v>
      </c>
      <c r="H8" s="37">
        <v>10</v>
      </c>
      <c r="I8" s="37"/>
      <c r="J8" s="37">
        <v>500</v>
      </c>
      <c r="K8" s="37">
        <v>150</v>
      </c>
      <c r="L8" s="37"/>
      <c r="M8" s="37"/>
      <c r="N8" s="37">
        <v>10</v>
      </c>
      <c r="O8" s="37">
        <v>30</v>
      </c>
      <c r="P8" s="37"/>
      <c r="Q8" s="37"/>
      <c r="R8" s="37">
        <v>10</v>
      </c>
      <c r="S8" s="37">
        <v>70</v>
      </c>
      <c r="T8" s="37">
        <v>15</v>
      </c>
      <c r="U8" s="37">
        <v>20</v>
      </c>
      <c r="V8" s="37">
        <v>30</v>
      </c>
      <c r="W8" s="57"/>
    </row>
    <row r="9" spans="2:23" ht="60" customHeight="1">
      <c r="B9" s="35" t="s">
        <v>258</v>
      </c>
      <c r="C9" s="37" t="s">
        <v>341</v>
      </c>
      <c r="D9" s="37" t="s">
        <v>342</v>
      </c>
      <c r="E9" s="37" t="s">
        <v>353</v>
      </c>
      <c r="F9" s="37" t="s">
        <v>343</v>
      </c>
      <c r="G9" s="37" t="s">
        <v>344</v>
      </c>
      <c r="H9" s="37" t="s">
        <v>448</v>
      </c>
      <c r="I9" s="37"/>
      <c r="J9" s="37" t="s">
        <v>356</v>
      </c>
      <c r="K9" s="37" t="s">
        <v>345</v>
      </c>
      <c r="L9" s="37"/>
      <c r="M9" s="37"/>
      <c r="N9" s="37" t="s">
        <v>346</v>
      </c>
      <c r="O9" s="37" t="s">
        <v>347</v>
      </c>
      <c r="P9" s="37"/>
      <c r="Q9" s="37"/>
      <c r="R9" s="37" t="s">
        <v>348</v>
      </c>
      <c r="S9" s="37" t="s">
        <v>349</v>
      </c>
      <c r="T9" s="37" t="s">
        <v>352</v>
      </c>
      <c r="U9" s="37" t="s">
        <v>350</v>
      </c>
      <c r="V9" s="37" t="s">
        <v>351</v>
      </c>
      <c r="W9" s="57"/>
    </row>
    <row r="10" spans="2:23" ht="60" customHeight="1">
      <c r="B10" s="35" t="s">
        <v>307</v>
      </c>
      <c r="C10" s="37"/>
      <c r="D10" s="37"/>
      <c r="E10" s="37"/>
      <c r="F10" s="37"/>
      <c r="G10" s="37" t="s">
        <v>450</v>
      </c>
      <c r="H10" s="37" t="s">
        <v>450</v>
      </c>
      <c r="I10" s="37"/>
      <c r="J10" s="37"/>
      <c r="K10" s="37" t="s">
        <v>450</v>
      </c>
      <c r="L10" s="37"/>
      <c r="M10" s="37"/>
      <c r="N10" s="37" t="s">
        <v>450</v>
      </c>
      <c r="O10" s="37" t="s">
        <v>450</v>
      </c>
      <c r="P10" s="37"/>
      <c r="Q10" s="37"/>
      <c r="R10" s="37" t="s">
        <v>450</v>
      </c>
      <c r="S10" s="37" t="s">
        <v>450</v>
      </c>
      <c r="T10" s="37" t="s">
        <v>450</v>
      </c>
      <c r="U10" s="37" t="s">
        <v>450</v>
      </c>
      <c r="V10" s="37" t="s">
        <v>450</v>
      </c>
      <c r="W10" s="57"/>
    </row>
    <row r="11" spans="2:23" ht="60" customHeight="1">
      <c r="B11" s="35" t="s">
        <v>277</v>
      </c>
      <c r="C11" s="37" t="s">
        <v>437</v>
      </c>
      <c r="D11" s="37" t="s">
        <v>438</v>
      </c>
      <c r="E11" s="37" t="s">
        <v>439</v>
      </c>
      <c r="F11" s="37" t="s">
        <v>440</v>
      </c>
      <c r="G11" s="37" t="s">
        <v>438</v>
      </c>
      <c r="H11" s="37" t="s">
        <v>438</v>
      </c>
      <c r="I11" s="37"/>
      <c r="J11" s="37" t="s">
        <v>357</v>
      </c>
      <c r="K11" s="37" t="s">
        <v>438</v>
      </c>
      <c r="L11" s="37"/>
      <c r="M11" s="37"/>
      <c r="N11" s="37" t="s">
        <v>441</v>
      </c>
      <c r="O11" s="37" t="s">
        <v>438</v>
      </c>
      <c r="P11" s="37"/>
      <c r="Q11" s="37"/>
      <c r="R11" s="37" t="s">
        <v>439</v>
      </c>
      <c r="S11" s="37" t="s">
        <v>439</v>
      </c>
      <c r="T11" s="37" t="s">
        <v>438</v>
      </c>
      <c r="U11" s="37" t="s">
        <v>439</v>
      </c>
      <c r="V11" s="37" t="s">
        <v>439</v>
      </c>
      <c r="W11" s="57"/>
    </row>
    <row r="12" spans="2:23" ht="60" customHeight="1">
      <c r="B12" s="16" t="s">
        <v>259</v>
      </c>
      <c r="C12" s="37" t="s">
        <v>449</v>
      </c>
      <c r="D12" s="37" t="s">
        <v>416</v>
      </c>
      <c r="E12" s="37" t="s">
        <v>416</v>
      </c>
      <c r="F12" s="37" t="s">
        <v>416</v>
      </c>
      <c r="G12" s="37" t="s">
        <v>417</v>
      </c>
      <c r="H12" s="37" t="s">
        <v>446</v>
      </c>
      <c r="I12" s="37"/>
      <c r="J12" s="37" t="s">
        <v>358</v>
      </c>
      <c r="K12" s="37" t="s">
        <v>418</v>
      </c>
      <c r="L12" s="37"/>
      <c r="M12" s="37"/>
      <c r="N12" s="37" t="s">
        <v>419</v>
      </c>
      <c r="O12" s="37" t="s">
        <v>420</v>
      </c>
      <c r="P12" s="37"/>
      <c r="Q12" s="37"/>
      <c r="R12" s="37" t="s">
        <v>421</v>
      </c>
      <c r="S12" s="37" t="s">
        <v>442</v>
      </c>
      <c r="T12" s="37" t="s">
        <v>443</v>
      </c>
      <c r="U12" s="37" t="s">
        <v>444</v>
      </c>
      <c r="V12" s="37" t="s">
        <v>445</v>
      </c>
      <c r="W12" s="57"/>
    </row>
    <row r="13" spans="2:23" ht="60" customHeight="1">
      <c r="B13" s="35" t="s">
        <v>254</v>
      </c>
      <c r="C13" s="37"/>
      <c r="D13" s="37"/>
      <c r="E13" s="37"/>
      <c r="F13" s="37"/>
      <c r="G13" s="37" t="s">
        <v>423</v>
      </c>
      <c r="H13" s="37" t="s">
        <v>422</v>
      </c>
      <c r="I13" s="37"/>
      <c r="J13" s="37" t="s">
        <v>359</v>
      </c>
      <c r="K13" s="37" t="s">
        <v>424</v>
      </c>
      <c r="L13" s="37"/>
      <c r="M13" s="37"/>
      <c r="N13" s="37" t="s">
        <v>422</v>
      </c>
      <c r="O13" s="37" t="s">
        <v>425</v>
      </c>
      <c r="P13" s="37"/>
      <c r="Q13" s="37"/>
      <c r="R13" s="37" t="s">
        <v>426</v>
      </c>
      <c r="S13" s="37" t="s">
        <v>427</v>
      </c>
      <c r="T13" s="37" t="s">
        <v>428</v>
      </c>
      <c r="U13" s="37" t="s">
        <v>429</v>
      </c>
      <c r="V13" s="37" t="s">
        <v>430</v>
      </c>
      <c r="W13" s="57"/>
    </row>
    <row r="14" spans="2:23" ht="60" customHeight="1">
      <c r="B14" s="16" t="s">
        <v>250</v>
      </c>
      <c r="C14" s="37"/>
      <c r="D14" s="37"/>
      <c r="E14" s="37"/>
      <c r="F14" s="37"/>
      <c r="G14" s="37" t="s">
        <v>431</v>
      </c>
      <c r="H14" s="37"/>
      <c r="I14" s="37"/>
      <c r="J14" s="37" t="s">
        <v>360</v>
      </c>
      <c r="K14" s="37" t="s">
        <v>436</v>
      </c>
      <c r="L14" s="37"/>
      <c r="M14" s="37"/>
      <c r="N14" s="37"/>
      <c r="O14" s="37" t="s">
        <v>432</v>
      </c>
      <c r="P14" s="37"/>
      <c r="Q14" s="37"/>
      <c r="R14" s="37" t="s">
        <v>447</v>
      </c>
      <c r="S14" s="37" t="s">
        <v>433</v>
      </c>
      <c r="T14" s="37" t="s">
        <v>433</v>
      </c>
      <c r="U14" s="37" t="s">
        <v>433</v>
      </c>
      <c r="V14" s="37" t="s">
        <v>433</v>
      </c>
      <c r="W14" s="57"/>
    </row>
    <row r="15" spans="2:23" ht="60" customHeight="1">
      <c r="B15" s="16" t="s">
        <v>253</v>
      </c>
      <c r="C15" s="37"/>
      <c r="D15" s="37"/>
      <c r="E15" s="37"/>
      <c r="F15" s="37"/>
      <c r="G15" s="37"/>
      <c r="H15" s="37"/>
      <c r="I15" s="37"/>
      <c r="J15" s="37"/>
      <c r="K15" s="37"/>
      <c r="L15" s="37"/>
      <c r="M15" s="37"/>
      <c r="N15" s="37"/>
      <c r="O15" s="37"/>
      <c r="P15" s="37"/>
      <c r="Q15" s="37"/>
      <c r="R15" s="37"/>
      <c r="S15" s="37"/>
      <c r="T15" s="37"/>
      <c r="U15" s="37"/>
      <c r="V15" s="37"/>
      <c r="W15" s="57"/>
    </row>
    <row r="16" spans="2:23" ht="60" customHeight="1">
      <c r="B16" s="35" t="s">
        <v>255</v>
      </c>
      <c r="C16" s="37"/>
      <c r="D16" s="37"/>
      <c r="E16" s="37"/>
      <c r="F16" s="37"/>
      <c r="G16" s="37"/>
      <c r="H16" s="37"/>
      <c r="I16" s="37"/>
      <c r="J16" s="37" t="s">
        <v>359</v>
      </c>
      <c r="K16" s="37" t="s">
        <v>435</v>
      </c>
      <c r="L16" s="37"/>
      <c r="M16" s="37"/>
      <c r="N16" s="37"/>
      <c r="O16" s="37"/>
      <c r="P16" s="37"/>
      <c r="Q16" s="37"/>
      <c r="R16" s="37"/>
      <c r="S16" s="37" t="s">
        <v>434</v>
      </c>
      <c r="T16" s="37" t="s">
        <v>434</v>
      </c>
      <c r="U16" s="37" t="s">
        <v>434</v>
      </c>
      <c r="V16" s="37" t="s">
        <v>434</v>
      </c>
      <c r="W16" s="57"/>
    </row>
    <row r="17" spans="2:23" ht="60" customHeight="1">
      <c r="B17" s="16" t="s">
        <v>251</v>
      </c>
      <c r="C17" s="37"/>
      <c r="D17" s="37"/>
      <c r="E17" s="37"/>
      <c r="F17" s="37"/>
      <c r="G17" s="37"/>
      <c r="H17" s="37"/>
      <c r="I17" s="37"/>
      <c r="J17" s="37" t="s">
        <v>361</v>
      </c>
      <c r="K17" s="37"/>
      <c r="L17" s="37"/>
      <c r="M17" s="37"/>
      <c r="N17" s="37"/>
      <c r="O17" s="37"/>
      <c r="P17" s="37"/>
      <c r="Q17" s="37"/>
      <c r="R17" s="37"/>
      <c r="S17" s="37"/>
      <c r="T17" s="37"/>
      <c r="U17" s="37"/>
      <c r="V17" s="37"/>
      <c r="W17" s="57"/>
    </row>
    <row r="18" spans="2:23" ht="60" customHeight="1">
      <c r="B18" s="16" t="s">
        <v>252</v>
      </c>
      <c r="C18" s="37"/>
      <c r="D18" s="37"/>
      <c r="E18" s="37"/>
      <c r="F18" s="37"/>
      <c r="G18" s="37"/>
      <c r="H18" s="37"/>
      <c r="I18" s="37"/>
      <c r="J18" s="37" t="s">
        <v>362</v>
      </c>
      <c r="K18" s="37"/>
      <c r="L18" s="37"/>
      <c r="M18" s="37"/>
      <c r="N18" s="37"/>
      <c r="O18" s="37"/>
      <c r="P18" s="37"/>
      <c r="Q18" s="37"/>
      <c r="R18" s="37"/>
      <c r="S18" s="37"/>
      <c r="T18" s="37"/>
      <c r="U18" s="37"/>
      <c r="V18" s="37"/>
      <c r="W18" s="57"/>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0" type="noConversion"/>
  <conditionalFormatting sqref="W4:W18">
    <cfRule type="notContainsBlanks" dxfId="28" priority="27" stopIfTrue="1">
      <formula>LEN(TRIM(W4))&gt;0</formula>
    </cfRule>
  </conditionalFormatting>
  <conditionalFormatting sqref="J4:J18">
    <cfRule type="notContainsBlanks" dxfId="87" priority="23" stopIfTrue="1">
      <formula>LEN(TRIM(J4))&gt;0</formula>
    </cfRule>
  </conditionalFormatting>
  <conditionalFormatting sqref="C12:I18 I11 C4:I10">
    <cfRule type="notContainsBlanks" dxfId="29" priority="22" stopIfTrue="1">
      <formula>LEN(TRIM(C4))&gt;0</formula>
    </cfRule>
  </conditionalFormatting>
  <conditionalFormatting sqref="K4:V9 L13:M13 P13:R13 L14:V14 K15:V18 K12:V12 L10:M11 P10:Q11">
    <cfRule type="notContainsBlanks" dxfId="27" priority="21" stopIfTrue="1">
      <formula>LEN(TRIM(K4))&gt;0</formula>
    </cfRule>
  </conditionalFormatting>
  <conditionalFormatting sqref="K13">
    <cfRule type="notContainsBlanks" dxfId="20" priority="20" stopIfTrue="1">
      <formula>LEN(TRIM(K13))&gt;0</formula>
    </cfRule>
  </conditionalFormatting>
  <conditionalFormatting sqref="N13">
    <cfRule type="notContainsBlanks" dxfId="19" priority="19" stopIfTrue="1">
      <formula>LEN(TRIM(N13))&gt;0</formula>
    </cfRule>
  </conditionalFormatting>
  <conditionalFormatting sqref="O13">
    <cfRule type="notContainsBlanks" dxfId="18" priority="18" stopIfTrue="1">
      <formula>LEN(TRIM(O13))&gt;0</formula>
    </cfRule>
  </conditionalFormatting>
  <conditionalFormatting sqref="S13">
    <cfRule type="notContainsBlanks" dxfId="17" priority="17" stopIfTrue="1">
      <formula>LEN(TRIM(S13))&gt;0</formula>
    </cfRule>
  </conditionalFormatting>
  <conditionalFormatting sqref="T13">
    <cfRule type="notContainsBlanks" dxfId="16" priority="16" stopIfTrue="1">
      <formula>LEN(TRIM(T13))&gt;0</formula>
    </cfRule>
  </conditionalFormatting>
  <conditionalFormatting sqref="U13">
    <cfRule type="notContainsBlanks" dxfId="15" priority="15" stopIfTrue="1">
      <formula>LEN(TRIM(U13))&gt;0</formula>
    </cfRule>
  </conditionalFormatting>
  <conditionalFormatting sqref="V13">
    <cfRule type="notContainsBlanks" dxfId="14" priority="14" stopIfTrue="1">
      <formula>LEN(TRIM(V13))&gt;0</formula>
    </cfRule>
  </conditionalFormatting>
  <conditionalFormatting sqref="K14">
    <cfRule type="notContainsBlanks" dxfId="13" priority="13" stopIfTrue="1">
      <formula>LEN(TRIM(K14))&gt;0</formula>
    </cfRule>
  </conditionalFormatting>
  <conditionalFormatting sqref="C11:H11">
    <cfRule type="notContainsBlanks" dxfId="11" priority="12" stopIfTrue="1">
      <formula>LEN(TRIM(C11))&gt;0</formula>
    </cfRule>
  </conditionalFormatting>
  <conditionalFormatting sqref="K11">
    <cfRule type="notContainsBlanks" dxfId="10" priority="11" stopIfTrue="1">
      <formula>LEN(TRIM(K11))&gt;0</formula>
    </cfRule>
  </conditionalFormatting>
  <conditionalFormatting sqref="N11:O11">
    <cfRule type="notContainsBlanks" dxfId="9" priority="10" stopIfTrue="1">
      <formula>LEN(TRIM(N11))&gt;0</formula>
    </cfRule>
  </conditionalFormatting>
  <conditionalFormatting sqref="R11:V11">
    <cfRule type="notContainsBlanks" dxfId="8" priority="9" stopIfTrue="1">
      <formula>LEN(TRIM(R11))&gt;0</formula>
    </cfRule>
  </conditionalFormatting>
  <conditionalFormatting sqref="K10">
    <cfRule type="notContainsBlanks" dxfId="7" priority="8" stopIfTrue="1">
      <formula>LEN(TRIM(K10))&gt;0</formula>
    </cfRule>
  </conditionalFormatting>
  <conditionalFormatting sqref="N10">
    <cfRule type="notContainsBlanks" dxfId="6" priority="7" stopIfTrue="1">
      <formula>LEN(TRIM(N10))&gt;0</formula>
    </cfRule>
  </conditionalFormatting>
  <conditionalFormatting sqref="O10">
    <cfRule type="notContainsBlanks" dxfId="5" priority="6" stopIfTrue="1">
      <formula>LEN(TRIM(O10))&gt;0</formula>
    </cfRule>
  </conditionalFormatting>
  <conditionalFormatting sqref="R10">
    <cfRule type="notContainsBlanks" dxfId="4" priority="5" stopIfTrue="1">
      <formula>LEN(TRIM(R10))&gt;0</formula>
    </cfRule>
  </conditionalFormatting>
  <conditionalFormatting sqref="S10">
    <cfRule type="notContainsBlanks" dxfId="3" priority="4" stopIfTrue="1">
      <formula>LEN(TRIM(S10))&gt;0</formula>
    </cfRule>
  </conditionalFormatting>
  <conditionalFormatting sqref="T10">
    <cfRule type="notContainsBlanks" dxfId="2" priority="3" stopIfTrue="1">
      <formula>LEN(TRIM(T10))&gt;0</formula>
    </cfRule>
  </conditionalFormatting>
  <conditionalFormatting sqref="U10">
    <cfRule type="notContainsBlanks" dxfId="1" priority="2" stopIfTrue="1">
      <formula>LEN(TRIM(U10))&gt;0</formula>
    </cfRule>
  </conditionalFormatting>
  <conditionalFormatting sqref="V10">
    <cfRule type="notContainsBlanks" dxfId="0" priority="1" stopIfTrue="1">
      <formula>LEN(TRIM(V10))&gt;0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10" workbookViewId="0">
      <selection activeCell="M6" sqref="M6"/>
    </sheetView>
  </sheetViews>
  <sheetFormatPr defaultColWidth="10.77734375" defaultRowHeight="16.2"/>
  <cols>
    <col min="1" max="1" width="5.44140625" customWidth="1"/>
  </cols>
  <sheetData>
    <row r="3" spans="2:11" ht="34.200000000000003" customHeight="1">
      <c r="B3" s="76" t="s">
        <v>226</v>
      </c>
      <c r="C3" s="76"/>
      <c r="D3" s="76"/>
      <c r="E3" s="76"/>
      <c r="F3" s="76"/>
      <c r="G3" s="76"/>
      <c r="H3" s="76"/>
      <c r="I3" s="76"/>
      <c r="J3" s="76"/>
      <c r="K3" s="76"/>
    </row>
    <row r="4" spans="2:11" ht="34.200000000000003" customHeight="1">
      <c r="B4" s="76"/>
      <c r="C4" s="76"/>
      <c r="D4" s="76"/>
      <c r="E4" s="76"/>
      <c r="F4" s="76"/>
      <c r="G4" s="76"/>
      <c r="H4" s="76"/>
      <c r="I4" s="76"/>
      <c r="J4" s="76"/>
      <c r="K4" s="76"/>
    </row>
    <row r="5" spans="2:11" ht="34.200000000000003" customHeight="1">
      <c r="B5" s="76"/>
      <c r="C5" s="76"/>
      <c r="D5" s="76"/>
      <c r="E5" s="76"/>
      <c r="F5" s="76"/>
      <c r="G5" s="76"/>
      <c r="H5" s="76"/>
      <c r="I5" s="76"/>
      <c r="J5" s="76"/>
      <c r="K5" s="76"/>
    </row>
    <row r="6" spans="2:11" ht="34.200000000000003" customHeight="1">
      <c r="B6" s="76"/>
      <c r="C6" s="76"/>
      <c r="D6" s="76"/>
      <c r="E6" s="76"/>
      <c r="F6" s="76"/>
      <c r="G6" s="76"/>
      <c r="H6" s="76"/>
      <c r="I6" s="76"/>
      <c r="J6" s="76"/>
      <c r="K6" s="76"/>
    </row>
    <row r="12" spans="2:11">
      <c r="B12" s="54"/>
    </row>
    <row r="15" spans="2:11">
      <c r="B15" s="54"/>
    </row>
    <row r="18" spans="2:2">
      <c r="B18" s="54"/>
    </row>
    <row r="21" spans="2:2">
      <c r="B21" s="54"/>
    </row>
    <row r="24" spans="2:2">
      <c r="B24" s="54"/>
    </row>
  </sheetData>
  <mergeCells count="1">
    <mergeCell ref="B3:K6"/>
  </mergeCells>
  <phoneticPr fontId="30"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60" zoomScaleNormal="60" workbookViewId="0">
      <selection activeCell="F11" sqref="F11"/>
    </sheetView>
  </sheetViews>
  <sheetFormatPr defaultColWidth="10.77734375" defaultRowHeight="20.399999999999999"/>
  <cols>
    <col min="1" max="1" width="4.109375" style="51" customWidth="1"/>
    <col min="2" max="2" width="200.77734375" style="10" customWidth="1"/>
    <col min="3" max="3" width="67.44140625" style="13" customWidth="1"/>
    <col min="4" max="16384" width="10.77734375" style="46"/>
  </cols>
  <sheetData>
    <row r="2" spans="2:4" ht="21">
      <c r="B2" s="8" t="s">
        <v>235</v>
      </c>
      <c r="C2" s="11"/>
    </row>
    <row r="3" spans="2:4" ht="21">
      <c r="B3" s="39" t="s">
        <v>233</v>
      </c>
      <c r="C3" s="53"/>
    </row>
    <row r="4" spans="2:4" ht="21">
      <c r="B4" s="52" t="s">
        <v>262</v>
      </c>
      <c r="C4" s="53"/>
    </row>
    <row r="5" spans="2:4" ht="81.599999999999994">
      <c r="B5" s="50" t="s">
        <v>285</v>
      </c>
      <c r="C5" s="45" t="s">
        <v>36</v>
      </c>
      <c r="D5" s="47" t="s">
        <v>286</v>
      </c>
    </row>
    <row r="6" spans="2:4" ht="21">
      <c r="B6" s="52" t="s">
        <v>261</v>
      </c>
      <c r="C6" s="53"/>
      <c r="D6" s="47"/>
    </row>
    <row r="7" spans="2:4" ht="81.599999999999994">
      <c r="B7" s="50" t="s">
        <v>223</v>
      </c>
      <c r="C7" s="45" t="s">
        <v>36</v>
      </c>
      <c r="D7" s="47" t="s">
        <v>278</v>
      </c>
    </row>
    <row r="8" spans="2:4" ht="21">
      <c r="B8" s="52" t="s">
        <v>260</v>
      </c>
      <c r="C8" s="53"/>
    </row>
    <row r="9" spans="2:4" ht="61.2">
      <c r="B9" s="50" t="s">
        <v>224</v>
      </c>
      <c r="C9" s="45" t="s">
        <v>36</v>
      </c>
    </row>
    <row r="10" spans="2:4" ht="21">
      <c r="B10" s="52" t="s">
        <v>281</v>
      </c>
      <c r="C10" s="53"/>
    </row>
    <row r="11" spans="2:4" ht="81.599999999999994">
      <c r="B11" s="50" t="s">
        <v>282</v>
      </c>
      <c r="C11" s="45" t="s">
        <v>36</v>
      </c>
    </row>
    <row r="12" spans="2:4" ht="21">
      <c r="B12" s="39" t="s">
        <v>232</v>
      </c>
      <c r="C12" s="53"/>
    </row>
    <row r="13" spans="2:4" ht="21">
      <c r="B13" s="52" t="s">
        <v>234</v>
      </c>
      <c r="C13" s="53"/>
    </row>
    <row r="14" spans="2:4" ht="61.2">
      <c r="B14" s="50" t="s">
        <v>221</v>
      </c>
      <c r="C14" s="45" t="s">
        <v>36</v>
      </c>
    </row>
    <row r="15" spans="2:4" ht="21">
      <c r="B15" s="52" t="s">
        <v>230</v>
      </c>
      <c r="C15" s="53"/>
    </row>
    <row r="16" spans="2:4" ht="61.2">
      <c r="B16" s="50" t="s">
        <v>222</v>
      </c>
      <c r="C16" s="45" t="s">
        <v>36</v>
      </c>
    </row>
    <row r="17" spans="2:3" ht="21">
      <c r="B17" s="52" t="s">
        <v>231</v>
      </c>
      <c r="C17" s="53"/>
    </row>
    <row r="18" spans="2:3" ht="61.2">
      <c r="B18" s="50" t="s">
        <v>225</v>
      </c>
      <c r="C18" s="45" t="s">
        <v>36</v>
      </c>
    </row>
    <row r="19" spans="2:3" ht="21">
      <c r="B19" s="52" t="s">
        <v>263</v>
      </c>
      <c r="C19" s="53"/>
    </row>
    <row r="20" spans="2:3" ht="61.2">
      <c r="B20" s="50" t="s">
        <v>284</v>
      </c>
      <c r="C20" s="45" t="s">
        <v>36</v>
      </c>
    </row>
    <row r="21" spans="2:3" ht="21">
      <c r="B21" s="52" t="s">
        <v>301</v>
      </c>
      <c r="C21" s="53"/>
    </row>
    <row r="22" spans="2:3" ht="81.599999999999994">
      <c r="B22" s="50" t="s">
        <v>303</v>
      </c>
      <c r="C22" s="45" t="s">
        <v>36</v>
      </c>
    </row>
    <row r="23" spans="2:3" ht="21">
      <c r="B23" s="52" t="s">
        <v>306</v>
      </c>
      <c r="C23" s="53"/>
    </row>
    <row r="24" spans="2:3" ht="102">
      <c r="B24" s="50" t="s">
        <v>304</v>
      </c>
      <c r="C24" s="45" t="s">
        <v>36</v>
      </c>
    </row>
    <row r="25" spans="2:3" ht="21">
      <c r="B25" s="52" t="s">
        <v>302</v>
      </c>
      <c r="C25" s="53"/>
    </row>
    <row r="26" spans="2:3" ht="81.599999999999994">
      <c r="B26" s="50" t="s">
        <v>305</v>
      </c>
      <c r="C26" s="45" t="s">
        <v>36</v>
      </c>
    </row>
    <row r="27" spans="2:3" ht="21">
      <c r="B27" s="52" t="s">
        <v>316</v>
      </c>
      <c r="C27" s="53"/>
    </row>
    <row r="28" spans="2:3" ht="81.599999999999994">
      <c r="B28" s="50" t="s">
        <v>319</v>
      </c>
      <c r="C28" s="45" t="s">
        <v>36</v>
      </c>
    </row>
  </sheetData>
  <sheetProtection algorithmName="SHA-512" hashValue="Q1tIzZW4q1svot2fTtUaZdE5Z769zrGxjL5mh+I++440Oe5SSDlQ+Yw1B8wb5grTlGVqFQYapO2TrAXiTNZB8Q==" saltValue="1MRRozV0QtnVfVJaMmG8Jg==" spinCount="100000" sheet="1" objects="1" scenarios="1"/>
  <phoneticPr fontId="30" type="noConversion"/>
  <conditionalFormatting sqref="C5">
    <cfRule type="containsText" dxfId="86" priority="70" operator="containsText" text="Yes">
      <formula>NOT(ISERROR(SEARCH("Yes",C5)))</formula>
    </cfRule>
    <cfRule type="containsText" dxfId="85" priority="71" operator="containsText" text="No">
      <formula>NOT(ISERROR(SEARCH("No",C5)))</formula>
    </cfRule>
    <cfRule type="notContainsBlanks" dxfId="84" priority="72" stopIfTrue="1">
      <formula>LEN(TRIM(C5))&gt;0</formula>
    </cfRule>
  </conditionalFormatting>
  <conditionalFormatting sqref="C7">
    <cfRule type="containsText" dxfId="83" priority="58" operator="containsText" text="Yes">
      <formula>NOT(ISERROR(SEARCH("Yes",C7)))</formula>
    </cfRule>
    <cfRule type="containsText" dxfId="82" priority="59" operator="containsText" text="No">
      <formula>NOT(ISERROR(SEARCH("No",C7)))</formula>
    </cfRule>
    <cfRule type="notContainsBlanks" dxfId="81" priority="60" stopIfTrue="1">
      <formula>LEN(TRIM(C7))&gt;0</formula>
    </cfRule>
  </conditionalFormatting>
  <conditionalFormatting sqref="C9:C12">
    <cfRule type="containsText" dxfId="80" priority="25" operator="containsText" text="Yes">
      <formula>NOT(ISERROR(SEARCH("Yes",C9)))</formula>
    </cfRule>
    <cfRule type="containsText" dxfId="79" priority="26" operator="containsText" text="No">
      <formula>NOT(ISERROR(SEARCH("No",C9)))</formula>
    </cfRule>
    <cfRule type="notContainsBlanks" dxfId="78" priority="27" stopIfTrue="1">
      <formula>LEN(TRIM(C9))&gt;0</formula>
    </cfRule>
  </conditionalFormatting>
  <conditionalFormatting sqref="C12">
    <cfRule type="containsText" dxfId="77" priority="43" operator="containsText" text="Yes">
      <formula>NOT(ISERROR(SEARCH("Yes",C12)))</formula>
    </cfRule>
    <cfRule type="containsText" dxfId="76" priority="44" operator="containsText" text="No">
      <formula>NOT(ISERROR(SEARCH("No",C12)))</formula>
    </cfRule>
    <cfRule type="notContainsBlanks" dxfId="75" priority="45" stopIfTrue="1">
      <formula>LEN(TRIM(C12))&gt;0</formula>
    </cfRule>
    <cfRule type="containsText" dxfId="74" priority="52" operator="containsText" text="Yes">
      <formula>NOT(ISERROR(SEARCH("Yes",C12)))</formula>
    </cfRule>
    <cfRule type="containsText" dxfId="73" priority="53" operator="containsText" text="No">
      <formula>NOT(ISERROR(SEARCH("No",C12)))</formula>
    </cfRule>
    <cfRule type="notContainsBlanks" dxfId="72" priority="54" stopIfTrue="1">
      <formula>LEN(TRIM(C12))&gt;0</formula>
    </cfRule>
  </conditionalFormatting>
  <conditionalFormatting sqref="C14">
    <cfRule type="containsText" dxfId="71" priority="22" operator="containsText" text="Yes">
      <formula>NOT(ISERROR(SEARCH("Yes",C14)))</formula>
    </cfRule>
    <cfRule type="containsText" dxfId="70" priority="23" operator="containsText" text="No">
      <formula>NOT(ISERROR(SEARCH("No",C14)))</formula>
    </cfRule>
    <cfRule type="notContainsBlanks" dxfId="69" priority="24" stopIfTrue="1">
      <formula>LEN(TRIM(C14))&gt;0</formula>
    </cfRule>
    <cfRule type="containsText" dxfId="68" priority="31" operator="containsText" text="Yes">
      <formula>NOT(ISERROR(SEARCH("Yes",C14)))</formula>
    </cfRule>
    <cfRule type="containsText" dxfId="67" priority="32" operator="containsText" text="No">
      <formula>NOT(ISERROR(SEARCH("No",C14)))</formula>
    </cfRule>
    <cfRule type="notContainsBlanks" dxfId="66" priority="33" stopIfTrue="1">
      <formula>LEN(TRIM(C14))&gt;0</formula>
    </cfRule>
    <cfRule type="containsText" dxfId="65" priority="40" operator="containsText" text="Yes">
      <formula>NOT(ISERROR(SEARCH("Yes",C14)))</formula>
    </cfRule>
    <cfRule type="containsText" dxfId="64" priority="41" operator="containsText" text="No">
      <formula>NOT(ISERROR(SEARCH("No",C14)))</formula>
    </cfRule>
    <cfRule type="notContainsBlanks" dxfId="63" priority="42" stopIfTrue="1">
      <formula>LEN(TRIM(C14))&gt;0</formula>
    </cfRule>
    <cfRule type="containsText" dxfId="62" priority="49" operator="containsText" text="Yes">
      <formula>NOT(ISERROR(SEARCH("Yes",C14)))</formula>
    </cfRule>
    <cfRule type="containsText" dxfId="61" priority="50" operator="containsText" text="No">
      <formula>NOT(ISERROR(SEARCH("No",C14)))</formula>
    </cfRule>
    <cfRule type="notContainsBlanks" dxfId="60" priority="51" stopIfTrue="1">
      <formula>LEN(TRIM(C14))&gt;0</formula>
    </cfRule>
  </conditionalFormatting>
  <conditionalFormatting sqref="C16">
    <cfRule type="containsText" dxfId="59" priority="19" operator="containsText" text="Yes">
      <formula>NOT(ISERROR(SEARCH("Yes",C16)))</formula>
    </cfRule>
    <cfRule type="containsText" dxfId="58" priority="20" operator="containsText" text="No">
      <formula>NOT(ISERROR(SEARCH("No",C16)))</formula>
    </cfRule>
    <cfRule type="notContainsBlanks" dxfId="57" priority="21" stopIfTrue="1">
      <formula>LEN(TRIM(C16))&gt;0</formula>
    </cfRule>
    <cfRule type="containsText" dxfId="56" priority="28" operator="containsText" text="Yes">
      <formula>NOT(ISERROR(SEARCH("Yes",C16)))</formula>
    </cfRule>
    <cfRule type="containsText" dxfId="55" priority="29" operator="containsText" text="No">
      <formula>NOT(ISERROR(SEARCH("No",C16)))</formula>
    </cfRule>
    <cfRule type="notContainsBlanks" dxfId="54" priority="30" stopIfTrue="1">
      <formula>LEN(TRIM(C16))&gt;0</formula>
    </cfRule>
    <cfRule type="containsText" dxfId="53" priority="37" operator="containsText" text="Yes">
      <formula>NOT(ISERROR(SEARCH("Yes",C16)))</formula>
    </cfRule>
    <cfRule type="containsText" dxfId="52" priority="38" operator="containsText" text="No">
      <formula>NOT(ISERROR(SEARCH("No",C16)))</formula>
    </cfRule>
    <cfRule type="notContainsBlanks" dxfId="51" priority="39" stopIfTrue="1">
      <formula>LEN(TRIM(C16))&gt;0</formula>
    </cfRule>
  </conditionalFormatting>
  <conditionalFormatting sqref="C18">
    <cfRule type="containsText" dxfId="50" priority="16" operator="containsText" text="Yes">
      <formula>NOT(ISERROR(SEARCH("Yes",C18)))</formula>
    </cfRule>
    <cfRule type="containsText" dxfId="49" priority="17" operator="containsText" text="No">
      <formula>NOT(ISERROR(SEARCH("No",C18)))</formula>
    </cfRule>
    <cfRule type="notContainsBlanks" dxfId="48" priority="18" stopIfTrue="1">
      <formula>LEN(TRIM(C18))&gt;0</formula>
    </cfRule>
  </conditionalFormatting>
  <conditionalFormatting sqref="C20">
    <cfRule type="containsText" dxfId="47" priority="13" operator="containsText" text="Yes">
      <formula>NOT(ISERROR(SEARCH("Yes",C20)))</formula>
    </cfRule>
    <cfRule type="containsText" dxfId="46" priority="14" operator="containsText" text="No">
      <formula>NOT(ISERROR(SEARCH("No",C20)))</formula>
    </cfRule>
    <cfRule type="notContainsBlanks" dxfId="45" priority="15" stopIfTrue="1">
      <formula>LEN(TRIM(C20))&gt;0</formula>
    </cfRule>
  </conditionalFormatting>
  <conditionalFormatting sqref="C22">
    <cfRule type="containsText" dxfId="44" priority="10" operator="containsText" text="Yes">
      <formula>NOT(ISERROR(SEARCH("Yes",C22)))</formula>
    </cfRule>
    <cfRule type="containsText" dxfId="43" priority="11" operator="containsText" text="No">
      <formula>NOT(ISERROR(SEARCH("No",C22)))</formula>
    </cfRule>
    <cfRule type="notContainsBlanks" dxfId="42" priority="12" stopIfTrue="1">
      <formula>LEN(TRIM(C22))&gt;0</formula>
    </cfRule>
  </conditionalFormatting>
  <conditionalFormatting sqref="C24">
    <cfRule type="containsText" dxfId="41" priority="7" operator="containsText" text="Yes">
      <formula>NOT(ISERROR(SEARCH("Yes",C24)))</formula>
    </cfRule>
    <cfRule type="containsText" dxfId="40" priority="8" operator="containsText" text="No">
      <formula>NOT(ISERROR(SEARCH("No",C24)))</formula>
    </cfRule>
    <cfRule type="notContainsBlanks" dxfId="39" priority="9" stopIfTrue="1">
      <formula>LEN(TRIM(C24))&gt;0</formula>
    </cfRule>
  </conditionalFormatting>
  <conditionalFormatting sqref="C26">
    <cfRule type="containsText" dxfId="38" priority="4" operator="containsText" text="Yes">
      <formula>NOT(ISERROR(SEARCH("Yes",C26)))</formula>
    </cfRule>
    <cfRule type="containsText" dxfId="37" priority="5" operator="containsText" text="No">
      <formula>NOT(ISERROR(SEARCH("No",C26)))</formula>
    </cfRule>
    <cfRule type="notContainsBlanks" dxfId="36" priority="6" stopIfTrue="1">
      <formula>LEN(TRIM(C26))&gt;0</formula>
    </cfRule>
  </conditionalFormatting>
  <conditionalFormatting sqref="C28">
    <cfRule type="containsText" dxfId="35" priority="1" operator="containsText" text="Yes">
      <formula>NOT(ISERROR(SEARCH("Yes",C28)))</formula>
    </cfRule>
    <cfRule type="containsText" dxfId="34" priority="2" operator="containsText" text="No">
      <formula>NOT(ISERROR(SEARCH("No",C28)))</formula>
    </cfRule>
    <cfRule type="notContainsBlanks" dxfId="33" priority="3" stopIfTrue="1">
      <formula>LEN(TRIM(C28))&gt;0</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77734375" defaultRowHeight="15"/>
  <cols>
    <col min="1" max="1" width="14.6640625" style="1" bestFit="1" customWidth="1"/>
    <col min="2" max="2" width="10.77734375" style="1"/>
    <col min="3" max="3" width="60" style="1" bestFit="1" customWidth="1"/>
    <col min="4" max="4" width="10.77734375" style="1"/>
    <col min="5" max="5" width="7.109375" style="1" bestFit="1" customWidth="1"/>
    <col min="6" max="6" width="10.77734375" style="1"/>
    <col min="7" max="7" width="17" style="1" bestFit="1" customWidth="1"/>
    <col min="8" max="8" width="21" style="1" customWidth="1"/>
    <col min="9" max="10" width="10.77734375" style="1"/>
    <col min="11" max="11" width="12" style="1" customWidth="1"/>
    <col min="12" max="16384" width="10.77734375" style="1"/>
  </cols>
  <sheetData>
    <row r="1" spans="1:7" ht="15.6">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honeticPr fontId="3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3E58C76AD6CB34EBA43C98402C02A9A" ma:contentTypeVersion="18" ma:contentTypeDescription="Create a new document." ma:contentTypeScope="" ma:versionID="8d8f6ea1a3fac08c483f159ba18baf46">
  <xsd:schema xmlns:xsd="http://www.w3.org/2001/XMLSchema" xmlns:xs="http://www.w3.org/2001/XMLSchema" xmlns:p="http://schemas.microsoft.com/office/2006/metadata/properties" xmlns:ns3="6f2e7bc8-2c5d-4be4-9073-9915c8c4be80" xmlns:ns4="92993e93-fa54-4a26-9160-ad39da3fde98" targetNamespace="http://schemas.microsoft.com/office/2006/metadata/properties" ma:root="true" ma:fieldsID="a36a429a449e52aefefa743da24b0bb3" ns3:_="" ns4:_="">
    <xsd:import namespace="6f2e7bc8-2c5d-4be4-9073-9915c8c4be80"/>
    <xsd:import namespace="92993e93-fa54-4a26-9160-ad39da3fde98"/>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Locatio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2e7bc8-2c5d-4be4-9073-9915c8c4be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993e93-fa54-4a26-9160-ad39da3fde9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f2e7bc8-2c5d-4be4-9073-9915c8c4be8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9F0C4F-D488-457B-813A-6B8C288A12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2e7bc8-2c5d-4be4-9073-9915c8c4be80"/>
    <ds:schemaRef ds:uri="92993e93-fa54-4a26-9160-ad39da3fde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2C4FEF-C3CE-48E1-8C5D-3510A96D1A82}">
  <ds:schemaRefs>
    <ds:schemaRef ds:uri="http://www.w3.org/XML/1998/namespace"/>
    <ds:schemaRef ds:uri="92993e93-fa54-4a26-9160-ad39da3fde98"/>
    <ds:schemaRef ds:uri="http://schemas.openxmlformats.org/package/2006/metadata/core-properties"/>
    <ds:schemaRef ds:uri="http://purl.org/dc/terms/"/>
    <ds:schemaRef ds:uri="http://schemas.microsoft.com/office/2006/metadata/properties"/>
    <ds:schemaRef ds:uri="6f2e7bc8-2c5d-4be4-9073-9915c8c4be80"/>
    <ds:schemaRef ds:uri="http://purl.org/dc/dcmitype/"/>
    <ds:schemaRef ds:uri="http://schemas.microsoft.com/office/2006/documentManagement/types"/>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20196513-15A2-4DF4-ADAA-6E2EC8C6D6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LISA.WL.SHU 蘇瑋玲</cp:lastModifiedBy>
  <cp:lastPrinted>2018-09-13T16:04:18Z</cp:lastPrinted>
  <dcterms:created xsi:type="dcterms:W3CDTF">2018-09-10T17:18:27Z</dcterms:created>
  <dcterms:modified xsi:type="dcterms:W3CDTF">2025-04-28T05:40:28Z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0x01010043E58C76AD6CB34EBA43C98402C02A9A</vt:lpwstr>
  </property>
</Properties>
</file>