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defaultThemeVersion="166925"/>
  <mc:AlternateContent xmlns:mc="http://schemas.openxmlformats.org/markup-compatibility/2006">
    <mc:Choice Requires="x15">
      <x15ac:absPath xmlns:x15ac="http://schemas.microsoft.com/office/spreadsheetml/2010/11/ac" url="/Users/vincent/Documents/Apple GSM Camera/"/>
    </mc:Choice>
  </mc:AlternateContent>
  <xr:revisionPtr revIDLastSave="0" documentId="13_ncr:1_{EC1C458D-2AAC-2D48-9690-A934E3894A79}"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0" yWindow="0" windowWidth="38400" windowHeight="21600" tabRatio="823" firstSheet="2" activeTab="3"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<sst xmlns="http://schemas.openxmlformats.org/spreadsheetml/2006/main" count="613" uniqueCount="463">
  <si>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</si>
  <si>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</si>
  <si>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</si>
  <si>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</si>
  <si>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</si>
  <si>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</si>
  <si>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</si>
  <si>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</si>
  <si>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</si>
  <si>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</si>
  <si>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</si>
  <si>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</si>
  <si>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</si>
  <si>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</si>
  <si>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</si>
  <si>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</si>
  <si>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</si>
  <si>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</si>
  <si>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</si>
  <si>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</si>
  <si>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</si>
  <si>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</si>
  <si>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</si>
  <si>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</si>
  <si>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</si>
  <si>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</si>
  <si>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</si>
  <si>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</si>
  <si>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</si>
  <si>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</si>
  <si>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</si>
  <si>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</si>
  <si>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</si>
  <si>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</si>
  <si>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</si>
  <si>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</si>
  <si>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</si>
  <si>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</si>
  <si>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</si>
  <si>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</si>
  <si>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</si>
  <si>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</si>
  <si>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</si>
  <si>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</si>
  <si>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</si>
  <si>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</si>
  <si>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</si>
  <si>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</si>
  <si>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</si>
  <si>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</si>
  <si>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</si>
  <si>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</si>
  <si>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</si>
  <si>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</si>
  <si>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</si>
  <si>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</si>
  <si>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</si>
  <si>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</si>
  <si>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</si>
  <si>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</si>
  <si>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</si>
  <si>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</si>
  <si>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</si>
  <si>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</si>
  <si>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</si>
  <si>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</si>
  <si>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</si>
  <si>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</si>
  <si>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</si>
  <si>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</si>
  <si>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</si>
  <si>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</si>
  <si>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</si>
  <si>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</si>
  <si>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</si>
  <si>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</si>
  <si>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</si>
  <si>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</si>
  <si>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</si>
  <si>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</si>
  <si>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</si>
  <si>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</si>
  <si>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</si>
  <si>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</si>
  <si>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</si>
  <si>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</si>
  <si>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</si>
  <si>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</si>
  <si>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</si>
  <si>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</si>
  <si>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</si>
  <si>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</si>
  <si>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</si>
  <si>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</si>
  <si>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</si>
  <si>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</si>
  <si>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</si>
  <si>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</si>
  <si>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</si>
  <si>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</si>
  <si>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</si>
  <si>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</si>
  <si>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</si>
  <si>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</si>
  <si>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</si>
  <si>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</si>
  <si>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</si>
  <si>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</si>
  <si>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</si>
  <si>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</si>
  <si>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</si>
  <si>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</si>
  <si>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</si>
  <si>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</si>
  <si>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</si>
  <si>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</si>
  <si>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</si>
  <si>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</si>
  <si>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</si>
  <si>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</si>
  <si>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</si>
  <si>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</si>
  <si>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</si>
  <si>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</si>
  <si>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</si>
  <si>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</si>
  <si>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</si>
  <si>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</si>
  <si>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</si>
  <si>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</si>
  <si>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</si>
  <si>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</si>
  <si>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</si>
  <si>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</si>
  <si>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</si>
  <si>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</si>
  <si>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</si>
  <si>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</si>
  <si>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</si>
  <si>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</si>
  <si>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</si>
  <si>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</si>
  <si>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</si>
  <si>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</si>
  <si>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</si>
  <si>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</si>
  <si>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</si>
  <si>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</si>
  <si>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</si>
  <si>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</si>
  <si>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</si>
  <si>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</si>
  <si>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</si>
  <si>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</si>
  <si>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</si>
  <si>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</si>
  <si>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</si>
  <si>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</si>
  <si>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</si>
  <si>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</si>
  <si>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</si>
  <si>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</si>
  <si>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</si>
  <si>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</si>
  <si>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</si>
  <si>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</si>
  <si>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</si>
  <si>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</si>
  <si>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</si>
  <si>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</si>
  <si>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</si>
  <si>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</si>
  <si>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</si>
  <si>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</si>
  <si>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</si>
  <si>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</si>
  <si>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</si>
  <si>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</si>
  <si>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</si>
  <si>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</si>
  <si>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</si>
  <si>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</si>
  <si>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</si>
  <si>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</si>
  <si>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</si>
  <si>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</si>
  <si>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</si>
  <si>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</si>
  <si>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</si>
  <si>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</si>
  <si>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</si>
  <si>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</si>
  <si>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</si>
  <si>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</si>
  <si>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</si>
  <si>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</si>
  <si>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</si>
  <si>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</si>
  <si>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</si>
  <si>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</si>
  <si>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</si>
  <si>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</si>
  <si>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</si>
  <si>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</si>
  <si>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</si>
  <si>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</si>
  <si>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</si>
  <si>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</si>
  <si>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</si>
  <si>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</si>
  <si>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</si>
  <si>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</si>
  <si>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</si>
  <si>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</si>
  <si>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</si>
  <si>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</si>
  <si>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</si>
  <si>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</si>
  <si>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</si>
  <si>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</si>
  <si>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</si>
  <si>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</si>
  <si>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</si>
  <si>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</si>
  <si>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</si>
  <si>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</si>
  <si>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</si>
  <si>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</si>
  <si>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</si>
  <si>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</si>
  <si>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</si>
  <si>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</si>
  <si>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</si>
  <si>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</si>
  <si>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</si>
  <si>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</si>
  <si>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</si>
  <si>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</si>
  <si>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</si>
  <si>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</si>
  <si>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</si>
  <si>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</si>
  <si>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</si>
  <si>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</si>
  <si>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</si>
  <si>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</si>
  <si>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</si>
  <si>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</si>
  <si>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</si>
  <si>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</si>
  <si>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</si>
  <si>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</si>
  <si>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</si>
  <si>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</si>
  <si>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</si>
  <si>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</si>
  <si>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</si>
  <si>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</si>
  <si>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</si>
  <si>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</si>
  <si>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</si>
  <si>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</si>
  <si>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</si>
  <si>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</si>
  <si>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</si>
  <si>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</si>
  <si>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</si>
  <si>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</si>
  <si>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</si>
  <si>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</si>
  <si>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</si>
  <si>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</si>
  <si>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</si>
  <si>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</si>
  <si>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</si>
  <si>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</si>
  <si>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</si>
  <si>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</si>
  <si>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</si>
  <si>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</si>
  <si>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</si>
  <si>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</si>
  <si>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</si>
  <si>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</si>
  <si>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</si>
  <si>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</si>
  <si>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</si>
  <si>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</si>
  <si>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</si>
  <si>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</si>
  <si>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</si>
  <si>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</si>
  <si>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</si>
  <si>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</si>
  <si>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</si>
  <si>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</si>
  <si>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</si>
  <si>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</si>
  <si>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</si>
  <si>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</si>
  <si>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</si>
  <si>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</si>
  <si>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</si>
  <si>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</si>
  <si>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</si>
  <si>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</si>
  <si>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</si>
  <si>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</si>
  <si>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</si>
  <si>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</si>
  <si>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</si>
  <si>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</si>
  <si>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</si>
  <si>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</si>
  <si>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</si>
  <si>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</si>
  <si>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t xml:space="preserve">Kyle Boutin
Global Sourcing &amp; Supply Management
+1-415-352-9000
kboutin@apple.com   </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</si>
  <si>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</si>
  <si>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</si>
  <si>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Laservall Co., Ltd.</t>
  </si>
  <si>
    <t>Hong Kong SAR</t>
  </si>
  <si>
    <t>www.laservall.com</t>
  </si>
  <si>
    <t>N/A</t>
  </si>
  <si>
    <t>Andrew Kim</t>
  </si>
  <si>
    <t>CEO</t>
  </si>
  <si>
    <t>ak@laservall.com</t>
  </si>
  <si>
    <t>Yayu Wang</t>
  </si>
  <si>
    <t>VP</t>
  </si>
  <si>
    <t>yy.wang@laservall.com</t>
  </si>
  <si>
    <t>Vincent Lau</t>
  </si>
  <si>
    <t>vincent@laservall.com</t>
  </si>
  <si>
    <t>Jeff Chan</t>
  </si>
  <si>
    <t>jeff@laservall.com</t>
  </si>
  <si>
    <t>Zenith Choi</t>
  </si>
  <si>
    <t>Christy Myung</t>
  </si>
  <si>
    <t>Sr. Manager</t>
  </si>
  <si>
    <t>christy@laservall.com</t>
  </si>
  <si>
    <t>Jacky Yim</t>
  </si>
  <si>
    <t>jacky@laservall.com</t>
  </si>
  <si>
    <t>Laservall Co. Ltd.</t>
  </si>
  <si>
    <t>Hong Kong</t>
  </si>
  <si>
    <t>Unit 1-3, 7/F Yuen Long Trading Centre, 33 Wang Yip Street West, Yuen Long, Hong Kong</t>
  </si>
  <si>
    <t>Laservall China Co., Ltd.</t>
  </si>
  <si>
    <t>Shenzhen, China</t>
  </si>
  <si>
    <t>Laservall Technology Co., Ltd</t>
  </si>
  <si>
    <t>Suwon, South Korea</t>
  </si>
  <si>
    <t>88-52, Saneop-ro 156beon-gil, Gwonseon-gu, Suwon-si,
Gyeonggi-do, South Korea</t>
  </si>
  <si>
    <t>Multi-National Sourcing, Supplier Collaboration, Diversified Supplier Base, Safety Inventory in free trade zone.</t>
  </si>
  <si>
    <t>Risk assessment: Key / critical supplier identification (routine supplier assessment meeting, genuine distributor qualification check).
Diversification strategy: Supplier diversification (adopt original manufacturer procurement, tier 1 &amp; 2 distributor as backup).
Multi-National Sourcing: Hong Kong, China, Korea, Japan, Singapore..etc.
Multi-National Safety Stocking: Hong Kong, China, Korea, Vietnam.</t>
  </si>
  <si>
    <t>Low</t>
  </si>
  <si>
    <t>Medium</t>
  </si>
  <si>
    <t>3rd party outsource for mechanical &amp; electrical assembly</t>
  </si>
  <si>
    <t>COFCO (Fuan) Robotic Intelligent Manufacturing Industrial Park, Block P1, 
No 93-1, Xintang Road, Rentian Community, Fuhai Street, BaoAn, SZ</t>
  </si>
  <si>
    <t>MP - VR, MEM, BWI, MW, AKC
NPI - BOI, Harisson</t>
  </si>
  <si>
    <t>MP - VR, MEM, BWI, MW, AKC
NPI - BOI</t>
  </si>
  <si>
    <t xml:space="preserve">We follow strictly in QC and implement ISO 9001:2015 standard into our QMS program </t>
  </si>
  <si>
    <t>High</t>
  </si>
  <si>
    <t>Hardware plaform and design, Problem-solving abilities</t>
    <phoneticPr fontId="30" type="noConversion"/>
  </si>
  <si>
    <t>Supervisory control and data acquision/analysis, diverse software platform</t>
    <phoneticPr fontId="30" type="noConversion"/>
  </si>
  <si>
    <t>Customized system design and engineering</t>
    <phoneticPr fontId="30" type="noConversion"/>
  </si>
  <si>
    <t>Customization and optimization</t>
    <phoneticPr fontId="30" type="noConversion"/>
  </si>
  <si>
    <t>Precision dispensing and automation</t>
    <phoneticPr fontId="30" type="noConversion"/>
  </si>
  <si>
    <t>Optical engineering, process engineering, laser system design</t>
    <phoneticPr fontId="30" type="noConversion"/>
  </si>
  <si>
    <t>Plasma technology expertise and thermal processing skill</t>
    <phoneticPr fontId="30" type="noConversion"/>
  </si>
  <si>
    <t>Precision handling, automation and robotics</t>
    <phoneticPr fontId="30" type="noConversion"/>
  </si>
  <si>
    <t>Precision assembly, automation and robotics, tooling and fixture</t>
    <phoneticPr fontId="30" type="noConversion"/>
  </si>
  <si>
    <t>Regulartoy knowledge, Hazard mitigation</t>
    <phoneticPr fontId="30" type="noConversion"/>
  </si>
  <si>
    <t>Image processing expertise, optics and lighting</t>
    <phoneticPr fontId="30" type="noConversion"/>
  </si>
  <si>
    <t>Data science, algorithm and architecture development, MLOps</t>
    <phoneticPr fontId="30" type="noConversion"/>
  </si>
  <si>
    <t>Improved efficiency, customization and flexibility</t>
    <phoneticPr fontId="30" type="noConversion"/>
  </si>
  <si>
    <t>Usability, Realtime monitoring, Data-driven insights</t>
    <phoneticPr fontId="30" type="noConversion"/>
  </si>
  <si>
    <t>Tailored solutions, enhanced productivity, flexibility</t>
    <phoneticPr fontId="30" type="noConversion"/>
  </si>
  <si>
    <t xml:space="preserve">Design skill, Enhanced precision </t>
    <phoneticPr fontId="30" type="noConversion"/>
  </si>
  <si>
    <t>High precision, enhanced efficiency, material compatibility</t>
    <phoneticPr fontId="30" type="noConversion"/>
  </si>
  <si>
    <t>Optical engineering, process engineering, automation</t>
    <phoneticPr fontId="30" type="noConversion"/>
  </si>
  <si>
    <t>Plasma and heat handling</t>
    <phoneticPr fontId="30" type="noConversion"/>
  </si>
  <si>
    <t>Enhanced speed and accuracy</t>
    <phoneticPr fontId="30" type="noConversion"/>
  </si>
  <si>
    <t>Regulartoy knowledge, enhanced safety</t>
    <phoneticPr fontId="30" type="noConversion"/>
  </si>
  <si>
    <t>Enhanced quality control</t>
    <phoneticPr fontId="30" type="noConversion"/>
  </si>
  <si>
    <t>Data-driven control, Programming skill</t>
    <phoneticPr fontId="30" type="noConversion"/>
  </si>
  <si>
    <t>2025Y, Internal R&amp;D for emulation and predictive maintenace, 3M USD, Prototype till 2026Y</t>
    <phoneticPr fontId="30" type="noConversion"/>
  </si>
  <si>
    <t>Laser Jetting, Cutting, Welding, Marking, Flex alignment</t>
  </si>
  <si>
    <t>PR, AVI &amp; image processing</t>
  </si>
  <si>
    <t>Coil Bending, 
Magnet assembly</t>
  </si>
  <si>
    <t>Precision assembly, flexibility</t>
  </si>
  <si>
    <t>Minghuan Jin</t>
  </si>
  <si>
    <t>jinminghuan@laservall.com</t>
  </si>
  <si>
    <t>86-13729952259</t>
  </si>
  <si>
    <t>Mengmeng Li</t>
  </si>
  <si>
    <t>limeng@laservall.com</t>
  </si>
  <si>
    <t>86-18666880363</t>
  </si>
  <si>
    <t>Luke Lu</t>
  </si>
  <si>
    <t>Project Manager</t>
  </si>
  <si>
    <t>Luke.lu@laservall.com</t>
  </si>
  <si>
    <t>86-15989414862</t>
  </si>
  <si>
    <t>86-13501219552</t>
  </si>
  <si>
    <t>Advanced Manufacturing, Laser Technology Solutions</t>
  </si>
  <si>
    <t>We also linked our MES and QMS systems into our ERP currently used.</t>
  </si>
  <si>
    <t>PR on-the-fly, Customized AOI, Laser processing, MES/SECGEM</t>
    <phoneticPr fontId="31" type="noConversion"/>
  </si>
  <si>
    <t>Modular design(P&amp;P, Laser, Dispensing, Inspection, Assembly, Robot collaboration, Product logistics)</t>
    <phoneticPr fontId="31" type="noConversion"/>
  </si>
  <si>
    <t>P&amp;P modules, Product carriers, In-line jigs/fixtures, Vacuum jigs, Auto-alignment jigs</t>
    <phoneticPr fontId="31" type="noConversion"/>
  </si>
  <si>
    <t>laser(US$3M), Galvo-scan head(US$0.3M)</t>
    <phoneticPr fontId="31" type="noConversion"/>
  </si>
  <si>
    <t>PLC controller(US$1M), Library(US$0.3M)</t>
    <phoneticPr fontId="31" type="noConversion"/>
  </si>
  <si>
    <t xml:space="preserve">Motion controller(US$0.5M), Camera(US$1M), Robot(US$7M) </t>
    <phoneticPr fontId="31" type="noConversion"/>
  </si>
  <si>
    <t>High speed and high accuracy</t>
    <phoneticPr fontId="31" type="noConversion"/>
  </si>
  <si>
    <t>High precise assembly and automation</t>
    <phoneticPr fontId="31" type="noConversion"/>
  </si>
  <si>
    <t xml:space="preserve">PLC/Motion controller(US$0.2M), Camera(US$0.1M), Robot(US$1M) </t>
    <phoneticPr fontId="31" type="noConversion"/>
  </si>
  <si>
    <t>Safety protection process</t>
    <phoneticPr fontId="31" type="noConversion"/>
  </si>
  <si>
    <t>Camera(US$1M), Library(US$0.3M)</t>
    <phoneticPr fontId="31" type="noConversion"/>
  </si>
  <si>
    <t>AOI</t>
    <phoneticPr fontId="31" type="noConversion"/>
  </si>
  <si>
    <t>4~8 weeks</t>
    <phoneticPr fontId="31" type="noConversion"/>
  </si>
  <si>
    <t>Pneumatic parts(US$0.8M)</t>
    <phoneticPr fontId="31" type="noConversion"/>
  </si>
  <si>
    <t>Dispensing head/controller(US$1.2M)</t>
    <phoneticPr fontId="31" type="noConversion"/>
  </si>
  <si>
    <t>laser(US$5.5M), Galvo-scan head(US$0.3M)</t>
    <phoneticPr fontId="31" type="noConversion"/>
  </si>
  <si>
    <t>2~4 weeks</t>
    <phoneticPr fontId="31" type="noConversion"/>
  </si>
  <si>
    <t>6~14 weeks</t>
    <phoneticPr fontId="31" type="noConversion"/>
  </si>
  <si>
    <t>8~16 weeks</t>
    <phoneticPr fontId="31" type="noConversion"/>
  </si>
  <si>
    <t>2~10 weeks</t>
    <phoneticPr fontId="31" type="noConversion"/>
  </si>
  <si>
    <t>Pneumatic parts(US$0.2M)</t>
    <phoneticPr fontId="31" type="noConversion"/>
  </si>
  <si>
    <t>4~10 weeks</t>
    <phoneticPr fontId="31" type="noConversion"/>
  </si>
  <si>
    <t>2~6 weeks</t>
    <phoneticPr fontId="31" type="noConversion"/>
  </si>
  <si>
    <t>&gt; 20 weeks</t>
    <phoneticPr fontId="31" type="noConversion"/>
  </si>
  <si>
    <t>2020~2025, MLS 2200 Qty 180
2023~2025, MLS 3300 Qty 80
2023~2025, Coil cutting Qty 9</t>
    <phoneticPr fontId="31" type="noConversion"/>
  </si>
  <si>
    <t>Laser Jetting, Cutting, Welding, Marking</t>
    <phoneticPr fontId="31" type="noConversion"/>
  </si>
  <si>
    <t>China, 105</t>
  </si>
  <si>
    <t>Korea, 60</t>
  </si>
  <si>
    <t>Vietnam, 20</t>
  </si>
  <si>
    <t>India, 18</t>
  </si>
  <si>
    <t>Thailand, 2</t>
  </si>
  <si>
    <t>2020~2025, MLS 2200 Qty 180
2023~2025, MLS 3300 Qty 80
2023~2025, Coil cutting Qty 9</t>
  </si>
  <si>
    <t>2024 Power assy line Qty 3
2024 Magnet assy line Qty 1
2022~2024 VCM assy line Qty 7</t>
  </si>
  <si>
    <t>2017~2025, MAS Qty 17</t>
  </si>
  <si>
    <t>Mike Linquist
Andrew Neoh</t>
  </si>
  <si>
    <t>m_linquist@apple.com
andrew_neoh@apple.com</t>
  </si>
  <si>
    <t>2015~2025, Laser Process Qty 1500+</t>
  </si>
  <si>
    <t>April 28, 2025</t>
  </si>
  <si>
    <t>Director</t>
  </si>
  <si>
    <t>Sr. Director</t>
  </si>
  <si>
    <t>Sr. VP</t>
  </si>
  <si>
    <t>Turnkey automation assembly line integration, High precision, attach &amp; assembly solution and including D5</t>
  </si>
  <si>
    <t xml:space="preserve">Laser Jet Solder, Pick &amp; Place, Dispensing, Flex Alignment, Bending &amp; Assembly, VCM Assembly, AVI of all above process </t>
  </si>
  <si>
    <t>Turnkey automation assembly line integration, High precision, attach &amp; assembly solution and including D6</t>
  </si>
  <si>
    <t>USA, Hong Kong, China, Korea, India, Vietnam, Japan, Indonesia, Malaysia, Philippines, Singapore, Taiwan, Thailand, Brazil, Mexico.</t>
  </si>
  <si>
    <t xml:space="preserve">We plan to expand our manufacturing plant to India, Malaysia or Vietnam </t>
  </si>
  <si>
    <t>Hiwin, Taiwan US$4M | IPG Laser, Germany with estimated US$3M yearly | Basler, Germany US$1M | SMC, Japan 0.8M | Musashi 0.8M | Omron, Japan 0.5M</t>
  </si>
  <si>
    <t>Our new AMC (advanced manufacturing campus) in Shenzhen is establishing inhouse machining including CNC 2x, Milling 1x, EDM 1x, Grinding 1x, Drlling 2x, Wire Cut 1x &amp; Lathe 1x</t>
  </si>
  <si>
    <t>Admin, Finance, HR, CS</t>
  </si>
  <si>
    <t>Samsung, HuaWei, Luxshare ICT, Sunny Optical</t>
  </si>
  <si>
    <t>Wenxi Zeng
David Meng</t>
  </si>
  <si>
    <t>wenxi_zeng@apple.com
david_meng@apple.com</t>
  </si>
  <si>
    <t>Surface treatment, cleaning</t>
  </si>
  <si>
    <t>Plasma Module (US$0.12M)</t>
  </si>
  <si>
    <t>6~8 weeks</t>
  </si>
  <si>
    <t>To be provided upon request</t>
  </si>
  <si>
    <t>Wenxi Zeng
Eddie Xu</t>
  </si>
  <si>
    <t>wenxi_zeng@apple.com
xu_eddie@apple.com</t>
  </si>
  <si>
    <t>852-65041828</t>
  </si>
  <si>
    <t>852-67727083</t>
  </si>
  <si>
    <t>852-60476042</t>
  </si>
  <si>
    <t>852-93470394</t>
  </si>
  <si>
    <t>82-10-85114271</t>
  </si>
  <si>
    <t>82-10-57374813</t>
  </si>
  <si>
    <t>tech@laservall.com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</si>
</sst>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_-[$$-409]* #,##0_ ;_-[$$-409]* \-#,##0\ ;_-[$$-409]* &quot;-&quot;??_ ;_-@_ "/>
    <numFmt numFmtId="166" formatCode="_-[$$-409]* #,##0.00_ ;_-[$$-409]* \-#,##0.00\ ;_-[$$-409]* &quot;-&quot;_ ;_-@_ "/>
  </numFmts>
  <fonts count="32">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sz val="11"/>
      <color rgb="FF585858"/>
      <name val="SF Pro Light"/>
    </font>
    <font>
      <sz val="8"/>
      <name val="Calibri"/>
      <family val="3"/>
      <charset val="129"/>
      <scheme val="minor"/>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4" fontId="1" fillId="0" borderId="0" applyFont="0" applyFill="0" applyBorder="0" applyAlignment="0" applyProtection="0">
      <alignment vertical="center"/>
    </xf>
  </cellStyleXfs>
  <cellXfs count="90">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5"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30" fillId="5" borderId="1" xfId="0" applyFont="1" applyFill="1" applyBorder="1" applyAlignment="1" applyProtection="1">
      <alignment horizontal="left" vertical="center" wrapText="1" readingOrder="1"/>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xf numFmtId="0" fontId="14" fillId="0" borderId="0" xfId="0" applyFont="1" applyAlignment="1">
      <alignment horizontal="center" vertical="center" wrapText="1"/>
    </xf>
  </cellXfs>
  <cellStyles count="5">
    <cellStyle name="Comma [0] 2" xfId="4" xr:uid="{286E3D10-827B-F54C-817D-B29004B17F97}"/>
    <cellStyle name="Hyperlink" xfId="3" builtinId="8"/>
    <cellStyle name="Normal" xfId="0" builtinId="0"/>
    <cellStyle name="Normal 2" xfId="2" xr:uid="{C3243E13-6EF8-E042-BC12-751DCDBFECFE}"/>
    <cellStyle name="Per cent" xfId="1" builtinId="5"/>
  </cellStyles>
  <dxfs count="66">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10123</xdr:colOff>
      <xdr:row>5</xdr:row>
      <xdr:rowOff>127073</xdr:rowOff>
    </xdr:from>
    <xdr:to>
      <xdr:col>11</xdr:col>
      <xdr:colOff>10584</xdr:colOff>
      <xdr:row>23</xdr:row>
      <xdr:rowOff>171300</xdr:rowOff>
    </xdr:to>
    <xdr:pic>
      <xdr:nvPicPr>
        <xdr:cNvPr id="3" name="Picture 2">
          <a:extLst>
            <a:ext uri="{FF2B5EF4-FFF2-40B4-BE49-F238E27FC236}">
              <a16:creationId xmlns:a16="http://schemas.microsoft.com/office/drawing/2014/main" id="{AE8D542D-9971-0047-16EA-FCC87F350D88}"/>
            </a:ext>
          </a:extLst>
        </xdr:cNvPr>
        <xdr:cNvPicPr>
          <a:picLocks noChangeAspect="1"/>
        </xdr:cNvPicPr>
      </xdr:nvPicPr>
      <xdr:blipFill>
        <a:blip xmlns:r="http://schemas.openxmlformats.org/officeDocument/2006/relationships" r:embed="rId1"/>
        <a:stretch>
          <a:fillRect/>
        </a:stretch>
      </xdr:blipFill>
      <xdr:spPr>
        <a:xfrm>
          <a:off x="412290" y="2698823"/>
          <a:ext cx="10054627" cy="3663727"/>
        </a:xfrm>
        <a:prstGeom prst="rect">
          <a:avLst/>
        </a:prstGeom>
        <a:ln>
          <a:solidFill>
            <a:srgbClr val="0070C0"/>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241301</xdr:colOff>
      <xdr:row>0</xdr:row>
      <xdr:rowOff>114300</xdr:rowOff>
    </xdr:from>
    <xdr:to>
      <xdr:col>13</xdr:col>
      <xdr:colOff>265113</xdr:colOff>
      <xdr:row>24</xdr:row>
      <xdr:rowOff>48419</xdr:rowOff>
    </xdr:to>
    <xdr:pic>
      <xdr:nvPicPr>
        <xdr:cNvPr id="2" name="그림 1">
          <a:extLst>
            <a:ext uri="{FF2B5EF4-FFF2-40B4-BE49-F238E27FC236}">
              <a16:creationId xmlns:a16="http://schemas.microsoft.com/office/drawing/2014/main" id="{AB9439D3-6232-B945-9D73-35C16B9FA41A}"/>
            </a:ext>
          </a:extLst>
        </xdr:cNvPr>
        <xdr:cNvPicPr>
          <a:picLocks noChangeAspect="1"/>
        </xdr:cNvPicPr>
      </xdr:nvPicPr>
      <xdr:blipFill rotWithShape="1">
        <a:blip xmlns:r="http://schemas.openxmlformats.org/officeDocument/2006/relationships" r:embed="rId1"/>
        <a:srcRect r="-1329" b="-1763"/>
        <a:stretch/>
      </xdr:blipFill>
      <xdr:spPr>
        <a:xfrm>
          <a:off x="241301" y="114300"/>
          <a:ext cx="10348912" cy="5725319"/>
        </a:xfrm>
        <a:prstGeom prst="rect">
          <a:avLst/>
        </a:prstGeom>
        <a:ln>
          <a:solidFill>
            <a:schemeClr val="accent1"/>
          </a:solidFill>
        </a:ln>
      </xdr:spPr>
    </xdr:pic>
    <xdr:clientData/>
  </xdr:twoCellAnchor>
  <xdr:twoCellAnchor editAs="oneCell">
    <xdr:from>
      <xdr:col>0</xdr:col>
      <xdr:colOff>241300</xdr:colOff>
      <xdr:row>24</xdr:row>
      <xdr:rowOff>120652</xdr:rowOff>
    </xdr:from>
    <xdr:to>
      <xdr:col>13</xdr:col>
      <xdr:colOff>265113</xdr:colOff>
      <xdr:row>50</xdr:row>
      <xdr:rowOff>59711</xdr:rowOff>
    </xdr:to>
    <xdr:pic>
      <xdr:nvPicPr>
        <xdr:cNvPr id="5" name="그림 4">
          <a:extLst>
            <a:ext uri="{FF2B5EF4-FFF2-40B4-BE49-F238E27FC236}">
              <a16:creationId xmlns:a16="http://schemas.microsoft.com/office/drawing/2014/main" id="{B5027254-6AE0-3649-88EC-FB02E168E54C}"/>
            </a:ext>
          </a:extLst>
        </xdr:cNvPr>
        <xdr:cNvPicPr>
          <a:picLocks noChangeAspect="1"/>
        </xdr:cNvPicPr>
      </xdr:nvPicPr>
      <xdr:blipFill>
        <a:blip xmlns:r="http://schemas.openxmlformats.org/officeDocument/2006/relationships" r:embed="rId2"/>
        <a:stretch>
          <a:fillRect/>
        </a:stretch>
      </xdr:blipFill>
      <xdr:spPr>
        <a:xfrm>
          <a:off x="241300" y="5911852"/>
          <a:ext cx="10348913" cy="5222259"/>
        </a:xfrm>
        <a:prstGeom prst="rect">
          <a:avLst/>
        </a:prstGeom>
        <a:ln>
          <a:solidFill>
            <a:schemeClr val="accent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zoomScaleNormal="100" workbookViewId="0">
      <selection activeCell="B14" sqref="B14"/>
    </sheetView>
  </sheetViews>
  <sheetFormatPr baseColWidth="10" defaultColWidth="10.83203125" defaultRowHeight="20"/>
  <cols>
    <col min="1" max="1" width="10.83203125" style="51"/>
    <col min="2" max="2" width="200.83203125" style="10" customWidth="1"/>
    <col min="3" max="16384" width="10.83203125" style="51"/>
  </cols>
  <sheetData>
    <row r="2" spans="2:2" ht="22">
      <c r="B2" s="8" t="s">
        <v>214</v>
      </c>
    </row>
    <row r="3" spans="2:2" ht="22">
      <c r="B3" s="44" t="s">
        <v>174</v>
      </c>
    </row>
    <row r="4" spans="2:2" ht="84">
      <c r="B4" s="9" t="s">
        <v>113</v>
      </c>
    </row>
    <row r="5" spans="2:2" ht="22">
      <c r="B5" s="44" t="s">
        <v>175</v>
      </c>
    </row>
    <row r="6" spans="2:2" ht="42">
      <c r="B6" s="9" t="s">
        <v>114</v>
      </c>
    </row>
    <row r="7" spans="2:2" ht="22">
      <c r="B7" s="44" t="s">
        <v>176</v>
      </c>
    </row>
    <row r="8" spans="2:2" ht="294">
      <c r="B8" s="9" t="s">
        <v>293</v>
      </c>
    </row>
    <row r="9" spans="2:2" ht="22">
      <c r="B9" s="44" t="s">
        <v>177</v>
      </c>
    </row>
    <row r="10" spans="2:2" ht="22">
      <c r="B10" s="9" t="s">
        <v>180</v>
      </c>
    </row>
    <row r="11" spans="2:2" ht="22">
      <c r="B11" s="44" t="s">
        <v>178</v>
      </c>
    </row>
    <row r="12" spans="2:2" ht="42">
      <c r="B12" s="9" t="s">
        <v>115</v>
      </c>
    </row>
    <row r="13" spans="2:2" ht="22">
      <c r="B13" s="44" t="s">
        <v>179</v>
      </c>
    </row>
    <row r="14" spans="2:2" ht="84">
      <c r="B14" s="72" t="s">
        <v>316</v>
      </c>
    </row>
  </sheetData>
  <sheetProtection algorithmName="SHA-512" hashValue="oqQmTTL1TGDehFTcAOr2PQzV2AF19eG2fsUcc8MPwK3DeUGnHmuByNhhMgg5CE2BrggHILzN+R4S0gsFxK+kfw==" saltValue="b/vDCHd/sP/Ufj+9MTyigg==" spinCount="100000" sheet="1" objects="1" scenarios="1"/>
  <phoneticPr fontId="3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workbookViewId="0">
      <selection activeCell="A17" sqref="A17"/>
    </sheetView>
  </sheetViews>
  <sheetFormatPr baseColWidth="10" defaultColWidth="10.83203125" defaultRowHeight="20"/>
  <cols>
    <col min="1" max="1" width="10.83203125" style="51"/>
    <col min="2" max="2" width="200.83203125" style="10" customWidth="1"/>
    <col min="3" max="16384" width="10.83203125" style="51"/>
  </cols>
  <sheetData>
    <row r="2" spans="2:2" ht="22">
      <c r="B2" s="8" t="s">
        <v>116</v>
      </c>
    </row>
    <row r="3" spans="2:2" ht="22">
      <c r="B3" s="43" t="s">
        <v>160</v>
      </c>
    </row>
    <row r="4" spans="2:2" ht="42">
      <c r="B4" s="9" t="s">
        <v>117</v>
      </c>
    </row>
    <row r="5" spans="2:2" ht="22">
      <c r="B5" s="44" t="s">
        <v>161</v>
      </c>
    </row>
    <row r="6" spans="2:2" ht="42">
      <c r="B6" s="9" t="s">
        <v>118</v>
      </c>
    </row>
    <row r="7" spans="2:2" ht="22">
      <c r="B7" s="44" t="s">
        <v>162</v>
      </c>
    </row>
    <row r="8" spans="2:2" ht="64">
      <c r="B8" s="9" t="s">
        <v>181</v>
      </c>
    </row>
    <row r="9" spans="2:2" ht="22">
      <c r="B9" s="44" t="s">
        <v>163</v>
      </c>
    </row>
    <row r="10" spans="2:2" ht="42">
      <c r="B10" s="9" t="s">
        <v>119</v>
      </c>
    </row>
    <row r="11" spans="2:2" ht="22">
      <c r="B11" s="44" t="s">
        <v>164</v>
      </c>
    </row>
    <row r="12" spans="2:2" ht="105">
      <c r="B12" s="9" t="s">
        <v>120</v>
      </c>
    </row>
    <row r="13" spans="2:2" ht="22">
      <c r="B13" s="44" t="s">
        <v>165</v>
      </c>
    </row>
    <row r="14" spans="2:2" ht="84">
      <c r="B14" s="9" t="s">
        <v>121</v>
      </c>
    </row>
    <row r="15" spans="2:2" ht="22">
      <c r="B15" s="44" t="s">
        <v>166</v>
      </c>
    </row>
    <row r="16" spans="2:2" ht="168">
      <c r="B16" s="9" t="s">
        <v>122</v>
      </c>
    </row>
    <row r="17" spans="2:2" ht="22">
      <c r="B17" s="44" t="s">
        <v>167</v>
      </c>
    </row>
    <row r="18" spans="2:2" ht="42">
      <c r="B18" s="9" t="s">
        <v>123</v>
      </c>
    </row>
    <row r="19" spans="2:2" ht="22">
      <c r="B19" s="44" t="s">
        <v>168</v>
      </c>
    </row>
    <row r="20" spans="2:2" ht="105">
      <c r="B20" s="9" t="s">
        <v>124</v>
      </c>
    </row>
    <row r="21" spans="2:2" ht="22">
      <c r="B21" s="44" t="s">
        <v>169</v>
      </c>
    </row>
    <row r="22" spans="2:2" ht="63">
      <c r="B22" s="9" t="s">
        <v>125</v>
      </c>
    </row>
    <row r="23" spans="2:2" ht="22">
      <c r="B23" s="44" t="s">
        <v>170</v>
      </c>
    </row>
    <row r="24" spans="2:2" ht="210">
      <c r="B24" s="9" t="s">
        <v>126</v>
      </c>
    </row>
    <row r="25" spans="2:2" ht="22">
      <c r="B25" s="44" t="s">
        <v>171</v>
      </c>
    </row>
    <row r="26" spans="2:2" ht="147">
      <c r="B26" s="9" t="s">
        <v>127</v>
      </c>
    </row>
    <row r="27" spans="2:2" ht="22">
      <c r="B27" s="44" t="s">
        <v>172</v>
      </c>
    </row>
    <row r="28" spans="2:2" ht="42">
      <c r="B28" s="9" t="s">
        <v>128</v>
      </c>
    </row>
    <row r="29" spans="2:2" ht="22">
      <c r="B29" s="44" t="s">
        <v>173</v>
      </c>
    </row>
    <row r="30" spans="2:2" ht="42">
      <c r="B30" s="9" t="s">
        <v>129</v>
      </c>
    </row>
  </sheetData>
  <sheetProtection algorithmName="SHA-512" hashValue="16lh0SMdOYpgz3mnq1FR8VPhkQB9WkH38CSEnYhumJ7oOgzraD5PFwCtlNgfhiodXtWpUFbS52RGhhbDqUMGuw==" saltValue="TscPftiJMrKjkcTdY+qO4A==" spinCount="100000" sheet="1" objects="1" scenarios="1"/>
  <phoneticPr fontId="3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zoomScaleNormal="100" workbookViewId="0">
      <selection activeCell="B4" sqref="B4"/>
    </sheetView>
  </sheetViews>
  <sheetFormatPr baseColWidth="10" defaultColWidth="10.83203125" defaultRowHeight="20"/>
  <cols>
    <col min="1" max="1" width="10.83203125" style="51"/>
    <col min="2" max="2" width="141.5" style="10" customWidth="1"/>
    <col min="3" max="3" width="40.83203125" style="13" customWidth="1"/>
    <col min="4" max="16384" width="10.83203125" style="51"/>
  </cols>
  <sheetData>
    <row r="2" spans="2:3" ht="22">
      <c r="B2" s="8" t="s">
        <v>130</v>
      </c>
      <c r="C2" s="11"/>
    </row>
    <row r="3" spans="2:3" ht="22">
      <c r="B3" s="43" t="s">
        <v>151</v>
      </c>
      <c r="C3" s="11"/>
    </row>
    <row r="4" spans="2:3" ht="210">
      <c r="B4" s="12" t="s">
        <v>131</v>
      </c>
      <c r="C4" s="50" t="s">
        <v>36</v>
      </c>
    </row>
  </sheetData>
  <sheetProtection algorithmName="SHA-512" hashValue="cPVBRGIOKtrTXlo8MnBnv30QuoK2ij4jvok7Fuxi7SU44lPIkdnO5QVJCpjHhshse5xZzxGkMdhwa1LXka8wWQ==" saltValue="QyILU6nUmgu4hisGiP9AQw==" spinCount="100000" sheet="1" objects="1" scenarios="1"/>
  <phoneticPr fontId="31" type="noConversion"/>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abSelected="1" zoomScaleNormal="100" workbookViewId="0">
      <selection activeCell="A43" sqref="A43"/>
    </sheetView>
  </sheetViews>
  <sheetFormatPr baseColWidth="10" defaultColWidth="10.83203125" defaultRowHeight="19"/>
  <cols>
    <col min="1" max="1" width="3.5" style="15" customWidth="1"/>
    <col min="2" max="2" width="74.6640625" style="15" customWidth="1"/>
    <col min="3" max="4" width="29.1640625" style="15" customWidth="1"/>
    <col min="5" max="5" width="30.33203125" style="15" bestFit="1" customWidth="1"/>
    <col min="6" max="6" width="29.1640625" style="15" customWidth="1"/>
    <col min="7" max="7" width="38.33203125" style="15" customWidth="1"/>
    <col min="8" max="8" width="10.83203125" style="3" customWidth="1"/>
    <col min="9" max="16384" width="10.83203125" style="3"/>
  </cols>
  <sheetData>
    <row r="1" spans="1:7" ht="26" customHeight="1">
      <c r="B1" s="14" t="s">
        <v>235</v>
      </c>
    </row>
    <row r="2" spans="1:7" ht="26" customHeight="1">
      <c r="A2" s="15">
        <v>1</v>
      </c>
      <c r="B2" s="16" t="s">
        <v>132</v>
      </c>
      <c r="C2" s="17" t="s">
        <v>435</v>
      </c>
    </row>
    <row r="3" spans="1:7" ht="26" customHeight="1">
      <c r="A3" s="15">
        <v>2</v>
      </c>
      <c r="B3" s="16" t="s">
        <v>14</v>
      </c>
      <c r="C3" s="18" t="s">
        <v>319</v>
      </c>
    </row>
    <row r="4" spans="1:7" ht="26" customHeight="1">
      <c r="A4" s="15">
        <v>3</v>
      </c>
      <c r="B4" s="16" t="s">
        <v>13</v>
      </c>
      <c r="C4" s="18" t="s">
        <v>319</v>
      </c>
      <c r="E4" s="19"/>
    </row>
    <row r="5" spans="1:7" ht="26" customHeight="1">
      <c r="A5" s="15">
        <v>4</v>
      </c>
      <c r="B5" s="16" t="s">
        <v>133</v>
      </c>
      <c r="C5" s="18" t="s">
        <v>320</v>
      </c>
      <c r="E5" s="19"/>
    </row>
    <row r="6" spans="1:7" ht="26" customHeight="1">
      <c r="A6" s="15">
        <v>5</v>
      </c>
      <c r="B6" s="16" t="s">
        <v>0</v>
      </c>
      <c r="C6" s="20" t="s">
        <v>321</v>
      </c>
      <c r="E6" s="19"/>
    </row>
    <row r="7" spans="1:7" ht="26" customHeight="1">
      <c r="A7" s="15">
        <v>6</v>
      </c>
      <c r="B7" s="16" t="s">
        <v>1</v>
      </c>
      <c r="C7" s="18" t="s">
        <v>105</v>
      </c>
      <c r="E7" s="19"/>
    </row>
    <row r="8" spans="1:7" ht="26" customHeight="1">
      <c r="A8" s="15">
        <v>7</v>
      </c>
      <c r="B8" s="16" t="s">
        <v>2</v>
      </c>
      <c r="C8" s="18" t="s">
        <v>322</v>
      </c>
    </row>
    <row r="9" spans="1:7" ht="26" customHeight="1">
      <c r="A9" s="15">
        <v>8</v>
      </c>
      <c r="B9" s="16" t="s">
        <v>134</v>
      </c>
      <c r="C9" s="18" t="s">
        <v>396</v>
      </c>
    </row>
    <row r="10" spans="1:7" ht="26" customHeight="1">
      <c r="A10" s="15">
        <v>9</v>
      </c>
      <c r="B10" s="16" t="s">
        <v>5</v>
      </c>
      <c r="C10" s="18">
        <v>583</v>
      </c>
    </row>
    <row r="11" spans="1:7">
      <c r="A11" s="15">
        <v>10</v>
      </c>
      <c r="B11" s="16" t="s">
        <v>3</v>
      </c>
      <c r="C11" s="18">
        <v>2003</v>
      </c>
    </row>
    <row r="12" spans="1:7">
      <c r="A12" s="15">
        <v>11</v>
      </c>
      <c r="B12" s="16" t="s">
        <v>4</v>
      </c>
      <c r="C12" s="18">
        <v>2016</v>
      </c>
      <c r="F12" s="21"/>
    </row>
    <row r="15" spans="1:7" ht="40">
      <c r="B15" s="24" t="s">
        <v>135</v>
      </c>
      <c r="C15" s="25" t="s">
        <v>136</v>
      </c>
      <c r="D15" s="25" t="s">
        <v>19</v>
      </c>
      <c r="E15" s="25" t="s">
        <v>112</v>
      </c>
      <c r="F15" s="25" t="s">
        <v>20</v>
      </c>
      <c r="G15" s="26" t="s">
        <v>137</v>
      </c>
    </row>
    <row r="16" spans="1:7" ht="20">
      <c r="B16" s="27" t="s">
        <v>21</v>
      </c>
      <c r="C16" s="18" t="s">
        <v>323</v>
      </c>
      <c r="D16" s="18" t="s">
        <v>324</v>
      </c>
      <c r="E16" s="18" t="s">
        <v>320</v>
      </c>
      <c r="F16" s="20" t="s">
        <v>325</v>
      </c>
      <c r="G16" s="28" t="s">
        <v>456</v>
      </c>
    </row>
    <row r="17" spans="2:7" ht="20">
      <c r="B17" s="27" t="s">
        <v>138</v>
      </c>
      <c r="C17" s="18" t="s">
        <v>326</v>
      </c>
      <c r="D17" s="18" t="s">
        <v>327</v>
      </c>
      <c r="E17" s="18" t="s">
        <v>320</v>
      </c>
      <c r="F17" s="20" t="s">
        <v>328</v>
      </c>
      <c r="G17" s="28" t="s">
        <v>395</v>
      </c>
    </row>
    <row r="18" spans="2:7" ht="20">
      <c r="B18" s="27" t="s">
        <v>139</v>
      </c>
      <c r="C18" s="18" t="s">
        <v>329</v>
      </c>
      <c r="D18" s="18" t="s">
        <v>438</v>
      </c>
      <c r="E18" s="18" t="s">
        <v>91</v>
      </c>
      <c r="F18" s="20" t="s">
        <v>330</v>
      </c>
      <c r="G18" s="28" t="s">
        <v>457</v>
      </c>
    </row>
    <row r="19" spans="2:7" ht="20">
      <c r="B19" s="27" t="s">
        <v>140</v>
      </c>
      <c r="C19" s="18" t="s">
        <v>331</v>
      </c>
      <c r="D19" s="18" t="s">
        <v>327</v>
      </c>
      <c r="E19" s="18" t="s">
        <v>320</v>
      </c>
      <c r="F19" s="20" t="s">
        <v>332</v>
      </c>
      <c r="G19" s="28" t="s">
        <v>458</v>
      </c>
    </row>
    <row r="20" spans="2:7" ht="20">
      <c r="B20" s="29" t="s">
        <v>141</v>
      </c>
      <c r="C20" s="22" t="s">
        <v>385</v>
      </c>
      <c r="D20" s="22" t="s">
        <v>436</v>
      </c>
      <c r="E20" s="18" t="s">
        <v>58</v>
      </c>
      <c r="F20" s="23" t="s">
        <v>386</v>
      </c>
      <c r="G20" s="28" t="s">
        <v>387</v>
      </c>
    </row>
    <row r="21" spans="2:7" ht="20">
      <c r="B21" s="27" t="s">
        <v>142</v>
      </c>
      <c r="C21" s="18" t="s">
        <v>337</v>
      </c>
      <c r="D21" s="18" t="s">
        <v>335</v>
      </c>
      <c r="E21" s="18" t="s">
        <v>320</v>
      </c>
      <c r="F21" s="20" t="s">
        <v>338</v>
      </c>
      <c r="G21" s="28" t="s">
        <v>459</v>
      </c>
    </row>
    <row r="22" spans="2:7" ht="20">
      <c r="B22" s="27" t="s">
        <v>143</v>
      </c>
      <c r="C22" s="18" t="s">
        <v>391</v>
      </c>
      <c r="D22" s="22" t="s">
        <v>392</v>
      </c>
      <c r="E22" s="18" t="s">
        <v>58</v>
      </c>
      <c r="F22" s="20" t="s">
        <v>393</v>
      </c>
      <c r="G22" s="28" t="s">
        <v>394</v>
      </c>
    </row>
    <row r="23" spans="2:7" ht="20">
      <c r="B23" s="27" t="s">
        <v>144</v>
      </c>
      <c r="C23" s="18" t="s">
        <v>388</v>
      </c>
      <c r="D23" s="22" t="s">
        <v>437</v>
      </c>
      <c r="E23" s="18" t="s">
        <v>58</v>
      </c>
      <c r="F23" s="20" t="s">
        <v>389</v>
      </c>
      <c r="G23" s="28" t="s">
        <v>390</v>
      </c>
    </row>
    <row r="24" spans="2:7" ht="20">
      <c r="B24" s="27" t="s">
        <v>212</v>
      </c>
      <c r="C24" s="18" t="s">
        <v>333</v>
      </c>
      <c r="D24" s="18" t="s">
        <v>327</v>
      </c>
      <c r="E24" s="18" t="s">
        <v>74</v>
      </c>
      <c r="F24" s="20" t="s">
        <v>462</v>
      </c>
      <c r="G24" s="28" t="s">
        <v>460</v>
      </c>
    </row>
    <row r="25" spans="2:7" ht="20">
      <c r="B25" s="27" t="s">
        <v>212</v>
      </c>
      <c r="C25" s="30" t="s">
        <v>334</v>
      </c>
      <c r="D25" s="30" t="s">
        <v>335</v>
      </c>
      <c r="E25" s="30" t="s">
        <v>74</v>
      </c>
      <c r="F25" s="31" t="s">
        <v>336</v>
      </c>
      <c r="G25" s="32" t="s">
        <v>461</v>
      </c>
    </row>
  </sheetData>
  <sheetProtection algorithmName="SHA-512" hashValue="6yI60cFygKABQ6hsh5VMwt5lwhrATZ21Hzv2csGFFn0nCOgRIkGTqVPEw9cgpAkSwjap78AvGrfGpwdsFd9Lnw==" saltValue="sj8fAt/Q3fALWU/fQ7kXBA==" spinCount="100000" sheet="1" objects="1" scenarios="1"/>
  <phoneticPr fontId="31" type="noConversion"/>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Normal="100" workbookViewId="0">
      <selection activeCell="A40" sqref="A40"/>
    </sheetView>
  </sheetViews>
  <sheetFormatPr baseColWidth="10" defaultColWidth="10.83203125" defaultRowHeight="16"/>
  <cols>
    <col min="1" max="1" width="4.83203125" customWidth="1"/>
    <col min="2" max="2" width="53.83203125" customWidth="1"/>
    <col min="3" max="8" width="28.1640625" customWidth="1"/>
    <col min="9" max="16384" width="10.83203125" style="1"/>
  </cols>
  <sheetData>
    <row r="1" spans="2:9" ht="51" customHeight="1">
      <c r="B1" s="14" t="s">
        <v>213</v>
      </c>
    </row>
    <row r="2" spans="2:9" ht="51" customHeight="1">
      <c r="B2" s="16" t="s">
        <v>145</v>
      </c>
      <c r="C2" s="16">
        <v>2022</v>
      </c>
      <c r="D2" s="16">
        <v>2023</v>
      </c>
      <c r="E2" s="16">
        <v>2024</v>
      </c>
      <c r="F2" s="16" t="s">
        <v>210</v>
      </c>
      <c r="G2" s="16" t="s">
        <v>146</v>
      </c>
      <c r="H2" s="16" t="s">
        <v>147</v>
      </c>
    </row>
    <row r="3" spans="2:9" ht="51" customHeight="1">
      <c r="B3" s="33" t="s">
        <v>9</v>
      </c>
      <c r="C3" s="61">
        <v>3.78</v>
      </c>
      <c r="D3" s="61">
        <v>3.78</v>
      </c>
      <c r="E3" s="61">
        <v>3.78</v>
      </c>
      <c r="F3" s="61">
        <v>7.78</v>
      </c>
      <c r="G3" s="61">
        <v>27.78</v>
      </c>
      <c r="H3" s="61">
        <v>57.78</v>
      </c>
    </row>
    <row r="4" spans="2:9" ht="51" customHeight="1">
      <c r="B4" s="33" t="s">
        <v>10</v>
      </c>
      <c r="C4" s="61">
        <v>45.8</v>
      </c>
      <c r="D4" s="61">
        <v>63.2</v>
      </c>
      <c r="E4" s="61">
        <v>57.9</v>
      </c>
      <c r="F4" s="61">
        <v>68</v>
      </c>
      <c r="G4" s="61">
        <v>137</v>
      </c>
      <c r="H4" s="61">
        <v>151</v>
      </c>
      <c r="I4" s="4"/>
    </row>
    <row r="5" spans="2:9" ht="51" customHeight="1">
      <c r="B5" s="33" t="s">
        <v>11</v>
      </c>
      <c r="C5" s="61">
        <v>3.8</v>
      </c>
      <c r="D5" s="61">
        <v>0.1</v>
      </c>
      <c r="E5" s="61">
        <v>0.15</v>
      </c>
      <c r="F5" s="61">
        <v>0.1</v>
      </c>
      <c r="G5" s="61">
        <v>0.5</v>
      </c>
      <c r="H5" s="61">
        <v>1</v>
      </c>
      <c r="I5" s="4" t="s">
        <v>18</v>
      </c>
    </row>
    <row r="6" spans="2:9" ht="51" customHeight="1">
      <c r="B6" s="33" t="s">
        <v>286</v>
      </c>
      <c r="C6" s="61">
        <v>18.100000000000001</v>
      </c>
      <c r="D6" s="61">
        <v>43.1</v>
      </c>
      <c r="E6" s="61">
        <v>21.2</v>
      </c>
      <c r="F6" s="61">
        <v>9</v>
      </c>
      <c r="G6" s="61">
        <v>80</v>
      </c>
      <c r="H6" s="61">
        <v>73</v>
      </c>
      <c r="I6" s="2" t="s">
        <v>150</v>
      </c>
    </row>
    <row r="8" spans="2:9" ht="19">
      <c r="B8" s="16" t="s">
        <v>145</v>
      </c>
      <c r="C8" s="16">
        <v>2023</v>
      </c>
      <c r="D8" s="16">
        <v>2023</v>
      </c>
      <c r="E8" s="16">
        <v>2024</v>
      </c>
      <c r="F8" s="16" t="s">
        <v>210</v>
      </c>
      <c r="G8" s="16" t="s">
        <v>146</v>
      </c>
      <c r="H8" s="16" t="s">
        <v>147</v>
      </c>
    </row>
    <row r="9" spans="2:9" ht="19">
      <c r="B9" s="33" t="s">
        <v>148</v>
      </c>
      <c r="C9" s="62">
        <v>15.8</v>
      </c>
      <c r="D9" s="62">
        <v>23</v>
      </c>
      <c r="E9" s="62">
        <v>22.8</v>
      </c>
      <c r="F9" s="62">
        <v>24.5</v>
      </c>
      <c r="G9" s="62">
        <v>50</v>
      </c>
      <c r="H9" s="62">
        <v>55</v>
      </c>
    </row>
    <row r="10" spans="2:9" ht="19">
      <c r="B10" s="33" t="s">
        <v>149</v>
      </c>
      <c r="C10" s="62">
        <v>5.9</v>
      </c>
      <c r="D10" s="62">
        <v>8.9</v>
      </c>
      <c r="E10" s="62">
        <v>8.6</v>
      </c>
      <c r="F10" s="62">
        <v>9</v>
      </c>
      <c r="G10" s="62">
        <v>15</v>
      </c>
      <c r="H10" s="62">
        <v>17.2</v>
      </c>
    </row>
  </sheetData>
  <sheetProtection algorithmName="SHA-512" hashValue="ADYHa84FNvxgDAPkQMA/ds4sXCGn4cmNRk+QJEHJSD6Mj+8x0KTQ9z3XQL2xdLYTVckdH232Lggvd0pM/Osjng==" saltValue="pjSFd/rHk5+ena2trvj3tA==" spinCount="100000" sheet="1" objects="1" scenarios="1"/>
  <phoneticPr fontId="31" type="noConversion"/>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zoomScaleNormal="100" workbookViewId="0">
      <selection activeCell="C3" sqref="C3"/>
    </sheetView>
  </sheetViews>
  <sheetFormatPr baseColWidth="10" defaultColWidth="10.83203125" defaultRowHeight="26" customHeight="1"/>
  <cols>
    <col min="1" max="1" width="6.1640625" style="66" customWidth="1"/>
    <col min="2" max="2" width="59" style="35" customWidth="1"/>
    <col min="3" max="3" width="38.5" style="3" customWidth="1"/>
    <col min="4" max="8" width="38.5" style="6" customWidth="1"/>
    <col min="9" max="11" width="29.1640625" style="3" customWidth="1"/>
    <col min="12" max="16384" width="10.83203125" style="3"/>
  </cols>
  <sheetData>
    <row r="1" spans="1:8" s="15" customFormat="1" ht="51" customHeight="1">
      <c r="A1" s="64"/>
      <c r="B1" s="34" t="s">
        <v>295</v>
      </c>
    </row>
    <row r="2" spans="1:8" s="35" customFormat="1" ht="56" customHeight="1">
      <c r="A2" s="65"/>
      <c r="B2" s="16"/>
      <c r="C2" s="16" t="s">
        <v>15</v>
      </c>
      <c r="D2" s="36" t="s">
        <v>107</v>
      </c>
      <c r="E2" s="36" t="s">
        <v>108</v>
      </c>
      <c r="F2" s="36" t="s">
        <v>109</v>
      </c>
      <c r="G2" s="36" t="s">
        <v>110</v>
      </c>
      <c r="H2" s="36" t="s">
        <v>111</v>
      </c>
    </row>
    <row r="3" spans="1:8" ht="60" customHeight="1">
      <c r="A3" s="66">
        <v>1</v>
      </c>
      <c r="B3" s="16" t="s">
        <v>152</v>
      </c>
      <c r="C3" s="37" t="s">
        <v>339</v>
      </c>
      <c r="D3" s="37" t="s">
        <v>342</v>
      </c>
      <c r="E3" s="37" t="s">
        <v>344</v>
      </c>
      <c r="F3" s="18"/>
      <c r="G3" s="18"/>
      <c r="H3" s="18"/>
    </row>
    <row r="4" spans="1:8" ht="60" customHeight="1">
      <c r="A4" s="66">
        <v>2</v>
      </c>
      <c r="B4" s="16" t="s">
        <v>153</v>
      </c>
      <c r="C4" s="18" t="s">
        <v>340</v>
      </c>
      <c r="D4" s="18" t="s">
        <v>343</v>
      </c>
      <c r="E4" s="18" t="s">
        <v>345</v>
      </c>
      <c r="F4" s="18"/>
      <c r="G4" s="53"/>
      <c r="H4" s="18"/>
    </row>
    <row r="5" spans="1:8" ht="60" customHeight="1">
      <c r="A5" s="66">
        <v>3</v>
      </c>
      <c r="B5" s="16" t="s">
        <v>154</v>
      </c>
      <c r="C5" s="18" t="s">
        <v>341</v>
      </c>
      <c r="D5" s="77" t="s">
        <v>352</v>
      </c>
      <c r="E5" s="18" t="s">
        <v>346</v>
      </c>
      <c r="F5" s="18"/>
      <c r="G5" s="18"/>
      <c r="H5" s="18"/>
    </row>
    <row r="6" spans="1:8" ht="60" customHeight="1">
      <c r="A6" s="66">
        <v>4</v>
      </c>
      <c r="B6" s="36" t="s">
        <v>155</v>
      </c>
      <c r="C6" s="18" t="s">
        <v>353</v>
      </c>
      <c r="D6" s="77" t="s">
        <v>353</v>
      </c>
      <c r="E6" s="18" t="s">
        <v>354</v>
      </c>
      <c r="F6" s="18"/>
      <c r="G6" s="18"/>
      <c r="H6" s="18"/>
    </row>
    <row r="7" spans="1:8" ht="86" customHeight="1">
      <c r="A7" s="66">
        <v>5</v>
      </c>
      <c r="B7" s="36" t="s">
        <v>156</v>
      </c>
      <c r="C7" s="18" t="s">
        <v>322</v>
      </c>
      <c r="D7" s="77" t="s">
        <v>440</v>
      </c>
      <c r="E7" s="18" t="s">
        <v>440</v>
      </c>
      <c r="F7" s="18"/>
      <c r="G7" s="18"/>
      <c r="H7" s="18"/>
    </row>
    <row r="8" spans="1:8" ht="86" customHeight="1">
      <c r="A8" s="66">
        <v>6</v>
      </c>
      <c r="B8" s="36" t="s">
        <v>157</v>
      </c>
      <c r="C8" s="18" t="s">
        <v>322</v>
      </c>
      <c r="D8" s="18" t="s">
        <v>439</v>
      </c>
      <c r="E8" s="18" t="s">
        <v>441</v>
      </c>
      <c r="F8" s="18"/>
      <c r="G8" s="18"/>
      <c r="H8" s="18"/>
    </row>
    <row r="9" spans="1:8" ht="60" customHeight="1">
      <c r="A9" s="66">
        <v>7</v>
      </c>
      <c r="B9" s="16" t="s">
        <v>158</v>
      </c>
      <c r="C9" s="38">
        <v>700</v>
      </c>
      <c r="D9" s="38">
        <v>15000</v>
      </c>
      <c r="E9" s="39">
        <v>3600</v>
      </c>
      <c r="F9" s="39"/>
      <c r="G9" s="39"/>
      <c r="H9" s="39"/>
    </row>
    <row r="10" spans="1:8" ht="60" customHeight="1">
      <c r="A10" s="66">
        <v>8</v>
      </c>
      <c r="B10" s="36" t="s">
        <v>278</v>
      </c>
      <c r="C10" s="38">
        <v>101</v>
      </c>
      <c r="D10" s="38">
        <v>347</v>
      </c>
      <c r="E10" s="39">
        <v>135</v>
      </c>
      <c r="F10" s="39"/>
      <c r="G10" s="39"/>
      <c r="H10" s="39"/>
    </row>
    <row r="11" spans="1:8" ht="60" customHeight="1">
      <c r="A11" s="66">
        <v>9</v>
      </c>
      <c r="B11" s="36" t="s">
        <v>208</v>
      </c>
      <c r="C11" s="18"/>
      <c r="D11" s="18">
        <v>30</v>
      </c>
      <c r="E11" s="18">
        <v>6</v>
      </c>
      <c r="F11" s="18"/>
      <c r="G11" s="18"/>
      <c r="H11" s="18"/>
    </row>
    <row r="12" spans="1:8" ht="60" customHeight="1">
      <c r="A12" s="66">
        <v>10</v>
      </c>
      <c r="B12" s="36" t="s">
        <v>207</v>
      </c>
      <c r="C12" s="18"/>
      <c r="D12" s="18">
        <v>50</v>
      </c>
      <c r="E12" s="18">
        <v>10</v>
      </c>
      <c r="F12" s="18"/>
      <c r="G12" s="18"/>
      <c r="H12" s="18"/>
    </row>
    <row r="13" spans="1:8" ht="60" customHeight="1">
      <c r="A13" s="66">
        <v>11</v>
      </c>
      <c r="B13" s="36" t="s">
        <v>279</v>
      </c>
      <c r="C13" s="18"/>
      <c r="D13" s="18"/>
      <c r="E13" s="18"/>
      <c r="F13" s="18"/>
      <c r="G13" s="18"/>
      <c r="H13" s="18"/>
    </row>
    <row r="14" spans="1:8" ht="60" customHeight="1">
      <c r="A14" s="66">
        <v>12</v>
      </c>
      <c r="B14" s="36" t="s">
        <v>205</v>
      </c>
      <c r="C14" s="18" t="s">
        <v>37</v>
      </c>
      <c r="D14" s="18" t="s">
        <v>36</v>
      </c>
      <c r="E14" s="18" t="s">
        <v>36</v>
      </c>
      <c r="F14" s="18"/>
      <c r="G14" s="18"/>
      <c r="H14" s="18"/>
    </row>
    <row r="15" spans="1:8" ht="60" customHeight="1">
      <c r="A15" s="66">
        <v>13</v>
      </c>
      <c r="B15" s="36" t="s">
        <v>282</v>
      </c>
      <c r="C15" s="18" t="s">
        <v>37</v>
      </c>
      <c r="D15" s="18" t="s">
        <v>36</v>
      </c>
      <c r="E15" s="18" t="s">
        <v>36</v>
      </c>
      <c r="F15" s="18"/>
      <c r="G15" s="18"/>
      <c r="H15" s="18"/>
    </row>
    <row r="16" spans="1:8" ht="60" customHeight="1">
      <c r="A16" s="66">
        <v>14</v>
      </c>
      <c r="B16" s="36" t="s">
        <v>206</v>
      </c>
      <c r="C16" s="18" t="s">
        <v>442</v>
      </c>
      <c r="D16" s="18" t="s">
        <v>442</v>
      </c>
      <c r="E16" s="18" t="s">
        <v>442</v>
      </c>
      <c r="F16" s="18"/>
      <c r="G16" s="18"/>
      <c r="H16" s="18"/>
    </row>
    <row r="18" spans="1:8" ht="61" customHeight="1">
      <c r="A18" s="66">
        <v>15</v>
      </c>
      <c r="B18" s="78" t="s">
        <v>228</v>
      </c>
      <c r="C18" s="78"/>
      <c r="D18" s="79" t="s">
        <v>443</v>
      </c>
      <c r="E18" s="80"/>
      <c r="F18" s="80"/>
      <c r="G18" s="80"/>
      <c r="H18" s="81"/>
    </row>
    <row r="19" spans="1:8" ht="61" customHeight="1">
      <c r="A19" s="66">
        <v>16</v>
      </c>
      <c r="B19" s="78" t="s">
        <v>215</v>
      </c>
      <c r="C19" s="78"/>
      <c r="D19" s="79" t="s">
        <v>444</v>
      </c>
      <c r="E19" s="80"/>
      <c r="F19" s="80"/>
      <c r="G19" s="80"/>
      <c r="H19" s="81"/>
    </row>
    <row r="20" spans="1:8" ht="61" customHeight="1">
      <c r="A20" s="66">
        <v>17</v>
      </c>
      <c r="B20" s="78" t="s">
        <v>202</v>
      </c>
      <c r="C20" s="78"/>
      <c r="D20" s="79" t="s">
        <v>37</v>
      </c>
      <c r="E20" s="80"/>
      <c r="F20" s="80"/>
      <c r="G20" s="80"/>
      <c r="H20" s="81"/>
    </row>
    <row r="21" spans="1:8" ht="61" customHeight="1">
      <c r="A21" s="66">
        <v>18</v>
      </c>
      <c r="B21" s="78" t="s">
        <v>159</v>
      </c>
      <c r="C21" s="78"/>
      <c r="D21" s="79" t="s">
        <v>347</v>
      </c>
      <c r="E21" s="80"/>
      <c r="F21" s="80"/>
      <c r="G21" s="80"/>
      <c r="H21" s="81"/>
    </row>
    <row r="22" spans="1:8" ht="61" customHeight="1">
      <c r="A22" s="66">
        <v>19</v>
      </c>
      <c r="B22" s="78" t="s">
        <v>203</v>
      </c>
      <c r="C22" s="78"/>
      <c r="D22" s="79" t="s">
        <v>445</v>
      </c>
      <c r="E22" s="80"/>
      <c r="F22" s="80"/>
      <c r="G22" s="80"/>
      <c r="H22" s="81"/>
    </row>
    <row r="23" spans="1:8" ht="61" customHeight="1">
      <c r="A23" s="66">
        <v>20</v>
      </c>
      <c r="B23" s="82" t="s">
        <v>226</v>
      </c>
      <c r="C23" s="83"/>
      <c r="D23" s="40" t="s">
        <v>355</v>
      </c>
      <c r="E23" s="41"/>
      <c r="F23" s="41"/>
      <c r="G23" s="41"/>
      <c r="H23" s="42"/>
    </row>
    <row r="24" spans="1:8" ht="61" customHeight="1">
      <c r="A24" s="66">
        <v>21</v>
      </c>
      <c r="B24" s="82" t="s">
        <v>227</v>
      </c>
      <c r="C24" s="83"/>
      <c r="D24" s="40" t="s">
        <v>397</v>
      </c>
      <c r="E24" s="41"/>
      <c r="F24" s="41"/>
      <c r="G24" s="41"/>
      <c r="H24" s="42"/>
    </row>
    <row r="25" spans="1:8" ht="187.75" customHeight="1">
      <c r="A25" s="66">
        <v>22</v>
      </c>
      <c r="B25" s="78" t="s">
        <v>204</v>
      </c>
      <c r="C25" s="78"/>
      <c r="D25" s="79" t="s">
        <v>348</v>
      </c>
      <c r="E25" s="80"/>
      <c r="F25" s="80"/>
      <c r="G25" s="80"/>
      <c r="H25" s="81"/>
    </row>
    <row r="26" spans="1:8" ht="61" customHeight="1"/>
    <row r="27" spans="1:8" ht="61" customHeight="1"/>
    <row r="28" spans="1:8" ht="61" customHeight="1"/>
    <row r="29" spans="1:8" ht="61" customHeight="1"/>
  </sheetData>
  <sheetProtection algorithmName="SHA-512" hashValue="MfMEAblZjKBqAPX9VPQm6sFACoYf1wgSCXTunSYdqxnUDVIBn7Ehzs0RsgzyRvt0O5q+B8a8sVj/VubePBmZ+w==" saltValue="i4XABQq/CBPEu2Kvm2yl+A==" spinCount="100000" sheet="1" selectLockedCells="1"/>
  <mergeCells count="14">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s>
  <phoneticPr fontId="31" type="noConversion"/>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Normal="100" workbookViewId="0">
      <selection activeCell="C3" sqref="C3"/>
    </sheetView>
  </sheetViews>
  <sheetFormatPr baseColWidth="10" defaultColWidth="10.83203125" defaultRowHeight="50" customHeight="1"/>
  <cols>
    <col min="1" max="1" width="5.1640625" style="3" customWidth="1"/>
    <col min="2" max="2" width="53.1640625" style="3" customWidth="1"/>
    <col min="3" max="10" width="32.6640625" style="3" customWidth="1"/>
    <col min="11" max="16384" width="10.83203125" style="3"/>
  </cols>
  <sheetData>
    <row r="1" spans="2:10" ht="50" customHeight="1">
      <c r="B1" s="45" t="s">
        <v>296</v>
      </c>
    </row>
    <row r="2" spans="2:10" ht="50" customHeight="1">
      <c r="B2" s="46"/>
      <c r="C2" s="47" t="s">
        <v>6</v>
      </c>
      <c r="D2" s="47" t="s">
        <v>7</v>
      </c>
      <c r="E2" s="47" t="s">
        <v>8</v>
      </c>
      <c r="F2" s="47" t="s">
        <v>16</v>
      </c>
      <c r="G2" s="47" t="s">
        <v>17</v>
      </c>
      <c r="H2" s="47" t="s">
        <v>182</v>
      </c>
      <c r="I2" s="47" t="s">
        <v>217</v>
      </c>
      <c r="J2" s="47" t="s">
        <v>218</v>
      </c>
    </row>
    <row r="3" spans="2:10" ht="50" customHeight="1">
      <c r="B3" s="47" t="s">
        <v>183</v>
      </c>
      <c r="C3" s="73" t="s">
        <v>58</v>
      </c>
      <c r="D3" s="73" t="s">
        <v>68</v>
      </c>
      <c r="E3" s="73" t="s">
        <v>103</v>
      </c>
      <c r="F3" s="73" t="s">
        <v>97</v>
      </c>
      <c r="G3" s="73" t="s">
        <v>53</v>
      </c>
      <c r="H3" s="73" t="s">
        <v>74</v>
      </c>
      <c r="I3" s="73"/>
      <c r="J3" s="73"/>
    </row>
    <row r="4" spans="2:10" ht="50" customHeight="1">
      <c r="B4" s="48" t="s">
        <v>264</v>
      </c>
      <c r="C4" s="73">
        <v>18</v>
      </c>
      <c r="D4" s="73">
        <v>15</v>
      </c>
      <c r="E4" s="73">
        <v>6</v>
      </c>
      <c r="F4" s="73">
        <v>2</v>
      </c>
      <c r="G4" s="73"/>
      <c r="H4" s="73">
        <v>5</v>
      </c>
      <c r="I4" s="73"/>
      <c r="J4" s="73"/>
    </row>
    <row r="5" spans="2:10" ht="50" customHeight="1">
      <c r="B5" s="48" t="s">
        <v>263</v>
      </c>
      <c r="C5" s="73">
        <v>50</v>
      </c>
      <c r="D5" s="73">
        <v>15</v>
      </c>
      <c r="E5" s="73">
        <v>15</v>
      </c>
      <c r="F5" s="73">
        <v>3</v>
      </c>
      <c r="G5" s="73"/>
      <c r="H5" s="73">
        <v>15</v>
      </c>
      <c r="I5" s="73"/>
      <c r="J5" s="73"/>
    </row>
    <row r="6" spans="2:10" ht="50" customHeight="1">
      <c r="B6" s="48" t="s">
        <v>265</v>
      </c>
      <c r="C6" s="73">
        <v>37</v>
      </c>
      <c r="D6" s="73">
        <v>8</v>
      </c>
      <c r="E6" s="73">
        <v>18</v>
      </c>
      <c r="F6" s="73">
        <v>3</v>
      </c>
      <c r="G6" s="73"/>
      <c r="H6" s="73">
        <v>40</v>
      </c>
      <c r="I6" s="73"/>
      <c r="J6" s="73"/>
    </row>
    <row r="7" spans="2:10" ht="50" customHeight="1">
      <c r="B7" s="48" t="s">
        <v>266</v>
      </c>
      <c r="C7" s="73">
        <v>300</v>
      </c>
      <c r="D7" s="73">
        <v>50</v>
      </c>
      <c r="E7" s="73">
        <v>60</v>
      </c>
      <c r="F7" s="73">
        <v>6</v>
      </c>
      <c r="G7" s="73"/>
      <c r="H7" s="73">
        <v>180</v>
      </c>
      <c r="I7" s="73"/>
      <c r="J7" s="73"/>
    </row>
    <row r="8" spans="2:10" ht="50" customHeight="1">
      <c r="B8" s="48" t="s">
        <v>216</v>
      </c>
      <c r="C8" s="73" t="s">
        <v>349</v>
      </c>
      <c r="D8" s="73" t="s">
        <v>350</v>
      </c>
      <c r="E8" s="73" t="s">
        <v>349</v>
      </c>
      <c r="F8" s="73" t="s">
        <v>350</v>
      </c>
      <c r="G8" s="73"/>
      <c r="H8" s="73" t="s">
        <v>350</v>
      </c>
      <c r="I8" s="73"/>
      <c r="J8" s="73"/>
    </row>
    <row r="9" spans="2:10" ht="50" customHeight="1">
      <c r="B9" s="48" t="s">
        <v>298</v>
      </c>
      <c r="C9" s="73" t="s">
        <v>349</v>
      </c>
      <c r="D9" s="73" t="s">
        <v>349</v>
      </c>
      <c r="E9" s="73" t="s">
        <v>349</v>
      </c>
      <c r="F9" s="73" t="s">
        <v>349</v>
      </c>
      <c r="G9" s="73"/>
      <c r="H9" s="73" t="s">
        <v>349</v>
      </c>
      <c r="I9" s="73"/>
      <c r="J9" s="73"/>
    </row>
    <row r="10" spans="2:10" ht="50" customHeight="1">
      <c r="B10" s="67" t="s">
        <v>292</v>
      </c>
      <c r="C10" s="73" t="s">
        <v>424</v>
      </c>
      <c r="D10" s="73" t="s">
        <v>427</v>
      </c>
      <c r="E10" s="73" t="s">
        <v>426</v>
      </c>
      <c r="F10" s="73" t="s">
        <v>428</v>
      </c>
      <c r="G10" s="73"/>
      <c r="H10" s="73" t="s">
        <v>425</v>
      </c>
      <c r="I10" s="73"/>
      <c r="J10" s="73"/>
    </row>
    <row r="11" spans="2:10" ht="50" customHeight="1">
      <c r="B11" s="48" t="s">
        <v>106</v>
      </c>
      <c r="C11" s="74">
        <v>12</v>
      </c>
      <c r="D11" s="74">
        <v>16</v>
      </c>
      <c r="E11" s="74">
        <v>16</v>
      </c>
      <c r="F11" s="73">
        <v>16</v>
      </c>
      <c r="G11" s="73"/>
      <c r="H11" s="73">
        <v>12</v>
      </c>
      <c r="I11" s="73"/>
      <c r="J11" s="73"/>
    </row>
    <row r="12" spans="2:10" ht="50" customHeight="1">
      <c r="B12" s="48" t="s">
        <v>201</v>
      </c>
      <c r="C12" s="75">
        <v>0.03</v>
      </c>
      <c r="D12" s="76">
        <v>0.01</v>
      </c>
      <c r="E12" s="76">
        <v>5.0000000000000001E-3</v>
      </c>
      <c r="F12" s="76">
        <v>0.01</v>
      </c>
      <c r="G12" s="76"/>
      <c r="H12" s="76">
        <v>0.01</v>
      </c>
      <c r="I12" s="76"/>
      <c r="J12" s="76"/>
    </row>
    <row r="14" spans="2:10" ht="50" customHeight="1">
      <c r="B14" s="85" t="s">
        <v>184</v>
      </c>
      <c r="C14" s="85"/>
      <c r="D14" s="85"/>
    </row>
    <row r="15" spans="2:10" ht="50" customHeight="1">
      <c r="B15" s="16" t="s">
        <v>185</v>
      </c>
      <c r="C15" s="85" t="s">
        <v>186</v>
      </c>
      <c r="D15" s="85"/>
    </row>
    <row r="16" spans="2:10" ht="50" customHeight="1">
      <c r="B16" s="49" t="s">
        <v>187</v>
      </c>
      <c r="C16" s="86" t="s">
        <v>188</v>
      </c>
      <c r="D16" s="86"/>
    </row>
    <row r="17" spans="2:4" ht="50" customHeight="1">
      <c r="B17" s="84" t="s">
        <v>189</v>
      </c>
      <c r="C17" s="84" t="s">
        <v>190</v>
      </c>
      <c r="D17" s="84"/>
    </row>
    <row r="18" spans="2:4" ht="50" customHeight="1">
      <c r="B18" s="84"/>
      <c r="C18" s="84" t="s">
        <v>191</v>
      </c>
      <c r="D18" s="84"/>
    </row>
    <row r="19" spans="2:4" ht="50" customHeight="1">
      <c r="B19" s="84"/>
      <c r="C19" s="84" t="s">
        <v>192</v>
      </c>
      <c r="D19" s="84"/>
    </row>
    <row r="20" spans="2:4" ht="50" customHeight="1">
      <c r="B20" s="84"/>
      <c r="C20" s="84" t="s">
        <v>193</v>
      </c>
      <c r="D20" s="84"/>
    </row>
    <row r="21" spans="2:4" ht="50" customHeight="1">
      <c r="B21" s="84" t="s">
        <v>194</v>
      </c>
      <c r="C21" s="84" t="s">
        <v>195</v>
      </c>
      <c r="D21" s="84"/>
    </row>
    <row r="22" spans="2:4" ht="50" customHeight="1">
      <c r="B22" s="84"/>
      <c r="C22" s="84" t="s">
        <v>196</v>
      </c>
      <c r="D22" s="84"/>
    </row>
    <row r="23" spans="2:4" ht="50" customHeight="1">
      <c r="B23" s="84"/>
      <c r="C23" s="84" t="s">
        <v>197</v>
      </c>
      <c r="D23" s="84"/>
    </row>
    <row r="24" spans="2:4" ht="50" customHeight="1">
      <c r="B24" s="84" t="s">
        <v>198</v>
      </c>
      <c r="C24" s="84" t="s">
        <v>199</v>
      </c>
      <c r="D24" s="84"/>
    </row>
    <row r="25" spans="2:4" ht="50" customHeight="1">
      <c r="B25" s="84"/>
      <c r="C25" s="84" t="s">
        <v>200</v>
      </c>
      <c r="D25" s="84"/>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phoneticPr fontId="31" type="noConversion"/>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zoomScaleNormal="100" workbookViewId="0">
      <selection activeCell="A34" sqref="A34"/>
    </sheetView>
  </sheetViews>
  <sheetFormatPr baseColWidth="10" defaultColWidth="10.83203125" defaultRowHeight="16"/>
  <cols>
    <col min="1" max="1" width="4.1640625" style="1" customWidth="1"/>
    <col min="2" max="2" width="51.5" style="1" customWidth="1"/>
    <col min="3" max="9" width="29.1640625" style="1" customWidth="1"/>
    <col min="10" max="10" width="57.83203125" style="1" customWidth="1"/>
    <col min="11" max="11" width="31.33203125" style="1" bestFit="1" customWidth="1"/>
    <col min="12" max="15" width="29.1640625" style="1" customWidth="1"/>
    <col min="16" max="16384" width="10.83203125" style="1"/>
  </cols>
  <sheetData>
    <row r="1" spans="2:11" ht="67" customHeight="1">
      <c r="B1" s="34" t="s">
        <v>290</v>
      </c>
    </row>
    <row r="2" spans="2:11" ht="67" customHeight="1">
      <c r="B2" s="33"/>
      <c r="C2" s="16">
        <v>2022</v>
      </c>
      <c r="D2" s="16">
        <v>2023</v>
      </c>
      <c r="E2" s="16">
        <v>2024</v>
      </c>
      <c r="F2" s="16" t="s">
        <v>210</v>
      </c>
      <c r="G2" s="16" t="s">
        <v>146</v>
      </c>
      <c r="H2" s="16" t="s">
        <v>147</v>
      </c>
      <c r="I2" s="16" t="s">
        <v>211</v>
      </c>
      <c r="J2" s="16" t="s">
        <v>209</v>
      </c>
    </row>
    <row r="3" spans="2:11" ht="67" customHeight="1">
      <c r="B3" s="16" t="s">
        <v>267</v>
      </c>
      <c r="C3" s="39">
        <v>13</v>
      </c>
      <c r="D3" s="39">
        <v>15</v>
      </c>
      <c r="E3" s="39">
        <v>18</v>
      </c>
      <c r="F3" s="39">
        <v>38</v>
      </c>
      <c r="G3" s="39">
        <v>55</v>
      </c>
      <c r="H3" s="39">
        <v>55</v>
      </c>
      <c r="I3" s="39">
        <v>60</v>
      </c>
      <c r="J3" s="63"/>
    </row>
    <row r="4" spans="2:11" ht="67" customHeight="1">
      <c r="B4" s="36" t="s">
        <v>268</v>
      </c>
      <c r="C4" s="39">
        <v>48</v>
      </c>
      <c r="D4" s="39">
        <v>63</v>
      </c>
      <c r="E4" s="39">
        <v>75</v>
      </c>
      <c r="F4" s="39">
        <v>98</v>
      </c>
      <c r="G4" s="39">
        <v>120</v>
      </c>
      <c r="H4" s="39">
        <v>120</v>
      </c>
      <c r="I4" s="39">
        <v>130</v>
      </c>
      <c r="J4" s="63"/>
    </row>
    <row r="5" spans="2:11" ht="67" customHeight="1">
      <c r="B5" s="16" t="s">
        <v>269</v>
      </c>
      <c r="C5" s="39">
        <v>42</v>
      </c>
      <c r="D5" s="39">
        <v>50</v>
      </c>
      <c r="E5" s="39">
        <v>52</v>
      </c>
      <c r="F5" s="39">
        <v>88</v>
      </c>
      <c r="G5" s="39">
        <v>100</v>
      </c>
      <c r="H5" s="39">
        <v>100</v>
      </c>
      <c r="I5" s="39">
        <v>100</v>
      </c>
      <c r="J5" s="63"/>
    </row>
    <row r="6" spans="2:11" ht="67" customHeight="1">
      <c r="B6" s="16" t="s">
        <v>270</v>
      </c>
      <c r="C6" s="39">
        <v>75</v>
      </c>
      <c r="D6" s="39">
        <v>103</v>
      </c>
      <c r="E6" s="39">
        <v>130</v>
      </c>
      <c r="F6" s="39">
        <v>250</v>
      </c>
      <c r="G6" s="39">
        <v>280</v>
      </c>
      <c r="H6" s="39">
        <v>280</v>
      </c>
      <c r="I6" s="39">
        <v>300</v>
      </c>
      <c r="J6" s="63"/>
      <c r="K6" s="4" t="s">
        <v>219</v>
      </c>
    </row>
    <row r="7" spans="2:11" ht="67" customHeight="1">
      <c r="B7" s="16" t="s">
        <v>271</v>
      </c>
      <c r="C7" s="39">
        <v>4</v>
      </c>
      <c r="D7" s="39">
        <v>5</v>
      </c>
      <c r="E7" s="39">
        <v>5</v>
      </c>
      <c r="F7" s="39">
        <v>8</v>
      </c>
      <c r="G7" s="39">
        <v>12</v>
      </c>
      <c r="H7" s="39">
        <v>13</v>
      </c>
      <c r="I7" s="39">
        <v>15</v>
      </c>
      <c r="J7" s="63"/>
    </row>
    <row r="8" spans="2:11" ht="67" customHeight="1">
      <c r="B8" s="16" t="s">
        <v>272</v>
      </c>
      <c r="C8" s="39">
        <v>4</v>
      </c>
      <c r="D8" s="39">
        <v>7</v>
      </c>
      <c r="E8" s="39">
        <v>8</v>
      </c>
      <c r="F8" s="39">
        <v>18</v>
      </c>
      <c r="G8" s="39">
        <v>15</v>
      </c>
      <c r="H8" s="39">
        <v>15</v>
      </c>
      <c r="I8" s="39">
        <v>15</v>
      </c>
      <c r="J8" s="63"/>
    </row>
    <row r="9" spans="2:11" ht="67" customHeight="1">
      <c r="B9" s="16" t="s">
        <v>273</v>
      </c>
      <c r="C9" s="39">
        <v>3</v>
      </c>
      <c r="D9" s="39">
        <v>4</v>
      </c>
      <c r="E9" s="39">
        <v>4</v>
      </c>
      <c r="F9" s="39">
        <v>6</v>
      </c>
      <c r="G9" s="39">
        <v>6</v>
      </c>
      <c r="H9" s="39">
        <v>6</v>
      </c>
      <c r="I9" s="39">
        <v>6</v>
      </c>
      <c r="J9" s="63"/>
    </row>
    <row r="10" spans="2:11" ht="67" customHeight="1">
      <c r="B10" s="36" t="s">
        <v>287</v>
      </c>
      <c r="C10" s="39">
        <v>12</v>
      </c>
      <c r="D10" s="39">
        <v>16</v>
      </c>
      <c r="E10" s="39">
        <v>18</v>
      </c>
      <c r="F10" s="39">
        <v>27</v>
      </c>
      <c r="G10" s="39">
        <v>25</v>
      </c>
      <c r="H10" s="39">
        <v>25</v>
      </c>
      <c r="I10" s="39">
        <v>30</v>
      </c>
      <c r="J10" s="63"/>
    </row>
    <row r="11" spans="2:11" ht="67" customHeight="1">
      <c r="B11" s="16" t="s">
        <v>288</v>
      </c>
      <c r="C11" s="39">
        <v>6</v>
      </c>
      <c r="D11" s="39">
        <v>7</v>
      </c>
      <c r="E11" s="39">
        <v>7</v>
      </c>
      <c r="F11" s="39">
        <v>11</v>
      </c>
      <c r="G11" s="39">
        <v>11</v>
      </c>
      <c r="H11" s="39">
        <v>11</v>
      </c>
      <c r="I11" s="39">
        <v>12</v>
      </c>
      <c r="J11" s="63"/>
    </row>
    <row r="12" spans="2:11" ht="67" customHeight="1">
      <c r="B12" s="16" t="s">
        <v>289</v>
      </c>
      <c r="C12" s="39">
        <v>8</v>
      </c>
      <c r="D12" s="39">
        <v>12</v>
      </c>
      <c r="E12" s="39">
        <v>13</v>
      </c>
      <c r="F12" s="39">
        <v>16</v>
      </c>
      <c r="G12" s="39">
        <v>20</v>
      </c>
      <c r="H12" s="39">
        <v>22</v>
      </c>
      <c r="I12" s="39">
        <v>23</v>
      </c>
      <c r="J12" s="63"/>
    </row>
    <row r="13" spans="2:11" ht="67" customHeight="1">
      <c r="B13" s="16" t="s">
        <v>212</v>
      </c>
      <c r="C13" s="39">
        <v>12</v>
      </c>
      <c r="D13" s="39">
        <v>18</v>
      </c>
      <c r="E13" s="39">
        <v>20</v>
      </c>
      <c r="F13" s="39">
        <v>23</v>
      </c>
      <c r="G13" s="39">
        <v>28</v>
      </c>
      <c r="H13" s="39">
        <v>30</v>
      </c>
      <c r="I13" s="39">
        <v>33</v>
      </c>
      <c r="J13" s="63" t="s">
        <v>446</v>
      </c>
    </row>
    <row r="14" spans="2:11" ht="67" customHeight="1">
      <c r="B14" s="16" t="s">
        <v>212</v>
      </c>
      <c r="C14" s="39"/>
      <c r="D14" s="39">
        <v>40</v>
      </c>
      <c r="E14" s="39"/>
      <c r="F14" s="39"/>
      <c r="G14" s="39">
        <v>120</v>
      </c>
      <c r="H14" s="39">
        <v>80</v>
      </c>
      <c r="I14" s="39">
        <v>50</v>
      </c>
      <c r="J14" s="63" t="s">
        <v>351</v>
      </c>
    </row>
    <row r="15" spans="2:11" ht="67" customHeight="1">
      <c r="B15" s="16" t="s">
        <v>212</v>
      </c>
      <c r="C15" s="39"/>
      <c r="D15" s="39"/>
      <c r="E15" s="39"/>
      <c r="F15" s="39"/>
      <c r="G15" s="39"/>
      <c r="H15" s="39"/>
      <c r="I15" s="39"/>
      <c r="J15" s="63"/>
    </row>
    <row r="16" spans="2:11" ht="19">
      <c r="B16" s="54" t="s">
        <v>220</v>
      </c>
      <c r="C16" s="55">
        <f t="shared" ref="C16:I16" si="0">SUM(C3:C15)</f>
        <v>227</v>
      </c>
      <c r="D16" s="55">
        <f t="shared" si="0"/>
        <v>340</v>
      </c>
      <c r="E16" s="55">
        <f t="shared" si="0"/>
        <v>350</v>
      </c>
      <c r="F16" s="55">
        <f t="shared" si="0"/>
        <v>583</v>
      </c>
      <c r="G16" s="55">
        <f t="shared" si="0"/>
        <v>792</v>
      </c>
      <c r="H16" s="55">
        <f t="shared" si="0"/>
        <v>757</v>
      </c>
      <c r="I16" s="55">
        <f t="shared" si="0"/>
        <v>774</v>
      </c>
    </row>
  </sheetData>
  <sheetProtection sheet="1" objects="1" scenarios="1"/>
  <phoneticPr fontId="31" type="noConversion"/>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5"/>
  <sheetViews>
    <sheetView showGridLines="0" zoomScaleNormal="100" workbookViewId="0">
      <selection activeCell="A42" sqref="A42"/>
    </sheetView>
  </sheetViews>
  <sheetFormatPr baseColWidth="10" defaultColWidth="10.83203125" defaultRowHeight="16"/>
  <cols>
    <col min="1" max="1" width="5.33203125" customWidth="1"/>
    <col min="2" max="2" width="34.5" customWidth="1"/>
  </cols>
  <sheetData>
    <row r="2" spans="2:11" ht="47" customHeight="1">
      <c r="B2" s="87" t="s">
        <v>317</v>
      </c>
      <c r="C2" s="87"/>
      <c r="D2" s="87"/>
      <c r="E2" s="87"/>
      <c r="F2" s="87"/>
      <c r="G2" s="87"/>
      <c r="H2" s="87"/>
      <c r="I2" s="87"/>
      <c r="J2" s="87"/>
      <c r="K2" s="87"/>
    </row>
    <row r="3" spans="2:11" ht="47" customHeight="1">
      <c r="B3" s="87"/>
      <c r="C3" s="87"/>
      <c r="D3" s="87"/>
      <c r="E3" s="87"/>
      <c r="F3" s="87"/>
      <c r="G3" s="87"/>
      <c r="H3" s="87"/>
      <c r="I3" s="87"/>
      <c r="J3" s="87"/>
      <c r="K3" s="87"/>
    </row>
    <row r="4" spans="2:11" ht="47" customHeight="1">
      <c r="B4" s="87"/>
      <c r="C4" s="87"/>
      <c r="D4" s="87"/>
      <c r="E4" s="87"/>
      <c r="F4" s="87"/>
      <c r="G4" s="87"/>
      <c r="H4" s="87"/>
      <c r="I4" s="87"/>
      <c r="J4" s="87"/>
      <c r="K4" s="87"/>
    </row>
    <row r="5" spans="2:11" ht="47" customHeight="1">
      <c r="B5" s="87"/>
      <c r="C5" s="87"/>
      <c r="D5" s="87"/>
      <c r="E5" s="87"/>
      <c r="F5" s="87"/>
      <c r="G5" s="87"/>
      <c r="H5" s="87"/>
      <c r="I5" s="87"/>
      <c r="J5" s="87"/>
      <c r="K5" s="87"/>
    </row>
  </sheetData>
  <mergeCells count="1">
    <mergeCell ref="B2:K5"/>
  </mergeCells>
  <phoneticPr fontId="3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zoomScaleNormal="100" workbookViewId="0">
      <selection activeCell="A50" sqref="A50"/>
    </sheetView>
  </sheetViews>
  <sheetFormatPr baseColWidth="10" defaultColWidth="11" defaultRowHeight="16"/>
  <cols>
    <col min="1" max="1" width="4.1640625" style="1" customWidth="1"/>
    <col min="2" max="2" width="51.5" style="1" customWidth="1"/>
    <col min="3" max="22" width="29.1640625" style="1" customWidth="1"/>
    <col min="23" max="23" width="57.83203125" style="1" customWidth="1"/>
  </cols>
  <sheetData>
    <row r="1" spans="2:23" ht="60" customHeight="1">
      <c r="B1" s="34" t="s">
        <v>248</v>
      </c>
    </row>
    <row r="2" spans="2:23" ht="60" customHeight="1">
      <c r="B2" s="68" t="s">
        <v>241</v>
      </c>
      <c r="C2" s="88" t="s">
        <v>243</v>
      </c>
      <c r="D2" s="88"/>
      <c r="E2" s="88"/>
      <c r="F2" s="88"/>
      <c r="G2" s="88" t="s">
        <v>244</v>
      </c>
      <c r="H2" s="88"/>
      <c r="I2" s="88"/>
      <c r="J2" s="88"/>
      <c r="K2" s="88"/>
      <c r="L2" s="88" t="s">
        <v>307</v>
      </c>
      <c r="M2" s="88"/>
      <c r="N2" s="88"/>
      <c r="O2" s="88"/>
      <c r="P2" s="88"/>
      <c r="Q2" s="88"/>
      <c r="R2" s="88"/>
      <c r="S2" s="88" t="s">
        <v>245</v>
      </c>
      <c r="T2" s="88"/>
      <c r="U2" s="88"/>
      <c r="V2" s="88"/>
    </row>
    <row r="3" spans="2:23" ht="60" customHeight="1">
      <c r="B3" s="16" t="s">
        <v>242</v>
      </c>
      <c r="C3" s="69" t="s">
        <v>246</v>
      </c>
      <c r="D3" s="69" t="s">
        <v>299</v>
      </c>
      <c r="E3" s="69" t="s">
        <v>236</v>
      </c>
      <c r="F3" s="69" t="s">
        <v>294</v>
      </c>
      <c r="G3" s="69" t="s">
        <v>41</v>
      </c>
      <c r="H3" s="69" t="s">
        <v>247</v>
      </c>
      <c r="I3" s="69" t="s">
        <v>237</v>
      </c>
      <c r="J3" s="69" t="s">
        <v>238</v>
      </c>
      <c r="K3" s="69" t="s">
        <v>291</v>
      </c>
      <c r="L3" s="69" t="s">
        <v>308</v>
      </c>
      <c r="M3" s="70" t="s">
        <v>314</v>
      </c>
      <c r="N3" s="69" t="s">
        <v>309</v>
      </c>
      <c r="O3" s="69" t="s">
        <v>313</v>
      </c>
      <c r="P3" s="69" t="s">
        <v>310</v>
      </c>
      <c r="Q3" s="69" t="s">
        <v>311</v>
      </c>
      <c r="R3" s="69" t="s">
        <v>312</v>
      </c>
      <c r="S3" s="69" t="s">
        <v>24</v>
      </c>
      <c r="T3" s="69" t="s">
        <v>239</v>
      </c>
      <c r="U3" s="69" t="s">
        <v>297</v>
      </c>
      <c r="V3" s="69" t="s">
        <v>240</v>
      </c>
      <c r="W3" s="16" t="s">
        <v>209</v>
      </c>
    </row>
    <row r="4" spans="2:23" ht="60" customHeight="1">
      <c r="B4" s="16" t="s">
        <v>255</v>
      </c>
      <c r="C4" s="39" t="s">
        <v>36</v>
      </c>
      <c r="D4" s="39" t="s">
        <v>36</v>
      </c>
      <c r="E4" s="39" t="s">
        <v>36</v>
      </c>
      <c r="F4" s="39" t="s">
        <v>36</v>
      </c>
      <c r="G4" s="39" t="s">
        <v>36</v>
      </c>
      <c r="H4" s="39" t="s">
        <v>36</v>
      </c>
      <c r="I4" s="39" t="s">
        <v>36</v>
      </c>
      <c r="J4" s="39" t="s">
        <v>36</v>
      </c>
      <c r="K4" s="39" t="s">
        <v>36</v>
      </c>
      <c r="L4" s="39" t="s">
        <v>36</v>
      </c>
      <c r="M4" s="39" t="s">
        <v>37</v>
      </c>
      <c r="N4" s="39" t="s">
        <v>37</v>
      </c>
      <c r="O4" s="39" t="s">
        <v>36</v>
      </c>
      <c r="P4" s="39" t="s">
        <v>37</v>
      </c>
      <c r="Q4" s="39" t="s">
        <v>36</v>
      </c>
      <c r="R4" s="39" t="s">
        <v>37</v>
      </c>
      <c r="S4" s="39" t="s">
        <v>36</v>
      </c>
      <c r="T4" s="39" t="s">
        <v>37</v>
      </c>
      <c r="U4" s="39" t="s">
        <v>37</v>
      </c>
      <c r="V4" s="39" t="s">
        <v>36</v>
      </c>
      <c r="W4" s="63"/>
    </row>
    <row r="5" spans="2:23" ht="60" customHeight="1">
      <c r="B5" s="36" t="s">
        <v>275</v>
      </c>
      <c r="C5" s="39" t="s">
        <v>356</v>
      </c>
      <c r="D5" s="39" t="s">
        <v>356</v>
      </c>
      <c r="E5" s="39" t="s">
        <v>356</v>
      </c>
      <c r="F5" s="39" t="s">
        <v>356</v>
      </c>
      <c r="G5" s="39" t="s">
        <v>356</v>
      </c>
      <c r="H5" s="39" t="s">
        <v>356</v>
      </c>
      <c r="I5" s="39" t="s">
        <v>350</v>
      </c>
      <c r="J5" s="39" t="s">
        <v>356</v>
      </c>
      <c r="K5" s="39" t="s">
        <v>356</v>
      </c>
      <c r="L5" s="39" t="s">
        <v>350</v>
      </c>
      <c r="M5" s="39" t="s">
        <v>322</v>
      </c>
      <c r="N5" s="39" t="s">
        <v>322</v>
      </c>
      <c r="O5" s="39" t="s">
        <v>322</v>
      </c>
      <c r="P5" s="39" t="s">
        <v>322</v>
      </c>
      <c r="Q5" s="39" t="s">
        <v>322</v>
      </c>
      <c r="R5" s="39" t="s">
        <v>322</v>
      </c>
      <c r="S5" s="39" t="s">
        <v>356</v>
      </c>
      <c r="T5" s="39" t="s">
        <v>322</v>
      </c>
      <c r="U5" s="39" t="s">
        <v>322</v>
      </c>
      <c r="V5" s="39" t="s">
        <v>350</v>
      </c>
      <c r="W5" s="63"/>
    </row>
    <row r="6" spans="2:23" ht="60" customHeight="1">
      <c r="B6" s="36" t="s">
        <v>256</v>
      </c>
      <c r="C6" s="39" t="s">
        <v>37</v>
      </c>
      <c r="D6" s="39" t="s">
        <v>37</v>
      </c>
      <c r="E6" s="39" t="s">
        <v>37</v>
      </c>
      <c r="F6" s="39" t="s">
        <v>37</v>
      </c>
      <c r="G6" s="39" t="s">
        <v>37</v>
      </c>
      <c r="H6" s="39" t="s">
        <v>37</v>
      </c>
      <c r="I6" s="39" t="s">
        <v>36</v>
      </c>
      <c r="J6" s="39" t="s">
        <v>37</v>
      </c>
      <c r="K6" s="39" t="s">
        <v>37</v>
      </c>
      <c r="L6" s="39" t="s">
        <v>36</v>
      </c>
      <c r="M6" s="39" t="s">
        <v>36</v>
      </c>
      <c r="N6" s="39" t="s">
        <v>36</v>
      </c>
      <c r="O6" s="39" t="s">
        <v>37</v>
      </c>
      <c r="P6" s="39" t="s">
        <v>36</v>
      </c>
      <c r="Q6" s="39" t="s">
        <v>37</v>
      </c>
      <c r="R6" s="39" t="s">
        <v>36</v>
      </c>
      <c r="S6" s="39" t="s">
        <v>37</v>
      </c>
      <c r="T6" s="39" t="s">
        <v>36</v>
      </c>
      <c r="U6" s="39" t="s">
        <v>36</v>
      </c>
      <c r="V6" s="39" t="s">
        <v>37</v>
      </c>
      <c r="W6" s="63"/>
    </row>
    <row r="7" spans="2:23" ht="60" customHeight="1">
      <c r="B7" s="36" t="s">
        <v>22</v>
      </c>
      <c r="C7" s="39" t="s">
        <v>357</v>
      </c>
      <c r="D7" s="39" t="s">
        <v>358</v>
      </c>
      <c r="E7" s="39" t="s">
        <v>359</v>
      </c>
      <c r="F7" s="39" t="s">
        <v>360</v>
      </c>
      <c r="G7" s="39" t="s">
        <v>361</v>
      </c>
      <c r="H7" s="39" t="s">
        <v>362</v>
      </c>
      <c r="I7" s="39" t="s">
        <v>363</v>
      </c>
      <c r="J7" s="39" t="s">
        <v>364</v>
      </c>
      <c r="K7" s="39" t="s">
        <v>365</v>
      </c>
      <c r="L7" s="39" t="s">
        <v>366</v>
      </c>
      <c r="M7" s="39"/>
      <c r="N7" s="39"/>
      <c r="O7" s="39"/>
      <c r="P7" s="39"/>
      <c r="Q7" s="39"/>
      <c r="R7" s="39"/>
      <c r="S7" s="39" t="s">
        <v>367</v>
      </c>
      <c r="T7" s="39"/>
      <c r="U7" s="39"/>
      <c r="V7" s="39" t="s">
        <v>368</v>
      </c>
      <c r="W7" s="63"/>
    </row>
    <row r="8" spans="2:23" ht="60" customHeight="1">
      <c r="B8" s="36" t="s">
        <v>274</v>
      </c>
      <c r="C8" s="39">
        <v>76</v>
      </c>
      <c r="D8" s="39">
        <v>63</v>
      </c>
      <c r="E8" s="39">
        <v>50</v>
      </c>
      <c r="F8" s="39">
        <v>60</v>
      </c>
      <c r="G8" s="39">
        <v>8</v>
      </c>
      <c r="H8" s="39">
        <v>23</v>
      </c>
      <c r="I8" s="39">
        <v>2</v>
      </c>
      <c r="J8" s="39">
        <v>13</v>
      </c>
      <c r="K8" s="39">
        <v>100</v>
      </c>
      <c r="L8" s="39">
        <v>2</v>
      </c>
      <c r="M8" s="39"/>
      <c r="N8" s="39"/>
      <c r="O8" s="39"/>
      <c r="P8" s="39"/>
      <c r="Q8" s="39"/>
      <c r="R8" s="39"/>
      <c r="S8" s="39">
        <v>16</v>
      </c>
      <c r="T8" s="39"/>
      <c r="U8" s="39"/>
      <c r="V8" s="39">
        <v>5</v>
      </c>
      <c r="W8" s="63"/>
    </row>
    <row r="9" spans="2:23" ht="60" customHeight="1">
      <c r="B9" s="36" t="s">
        <v>257</v>
      </c>
      <c r="C9" s="39" t="s">
        <v>381</v>
      </c>
      <c r="D9" s="39" t="s">
        <v>398</v>
      </c>
      <c r="E9" s="39" t="s">
        <v>399</v>
      </c>
      <c r="F9" s="39" t="s">
        <v>400</v>
      </c>
      <c r="G9" s="39" t="s">
        <v>383</v>
      </c>
      <c r="H9" s="39" t="s">
        <v>423</v>
      </c>
      <c r="I9" s="39" t="s">
        <v>450</v>
      </c>
      <c r="J9" s="39" t="s">
        <v>404</v>
      </c>
      <c r="K9" s="39" t="s">
        <v>405</v>
      </c>
      <c r="L9" s="39" t="s">
        <v>407</v>
      </c>
      <c r="M9" s="39"/>
      <c r="N9" s="39"/>
      <c r="O9" s="39"/>
      <c r="P9" s="39"/>
      <c r="Q9" s="39"/>
      <c r="R9" s="39"/>
      <c r="S9" s="39" t="s">
        <v>382</v>
      </c>
      <c r="T9" s="39"/>
      <c r="U9" s="39"/>
      <c r="V9" s="39" t="s">
        <v>409</v>
      </c>
      <c r="W9" s="63"/>
    </row>
    <row r="10" spans="2:23" ht="60" customHeight="1">
      <c r="B10" s="36" t="s">
        <v>306</v>
      </c>
      <c r="C10" s="39" t="s">
        <v>413</v>
      </c>
      <c r="D10" s="39" t="s">
        <v>402</v>
      </c>
      <c r="E10" s="39" t="s">
        <v>403</v>
      </c>
      <c r="F10" s="39" t="s">
        <v>411</v>
      </c>
      <c r="G10" s="39" t="s">
        <v>412</v>
      </c>
      <c r="H10" s="39" t="s">
        <v>401</v>
      </c>
      <c r="I10" s="39" t="s">
        <v>451</v>
      </c>
      <c r="J10" s="39" t="s">
        <v>418</v>
      </c>
      <c r="K10" s="39" t="s">
        <v>406</v>
      </c>
      <c r="L10" s="39"/>
      <c r="M10" s="39"/>
      <c r="N10" s="39"/>
      <c r="O10" s="39"/>
      <c r="P10" s="39"/>
      <c r="Q10" s="39"/>
      <c r="R10" s="39"/>
      <c r="S10" s="39" t="s">
        <v>408</v>
      </c>
      <c r="T10" s="39"/>
      <c r="U10" s="39"/>
      <c r="V10" s="39" t="s">
        <v>322</v>
      </c>
      <c r="W10" s="63"/>
    </row>
    <row r="11" spans="2:23" ht="60" customHeight="1">
      <c r="B11" s="36" t="s">
        <v>276</v>
      </c>
      <c r="C11" s="39" t="s">
        <v>416</v>
      </c>
      <c r="D11" s="39" t="s">
        <v>410</v>
      </c>
      <c r="E11" s="39" t="s">
        <v>415</v>
      </c>
      <c r="F11" s="39" t="s">
        <v>414</v>
      </c>
      <c r="G11" s="71" t="s">
        <v>417</v>
      </c>
      <c r="H11" s="39" t="s">
        <v>417</v>
      </c>
      <c r="I11" s="39" t="s">
        <v>452</v>
      </c>
      <c r="J11" s="39" t="s">
        <v>420</v>
      </c>
      <c r="K11" s="39" t="s">
        <v>419</v>
      </c>
      <c r="L11" s="39"/>
      <c r="M11" s="39"/>
      <c r="N11" s="39"/>
      <c r="O11" s="39"/>
      <c r="P11" s="39"/>
      <c r="Q11" s="39"/>
      <c r="R11" s="39"/>
      <c r="S11" s="39" t="s">
        <v>410</v>
      </c>
      <c r="T11" s="39"/>
      <c r="U11" s="39"/>
      <c r="V11" s="39" t="s">
        <v>421</v>
      </c>
      <c r="W11" s="63"/>
    </row>
    <row r="12" spans="2:23" ht="60" customHeight="1">
      <c r="B12" s="16" t="s">
        <v>258</v>
      </c>
      <c r="C12" s="39" t="s">
        <v>369</v>
      </c>
      <c r="D12" s="39" t="s">
        <v>370</v>
      </c>
      <c r="E12" s="39" t="s">
        <v>371</v>
      </c>
      <c r="F12" s="39" t="s">
        <v>372</v>
      </c>
      <c r="G12" s="39" t="s">
        <v>373</v>
      </c>
      <c r="H12" s="39" t="s">
        <v>374</v>
      </c>
      <c r="I12" s="39" t="s">
        <v>375</v>
      </c>
      <c r="J12" s="39" t="s">
        <v>376</v>
      </c>
      <c r="K12" s="39" t="s">
        <v>384</v>
      </c>
      <c r="L12" s="39" t="s">
        <v>377</v>
      </c>
      <c r="M12" s="39"/>
      <c r="N12" s="39"/>
      <c r="O12" s="39"/>
      <c r="P12" s="39"/>
      <c r="Q12" s="39"/>
      <c r="R12" s="39"/>
      <c r="S12" s="39" t="s">
        <v>378</v>
      </c>
      <c r="T12" s="39"/>
      <c r="U12" s="39"/>
      <c r="V12" s="39" t="s">
        <v>379</v>
      </c>
      <c r="W12" s="63"/>
    </row>
    <row r="13" spans="2:23" ht="60" customHeight="1">
      <c r="B13" s="36" t="s">
        <v>253</v>
      </c>
      <c r="C13" s="39" t="s">
        <v>434</v>
      </c>
      <c r="D13" s="39"/>
      <c r="E13" s="39" t="s">
        <v>431</v>
      </c>
      <c r="F13" s="39"/>
      <c r="G13" s="39"/>
      <c r="H13" s="39" t="s">
        <v>434</v>
      </c>
      <c r="I13" s="39"/>
      <c r="J13" s="39"/>
      <c r="K13" s="39"/>
      <c r="L13" s="39"/>
      <c r="M13" s="39"/>
      <c r="N13" s="39"/>
      <c r="O13" s="39"/>
      <c r="P13" s="39"/>
      <c r="Q13" s="39"/>
      <c r="R13" s="39"/>
      <c r="S13" s="39"/>
      <c r="T13" s="39"/>
      <c r="U13" s="39"/>
      <c r="V13" s="39" t="s">
        <v>380</v>
      </c>
      <c r="W13" s="63"/>
    </row>
    <row r="14" spans="2:23" ht="60" customHeight="1">
      <c r="B14" s="16" t="s">
        <v>249</v>
      </c>
      <c r="C14" s="39" t="s">
        <v>447</v>
      </c>
      <c r="D14" s="39" t="s">
        <v>447</v>
      </c>
      <c r="E14" s="39" t="s">
        <v>447</v>
      </c>
      <c r="F14" s="39" t="s">
        <v>447</v>
      </c>
      <c r="G14" s="39" t="s">
        <v>447</v>
      </c>
      <c r="H14" s="39" t="s">
        <v>447</v>
      </c>
      <c r="I14" s="39" t="s">
        <v>447</v>
      </c>
      <c r="J14" s="39" t="s">
        <v>447</v>
      </c>
      <c r="K14" s="39" t="s">
        <v>447</v>
      </c>
      <c r="L14" s="39"/>
      <c r="M14" s="39"/>
      <c r="N14" s="39"/>
      <c r="O14" s="39"/>
      <c r="P14" s="39"/>
      <c r="Q14" s="39"/>
      <c r="R14" s="39"/>
      <c r="S14" s="39"/>
      <c r="T14" s="39"/>
      <c r="U14" s="39"/>
      <c r="V14" s="39"/>
      <c r="W14" s="63"/>
    </row>
    <row r="15" spans="2:23" ht="60" customHeight="1">
      <c r="B15" s="16" t="s">
        <v>252</v>
      </c>
      <c r="C15" s="39" t="s">
        <v>453</v>
      </c>
      <c r="D15" s="39" t="s">
        <v>453</v>
      </c>
      <c r="E15" s="39" t="s">
        <v>453</v>
      </c>
      <c r="F15" s="39" t="s">
        <v>453</v>
      </c>
      <c r="G15" s="39" t="s">
        <v>453</v>
      </c>
      <c r="H15" s="39" t="s">
        <v>453</v>
      </c>
      <c r="I15" s="39" t="s">
        <v>453</v>
      </c>
      <c r="J15" s="39" t="s">
        <v>453</v>
      </c>
      <c r="K15" s="39" t="s">
        <v>453</v>
      </c>
      <c r="L15" s="39"/>
      <c r="M15" s="39"/>
      <c r="N15" s="39"/>
      <c r="O15" s="39"/>
      <c r="P15" s="39"/>
      <c r="Q15" s="39"/>
      <c r="R15" s="39"/>
      <c r="S15" s="39"/>
      <c r="T15" s="39"/>
      <c r="U15" s="39"/>
      <c r="V15" s="39"/>
      <c r="W15" s="63"/>
    </row>
    <row r="16" spans="2:23" ht="60" customHeight="1">
      <c r="B16" s="36" t="s">
        <v>254</v>
      </c>
      <c r="C16" s="39" t="s">
        <v>429</v>
      </c>
      <c r="D16" s="39"/>
      <c r="E16" s="39" t="s">
        <v>430</v>
      </c>
      <c r="F16" s="39"/>
      <c r="G16" s="39"/>
      <c r="H16" s="39" t="s">
        <v>422</v>
      </c>
      <c r="I16" s="39"/>
      <c r="J16" s="39"/>
      <c r="K16" s="39"/>
      <c r="L16" s="39"/>
      <c r="M16" s="39"/>
      <c r="N16" s="39"/>
      <c r="O16" s="39"/>
      <c r="P16" s="39"/>
      <c r="Q16" s="39"/>
      <c r="R16" s="39"/>
      <c r="S16" s="39"/>
      <c r="T16" s="39"/>
      <c r="U16" s="39"/>
      <c r="V16" s="39"/>
      <c r="W16" s="63"/>
    </row>
    <row r="17" spans="2:23" ht="60" customHeight="1">
      <c r="B17" s="16" t="s">
        <v>250</v>
      </c>
      <c r="C17" s="39" t="s">
        <v>432</v>
      </c>
      <c r="D17" s="39" t="s">
        <v>432</v>
      </c>
      <c r="E17" s="39" t="s">
        <v>448</v>
      </c>
      <c r="F17" s="39" t="s">
        <v>454</v>
      </c>
      <c r="G17" s="39"/>
      <c r="H17" s="39"/>
      <c r="I17" s="39"/>
      <c r="J17" s="39"/>
      <c r="K17" s="39"/>
      <c r="L17" s="39"/>
      <c r="M17" s="39"/>
      <c r="N17" s="39"/>
      <c r="O17" s="39"/>
      <c r="P17" s="39"/>
      <c r="Q17" s="39"/>
      <c r="R17" s="39"/>
      <c r="S17" s="39"/>
      <c r="T17" s="39"/>
      <c r="U17" s="39"/>
      <c r="V17" s="39"/>
      <c r="W17" s="63"/>
    </row>
    <row r="18" spans="2:23" ht="60" customHeight="1">
      <c r="B18" s="16" t="s">
        <v>251</v>
      </c>
      <c r="C18" s="39" t="s">
        <v>433</v>
      </c>
      <c r="D18" s="39" t="s">
        <v>433</v>
      </c>
      <c r="E18" s="39" t="s">
        <v>449</v>
      </c>
      <c r="F18" s="39" t="s">
        <v>455</v>
      </c>
      <c r="G18" s="39"/>
      <c r="H18" s="39"/>
      <c r="I18" s="39"/>
      <c r="J18" s="39"/>
      <c r="K18" s="39"/>
      <c r="L18" s="39"/>
      <c r="M18" s="39"/>
      <c r="N18" s="39"/>
      <c r="O18" s="39"/>
      <c r="P18" s="39"/>
      <c r="Q18" s="39"/>
      <c r="R18" s="39"/>
      <c r="S18" s="39"/>
      <c r="T18" s="39"/>
      <c r="U18" s="39"/>
      <c r="V18" s="39"/>
      <c r="W18" s="63"/>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phoneticPr fontId="31" type="noConversion"/>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zoomScaleNormal="100" workbookViewId="0">
      <selection activeCell="A67" sqref="A67"/>
    </sheetView>
  </sheetViews>
  <sheetFormatPr baseColWidth="10" defaultColWidth="10.83203125" defaultRowHeight="16"/>
  <cols>
    <col min="1" max="1" width="5.5" customWidth="1"/>
  </cols>
  <sheetData>
    <row r="3" spans="2:11" ht="34" customHeight="1">
      <c r="B3" s="89"/>
      <c r="C3" s="89"/>
      <c r="D3" s="89"/>
      <c r="E3" s="89"/>
      <c r="F3" s="89"/>
      <c r="G3" s="89"/>
      <c r="H3" s="89"/>
      <c r="I3" s="89"/>
      <c r="J3" s="89"/>
      <c r="K3" s="89"/>
    </row>
    <row r="4" spans="2:11" ht="34" customHeight="1">
      <c r="B4" s="89"/>
      <c r="C4" s="89"/>
      <c r="D4" s="89"/>
      <c r="E4" s="89"/>
      <c r="F4" s="89"/>
      <c r="G4" s="89"/>
      <c r="H4" s="89"/>
      <c r="I4" s="89"/>
      <c r="J4" s="89"/>
      <c r="K4" s="89"/>
    </row>
    <row r="5" spans="2:11" ht="34" customHeight="1">
      <c r="B5" s="89"/>
      <c r="C5" s="89"/>
      <c r="D5" s="89"/>
      <c r="E5" s="89"/>
      <c r="F5" s="89"/>
      <c r="G5" s="89"/>
      <c r="H5" s="89"/>
      <c r="I5" s="89"/>
      <c r="J5" s="89"/>
      <c r="K5" s="89"/>
    </row>
    <row r="6" spans="2:11" ht="34" customHeight="1">
      <c r="B6" s="89"/>
      <c r="C6" s="89"/>
      <c r="D6" s="89"/>
      <c r="E6" s="89"/>
      <c r="F6" s="89"/>
      <c r="G6" s="89"/>
      <c r="H6" s="89"/>
      <c r="I6" s="89"/>
      <c r="J6" s="89"/>
      <c r="K6" s="89"/>
    </row>
    <row r="12" spans="2:11">
      <c r="B12" s="60"/>
    </row>
    <row r="15" spans="2:11">
      <c r="B15" s="60"/>
    </row>
    <row r="18" spans="2:2">
      <c r="B18" s="60"/>
    </row>
    <row r="21" spans="2:2">
      <c r="B21" s="60"/>
    </row>
    <row r="24" spans="2:2">
      <c r="B24" s="60"/>
    </row>
  </sheetData>
  <mergeCells count="1">
    <mergeCell ref="B3:K6"/>
  </mergeCells>
  <phoneticPr fontId="3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Normal="100" workbookViewId="0">
      <selection activeCell="A48" sqref="A48"/>
    </sheetView>
  </sheetViews>
  <sheetFormatPr baseColWidth="10" defaultColWidth="10.83203125" defaultRowHeight="20"/>
  <cols>
    <col min="1" max="1" width="4.1640625" style="57" customWidth="1"/>
    <col min="2" max="2" width="200.83203125" style="10" customWidth="1"/>
    <col min="3" max="3" width="67.5" style="13" customWidth="1"/>
    <col min="4" max="16384" width="10.83203125" style="51"/>
  </cols>
  <sheetData>
    <row r="2" spans="2:4" ht="22">
      <c r="B2" s="8" t="s">
        <v>234</v>
      </c>
      <c r="C2" s="11"/>
    </row>
    <row r="3" spans="2:4" ht="22">
      <c r="B3" s="44" t="s">
        <v>232</v>
      </c>
      <c r="C3" s="59"/>
    </row>
    <row r="4" spans="2:4" ht="22">
      <c r="B4" s="58" t="s">
        <v>261</v>
      </c>
      <c r="C4" s="59"/>
    </row>
    <row r="5" spans="2:4" ht="63">
      <c r="B5" s="56" t="s">
        <v>284</v>
      </c>
      <c r="C5" s="50" t="s">
        <v>36</v>
      </c>
      <c r="D5" s="52" t="s">
        <v>285</v>
      </c>
    </row>
    <row r="6" spans="2:4" ht="22">
      <c r="B6" s="58" t="s">
        <v>260</v>
      </c>
      <c r="C6" s="59"/>
      <c r="D6" s="52"/>
    </row>
    <row r="7" spans="2:4" ht="63">
      <c r="B7" s="56" t="s">
        <v>223</v>
      </c>
      <c r="C7" s="50" t="s">
        <v>36</v>
      </c>
      <c r="D7" s="52" t="s">
        <v>277</v>
      </c>
    </row>
    <row r="8" spans="2:4" ht="22">
      <c r="B8" s="58" t="s">
        <v>259</v>
      </c>
      <c r="C8" s="59"/>
    </row>
    <row r="9" spans="2:4" ht="63">
      <c r="B9" s="56" t="s">
        <v>224</v>
      </c>
      <c r="C9" s="50" t="s">
        <v>36</v>
      </c>
    </row>
    <row r="10" spans="2:4" ht="22">
      <c r="B10" s="58" t="s">
        <v>280</v>
      </c>
      <c r="C10" s="59"/>
    </row>
    <row r="11" spans="2:4" ht="63">
      <c r="B11" s="56" t="s">
        <v>281</v>
      </c>
      <c r="C11" s="50" t="s">
        <v>36</v>
      </c>
    </row>
    <row r="12" spans="2:4" ht="22">
      <c r="B12" s="44" t="s">
        <v>231</v>
      </c>
      <c r="C12" s="59"/>
    </row>
    <row r="13" spans="2:4" ht="22">
      <c r="B13" s="58" t="s">
        <v>233</v>
      </c>
      <c r="C13" s="59"/>
    </row>
    <row r="14" spans="2:4" ht="42">
      <c r="B14" s="56" t="s">
        <v>221</v>
      </c>
      <c r="C14" s="50" t="s">
        <v>36</v>
      </c>
    </row>
    <row r="15" spans="2:4" ht="22">
      <c r="B15" s="58" t="s">
        <v>229</v>
      </c>
      <c r="C15" s="59"/>
    </row>
    <row r="16" spans="2:4" ht="42">
      <c r="B16" s="56" t="s">
        <v>222</v>
      </c>
      <c r="C16" s="50" t="s">
        <v>36</v>
      </c>
    </row>
    <row r="17" spans="2:3" ht="22">
      <c r="B17" s="58" t="s">
        <v>230</v>
      </c>
      <c r="C17" s="59"/>
    </row>
    <row r="18" spans="2:3" ht="42">
      <c r="B18" s="56" t="s">
        <v>225</v>
      </c>
      <c r="C18" s="50" t="s">
        <v>36</v>
      </c>
    </row>
    <row r="19" spans="2:3" ht="22">
      <c r="B19" s="58" t="s">
        <v>262</v>
      </c>
      <c r="C19" s="59"/>
    </row>
    <row r="20" spans="2:3" ht="63">
      <c r="B20" s="56" t="s">
        <v>283</v>
      </c>
      <c r="C20" s="50" t="s">
        <v>36</v>
      </c>
    </row>
    <row r="21" spans="2:3" ht="22">
      <c r="B21" s="58" t="s">
        <v>300</v>
      </c>
      <c r="C21" s="59"/>
    </row>
    <row r="22" spans="2:3" ht="63">
      <c r="B22" s="56" t="s">
        <v>302</v>
      </c>
      <c r="C22" s="50" t="s">
        <v>36</v>
      </c>
    </row>
    <row r="23" spans="2:3" ht="22">
      <c r="B23" s="58" t="s">
        <v>305</v>
      </c>
      <c r="C23" s="59"/>
    </row>
    <row r="24" spans="2:3" ht="84">
      <c r="B24" s="56" t="s">
        <v>303</v>
      </c>
      <c r="C24" s="50" t="s">
        <v>36</v>
      </c>
    </row>
    <row r="25" spans="2:3" ht="22">
      <c r="B25" s="58" t="s">
        <v>301</v>
      </c>
      <c r="C25" s="59"/>
    </row>
    <row r="26" spans="2:3" ht="84">
      <c r="B26" s="56" t="s">
        <v>304</v>
      </c>
      <c r="C26" s="50" t="s">
        <v>36</v>
      </c>
    </row>
    <row r="27" spans="2:3" ht="22">
      <c r="B27" s="58" t="s">
        <v>315</v>
      </c>
      <c r="C27" s="59"/>
    </row>
    <row r="28" spans="2:3" ht="84">
      <c r="B28" s="56" t="s">
        <v>318</v>
      </c>
      <c r="C28" s="50" t="s">
        <v>36</v>
      </c>
    </row>
  </sheetData>
  <sheetProtection algorithmName="SHA-512" hashValue="Q1tIzZW4q1svot2fTtUaZdE5Z769zrGxjL5mh+I++440Oe5SSDlQ+Yw1B8wb5grTlGVqFQYapO2TrAXiTNZB8Q==" saltValue="1MRRozV0QtnVfVJaMmG8Jg==" spinCount="100000" sheet="1" objects="1" scenarios="1"/>
  <phoneticPr fontId="31" type="noConversion"/>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baseColWidth="10" defaultColWidth="10.83203125" defaultRowHeight="16"/>
  <cols>
    <col min="1" max="1" width="14.6640625" style="1" bestFit="1" customWidth="1"/>
    <col min="2" max="2" width="10.83203125" style="1"/>
    <col min="3" max="3" width="60" style="1" bestFit="1" customWidth="1"/>
    <col min="4" max="4" width="10.83203125" style="1"/>
    <col min="5" max="5" width="7.1640625" style="1" bestFit="1" customWidth="1"/>
    <col min="6" max="6" width="10.83203125" style="1"/>
    <col min="7" max="7" width="17" style="1" bestFit="1" customWidth="1"/>
    <col min="8" max="8" width="21" style="1" customWidth="1"/>
    <col min="9" max="10" width="10.83203125" style="1"/>
    <col min="11" max="11" width="12" style="1" customWidth="1"/>
    <col min="12" max="16384" width="10.83203125" style="1"/>
  </cols>
  <sheetData>
    <row r="1" spans="1:7">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honeticPr fontId="3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Lau Min Seng</cp:lastModifiedBy>
  <cp:lastPrinted>2018-09-13T16:04:18Z</cp:lastPrinted>
  <dcterms:created xsi:type="dcterms:W3CDTF">2018-09-10T17:18:27Z</dcterms:created>
  <dcterms:modified xsi:type="dcterms:W3CDTF">2025-04-28T14:05:11Z</dcterms:modified>
</cp:coreProperties>
</file>