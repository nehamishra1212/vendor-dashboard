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27"/>
  <workbookPr/>
  <mc:AlternateContent xmlns:mc="http://schemas.openxmlformats.org/markup-compatibility/2006">
    <mc:Choice Requires="x15">
      <x15ac:absPath xmlns:x15ac="http://schemas.microsoft.com/office/spreadsheetml/2010/11/ac" url="C:\Users\65829\OneDrive\바탕 화면\"/>
    </mc:Choice>
  </mc:AlternateContent>
  <xr:revisionPtr revIDLastSave="0" documentId="11_C9154AA0487538A1BAF8AE0A9D44BCC2DDC77635"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77900" yWindow="1360" windowWidth="38980" windowHeight="24240" tabRatio="839" firstSheet="8" activeTab="8" xr2:uid="{00000000-000D-0000-FFFF-FFFF000000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<sst xmlns="http://schemas.openxmlformats.org/spreadsheetml/2006/main" count="476" uniqueCount="386">
  <si>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</si>
  <si>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</si>
  <si>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</si>
  <si>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</si>
  <si>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</si>
  <si>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</si>
  <si>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</si>
  <si>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</si>
  <si>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</si>
  <si>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</si>
  <si>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</si>
  <si>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</si>
  <si>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</si>
  <si>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</si>
  <si>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</si>
  <si>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</si>
  <si>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</si>
  <si>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</si>
  <si>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</si>
  <si>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</si>
  <si>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</si>
  <si>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</si>
  <si>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</si>
  <si>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</si>
  <si>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</si>
  <si>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</si>
  <si>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</si>
  <si>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</si>
  <si>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</si>
  <si>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</si>
  <si>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</si>
  <si>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</si>
  <si>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</si>
  <si>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</si>
  <si>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</si>
  <si>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</si>
  <si>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</si>
  <si>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</si>
  <si>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</si>
  <si>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</si>
  <si>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</si>
  <si>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</si>
  <si>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</si>
  <si>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</si>
  <si>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</si>
  <si>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Please fill in all fields to complete this section. If there are supplemental compnay overview slides, please attach to RFI response.</t>
  </si>
  <si>
    <t xml:space="preserve">RFI Submission Date </t>
  </si>
  <si>
    <t>Official Legal Name</t>
  </si>
  <si>
    <t>EO Technics co., Ltd</t>
    <phoneticPr fontId="30" type="noConversion"/>
  </si>
  <si>
    <t>Parent Company Official Name</t>
  </si>
  <si>
    <t>N/A</t>
    <phoneticPr fontId="30" type="noConversion"/>
  </si>
  <si>
    <t>HQ Location</t>
  </si>
  <si>
    <t>Anyang, Republic of Korea</t>
    <phoneticPr fontId="30" type="noConversion"/>
  </si>
  <si>
    <t>Website</t>
  </si>
  <si>
    <t>http://www.eotechnics.com</t>
    <phoneticPr fontId="30" type="noConversion"/>
  </si>
  <si>
    <t>Public/Private</t>
  </si>
  <si>
    <t>Public</t>
    <phoneticPr fontId="30" type="noConversion"/>
  </si>
  <si>
    <t>Ticker Symbol (if Public)</t>
  </si>
  <si>
    <t>039030</t>
    <phoneticPr fontId="30" type="noConversion"/>
  </si>
  <si>
    <t>Type</t>
  </si>
  <si>
    <t>Manufacturing</t>
    <phoneticPr fontId="30" type="noConversion"/>
  </si>
  <si>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</si>
  <si>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</si>
  <si>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</si>
  <si>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</si>
  <si>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</si>
  <si>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</si>
  <si>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</si>
  <si>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</si>
  <si>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</si>
  <si>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</si>
  <si>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KD Sudng</t>
    <phoneticPr fontId="30" type="noConversion"/>
  </si>
  <si>
    <t>Chairman</t>
    <phoneticPr fontId="30" type="noConversion"/>
  </si>
  <si>
    <t>Rep of Korea</t>
    <phoneticPr fontId="30" type="noConversion"/>
  </si>
  <si>
    <t>Commercial DRI / Apple Executive Contact</t>
  </si>
  <si>
    <t>Peter Park</t>
    <phoneticPr fontId="30" type="noConversion"/>
  </si>
  <si>
    <t>CEO</t>
    <phoneticPr fontId="30" type="noConversion"/>
  </si>
  <si>
    <t>peter@eotechnics.com</t>
    <phoneticPr fontId="30" type="noConversion"/>
  </si>
  <si>
    <t>Operations Leader</t>
  </si>
  <si>
    <t>Spencer Chung</t>
    <phoneticPr fontId="30" type="noConversion"/>
  </si>
  <si>
    <t>Group leader</t>
    <phoneticPr fontId="30" type="noConversion"/>
  </si>
  <si>
    <t>shchung@eotechnics.com</t>
    <phoneticPr fontId="30" type="noConversion"/>
  </si>
  <si>
    <t xml:space="preserve">Finance </t>
  </si>
  <si>
    <t>DY Kim</t>
    <phoneticPr fontId="30" type="noConversion"/>
  </si>
  <si>
    <t>CFO</t>
    <phoneticPr fontId="30" type="noConversion"/>
  </si>
  <si>
    <t>dykim0117@eotechnics.com</t>
    <phoneticPr fontId="30" type="noConversion"/>
  </si>
  <si>
    <t>Engineering</t>
  </si>
  <si>
    <t>SY Park</t>
    <phoneticPr fontId="30" type="noConversion"/>
  </si>
  <si>
    <t>COO</t>
    <phoneticPr fontId="30" type="noConversion"/>
  </si>
  <si>
    <t>sypark78@eotechnics.com</t>
    <phoneticPr fontId="30" type="noConversion"/>
  </si>
  <si>
    <t>Supply chain</t>
  </si>
  <si>
    <t>JD Lee</t>
    <phoneticPr fontId="30" type="noConversion"/>
  </si>
  <si>
    <t>jdlee@eotechnics.com</t>
    <phoneticPr fontId="30" type="noConversion"/>
  </si>
  <si>
    <t>Project Management</t>
  </si>
  <si>
    <t>Jake Shin</t>
    <phoneticPr fontId="30" type="noConversion"/>
  </si>
  <si>
    <t>Team leader / Branch manager</t>
    <phoneticPr fontId="30" type="noConversion"/>
  </si>
  <si>
    <t>Singapore</t>
    <phoneticPr fontId="30" type="noConversion"/>
  </si>
  <si>
    <t>jakeshin@eotechnics.com</t>
    <phoneticPr fontId="30" type="noConversion"/>
  </si>
  <si>
    <t>Production</t>
  </si>
  <si>
    <t>YH Kim</t>
    <phoneticPr fontId="30" type="noConversion"/>
  </si>
  <si>
    <t>yhkim12@eotechnics.com</t>
    <phoneticPr fontId="30" type="noConversion"/>
  </si>
  <si>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</si>
  <si>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</si>
  <si>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</si>
  <si>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</si>
  <si>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</si>
  <si>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</si>
  <si>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</si>
  <si>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</si>
  <si>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</si>
  <si>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</si>
  <si>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</si>
  <si>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</si>
  <si>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</si>
  <si>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</si>
  <si>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</si>
  <si>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</si>
  <si>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</si>
  <si>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</si>
  <si>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</si>
  <si>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</si>
  <si>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</si>
  <si>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</si>
  <si>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HQ</t>
    <phoneticPr fontId="30" type="noConversion"/>
  </si>
  <si>
    <t>Ansan factory</t>
    <phoneticPr fontId="30" type="noConversion"/>
  </si>
  <si>
    <t>Suzhou factory</t>
    <phoneticPr fontId="30" type="noConversion"/>
  </si>
  <si>
    <t xml:space="preserve">City and Country </t>
  </si>
  <si>
    <t>Anyang, Korea</t>
    <phoneticPr fontId="30" type="noConversion"/>
  </si>
  <si>
    <t>Ansan, Korea</t>
    <phoneticPr fontId="30" type="noConversion"/>
  </si>
  <si>
    <t>Suzhou, China</t>
    <phoneticPr fontId="30" type="noConversion"/>
  </si>
  <si>
    <t>Full Address</t>
  </si>
  <si>
    <t>91, Dongpyeon-ro, Dongan-gu, Anyang-si, Gyeonggi-do, Republic of Korea</t>
    <phoneticPr fontId="30" type="noConversion"/>
  </si>
  <si>
    <t>8, Beonnyeong-ro 82beon-gil, Danwon-gu, Ansan-si, Gyeonggi-do, Republic of Korea</t>
    <phoneticPr fontId="30" type="noConversion"/>
  </si>
  <si>
    <t>NO,188 Yexin road, Economic And Technological Development Zone Wujiang, Jiangsu Province, 215200, China</t>
    <phoneticPr fontId="30" type="noConversion"/>
  </si>
  <si>
    <t>Current Apple Programs Supported
 (List Program Name or N/A)</t>
  </si>
  <si>
    <t>Laser lift off project
(Tool model: LLO-100SP)</t>
    <phoneticPr fontId="30" type="noConversion"/>
  </si>
  <si>
    <t>EQ Type manufactured in above location for Apple
(Dispense, Pick and place, Assembly, Die Attach, Wire Bond, Test, etc)</t>
  </si>
  <si>
    <t>Laser Marking / Cutting / Drilling / Debonding / Annealing / Grooving / Dicing / Trimming</t>
    <phoneticPr fontId="30" type="noConversion"/>
  </si>
  <si>
    <t>Laser Diode / Laser Marking</t>
    <phoneticPr fontId="30" type="noConversion"/>
  </si>
  <si>
    <t>EQ Type manufactured in above location for other customers
(Dispense, Pick and place, Assembly, Die Attach, Wire Bond, Test, etc)</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</si>
  <si>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</si>
  <si>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</si>
  <si>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</si>
  <si>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</si>
  <si>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</si>
  <si>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</si>
  <si>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</si>
  <si>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</si>
  <si>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Yes</t>
  </si>
  <si>
    <t>Customer Base served from this location
(City and Country of the customer)</t>
  </si>
  <si>
    <t>Support all the customers world wide</t>
    <phoneticPr fontId="30" type="noConversion"/>
  </si>
  <si>
    <t>Mainly serves the Chinese customers, but also support world wide customers</t>
    <phoneticPr fontId="30" type="noConversion"/>
  </si>
  <si>
    <t>Are there any Global expansion plans in the future for Manufacturing? Please desrcibe in detail.</t>
  </si>
  <si>
    <t>There's no plan to expand the manufacturing facilities in the near future</t>
    <phoneticPr fontId="30" type="noConversion"/>
  </si>
  <si>
    <t>What are all the key subcomponent vendors used and where are they located (city, country)? Please provide rough volume &amp; spend with key subcomponent vendors as well.</t>
  </si>
  <si>
    <t>Most of the subcomponents are from Rep. of Korea, where the purchase volume vary depending on the customer demands</t>
    <phoneticPr fontId="30" type="noConversion"/>
  </si>
  <si>
    <t>Any previous issues faced in shipping to certain countries?</t>
  </si>
  <si>
    <t>Apart from global / political issues (such as war), no issues with shipments</t>
    <phoneticPr fontId="30" type="noConversion"/>
  </si>
  <si>
    <t>What are the key supply chain tactics being followed?</t>
  </si>
  <si>
    <t>EO Technics manage secondary vendors to allow flexible management of Key components</t>
    <phoneticPr fontId="30" type="noConversion"/>
  </si>
  <si>
    <t>Are there any inhouse machining / job shop capabilities? If so, please explain in detail in terms of machine qty available (CNC, Mill, Lathe, EDM Weld, etc.), volume produced, &amp; available capacity.</t>
  </si>
  <si>
    <t>EO Technics has the ability to build an entire laser equipment. About 12 sets of laser equipments can be supplied per month</t>
    <phoneticPr fontId="30" type="noConversion"/>
  </si>
  <si>
    <t>What are the incoming (IQC), in process (IPQC), and outgoing (OQC) quality control systems and/or processes? Please desrcibe in detail.</t>
  </si>
  <si>
    <t>EO Technics has internal QC division that manage quality control from incoming, process to outgoing</t>
    <phoneticPr fontId="30" type="noConversion"/>
  </si>
  <si>
    <t>Are there ERP system and processes, including any automation or integration functionality across EQ manufacturing supply chain? Please desrcibe in detail.</t>
  </si>
  <si>
    <t>Standard ERP System for tracking and recording but not for automation or integration funcionality</t>
    <phoneticPr fontId="30" type="noConversion"/>
  </si>
  <si>
    <t>What are the supply chain resiliency plans to ensure no distruption in supply?</t>
  </si>
  <si>
    <t>Espeically with some key components, we keep close relation with our Vendor where we ask them to notify any change in supply chain
Vendors are required to pre-notify us of any upcoming obsolete parts along with LTB (Last time buy) to minimize supply chain disruption.</t>
    <phoneticPr fontId="30" type="noConversion"/>
  </si>
  <si>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</si>
  <si>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</si>
  <si>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</si>
  <si>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</si>
  <si>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</si>
  <si>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</si>
  <si>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</si>
  <si>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</si>
  <si>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</si>
  <si>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</si>
  <si>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China</t>
    <phoneticPr fontId="30" type="noConversion"/>
  </si>
  <si>
    <t>India</t>
    <phoneticPr fontId="30" type="noConversion"/>
  </si>
  <si>
    <t>Vietnam</t>
    <phoneticPr fontId="30" type="noConversion"/>
  </si>
  <si>
    <t>Thailand</t>
    <phoneticPr fontId="30" type="noConversion"/>
  </si>
  <si>
    <t>South / North America</t>
    <phoneticPr fontId="30" type="noConversion"/>
  </si>
  <si>
    <t>Singapore / Malaysia</t>
    <phoneticPr fontId="30" type="noConversion"/>
  </si>
  <si>
    <t>Taiwan</t>
    <phoneticPr fontId="30" type="noConversion"/>
  </si>
  <si>
    <t>Philippines</t>
    <phoneticPr fontId="30" type="noConversion"/>
  </si>
  <si>
    <t>Total Field Service Engineers - L1 (HC)</t>
  </si>
  <si>
    <t>Total Field Service Engineers - L2 (HC)</t>
  </si>
  <si>
    <t>Total Field Service Engineers - L3 (HC)</t>
  </si>
  <si>
    <t>Support Capabilities in Region - Total # of Units (QTY)</t>
  </si>
  <si>
    <t>Hiring Difficulty in Region (High/Medium/Low)</t>
  </si>
  <si>
    <t>Low</t>
  </si>
  <si>
    <t>Dispatch Difficulty from Region (High/Medium/Low)</t>
  </si>
  <si>
    <t>Regions Served (Countries &amp; QTY)</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</si>
  <si>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</si>
  <si>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</si>
  <si>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</si>
  <si>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</si>
  <si>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</si>
  <si>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</si>
  <si>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</si>
  <si>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</si>
  <si>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</si>
  <si>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</si>
  <si>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</si>
  <si>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</si>
  <si>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</si>
  <si>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</si>
  <si>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</si>
  <si>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</si>
  <si>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</si>
  <si>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</si>
  <si>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</si>
  <si>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</si>
  <si>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</si>
  <si>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</si>
  <si>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</si>
  <si>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</si>
  <si>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</si>
  <si>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</si>
  <si>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</si>
  <si>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</si>
  <si>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</si>
  <si>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</si>
  <si>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</si>
  <si>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</si>
  <si>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</si>
  <si>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</si>
  <si>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phoneticPr fontId="30" type="noConversion"/>
  </si>
  <si>
    <t>Separately attached (EOTECHNICS_laser marker_roadmap.pdf)</t>
    <phoneticPr fontId="30" type="noConversion"/>
  </si>
  <si>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</si>
  <si>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</si>
  <si>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</si>
  <si>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</si>
  <si>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</si>
  <si>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</si>
  <si>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</si>
  <si>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</si>
  <si>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</si>
  <si>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</si>
  <si>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</si>
  <si>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</si>
  <si>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</si>
  <si>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</si>
  <si>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</si>
  <si>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</si>
  <si>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</si>
  <si>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</si>
  <si>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</si>
  <si>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</si>
  <si>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</si>
  <si>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</si>
  <si>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</si>
  <si>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</si>
  <si>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</si>
  <si>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</si>
  <si>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</si>
  <si>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</si>
  <si>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</si>
  <si>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High</t>
  </si>
  <si>
    <t>Outsourced?</t>
  </si>
  <si>
    <t>Core Competencies</t>
  </si>
  <si>
    <t>Vertical integration
(EO has full control over the production procedure)</t>
    <phoneticPr fontId="30" type="noConversion"/>
  </si>
  <si>
    <t>Capability of self design / manufacture our own lasers</t>
    <phoneticPr fontId="30" type="noConversion"/>
  </si>
  <si>
    <t>Separate QC team to check the Laser qualities</t>
    <phoneticPr fontId="30" type="noConversion"/>
  </si>
  <si>
    <t>Dedicated Resourcing (HC)
(PM, Engineering, Production, OSS, etc.)</t>
  </si>
  <si>
    <t>Equipment Type &amp; Key Technologies</t>
  </si>
  <si>
    <t>Key Components &amp; Average Annual Spend ($M)
(Prefernce for off the shelf components)</t>
  </si>
  <si>
    <t xml:space="preserve">Typcical Development &amp; Equipment Lead Times
(RFP to DFM, KO to ETA, ETA to SAT, OEE, etc.) </t>
  </si>
  <si>
    <t>Competitive Advantage(s)</t>
  </si>
  <si>
    <t>Applicable Project Experience
(Year, Machine Description &amp; QTY, Spend, Timeline)</t>
  </si>
  <si>
    <t>Client / Reference</t>
  </si>
  <si>
    <t>Client / Reference Email</t>
  </si>
  <si>
    <t>Applicable Apple Experience
(Year, Machine Description &amp; QTY, Spend, Timeline)</t>
  </si>
  <si>
    <t>Apple DRI Name</t>
  </si>
  <si>
    <t>Apple DRI Email</t>
  </si>
  <si>
    <t>Use the blank page to detail your company's technical roadmap for apple or other customers</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</si>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</sst>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_-[$$-409]* #,##0_ ;_-[$$-409]* \-#,##0\ ;_-[$$-409]* &quot;-&quot;??_ ;_-@_ "/>
    <numFmt numFmtId="166" formatCode="_-[$$-409]* #,##0.00_ ;_-[$$-409]* \-#,##0.00\ ;_-[$$-409]* &quot;-&quot;_ ;_-@_ "/>
  </numFmts>
  <fonts count="31">
    <font>
      <sz val="12"/>
      <color theme="1"/>
      <name val="맑은 고딕"/>
      <family val="2"/>
      <scheme val="minor"/>
    </font>
    <font>
      <sz val="12"/>
      <color theme="1"/>
      <name val="맑은 고딕"/>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맑은 고딕"/>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맑은 고딕"/>
      <family val="2"/>
      <scheme val="minor"/>
    </font>
    <font>
      <b/>
      <u/>
      <sz val="12"/>
      <color theme="1"/>
      <name val="맑은 고딕"/>
      <family val="2"/>
      <scheme val="minor"/>
    </font>
    <font>
      <sz val="14"/>
      <name val="Helvetica Neue"/>
      <family val="2"/>
    </font>
    <font>
      <sz val="12"/>
      <name val="Helvetica Neue"/>
      <family val="2"/>
    </font>
    <font>
      <b/>
      <u/>
      <sz val="14"/>
      <color theme="1"/>
      <name val="Helvetica Neue"/>
      <family val="2"/>
    </font>
    <font>
      <sz val="8"/>
      <name val="맑은 고딕"/>
      <family val="3"/>
      <charset val="129"/>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4" fontId="1" fillId="0" borderId="0" applyFont="0" applyFill="0" applyBorder="0" applyAlignment="0" applyProtection="0">
      <alignment vertical="center"/>
    </xf>
  </cellStyleXfs>
  <cellXfs count="8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5"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12" fillId="5" borderId="1" xfId="0" quotePrefix="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00000000-0005-0000-0000-000000000000}"/>
    <cellStyle name="Hyperlink" xfId="3" builtinId="8"/>
    <cellStyle name="Normal" xfId="0" builtinId="0"/>
    <cellStyle name="Normal 2" xfId="2" xr:uid="{00000000-0005-0000-0000-000003000000}"/>
    <cellStyle name="Percent" xfId="1" builtinId="5"/>
  </cellStyles>
  <dxfs count="79">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2:B14"/>
  <sheetViews>
    <sheetView showGridLines="0" topLeftCell="B1" zoomScale="85" zoomScaleNormal="85" workbookViewId="0">
      <selection activeCell="B3" sqref="B3"/>
    </sheetView>
  </sheetViews>
  <sheetFormatPr defaultColWidth="10.88671875" defaultRowHeight="20.100000000000001"/>
  <cols>
    <col min="1" max="1" width="10.88671875" style="46"/>
    <col min="2" max="2" width="200.88671875" style="10" customWidth="1"/>
    <col min="3" max="16384" width="10.88671875" style="46"/>
  </cols>
  <sheetData>
    <row r="2" spans="2:2">
      <c r="B2" s="8" t="s">
        <v>0</v>
      </c>
    </row>
    <row r="3" spans="2:2">
      <c r="B3" s="40" t="s">
        <v>1</v>
      </c>
    </row>
    <row r="4" spans="2:2" ht="80.099999999999994">
      <c r="B4" s="9" t="s">
        <v>2</v>
      </c>
    </row>
    <row r="5" spans="2:2">
      <c r="B5" s="40" t="s">
        <v>3</v>
      </c>
    </row>
    <row r="6" spans="2:2" ht="39.950000000000003">
      <c r="B6" s="9" t="s">
        <v>4</v>
      </c>
    </row>
    <row r="7" spans="2:2">
      <c r="B7" s="40" t="s">
        <v>5</v>
      </c>
    </row>
    <row r="8" spans="2:2" ht="279.95">
      <c r="B8" s="9" t="s">
        <v>6</v>
      </c>
    </row>
    <row r="9" spans="2:2">
      <c r="B9" s="40" t="s">
        <v>7</v>
      </c>
    </row>
    <row r="10" spans="2:2">
      <c r="B10" s="9" t="s">
        <v>8</v>
      </c>
    </row>
    <row r="11" spans="2:2">
      <c r="B11" s="40" t="s">
        <v>9</v>
      </c>
    </row>
    <row r="12" spans="2:2" ht="39.950000000000003">
      <c r="B12" s="9" t="s">
        <v>10</v>
      </c>
    </row>
    <row r="13" spans="2:2">
      <c r="B13" s="40" t="s">
        <v>11</v>
      </c>
    </row>
    <row r="14" spans="2:2" ht="80.099999999999994">
      <c r="B14" s="67" t="s">
        <v>12</v>
      </c>
    </row>
  </sheetData>
  <sheetProtection algorithmName="SHA-512" hashValue="oqQmTTL1TGDehFTcAOr2PQzV2AF19eG2fsUcc8MPwK3DeUGnHmuByNhhMgg5CE2BrggHILzN+R4S0gsFxK+kfw==" saltValue="b/vDCHd/sP/Ufj+9MTyigg==" spinCount="100000" sheet="1" objects="1" scenarios="1"/>
  <phoneticPr fontId="3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2:B30"/>
  <sheetViews>
    <sheetView showGridLines="0" zoomScale="70" zoomScaleNormal="70" workbookViewId="0">
      <selection activeCell="H17" sqref="H17"/>
    </sheetView>
  </sheetViews>
  <sheetFormatPr defaultColWidth="10.88671875" defaultRowHeight="20.100000000000001"/>
  <cols>
    <col min="1" max="1" width="10.88671875" style="46"/>
    <col min="2" max="2" width="200.88671875" style="10" customWidth="1"/>
    <col min="3" max="16384" width="10.88671875" style="46"/>
  </cols>
  <sheetData>
    <row r="2" spans="2:2">
      <c r="B2" s="8" t="s">
        <v>13</v>
      </c>
    </row>
    <row r="3" spans="2:2">
      <c r="B3" s="39" t="s">
        <v>14</v>
      </c>
    </row>
    <row r="4" spans="2:2" ht="39.950000000000003">
      <c r="B4" s="9" t="s">
        <v>15</v>
      </c>
    </row>
    <row r="5" spans="2:2">
      <c r="B5" s="40" t="s">
        <v>16</v>
      </c>
    </row>
    <row r="6" spans="2:2" ht="39.950000000000003">
      <c r="B6" s="9" t="s">
        <v>17</v>
      </c>
    </row>
    <row r="7" spans="2:2">
      <c r="B7" s="40" t="s">
        <v>18</v>
      </c>
    </row>
    <row r="8" spans="2:2" ht="60">
      <c r="B8" s="9" t="s">
        <v>19</v>
      </c>
    </row>
    <row r="9" spans="2:2">
      <c r="B9" s="40" t="s">
        <v>20</v>
      </c>
    </row>
    <row r="10" spans="2:2" ht="39.950000000000003">
      <c r="B10" s="9" t="s">
        <v>21</v>
      </c>
    </row>
    <row r="11" spans="2:2">
      <c r="B11" s="40" t="s">
        <v>22</v>
      </c>
    </row>
    <row r="12" spans="2:2" ht="99.95">
      <c r="B12" s="9" t="s">
        <v>23</v>
      </c>
    </row>
    <row r="13" spans="2:2">
      <c r="B13" s="40" t="s">
        <v>24</v>
      </c>
    </row>
    <row r="14" spans="2:2" ht="60">
      <c r="B14" s="9" t="s">
        <v>25</v>
      </c>
    </row>
    <row r="15" spans="2:2">
      <c r="B15" s="40" t="s">
        <v>26</v>
      </c>
    </row>
    <row r="16" spans="2:2" ht="140.1">
      <c r="B16" s="9" t="s">
        <v>27</v>
      </c>
    </row>
    <row r="17" spans="2:2">
      <c r="B17" s="40" t="s">
        <v>28</v>
      </c>
    </row>
    <row r="18" spans="2:2" ht="39.950000000000003">
      <c r="B18" s="9" t="s">
        <v>29</v>
      </c>
    </row>
    <row r="19" spans="2:2">
      <c r="B19" s="40" t="s">
        <v>30</v>
      </c>
    </row>
    <row r="20" spans="2:2" ht="99.95">
      <c r="B20" s="9" t="s">
        <v>31</v>
      </c>
    </row>
    <row r="21" spans="2:2">
      <c r="B21" s="40" t="s">
        <v>32</v>
      </c>
    </row>
    <row r="22" spans="2:2" ht="60">
      <c r="B22" s="9" t="s">
        <v>33</v>
      </c>
    </row>
    <row r="23" spans="2:2">
      <c r="B23" s="40" t="s">
        <v>34</v>
      </c>
    </row>
    <row r="24" spans="2:2" ht="200.1">
      <c r="B24" s="9" t="s">
        <v>35</v>
      </c>
    </row>
    <row r="25" spans="2:2">
      <c r="B25" s="40" t="s">
        <v>36</v>
      </c>
    </row>
    <row r="26" spans="2:2" ht="140.1">
      <c r="B26" s="9" t="s">
        <v>37</v>
      </c>
    </row>
    <row r="27" spans="2:2">
      <c r="B27" s="40" t="s">
        <v>38</v>
      </c>
    </row>
    <row r="28" spans="2:2" ht="39.950000000000003">
      <c r="B28" s="9" t="s">
        <v>39</v>
      </c>
    </row>
    <row r="29" spans="2:2">
      <c r="B29" s="40" t="s">
        <v>40</v>
      </c>
    </row>
    <row r="30" spans="2:2" ht="39.950000000000003">
      <c r="B30" s="9" t="s">
        <v>41</v>
      </c>
    </row>
  </sheetData>
  <sheetProtection algorithmName="SHA-512" hashValue="16lh0SMdOYpgz3mnq1FR8VPhkQB9WkH38CSEnYhumJ7oOgzraD5PFwCtlNgfhiodXtWpUFbS52RGhhbDqUMGuw==" saltValue="TscPftiJMrKjkcTdY+qO4A==" spinCount="100000" sheet="1" objects="1" scenarios="1"/>
  <phoneticPr fontId="30"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2:C4"/>
  <sheetViews>
    <sheetView showGridLines="0" zoomScale="85" zoomScaleNormal="85" workbookViewId="0">
      <selection activeCell="B10" sqref="B10"/>
    </sheetView>
  </sheetViews>
  <sheetFormatPr defaultColWidth="10.88671875" defaultRowHeight="20.100000000000001"/>
  <cols>
    <col min="1" max="1" width="10.88671875" style="46"/>
    <col min="2" max="2" width="141.44140625" style="10" customWidth="1"/>
    <col min="3" max="3" width="40.88671875" style="13" customWidth="1"/>
    <col min="4" max="16384" width="10.88671875" style="46"/>
  </cols>
  <sheetData>
    <row r="2" spans="2:3">
      <c r="B2" s="8" t="s">
        <v>42</v>
      </c>
      <c r="C2" s="11"/>
    </row>
    <row r="3" spans="2:3">
      <c r="B3" s="39" t="s">
        <v>43</v>
      </c>
      <c r="C3" s="11"/>
    </row>
    <row r="4" spans="2:3" ht="200.1">
      <c r="B4" s="12" t="s">
        <v>44</v>
      </c>
      <c r="C4" s="45"/>
    </row>
  </sheetData>
  <sheetProtection algorithmName="SHA-512" hashValue="cPVBRGIOKtrTXlo8MnBnv30QuoK2ij4jvok7Fuxi7SU44lPIkdnO5QVJCpjHhshse5xZzxGkMdhwa1LXka8wWQ==" saltValue="QyILU6nUmgu4hisGiP9AQw==" spinCount="100000" sheet="1" objects="1" scenarios="1"/>
  <phoneticPr fontId="30" type="noConversion"/>
  <conditionalFormatting sqref="C4">
    <cfRule type="containsText" dxfId="78" priority="1" operator="containsText" text="Yes">
      <formula>NOT(ISERROR(SEARCH("Yes",C4)))</formula>
    </cfRule>
    <cfRule type="containsText" dxfId="77" priority="2" operator="containsText" text="No">
      <formula>NOT(ISERROR(SEARCH("No",C4)))</formula>
    </cfRule>
    <cfRule type="notContainsBlanks" dxfId="76" priority="3" stopIfTrue="1">
      <formula>LEN(TRIM(C4))&gt;0</formula>
    </cfRule>
  </conditionalFormatting>
  <dataValidations count="1">
    <dataValidation type="list" allowBlank="1" showInputMessage="1" showErrorMessage="1" sqref="C4" xr:uid="{00000000-0002-0000-0200-000000000000}">
      <formula1>"Yes, No"</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F81BD"/>
  </sheetPr>
  <dimension ref="A1:G25"/>
  <sheetViews>
    <sheetView showGridLines="0" zoomScale="85" zoomScaleNormal="85" workbookViewId="0">
      <selection activeCell="B2" sqref="B2"/>
    </sheetView>
  </sheetViews>
  <sheetFormatPr defaultColWidth="10.88671875" defaultRowHeight="18.600000000000001"/>
  <cols>
    <col min="1" max="1" width="3.44140625" style="15" customWidth="1"/>
    <col min="2" max="2" width="74.6640625" style="15" customWidth="1"/>
    <col min="3" max="4" width="29.109375" style="15" customWidth="1"/>
    <col min="5" max="5" width="30.33203125" style="15" bestFit="1" customWidth="1"/>
    <col min="6" max="6" width="29.109375" style="15" customWidth="1"/>
    <col min="7" max="7" width="38.33203125" style="15" customWidth="1"/>
    <col min="8" max="8" width="10.88671875" style="3" customWidth="1"/>
    <col min="9" max="16384" width="10.88671875" style="3"/>
  </cols>
  <sheetData>
    <row r="1" spans="1:7" ht="26.1" customHeight="1">
      <c r="B1" s="14" t="s">
        <v>45</v>
      </c>
    </row>
    <row r="2" spans="1:7" ht="26.1" customHeight="1">
      <c r="A2" s="15">
        <v>1</v>
      </c>
      <c r="B2" s="76" t="s">
        <v>46</v>
      </c>
      <c r="C2" s="16">
        <v>45775</v>
      </c>
    </row>
    <row r="3" spans="1:7" ht="26.1" customHeight="1">
      <c r="A3" s="15">
        <v>2</v>
      </c>
      <c r="B3" s="76" t="s">
        <v>47</v>
      </c>
      <c r="C3" s="17" t="s">
        <v>48</v>
      </c>
    </row>
    <row r="4" spans="1:7" ht="26.1" customHeight="1">
      <c r="A4" s="15">
        <v>3</v>
      </c>
      <c r="B4" s="76" t="s">
        <v>49</v>
      </c>
      <c r="C4" s="17" t="s">
        <v>50</v>
      </c>
      <c r="E4" s="18"/>
    </row>
    <row r="5" spans="1:7" ht="26.1" customHeight="1">
      <c r="A5" s="15">
        <v>4</v>
      </c>
      <c r="B5" s="76" t="s">
        <v>51</v>
      </c>
      <c r="C5" s="17" t="s">
        <v>52</v>
      </c>
      <c r="E5" s="18"/>
    </row>
    <row r="6" spans="1:7" ht="26.1" customHeight="1">
      <c r="A6" s="15">
        <v>5</v>
      </c>
      <c r="B6" s="76" t="s">
        <v>53</v>
      </c>
      <c r="C6" s="19" t="s">
        <v>54</v>
      </c>
      <c r="E6" s="18"/>
    </row>
    <row r="7" spans="1:7" ht="26.1" customHeight="1">
      <c r="A7" s="15">
        <v>6</v>
      </c>
      <c r="B7" s="76" t="s">
        <v>55</v>
      </c>
      <c r="C7" s="17" t="s">
        <v>56</v>
      </c>
      <c r="E7" s="18"/>
    </row>
    <row r="8" spans="1:7" ht="26.1" customHeight="1">
      <c r="A8" s="15">
        <v>7</v>
      </c>
      <c r="B8" s="76" t="s">
        <v>57</v>
      </c>
      <c r="C8" s="72" t="s">
        <v>58</v>
      </c>
    </row>
    <row r="9" spans="1:7" ht="26.1" customHeight="1">
      <c r="A9" s="15">
        <v>8</v>
      </c>
      <c r="B9" s="76" t="s">
        <v>59</v>
      </c>
      <c r="C9" s="17" t="s">
        <v>60</v>
      </c>
    </row>
    <row r="10" spans="1:7" ht="26.1" customHeight="1">
      <c r="A10" s="15">
        <v>9</v>
      </c>
      <c r="B10" s="76" t="s">
        <v>61</v>
      </c>
      <c r="C10" s="17">
        <v>1056</v>
      </c>
    </row>
    <row r="11" spans="1:7">
      <c r="A11" s="15">
        <v>10</v>
      </c>
      <c r="B11" s="76" t="s">
        <v>62</v>
      </c>
      <c r="C11" s="17">
        <v>1989</v>
      </c>
    </row>
    <row r="12" spans="1:7">
      <c r="A12" s="15">
        <v>11</v>
      </c>
      <c r="B12" s="76" t="s">
        <v>63</v>
      </c>
      <c r="C12" s="16">
        <v>42612</v>
      </c>
      <c r="F12" s="20"/>
    </row>
    <row r="15" spans="1:7" ht="36.950000000000003">
      <c r="B15" s="23" t="s">
        <v>64</v>
      </c>
      <c r="C15" s="24" t="s">
        <v>65</v>
      </c>
      <c r="D15" s="24" t="s">
        <v>66</v>
      </c>
      <c r="E15" s="24" t="s">
        <v>67</v>
      </c>
      <c r="F15" s="24" t="s">
        <v>68</v>
      </c>
      <c r="G15" s="25" t="s">
        <v>69</v>
      </c>
    </row>
    <row r="16" spans="1:7">
      <c r="B16" s="26" t="s">
        <v>70</v>
      </c>
      <c r="C16" s="17" t="s">
        <v>71</v>
      </c>
      <c r="D16" s="17" t="s">
        <v>72</v>
      </c>
      <c r="E16" s="17" t="s">
        <v>73</v>
      </c>
      <c r="F16" s="19"/>
      <c r="G16" s="27"/>
    </row>
    <row r="17" spans="2:7">
      <c r="B17" s="26" t="s">
        <v>74</v>
      </c>
      <c r="C17" s="17" t="s">
        <v>75</v>
      </c>
      <c r="D17" s="17" t="s">
        <v>76</v>
      </c>
      <c r="E17" s="17" t="s">
        <v>73</v>
      </c>
      <c r="F17" s="19" t="s">
        <v>77</v>
      </c>
      <c r="G17" s="27"/>
    </row>
    <row r="18" spans="2:7">
      <c r="B18" s="26" t="s">
        <v>78</v>
      </c>
      <c r="C18" s="17" t="s">
        <v>79</v>
      </c>
      <c r="D18" s="17" t="s">
        <v>80</v>
      </c>
      <c r="E18" s="17" t="s">
        <v>73</v>
      </c>
      <c r="F18" s="19" t="s">
        <v>81</v>
      </c>
      <c r="G18" s="27"/>
    </row>
    <row r="19" spans="2:7">
      <c r="B19" s="26" t="s">
        <v>82</v>
      </c>
      <c r="C19" s="17" t="s">
        <v>83</v>
      </c>
      <c r="D19" s="17" t="s">
        <v>84</v>
      </c>
      <c r="E19" s="17" t="s">
        <v>73</v>
      </c>
      <c r="F19" s="19" t="s">
        <v>85</v>
      </c>
      <c r="G19" s="27"/>
    </row>
    <row r="20" spans="2:7">
      <c r="B20" s="28" t="s">
        <v>86</v>
      </c>
      <c r="C20" s="21" t="s">
        <v>87</v>
      </c>
      <c r="D20" s="21" t="s">
        <v>88</v>
      </c>
      <c r="E20" s="17" t="s">
        <v>73</v>
      </c>
      <c r="F20" s="22" t="s">
        <v>89</v>
      </c>
      <c r="G20" s="27"/>
    </row>
    <row r="21" spans="2:7">
      <c r="B21" s="26" t="s">
        <v>90</v>
      </c>
      <c r="C21" s="17" t="s">
        <v>91</v>
      </c>
      <c r="D21" s="17" t="s">
        <v>80</v>
      </c>
      <c r="E21" s="17" t="s">
        <v>73</v>
      </c>
      <c r="F21" s="19" t="s">
        <v>92</v>
      </c>
      <c r="G21" s="27"/>
    </row>
    <row r="22" spans="2:7">
      <c r="B22" s="26" t="s">
        <v>93</v>
      </c>
      <c r="C22" s="17" t="s">
        <v>94</v>
      </c>
      <c r="D22" s="21" t="s">
        <v>95</v>
      </c>
      <c r="E22" s="17" t="s">
        <v>96</v>
      </c>
      <c r="F22" s="19" t="s">
        <v>97</v>
      </c>
      <c r="G22" s="27"/>
    </row>
    <row r="23" spans="2:7">
      <c r="B23" s="26" t="s">
        <v>98</v>
      </c>
      <c r="C23" s="17" t="s">
        <v>99</v>
      </c>
      <c r="D23" s="21" t="s">
        <v>80</v>
      </c>
      <c r="E23" s="17" t="s">
        <v>73</v>
      </c>
      <c r="F23" s="19" t="s">
        <v>100</v>
      </c>
      <c r="G23" s="27"/>
    </row>
    <row r="24" spans="2:7">
      <c r="B24" s="26" t="s">
        <v>101</v>
      </c>
      <c r="C24" s="17"/>
      <c r="D24" s="17"/>
      <c r="E24" s="17"/>
      <c r="F24" s="19"/>
      <c r="G24" s="27"/>
    </row>
    <row r="25" spans="2:7">
      <c r="B25" s="26" t="s">
        <v>101</v>
      </c>
      <c r="C25" s="29"/>
      <c r="D25" s="29"/>
      <c r="E25" s="29"/>
      <c r="F25" s="30"/>
      <c r="G25" s="31"/>
    </row>
  </sheetData>
  <sheetProtection algorithmName="SHA-512" hashValue="6yI60cFygKABQ6hsh5VMwt5lwhrATZ21Hzv2csGFFn0nCOgRIkGTqVPEw9cgpAkSwjap78AvGrfGpwdsFd9Lnw==" saltValue="sj8fAt/Q3fALWU/fQ7kXBA==" spinCount="100000" sheet="1" objects="1" scenarios="1"/>
  <phoneticPr fontId="30" type="noConversion"/>
  <conditionalFormatting sqref="C3:C11">
    <cfRule type="notContainsBlanks" dxfId="75" priority="5">
      <formula>LEN(TRIM(C3))&gt;0</formula>
    </cfRule>
  </conditionalFormatting>
  <conditionalFormatting sqref="C24:G25 G16:G23">
    <cfRule type="notContainsBlanks" dxfId="74" priority="4">
      <formula>LEN(TRIM(C16))&gt;0</formula>
    </cfRule>
  </conditionalFormatting>
  <conditionalFormatting sqref="C16:F23">
    <cfRule type="notContainsBlanks" dxfId="73" priority="3">
      <formula>LEN(TRIM(C16))&gt;0</formula>
    </cfRule>
  </conditionalFormatting>
  <conditionalFormatting sqref="C12">
    <cfRule type="notContainsBlanks" dxfId="72" priority="2">
      <formula>LEN(TRIM(C12))&gt;0</formula>
    </cfRule>
  </conditionalFormatting>
  <conditionalFormatting sqref="C2">
    <cfRule type="notContainsBlanks" dxfId="71" priority="1">
      <formula>LEN(TRIM(C2))&gt;0</formula>
    </cfRule>
  </conditionalFormatting>
  <dataValidations count="1">
    <dataValidation type="whole" operator="greaterThan" allowBlank="1" showInputMessage="1" showErrorMessage="1" sqref="C10" xr:uid="{00000000-0002-0000-0300-000000000000}">
      <formula1>0</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F81BD"/>
  </sheetPr>
  <dimension ref="A1:I10"/>
  <sheetViews>
    <sheetView showGridLines="0" zoomScale="85" zoomScaleNormal="85" workbookViewId="0">
      <selection activeCell="B1" sqref="B1"/>
    </sheetView>
  </sheetViews>
  <sheetFormatPr defaultColWidth="10.88671875" defaultRowHeight="17.45"/>
  <cols>
    <col min="1" max="1" width="4.88671875" customWidth="1"/>
    <col min="2" max="2" width="53.88671875" customWidth="1"/>
    <col min="3" max="8" width="28.109375" customWidth="1"/>
    <col min="9" max="16384" width="10.88671875" style="1"/>
  </cols>
  <sheetData>
    <row r="1" spans="2:9" ht="51" customHeight="1">
      <c r="B1" s="14" t="s">
        <v>102</v>
      </c>
    </row>
    <row r="2" spans="2:9" ht="51" customHeight="1">
      <c r="B2" s="76" t="s">
        <v>103</v>
      </c>
      <c r="C2" s="76">
        <v>2022</v>
      </c>
      <c r="D2" s="76">
        <v>2023</v>
      </c>
      <c r="E2" s="76">
        <v>2024</v>
      </c>
      <c r="F2" s="76" t="s">
        <v>104</v>
      </c>
      <c r="G2" s="76" t="s">
        <v>105</v>
      </c>
      <c r="H2" s="76" t="s">
        <v>106</v>
      </c>
    </row>
    <row r="3" spans="2:9" ht="51" customHeight="1">
      <c r="B3" s="32" t="s">
        <v>107</v>
      </c>
      <c r="C3" s="56">
        <v>647.42999999999995</v>
      </c>
      <c r="D3" s="56">
        <v>1460.88</v>
      </c>
      <c r="E3" s="56">
        <v>1166.5899999999999</v>
      </c>
      <c r="F3" s="56"/>
      <c r="G3" s="56"/>
      <c r="H3" s="56"/>
    </row>
    <row r="4" spans="2:9" ht="51" customHeight="1">
      <c r="B4" s="32" t="s">
        <v>108</v>
      </c>
      <c r="C4" s="56">
        <v>352.69</v>
      </c>
      <c r="D4" s="56">
        <v>245.34</v>
      </c>
      <c r="E4" s="56">
        <v>218.33</v>
      </c>
      <c r="F4" s="56"/>
      <c r="G4" s="56"/>
      <c r="H4" s="56"/>
      <c r="I4" s="4"/>
    </row>
    <row r="5" spans="2:9" ht="51" customHeight="1">
      <c r="B5" s="32" t="s">
        <v>109</v>
      </c>
      <c r="C5" s="56"/>
      <c r="D5" s="56"/>
      <c r="E5" s="56">
        <v>2.2000000000000002</v>
      </c>
      <c r="F5" s="56"/>
      <c r="G5" s="56"/>
      <c r="H5" s="56"/>
      <c r="I5" s="4" t="s">
        <v>110</v>
      </c>
    </row>
    <row r="6" spans="2:9" ht="51" customHeight="1">
      <c r="B6" s="32" t="s">
        <v>111</v>
      </c>
      <c r="C6" s="56"/>
      <c r="D6" s="56"/>
      <c r="E6" s="56"/>
      <c r="F6" s="56"/>
      <c r="G6" s="56"/>
      <c r="H6" s="56"/>
      <c r="I6" s="2" t="s">
        <v>112</v>
      </c>
    </row>
    <row r="8" spans="2:9" ht="18.600000000000001">
      <c r="B8" s="76" t="s">
        <v>103</v>
      </c>
      <c r="C8" s="76">
        <v>2023</v>
      </c>
      <c r="D8" s="76">
        <v>2023</v>
      </c>
      <c r="E8" s="76">
        <v>2024</v>
      </c>
      <c r="F8" s="76" t="s">
        <v>104</v>
      </c>
      <c r="G8" s="76" t="s">
        <v>105</v>
      </c>
      <c r="H8" s="76" t="s">
        <v>106</v>
      </c>
    </row>
    <row r="9" spans="2:9" ht="18.600000000000001">
      <c r="B9" s="32" t="s">
        <v>113</v>
      </c>
      <c r="C9" s="56">
        <v>70.25</v>
      </c>
      <c r="D9" s="56">
        <v>67.48</v>
      </c>
      <c r="E9" s="56">
        <v>107.04</v>
      </c>
      <c r="F9" s="57"/>
      <c r="G9" s="57"/>
      <c r="H9" s="57"/>
    </row>
    <row r="10" spans="2:9" ht="18.600000000000001">
      <c r="B10" s="32" t="s">
        <v>114</v>
      </c>
      <c r="C10" s="56">
        <v>77.23</v>
      </c>
      <c r="D10" s="56">
        <v>24</v>
      </c>
      <c r="E10" s="56">
        <v>21.23</v>
      </c>
      <c r="F10" s="57"/>
      <c r="G10" s="57"/>
      <c r="H10" s="57"/>
    </row>
  </sheetData>
  <sheetProtection algorithmName="SHA-512" hashValue="ADYHa84FNvxgDAPkQMA/ds4sXCGn4cmNRk+QJEHJSD6Mj+8x0KTQ9z3XQL2xdLYTVckdH232Lggvd0pM/Osjng==" saltValue="pjSFd/rHk5+ena2trvj3tA==" spinCount="100000" sheet="1" objects="1" scenarios="1"/>
  <phoneticPr fontId="30" type="noConversion"/>
  <conditionalFormatting sqref="C6:H6 C5:D5 F3:H5">
    <cfRule type="notContainsBlanks" dxfId="70" priority="7" stopIfTrue="1">
      <formula>LEN(TRIM(C3))&gt;0</formula>
    </cfRule>
  </conditionalFormatting>
  <conditionalFormatting sqref="F9:H10">
    <cfRule type="notContainsBlanks" dxfId="69" priority="6" stopIfTrue="1">
      <formula>LEN(TRIM(F9))&gt;0</formula>
    </cfRule>
  </conditionalFormatting>
  <conditionalFormatting sqref="C3:E4">
    <cfRule type="notContainsBlanks" dxfId="68" priority="3" stopIfTrue="1">
      <formula>LEN(TRIM(C3))&gt;0</formula>
    </cfRule>
  </conditionalFormatting>
  <conditionalFormatting sqref="C9:E10">
    <cfRule type="notContainsBlanks" dxfId="67" priority="2" stopIfTrue="1">
      <formula>LEN(TRIM(C9))&gt;0</formula>
    </cfRule>
  </conditionalFormatting>
  <conditionalFormatting sqref="E5">
    <cfRule type="notContainsBlanks" dxfId="66" priority="1" stopIfTrue="1">
      <formula>LEN(TRIM(E5))&gt;0</formula>
    </cfRule>
  </conditionalFormatting>
  <dataValidations count="1">
    <dataValidation type="decimal" operator="greaterThan" allowBlank="1" showInputMessage="1" showErrorMessage="1" sqref="C9:H10 C3:H6" xr:uid="{00000000-0002-0000-0400-000000000000}">
      <formula1>0</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F81BD"/>
  </sheetPr>
  <dimension ref="A1:H29"/>
  <sheetViews>
    <sheetView showGridLines="0" zoomScale="70" zoomScaleNormal="70" workbookViewId="0">
      <selection activeCell="C3" sqref="C3"/>
    </sheetView>
  </sheetViews>
  <sheetFormatPr defaultColWidth="10.88671875" defaultRowHeight="26.1" customHeight="1"/>
  <cols>
    <col min="1" max="1" width="6.109375" style="61" customWidth="1"/>
    <col min="2" max="2" width="59" style="34" customWidth="1"/>
    <col min="3" max="3" width="38.44140625" style="3" customWidth="1"/>
    <col min="4" max="8" width="38.44140625" style="6" customWidth="1"/>
    <col min="9" max="11" width="29.109375" style="3" customWidth="1"/>
    <col min="12" max="16384" width="10.88671875" style="3"/>
  </cols>
  <sheetData>
    <row r="1" spans="1:8" s="15" customFormat="1" ht="51" customHeight="1">
      <c r="A1" s="59"/>
      <c r="B1" s="33" t="s">
        <v>115</v>
      </c>
    </row>
    <row r="2" spans="1:8" s="34" customFormat="1" ht="56.1" customHeight="1">
      <c r="A2" s="60"/>
      <c r="B2" s="76"/>
      <c r="C2" s="76" t="s">
        <v>116</v>
      </c>
      <c r="D2" s="35" t="s">
        <v>117</v>
      </c>
      <c r="E2" s="35" t="s">
        <v>118</v>
      </c>
      <c r="F2" s="35" t="s">
        <v>119</v>
      </c>
      <c r="G2" s="35" t="s">
        <v>120</v>
      </c>
      <c r="H2" s="35" t="s">
        <v>121</v>
      </c>
    </row>
    <row r="3" spans="1:8" ht="60" customHeight="1">
      <c r="A3" s="61">
        <v>1</v>
      </c>
      <c r="B3" s="76" t="s">
        <v>122</v>
      </c>
      <c r="C3" s="36" t="s">
        <v>123</v>
      </c>
      <c r="D3" s="36" t="s">
        <v>123</v>
      </c>
      <c r="E3" s="36" t="s">
        <v>124</v>
      </c>
      <c r="F3" s="17" t="s">
        <v>125</v>
      </c>
      <c r="G3" s="17"/>
      <c r="H3" s="17"/>
    </row>
    <row r="4" spans="1:8" ht="60" customHeight="1">
      <c r="A4" s="61">
        <v>2</v>
      </c>
      <c r="B4" s="76" t="s">
        <v>126</v>
      </c>
      <c r="C4" s="17" t="s">
        <v>127</v>
      </c>
      <c r="D4" s="17" t="s">
        <v>127</v>
      </c>
      <c r="E4" s="17" t="s">
        <v>128</v>
      </c>
      <c r="F4" s="17" t="s">
        <v>129</v>
      </c>
      <c r="G4" s="48"/>
      <c r="H4" s="17"/>
    </row>
    <row r="5" spans="1:8" ht="60" customHeight="1">
      <c r="A5" s="61">
        <v>3</v>
      </c>
      <c r="B5" s="76" t="s">
        <v>130</v>
      </c>
      <c r="C5" s="17" t="s">
        <v>131</v>
      </c>
      <c r="D5" s="17" t="s">
        <v>131</v>
      </c>
      <c r="E5" s="17" t="s">
        <v>132</v>
      </c>
      <c r="F5" s="17" t="s">
        <v>133</v>
      </c>
      <c r="G5" s="17"/>
      <c r="H5" s="17"/>
    </row>
    <row r="6" spans="1:8" ht="60" customHeight="1">
      <c r="A6" s="61">
        <v>4</v>
      </c>
      <c r="B6" s="35" t="s">
        <v>134</v>
      </c>
      <c r="C6" s="17" t="s">
        <v>135</v>
      </c>
      <c r="D6" s="17" t="s">
        <v>135</v>
      </c>
      <c r="E6" s="17"/>
      <c r="F6" s="17"/>
      <c r="G6" s="17"/>
      <c r="H6" s="17"/>
    </row>
    <row r="7" spans="1:8" ht="86.1" customHeight="1">
      <c r="A7" s="61">
        <v>5</v>
      </c>
      <c r="B7" s="35" t="s">
        <v>136</v>
      </c>
      <c r="C7" s="17" t="s">
        <v>137</v>
      </c>
      <c r="D7" s="17" t="s">
        <v>137</v>
      </c>
      <c r="E7" s="17" t="s">
        <v>137</v>
      </c>
      <c r="F7" s="17" t="s">
        <v>138</v>
      </c>
      <c r="G7" s="17"/>
      <c r="H7" s="17"/>
    </row>
    <row r="8" spans="1:8" ht="86.1" customHeight="1">
      <c r="A8" s="61">
        <v>6</v>
      </c>
      <c r="B8" s="35" t="s">
        <v>139</v>
      </c>
      <c r="C8" s="17" t="s">
        <v>137</v>
      </c>
      <c r="D8" s="17" t="s">
        <v>137</v>
      </c>
      <c r="E8" s="17" t="s">
        <v>137</v>
      </c>
      <c r="F8" s="17" t="s">
        <v>138</v>
      </c>
      <c r="G8" s="17"/>
      <c r="H8" s="17"/>
    </row>
    <row r="9" spans="1:8" ht="60" customHeight="1">
      <c r="A9" s="61">
        <v>7</v>
      </c>
      <c r="B9" s="76" t="s">
        <v>140</v>
      </c>
      <c r="C9" s="37">
        <v>20345</v>
      </c>
      <c r="D9" s="37">
        <v>20345</v>
      </c>
      <c r="E9" s="38">
        <v>2312</v>
      </c>
      <c r="F9" s="38">
        <v>16748</v>
      </c>
      <c r="G9" s="38"/>
      <c r="H9" s="38"/>
    </row>
    <row r="10" spans="1:8" ht="60" customHeight="1">
      <c r="A10" s="61">
        <v>8</v>
      </c>
      <c r="B10" s="35" t="s">
        <v>141</v>
      </c>
      <c r="C10" s="17">
        <v>632</v>
      </c>
      <c r="D10" s="17">
        <v>632</v>
      </c>
      <c r="E10" s="17">
        <v>19</v>
      </c>
      <c r="F10" s="17">
        <v>91</v>
      </c>
      <c r="G10" s="38"/>
      <c r="H10" s="38"/>
    </row>
    <row r="11" spans="1:8" ht="60" customHeight="1">
      <c r="A11" s="61">
        <v>9</v>
      </c>
      <c r="B11" s="35" t="s">
        <v>142</v>
      </c>
      <c r="C11" s="17">
        <v>30</v>
      </c>
      <c r="D11" s="17">
        <v>30</v>
      </c>
      <c r="E11" s="17"/>
      <c r="F11" s="17"/>
      <c r="G11" s="17"/>
      <c r="H11" s="17"/>
    </row>
    <row r="12" spans="1:8" ht="60" customHeight="1">
      <c r="A12" s="61">
        <v>10</v>
      </c>
      <c r="B12" s="35" t="s">
        <v>143</v>
      </c>
      <c r="C12" s="17">
        <v>30</v>
      </c>
      <c r="D12" s="17">
        <v>30</v>
      </c>
      <c r="E12" s="17"/>
      <c r="F12" s="17"/>
      <c r="G12" s="17"/>
      <c r="H12" s="17"/>
    </row>
    <row r="13" spans="1:8" ht="60" customHeight="1">
      <c r="A13" s="61">
        <v>11</v>
      </c>
      <c r="B13" s="35" t="s">
        <v>144</v>
      </c>
      <c r="C13" s="17"/>
      <c r="D13" s="17"/>
      <c r="E13" s="17"/>
      <c r="F13" s="17"/>
      <c r="G13" s="17"/>
      <c r="H13" s="17"/>
    </row>
    <row r="14" spans="1:8" ht="60" customHeight="1">
      <c r="A14" s="61">
        <v>12</v>
      </c>
      <c r="B14" s="35" t="s">
        <v>145</v>
      </c>
      <c r="C14" s="17" t="s">
        <v>146</v>
      </c>
      <c r="D14" s="17" t="s">
        <v>146</v>
      </c>
      <c r="E14" s="17" t="s">
        <v>146</v>
      </c>
      <c r="F14" s="17" t="s">
        <v>146</v>
      </c>
      <c r="G14" s="17"/>
      <c r="H14" s="17"/>
    </row>
    <row r="15" spans="1:8" ht="60" customHeight="1">
      <c r="A15" s="61">
        <v>13</v>
      </c>
      <c r="B15" s="35" t="s">
        <v>147</v>
      </c>
      <c r="C15" s="17" t="s">
        <v>146</v>
      </c>
      <c r="D15" s="17" t="s">
        <v>148</v>
      </c>
      <c r="E15" s="17" t="s">
        <v>146</v>
      </c>
      <c r="F15" s="17" t="s">
        <v>146</v>
      </c>
      <c r="G15" s="17"/>
      <c r="H15" s="17"/>
    </row>
    <row r="16" spans="1:8" ht="60" customHeight="1">
      <c r="A16" s="61">
        <v>14</v>
      </c>
      <c r="B16" s="35" t="s">
        <v>149</v>
      </c>
      <c r="C16" s="17" t="s">
        <v>150</v>
      </c>
      <c r="D16" s="17" t="s">
        <v>150</v>
      </c>
      <c r="E16" s="17" t="s">
        <v>150</v>
      </c>
      <c r="F16" s="17" t="s">
        <v>151</v>
      </c>
      <c r="G16" s="17"/>
      <c r="H16" s="17"/>
    </row>
    <row r="18" spans="1:8" ht="60.95" customHeight="1">
      <c r="A18" s="61">
        <v>15</v>
      </c>
      <c r="B18" s="78" t="s">
        <v>152</v>
      </c>
      <c r="C18" s="78"/>
      <c r="D18" s="79" t="s">
        <v>153</v>
      </c>
      <c r="E18" s="80"/>
      <c r="F18" s="80"/>
      <c r="G18" s="80"/>
      <c r="H18" s="81"/>
    </row>
    <row r="19" spans="1:8" ht="60.95" customHeight="1">
      <c r="A19" s="61">
        <v>16</v>
      </c>
      <c r="B19" s="78" t="s">
        <v>154</v>
      </c>
      <c r="C19" s="78"/>
      <c r="D19" s="79" t="s">
        <v>155</v>
      </c>
      <c r="E19" s="80"/>
      <c r="F19" s="80"/>
      <c r="G19" s="80"/>
      <c r="H19" s="81"/>
    </row>
    <row r="20" spans="1:8" ht="60.95" customHeight="1">
      <c r="A20" s="61">
        <v>17</v>
      </c>
      <c r="B20" s="78" t="s">
        <v>156</v>
      </c>
      <c r="C20" s="78"/>
      <c r="D20" s="79" t="s">
        <v>157</v>
      </c>
      <c r="E20" s="80"/>
      <c r="F20" s="80"/>
      <c r="G20" s="80"/>
      <c r="H20" s="81"/>
    </row>
    <row r="21" spans="1:8" ht="60.95" customHeight="1">
      <c r="A21" s="61">
        <v>18</v>
      </c>
      <c r="B21" s="78" t="s">
        <v>158</v>
      </c>
      <c r="C21" s="78"/>
      <c r="D21" s="79" t="s">
        <v>159</v>
      </c>
      <c r="E21" s="80"/>
      <c r="F21" s="80"/>
      <c r="G21" s="80"/>
      <c r="H21" s="81"/>
    </row>
    <row r="22" spans="1:8" ht="60.95" customHeight="1">
      <c r="A22" s="61">
        <v>19</v>
      </c>
      <c r="B22" s="78" t="s">
        <v>160</v>
      </c>
      <c r="C22" s="78"/>
      <c r="D22" s="79" t="s">
        <v>161</v>
      </c>
      <c r="E22" s="80"/>
      <c r="F22" s="80"/>
      <c r="G22" s="80"/>
      <c r="H22" s="81"/>
    </row>
    <row r="23" spans="1:8" ht="60.95" customHeight="1">
      <c r="A23" s="61">
        <v>20</v>
      </c>
      <c r="B23" s="82" t="s">
        <v>162</v>
      </c>
      <c r="C23" s="83"/>
      <c r="D23" s="73" t="s">
        <v>163</v>
      </c>
      <c r="E23" s="74"/>
      <c r="F23" s="74"/>
      <c r="G23" s="74"/>
      <c r="H23" s="75"/>
    </row>
    <row r="24" spans="1:8" ht="60.95" customHeight="1">
      <c r="A24" s="61">
        <v>21</v>
      </c>
      <c r="B24" s="82" t="s">
        <v>164</v>
      </c>
      <c r="C24" s="83"/>
      <c r="D24" s="73" t="s">
        <v>165</v>
      </c>
      <c r="E24" s="74"/>
      <c r="F24" s="74"/>
      <c r="G24" s="74"/>
      <c r="H24" s="75"/>
    </row>
    <row r="25" spans="1:8" ht="187.7" customHeight="1">
      <c r="A25" s="61">
        <v>22</v>
      </c>
      <c r="B25" s="78" t="s">
        <v>166</v>
      </c>
      <c r="C25" s="78"/>
      <c r="D25" s="79" t="s">
        <v>167</v>
      </c>
      <c r="E25" s="80"/>
      <c r="F25" s="80"/>
      <c r="G25" s="80"/>
      <c r="H25" s="81"/>
    </row>
    <row r="26" spans="1:8" ht="60.95" customHeight="1"/>
    <row r="27" spans="1:8" ht="60.95" customHeight="1"/>
    <row r="28" spans="1:8" ht="60.95" customHeight="1"/>
    <row r="29" spans="1:8" ht="60.95"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phoneticPr fontId="30" type="noConversion"/>
  <conditionalFormatting sqref="G11:H16 C3:H5 C7:H10 E6:H6">
    <cfRule type="notContainsBlanks" dxfId="65" priority="7">
      <formula>LEN(TRIM(C3))&gt;0</formula>
    </cfRule>
  </conditionalFormatting>
  <conditionalFormatting sqref="C11:F11">
    <cfRule type="notContainsBlanks" dxfId="64" priority="6">
      <formula>LEN(TRIM(C11))&gt;0</formula>
    </cfRule>
  </conditionalFormatting>
  <conditionalFormatting sqref="C12:F15 C11:D13">
    <cfRule type="notContainsBlanks" dxfId="63" priority="5">
      <formula>LEN(TRIM(C11))&gt;0</formula>
    </cfRule>
  </conditionalFormatting>
  <conditionalFormatting sqref="D18:D23 D25">
    <cfRule type="notContainsBlanks" dxfId="62" priority="4">
      <formula>LEN(TRIM(D18))&gt;0</formula>
    </cfRule>
  </conditionalFormatting>
  <conditionalFormatting sqref="D24">
    <cfRule type="notContainsBlanks" dxfId="61" priority="3">
      <formula>LEN(TRIM(D24))&gt;0</formula>
    </cfRule>
  </conditionalFormatting>
  <conditionalFormatting sqref="C16:F16">
    <cfRule type="notContainsBlanks" dxfId="60" priority="2">
      <formula>LEN(TRIM(C16))&gt;0</formula>
    </cfRule>
  </conditionalFormatting>
  <conditionalFormatting sqref="C6:D6">
    <cfRule type="notContainsBlanks" dxfId="59" priority="1">
      <formula>LEN(TRIM(C6))&gt;0</formula>
    </cfRule>
  </conditionalFormatting>
  <dataValidations count="3">
    <dataValidation type="decimal" operator="greaterThan" allowBlank="1" showInputMessage="1" showErrorMessage="1" sqref="C9:H10" xr:uid="{00000000-0002-0000-0500-000000000000}">
      <formula1>0</formula1>
    </dataValidation>
    <dataValidation type="list" allowBlank="1" showInputMessage="1" showErrorMessage="1" sqref="C14:H15" xr:uid="{00000000-0002-0000-0500-000001000000}">
      <formula1>"Yes,No"</formula1>
    </dataValidation>
    <dataValidation type="whole" operator="greaterThan" allowBlank="1" showInputMessage="1" showErrorMessage="1" sqref="C12:H13 G11:H11 C10:F10" xr:uid="{00000000-0002-0000-0500-000002000000}">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F81BD"/>
  </sheetPr>
  <dimension ref="B1:J25"/>
  <sheetViews>
    <sheetView showGridLines="0" zoomScale="70" zoomScaleNormal="70" workbookViewId="0">
      <selection activeCell="B2" sqref="B2"/>
    </sheetView>
  </sheetViews>
  <sheetFormatPr defaultColWidth="10.88671875" defaultRowHeight="50.1" customHeight="1"/>
  <cols>
    <col min="1" max="1" width="5.109375" style="3" customWidth="1"/>
    <col min="2" max="2" width="53.109375" style="3" customWidth="1"/>
    <col min="3" max="10" width="32.6640625" style="3" customWidth="1"/>
    <col min="11" max="16384" width="10.88671875" style="3"/>
  </cols>
  <sheetData>
    <row r="1" spans="2:10" ht="50.1" customHeight="1">
      <c r="B1" s="41" t="s">
        <v>168</v>
      </c>
    </row>
    <row r="2" spans="2:10" ht="50.1" customHeight="1">
      <c r="B2" s="42"/>
      <c r="C2" s="43" t="s">
        <v>169</v>
      </c>
      <c r="D2" s="43" t="s">
        <v>170</v>
      </c>
      <c r="E2" s="43" t="s">
        <v>171</v>
      </c>
      <c r="F2" s="43" t="s">
        <v>172</v>
      </c>
      <c r="G2" s="43" t="s">
        <v>173</v>
      </c>
      <c r="H2" s="43" t="s">
        <v>174</v>
      </c>
      <c r="I2" s="43" t="s">
        <v>175</v>
      </c>
      <c r="J2" s="43" t="s">
        <v>176</v>
      </c>
    </row>
    <row r="3" spans="2:10" ht="50.1" customHeight="1">
      <c r="B3" s="43" t="s">
        <v>177</v>
      </c>
      <c r="C3" s="68" t="s">
        <v>178</v>
      </c>
      <c r="D3" s="68" t="s">
        <v>179</v>
      </c>
      <c r="E3" s="68" t="s">
        <v>180</v>
      </c>
      <c r="F3" s="68" t="s">
        <v>181</v>
      </c>
      <c r="G3" s="68" t="s">
        <v>182</v>
      </c>
      <c r="H3" s="68" t="s">
        <v>183</v>
      </c>
      <c r="I3" s="68" t="s">
        <v>184</v>
      </c>
      <c r="J3" s="68" t="s">
        <v>185</v>
      </c>
    </row>
    <row r="4" spans="2:10" ht="50.1" customHeight="1">
      <c r="B4" s="44" t="s">
        <v>186</v>
      </c>
      <c r="C4" s="68">
        <v>18</v>
      </c>
      <c r="D4" s="68">
        <v>1</v>
      </c>
      <c r="E4" s="68">
        <v>4</v>
      </c>
      <c r="F4" s="68"/>
      <c r="G4" s="68">
        <v>1</v>
      </c>
      <c r="H4" s="68">
        <v>8</v>
      </c>
      <c r="I4" s="68">
        <v>6</v>
      </c>
      <c r="J4" s="68"/>
    </row>
    <row r="5" spans="2:10" ht="50.1" customHeight="1">
      <c r="B5" s="44" t="s">
        <v>187</v>
      </c>
      <c r="C5" s="68">
        <v>8</v>
      </c>
      <c r="D5" s="68"/>
      <c r="E5" s="68">
        <v>10</v>
      </c>
      <c r="F5" s="68">
        <v>2</v>
      </c>
      <c r="G5" s="68">
        <v>1</v>
      </c>
      <c r="H5" s="68">
        <v>5</v>
      </c>
      <c r="I5" s="68">
        <v>13</v>
      </c>
      <c r="J5" s="68">
        <v>2</v>
      </c>
    </row>
    <row r="6" spans="2:10" ht="50.1" customHeight="1">
      <c r="B6" s="44" t="s">
        <v>188</v>
      </c>
      <c r="C6" s="68">
        <v>10</v>
      </c>
      <c r="D6" s="68">
        <v>1</v>
      </c>
      <c r="E6" s="68">
        <v>13</v>
      </c>
      <c r="F6" s="68">
        <v>1</v>
      </c>
      <c r="G6" s="68">
        <v>1</v>
      </c>
      <c r="H6" s="68">
        <v>7</v>
      </c>
      <c r="I6" s="68">
        <v>21</v>
      </c>
      <c r="J6" s="68">
        <v>3</v>
      </c>
    </row>
    <row r="7" spans="2:10" ht="50.1" customHeight="1">
      <c r="B7" s="44" t="s">
        <v>189</v>
      </c>
      <c r="C7" s="68">
        <v>36</v>
      </c>
      <c r="D7" s="68">
        <v>2</v>
      </c>
      <c r="E7" s="68">
        <v>27</v>
      </c>
      <c r="F7" s="68">
        <v>3</v>
      </c>
      <c r="G7" s="68">
        <v>3</v>
      </c>
      <c r="H7" s="68">
        <v>20</v>
      </c>
      <c r="I7" s="68">
        <v>40</v>
      </c>
      <c r="J7" s="68">
        <v>5</v>
      </c>
    </row>
    <row r="8" spans="2:10" ht="50.1" customHeight="1">
      <c r="B8" s="44" t="s">
        <v>190</v>
      </c>
      <c r="C8" s="68" t="s">
        <v>191</v>
      </c>
      <c r="D8" s="68" t="s">
        <v>191</v>
      </c>
      <c r="E8" s="68" t="s">
        <v>191</v>
      </c>
      <c r="F8" s="68" t="s">
        <v>191</v>
      </c>
      <c r="G8" s="68" t="s">
        <v>191</v>
      </c>
      <c r="H8" s="68" t="s">
        <v>191</v>
      </c>
      <c r="I8" s="68" t="s">
        <v>191</v>
      </c>
      <c r="J8" s="68" t="s">
        <v>191</v>
      </c>
    </row>
    <row r="9" spans="2:10" ht="50.1" customHeight="1">
      <c r="B9" s="44" t="s">
        <v>192</v>
      </c>
      <c r="C9" s="68" t="s">
        <v>191</v>
      </c>
      <c r="D9" s="68" t="s">
        <v>191</v>
      </c>
      <c r="E9" s="68" t="s">
        <v>191</v>
      </c>
      <c r="F9" s="68" t="s">
        <v>191</v>
      </c>
      <c r="G9" s="68" t="s">
        <v>191</v>
      </c>
      <c r="H9" s="68" t="s">
        <v>191</v>
      </c>
      <c r="I9" s="68" t="s">
        <v>191</v>
      </c>
      <c r="J9" s="68" t="s">
        <v>191</v>
      </c>
    </row>
    <row r="10" spans="2:10" ht="50.1" customHeight="1">
      <c r="B10" s="62" t="s">
        <v>193</v>
      </c>
      <c r="C10" s="68">
        <v>1</v>
      </c>
      <c r="D10" s="68">
        <v>1</v>
      </c>
      <c r="E10" s="68">
        <v>1</v>
      </c>
      <c r="F10" s="68">
        <v>1</v>
      </c>
      <c r="G10" s="68">
        <v>5</v>
      </c>
      <c r="H10" s="68">
        <v>2</v>
      </c>
      <c r="I10" s="68">
        <v>1</v>
      </c>
      <c r="J10" s="68">
        <v>1</v>
      </c>
    </row>
    <row r="11" spans="2:10" ht="50.1" customHeight="1">
      <c r="B11" s="44" t="s">
        <v>194</v>
      </c>
      <c r="C11" s="69"/>
      <c r="D11" s="69"/>
      <c r="E11" s="69"/>
      <c r="F11" s="68"/>
      <c r="G11" s="68"/>
      <c r="H11" s="68"/>
      <c r="I11" s="68"/>
      <c r="J11" s="68"/>
    </row>
    <row r="12" spans="2:10" ht="50.1" customHeight="1">
      <c r="B12" s="44" t="s">
        <v>195</v>
      </c>
      <c r="C12" s="70"/>
      <c r="D12" s="71"/>
      <c r="E12" s="71"/>
      <c r="F12" s="71"/>
      <c r="G12" s="71"/>
      <c r="H12" s="71"/>
      <c r="I12" s="71"/>
      <c r="J12" s="71"/>
    </row>
    <row r="14" spans="2:10" ht="50.1" customHeight="1">
      <c r="B14" s="84" t="s">
        <v>196</v>
      </c>
      <c r="C14" s="84"/>
      <c r="D14" s="84"/>
    </row>
    <row r="15" spans="2:10" ht="50.1" customHeight="1">
      <c r="B15" s="76" t="s">
        <v>197</v>
      </c>
      <c r="C15" s="84" t="s">
        <v>198</v>
      </c>
      <c r="D15" s="84"/>
    </row>
    <row r="16" spans="2:10" ht="50.1" customHeight="1">
      <c r="B16" s="77" t="s">
        <v>199</v>
      </c>
      <c r="C16" s="85" t="s">
        <v>200</v>
      </c>
      <c r="D16" s="85"/>
    </row>
    <row r="17" spans="2:4" ht="50.1" customHeight="1">
      <c r="B17" s="86" t="s">
        <v>201</v>
      </c>
      <c r="C17" s="86" t="s">
        <v>202</v>
      </c>
      <c r="D17" s="86"/>
    </row>
    <row r="18" spans="2:4" ht="50.1" customHeight="1">
      <c r="B18" s="86"/>
      <c r="C18" s="86" t="s">
        <v>203</v>
      </c>
      <c r="D18" s="86"/>
    </row>
    <row r="19" spans="2:4" ht="50.1" customHeight="1">
      <c r="B19" s="86"/>
      <c r="C19" s="86" t="s">
        <v>204</v>
      </c>
      <c r="D19" s="86"/>
    </row>
    <row r="20" spans="2:4" ht="50.1" customHeight="1">
      <c r="B20" s="86"/>
      <c r="C20" s="86" t="s">
        <v>205</v>
      </c>
      <c r="D20" s="86"/>
    </row>
    <row r="21" spans="2:4" ht="50.1" customHeight="1">
      <c r="B21" s="86" t="s">
        <v>206</v>
      </c>
      <c r="C21" s="86" t="s">
        <v>207</v>
      </c>
      <c r="D21" s="86"/>
    </row>
    <row r="22" spans="2:4" ht="50.1" customHeight="1">
      <c r="B22" s="86"/>
      <c r="C22" s="86" t="s">
        <v>208</v>
      </c>
      <c r="D22" s="86"/>
    </row>
    <row r="23" spans="2:4" ht="50.1" customHeight="1">
      <c r="B23" s="86"/>
      <c r="C23" s="86" t="s">
        <v>209</v>
      </c>
      <c r="D23" s="86"/>
    </row>
    <row r="24" spans="2:4" ht="50.1" customHeight="1">
      <c r="B24" s="86" t="s">
        <v>210</v>
      </c>
      <c r="C24" s="86" t="s">
        <v>211</v>
      </c>
      <c r="D24" s="86"/>
    </row>
    <row r="25" spans="2:4" ht="50.1" customHeight="1">
      <c r="B25" s="86"/>
      <c r="C25" s="86" t="s">
        <v>212</v>
      </c>
      <c r="D25" s="86"/>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phoneticPr fontId="30" type="noConversion"/>
  <conditionalFormatting sqref="C3:J7 C11:J12">
    <cfRule type="containsBlanks" dxfId="58" priority="2" stopIfTrue="1">
      <formula>LEN(TRIM(C3))=0</formula>
    </cfRule>
  </conditionalFormatting>
  <conditionalFormatting sqref="C8:J10">
    <cfRule type="containsBlanks" dxfId="57" priority="1" stopIfTrue="1">
      <formula>LEN(TRIM(C8))=0</formula>
    </cfRule>
  </conditionalFormatting>
  <dataValidations count="2">
    <dataValidation type="list" allowBlank="1" showInputMessage="1" showErrorMessage="1" sqref="C8:J9" xr:uid="{00000000-0002-0000-0600-000000000000}">
      <formula1>"High,Medium,Low"</formula1>
    </dataValidation>
    <dataValidation type="decimal" operator="greaterThan" allowBlank="1" showInputMessage="1" showErrorMessage="1" sqref="C4:J7 C11:J12" xr:uid="{00000000-0002-0000-0600-000001000000}">
      <formula1>0</formula1>
    </dataValidation>
  </dataValidations>
  <pageMargins left="0.7" right="0.7" top="0.75" bottom="0.75" header="0.3" footer="0.3"/>
  <pageSetup scale="4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F81BD"/>
  </sheetPr>
  <dimension ref="B1:K16"/>
  <sheetViews>
    <sheetView showGridLines="0" topLeftCell="B1" zoomScale="85" zoomScaleNormal="85" workbookViewId="0">
      <selection activeCell="B2" sqref="B2"/>
    </sheetView>
  </sheetViews>
  <sheetFormatPr defaultColWidth="10.88671875" defaultRowHeight="15.6"/>
  <cols>
    <col min="1" max="1" width="4.109375" style="1" customWidth="1"/>
    <col min="2" max="2" width="51.44140625" style="1" customWidth="1"/>
    <col min="3" max="9" width="29.109375" style="1" customWidth="1"/>
    <col min="10" max="10" width="57.88671875" style="1" customWidth="1"/>
    <col min="11" max="11" width="31.33203125" style="1" bestFit="1" customWidth="1"/>
    <col min="12" max="15" width="29.109375" style="1" customWidth="1"/>
    <col min="16" max="16384" width="10.88671875" style="1"/>
  </cols>
  <sheetData>
    <row r="1" spans="2:11" ht="66.95" customHeight="1">
      <c r="B1" s="33" t="s">
        <v>213</v>
      </c>
    </row>
    <row r="2" spans="2:11" ht="66.95" customHeight="1">
      <c r="B2" s="32"/>
      <c r="C2" s="76">
        <v>2022</v>
      </c>
      <c r="D2" s="76">
        <v>2023</v>
      </c>
      <c r="E2" s="76">
        <v>2024</v>
      </c>
      <c r="F2" s="76" t="s">
        <v>104</v>
      </c>
      <c r="G2" s="76" t="s">
        <v>105</v>
      </c>
      <c r="H2" s="76" t="s">
        <v>106</v>
      </c>
      <c r="I2" s="76" t="s">
        <v>214</v>
      </c>
      <c r="J2" s="76" t="s">
        <v>215</v>
      </c>
    </row>
    <row r="3" spans="2:11" ht="66.95" customHeight="1">
      <c r="B3" s="76" t="s">
        <v>216</v>
      </c>
      <c r="C3" s="38">
        <v>4</v>
      </c>
      <c r="D3" s="38">
        <v>4</v>
      </c>
      <c r="E3" s="38">
        <v>4</v>
      </c>
      <c r="F3" s="38"/>
      <c r="G3" s="38"/>
      <c r="H3" s="38"/>
      <c r="I3" s="38"/>
      <c r="J3" s="58"/>
    </row>
    <row r="4" spans="2:11" ht="66.95" customHeight="1">
      <c r="B4" s="35" t="s">
        <v>217</v>
      </c>
      <c r="C4" s="38">
        <v>161</v>
      </c>
      <c r="D4" s="38">
        <v>200</v>
      </c>
      <c r="E4" s="38">
        <v>200</v>
      </c>
      <c r="F4" s="38"/>
      <c r="G4" s="38"/>
      <c r="H4" s="38"/>
      <c r="I4" s="38"/>
      <c r="J4" s="58"/>
    </row>
    <row r="5" spans="2:11" ht="66.95" customHeight="1">
      <c r="B5" s="76" t="s">
        <v>218</v>
      </c>
      <c r="C5" s="38">
        <v>250</v>
      </c>
      <c r="D5" s="38">
        <v>237</v>
      </c>
      <c r="E5" s="38">
        <v>235</v>
      </c>
      <c r="F5" s="38"/>
      <c r="G5" s="38"/>
      <c r="H5" s="38"/>
      <c r="I5" s="38"/>
      <c r="J5" s="58"/>
    </row>
    <row r="6" spans="2:11" ht="66.95" customHeight="1">
      <c r="B6" s="76" t="s">
        <v>219</v>
      </c>
      <c r="C6" s="38">
        <v>168</v>
      </c>
      <c r="D6" s="38">
        <v>145</v>
      </c>
      <c r="E6" s="38">
        <v>136</v>
      </c>
      <c r="F6" s="38"/>
      <c r="G6" s="38"/>
      <c r="H6" s="38"/>
      <c r="I6" s="38"/>
      <c r="J6" s="58"/>
      <c r="K6" s="4" t="s">
        <v>220</v>
      </c>
    </row>
    <row r="7" spans="2:11" ht="66.95" customHeight="1">
      <c r="B7" s="76" t="s">
        <v>221</v>
      </c>
      <c r="C7" s="38">
        <v>16</v>
      </c>
      <c r="D7" s="38">
        <v>16</v>
      </c>
      <c r="E7" s="38">
        <v>14</v>
      </c>
      <c r="F7" s="38"/>
      <c r="G7" s="38"/>
      <c r="H7" s="38"/>
      <c r="I7" s="38"/>
      <c r="J7" s="58"/>
    </row>
    <row r="8" spans="2:11" ht="66.95" customHeight="1">
      <c r="B8" s="76" t="s">
        <v>222</v>
      </c>
      <c r="C8" s="38">
        <v>11</v>
      </c>
      <c r="D8" s="38">
        <v>12</v>
      </c>
      <c r="E8" s="38">
        <v>9</v>
      </c>
      <c r="F8" s="38"/>
      <c r="G8" s="38"/>
      <c r="H8" s="38"/>
      <c r="I8" s="38"/>
      <c r="J8" s="58"/>
    </row>
    <row r="9" spans="2:11" ht="66.95" customHeight="1">
      <c r="B9" s="76" t="s">
        <v>223</v>
      </c>
      <c r="C9" s="38">
        <v>10</v>
      </c>
      <c r="D9" s="38">
        <v>9</v>
      </c>
      <c r="E9" s="38">
        <v>9</v>
      </c>
      <c r="F9" s="38"/>
      <c r="G9" s="38"/>
      <c r="H9" s="38"/>
      <c r="I9" s="38"/>
      <c r="J9" s="58"/>
    </row>
    <row r="10" spans="2:11" ht="66.95" customHeight="1">
      <c r="B10" s="35" t="s">
        <v>224</v>
      </c>
      <c r="C10" s="38">
        <v>81</v>
      </c>
      <c r="D10" s="38">
        <v>44</v>
      </c>
      <c r="E10" s="38">
        <v>44</v>
      </c>
      <c r="F10" s="38"/>
      <c r="G10" s="38"/>
      <c r="H10" s="38"/>
      <c r="I10" s="38"/>
      <c r="J10" s="58"/>
    </row>
    <row r="11" spans="2:11" ht="66.95" customHeight="1">
      <c r="B11" s="76" t="s">
        <v>225</v>
      </c>
      <c r="C11" s="38">
        <v>56</v>
      </c>
      <c r="D11" s="38">
        <v>57</v>
      </c>
      <c r="E11" s="38">
        <v>57</v>
      </c>
      <c r="F11" s="38"/>
      <c r="G11" s="38"/>
      <c r="H11" s="38"/>
      <c r="I11" s="38"/>
      <c r="J11" s="58"/>
    </row>
    <row r="12" spans="2:11" ht="66.95" customHeight="1">
      <c r="B12" s="76" t="s">
        <v>226</v>
      </c>
      <c r="C12" s="38">
        <v>23</v>
      </c>
      <c r="D12" s="38">
        <v>17</v>
      </c>
      <c r="E12" s="38">
        <v>17</v>
      </c>
      <c r="F12" s="38"/>
      <c r="G12" s="38"/>
      <c r="H12" s="38"/>
      <c r="I12" s="38"/>
      <c r="J12" s="58"/>
    </row>
    <row r="13" spans="2:11" ht="66.95" customHeight="1">
      <c r="B13" s="76" t="s">
        <v>101</v>
      </c>
      <c r="C13" s="38">
        <v>331</v>
      </c>
      <c r="D13" s="38">
        <v>328</v>
      </c>
      <c r="E13" s="38">
        <v>331</v>
      </c>
      <c r="F13" s="38"/>
      <c r="G13" s="38"/>
      <c r="H13" s="38"/>
      <c r="I13" s="38"/>
      <c r="J13" s="58"/>
    </row>
    <row r="14" spans="2:11" ht="66.95" customHeight="1">
      <c r="B14" s="76" t="s">
        <v>101</v>
      </c>
      <c r="C14" s="38"/>
      <c r="D14" s="38"/>
      <c r="E14" s="38"/>
      <c r="F14" s="38"/>
      <c r="G14" s="38"/>
      <c r="H14" s="38"/>
      <c r="I14" s="38"/>
      <c r="J14" s="58"/>
    </row>
    <row r="15" spans="2:11" ht="66.95" customHeight="1">
      <c r="B15" s="76" t="s">
        <v>101</v>
      </c>
      <c r="C15" s="38"/>
      <c r="D15" s="38"/>
      <c r="E15" s="38"/>
      <c r="F15" s="38"/>
      <c r="G15" s="38"/>
      <c r="H15" s="38"/>
      <c r="I15" s="38"/>
      <c r="J15" s="58"/>
    </row>
    <row r="16" spans="2:11" ht="21">
      <c r="B16" s="49" t="s">
        <v>227</v>
      </c>
      <c r="C16" s="50">
        <f t="shared" ref="C16:I16" si="0">SUM(C3:C15)</f>
        <v>1111</v>
      </c>
      <c r="D16" s="50">
        <f t="shared" si="0"/>
        <v>1069</v>
      </c>
      <c r="E16" s="50">
        <f t="shared" si="0"/>
        <v>1056</v>
      </c>
      <c r="F16" s="50">
        <f t="shared" si="0"/>
        <v>0</v>
      </c>
      <c r="G16" s="50">
        <f t="shared" si="0"/>
        <v>0</v>
      </c>
      <c r="H16" s="50">
        <f t="shared" si="0"/>
        <v>0</v>
      </c>
      <c r="I16" s="50">
        <f t="shared" si="0"/>
        <v>0</v>
      </c>
    </row>
  </sheetData>
  <sheetProtection sheet="1" objects="1" scenarios="1"/>
  <phoneticPr fontId="30" type="noConversion"/>
  <conditionalFormatting sqref="C3:J15">
    <cfRule type="notContainsBlanks" dxfId="56" priority="1">
      <formula>LEN(TRIM(C3))&gt;0</formula>
    </cfRule>
  </conditionalFormatting>
  <dataValidations count="1">
    <dataValidation type="whole" operator="greaterThan" allowBlank="1" showInputMessage="1" showErrorMessage="1" sqref="C3:I15" xr:uid="{00000000-0002-0000-0700-000000000000}">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F81BD"/>
  </sheetPr>
  <dimension ref="B2:K7"/>
  <sheetViews>
    <sheetView showGridLines="0" tabSelected="1" workbookViewId="0">
      <selection activeCell="B15" sqref="B15"/>
    </sheetView>
  </sheetViews>
  <sheetFormatPr defaultColWidth="10.88671875" defaultRowHeight="17.45"/>
  <cols>
    <col min="1" max="1" width="5.33203125" customWidth="1"/>
    <col min="2" max="2" width="34.44140625" customWidth="1"/>
  </cols>
  <sheetData>
    <row r="2" spans="2:11" ht="47.1" customHeight="1">
      <c r="B2" s="87" t="s">
        <v>228</v>
      </c>
      <c r="C2" s="87"/>
      <c r="D2" s="87"/>
      <c r="E2" s="87"/>
      <c r="F2" s="87"/>
      <c r="G2" s="87"/>
      <c r="H2" s="87"/>
      <c r="I2" s="87"/>
      <c r="J2" s="87"/>
      <c r="K2" s="87"/>
    </row>
    <row r="3" spans="2:11" ht="47.1" customHeight="1">
      <c r="B3" s="87"/>
      <c r="C3" s="87"/>
      <c r="D3" s="87"/>
      <c r="E3" s="87"/>
      <c r="F3" s="87"/>
      <c r="G3" s="87"/>
      <c r="H3" s="87"/>
      <c r="I3" s="87"/>
      <c r="J3" s="87"/>
      <c r="K3" s="87"/>
    </row>
    <row r="4" spans="2:11" ht="47.1" customHeight="1">
      <c r="B4" s="87"/>
      <c r="C4" s="87"/>
      <c r="D4" s="87"/>
      <c r="E4" s="87"/>
      <c r="F4" s="87"/>
      <c r="G4" s="87"/>
      <c r="H4" s="87"/>
      <c r="I4" s="87"/>
      <c r="J4" s="87"/>
      <c r="K4" s="87"/>
    </row>
    <row r="5" spans="2:11" ht="47.1" customHeight="1">
      <c r="B5" s="87"/>
      <c r="C5" s="87"/>
      <c r="D5" s="87"/>
      <c r="E5" s="87"/>
      <c r="F5" s="87"/>
      <c r="G5" s="87"/>
      <c r="H5" s="87"/>
      <c r="I5" s="87"/>
      <c r="J5" s="87"/>
      <c r="K5" s="87"/>
    </row>
    <row r="7" spans="2:11">
      <c r="B7" t="s">
        <v>229</v>
      </c>
    </row>
  </sheetData>
  <mergeCells count="1">
    <mergeCell ref="B2:K5"/>
  </mergeCells>
  <phoneticPr fontId="30"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F81BD"/>
  </sheetPr>
  <dimension ref="A1:W18"/>
  <sheetViews>
    <sheetView topLeftCell="A4" zoomScaleNormal="100" workbookViewId="0">
      <selection activeCell="B1" sqref="B1"/>
    </sheetView>
  </sheetViews>
  <sheetFormatPr defaultColWidth="10.88671875" defaultRowHeight="17.45"/>
  <cols>
    <col min="1" max="1" width="4.109375" style="1" customWidth="1"/>
    <col min="2" max="2" width="51.44140625" style="1" customWidth="1"/>
    <col min="3" max="22" width="29.109375" style="1" customWidth="1"/>
    <col min="23" max="23" width="57.88671875" style="1" customWidth="1"/>
  </cols>
  <sheetData>
    <row r="1" spans="2:23" ht="60" customHeight="1">
      <c r="B1" s="33" t="s">
        <v>230</v>
      </c>
    </row>
    <row r="2" spans="2:23" ht="60" customHeight="1">
      <c r="B2" s="63" t="s">
        <v>231</v>
      </c>
      <c r="C2" s="88" t="s">
        <v>232</v>
      </c>
      <c r="D2" s="88"/>
      <c r="E2" s="88"/>
      <c r="F2" s="88"/>
      <c r="G2" s="88" t="s">
        <v>233</v>
      </c>
      <c r="H2" s="88"/>
      <c r="I2" s="88"/>
      <c r="J2" s="88"/>
      <c r="K2" s="88"/>
      <c r="L2" s="88" t="s">
        <v>234</v>
      </c>
      <c r="M2" s="88"/>
      <c r="N2" s="88"/>
      <c r="O2" s="88"/>
      <c r="P2" s="88"/>
      <c r="Q2" s="88"/>
      <c r="R2" s="88"/>
      <c r="S2" s="88" t="s">
        <v>235</v>
      </c>
      <c r="T2" s="88"/>
      <c r="U2" s="88"/>
      <c r="V2" s="88"/>
    </row>
    <row r="3" spans="2:23" ht="60" customHeight="1">
      <c r="B3" s="76" t="s">
        <v>236</v>
      </c>
      <c r="C3" s="64" t="s">
        <v>237</v>
      </c>
      <c r="D3" s="64" t="s">
        <v>238</v>
      </c>
      <c r="E3" s="64" t="s">
        <v>239</v>
      </c>
      <c r="F3" s="64" t="s">
        <v>240</v>
      </c>
      <c r="G3" s="64" t="s">
        <v>241</v>
      </c>
      <c r="H3" s="64" t="s">
        <v>242</v>
      </c>
      <c r="I3" s="64" t="s">
        <v>243</v>
      </c>
      <c r="J3" s="64" t="s">
        <v>244</v>
      </c>
      <c r="K3" s="64" t="s">
        <v>245</v>
      </c>
      <c r="L3" s="64" t="s">
        <v>246</v>
      </c>
      <c r="M3" s="65" t="s">
        <v>247</v>
      </c>
      <c r="N3" s="64" t="s">
        <v>248</v>
      </c>
      <c r="O3" s="64" t="s">
        <v>249</v>
      </c>
      <c r="P3" s="64" t="s">
        <v>250</v>
      </c>
      <c r="Q3" s="64" t="s">
        <v>251</v>
      </c>
      <c r="R3" s="64" t="s">
        <v>252</v>
      </c>
      <c r="S3" s="64" t="s">
        <v>253</v>
      </c>
      <c r="T3" s="64" t="s">
        <v>254</v>
      </c>
      <c r="U3" s="64" t="s">
        <v>255</v>
      </c>
      <c r="V3" s="64" t="s">
        <v>256</v>
      </c>
      <c r="W3" s="76" t="s">
        <v>215</v>
      </c>
    </row>
    <row r="4" spans="2:23" ht="60" customHeight="1">
      <c r="B4" s="76" t="s">
        <v>257</v>
      </c>
      <c r="C4" s="38" t="s">
        <v>148</v>
      </c>
      <c r="D4" s="38" t="s">
        <v>148</v>
      </c>
      <c r="E4" s="38" t="s">
        <v>148</v>
      </c>
      <c r="F4" s="38" t="s">
        <v>148</v>
      </c>
      <c r="G4" s="38"/>
      <c r="H4" s="38" t="s">
        <v>148</v>
      </c>
      <c r="I4" s="38"/>
      <c r="J4" s="38"/>
      <c r="K4" s="38"/>
      <c r="L4" s="38" t="s">
        <v>148</v>
      </c>
      <c r="M4" s="38"/>
      <c r="N4" s="38"/>
      <c r="O4" s="38"/>
      <c r="P4" s="38"/>
      <c r="Q4" s="38"/>
      <c r="R4" s="38"/>
      <c r="S4" s="38"/>
      <c r="T4" s="38"/>
      <c r="U4" s="38"/>
      <c r="V4" s="38"/>
      <c r="W4" s="58"/>
    </row>
    <row r="5" spans="2:23" ht="60" customHeight="1">
      <c r="B5" s="35" t="s">
        <v>258</v>
      </c>
      <c r="C5" s="38" t="s">
        <v>259</v>
      </c>
      <c r="D5" s="38" t="s">
        <v>259</v>
      </c>
      <c r="E5" s="38" t="s">
        <v>259</v>
      </c>
      <c r="F5" s="38" t="s">
        <v>259</v>
      </c>
      <c r="G5" s="38"/>
      <c r="H5" s="38" t="s">
        <v>259</v>
      </c>
      <c r="I5" s="38"/>
      <c r="J5" s="38"/>
      <c r="K5" s="38"/>
      <c r="L5" s="38" t="s">
        <v>259</v>
      </c>
      <c r="M5" s="38"/>
      <c r="N5" s="38"/>
      <c r="O5" s="38"/>
      <c r="P5" s="38"/>
      <c r="Q5" s="38"/>
      <c r="R5" s="38"/>
      <c r="S5" s="38"/>
      <c r="T5" s="38"/>
      <c r="U5" s="38"/>
      <c r="V5" s="38"/>
      <c r="W5" s="58"/>
    </row>
    <row r="6" spans="2:23" ht="60" customHeight="1">
      <c r="B6" s="35" t="s">
        <v>260</v>
      </c>
      <c r="C6" s="38" t="s">
        <v>146</v>
      </c>
      <c r="D6" s="38" t="s">
        <v>146</v>
      </c>
      <c r="E6" s="38" t="s">
        <v>146</v>
      </c>
      <c r="F6" s="38" t="s">
        <v>148</v>
      </c>
      <c r="G6" s="38"/>
      <c r="H6" s="38" t="s">
        <v>146</v>
      </c>
      <c r="I6" s="38"/>
      <c r="J6" s="38"/>
      <c r="K6" s="38"/>
      <c r="L6" s="38" t="s">
        <v>146</v>
      </c>
      <c r="M6" s="38"/>
      <c r="N6" s="38"/>
      <c r="O6" s="38"/>
      <c r="P6" s="38"/>
      <c r="Q6" s="38"/>
      <c r="R6" s="38"/>
      <c r="S6" s="38"/>
      <c r="T6" s="38"/>
      <c r="U6" s="38"/>
      <c r="V6" s="38"/>
      <c r="W6" s="58"/>
    </row>
    <row r="7" spans="2:23" ht="60" customHeight="1">
      <c r="B7" s="35" t="s">
        <v>261</v>
      </c>
      <c r="C7" s="38" t="s">
        <v>262</v>
      </c>
      <c r="D7" s="38" t="s">
        <v>262</v>
      </c>
      <c r="E7" s="38" t="s">
        <v>262</v>
      </c>
      <c r="F7" s="38" t="s">
        <v>262</v>
      </c>
      <c r="G7" s="38"/>
      <c r="H7" s="38" t="s">
        <v>263</v>
      </c>
      <c r="I7" s="38"/>
      <c r="J7" s="38"/>
      <c r="K7" s="38"/>
      <c r="L7" s="38" t="s">
        <v>264</v>
      </c>
      <c r="M7" s="38"/>
      <c r="N7" s="38"/>
      <c r="O7" s="38"/>
      <c r="P7" s="38"/>
      <c r="Q7" s="38"/>
      <c r="R7" s="38"/>
      <c r="S7" s="38"/>
      <c r="T7" s="38"/>
      <c r="U7" s="38"/>
      <c r="V7" s="38"/>
      <c r="W7" s="58"/>
    </row>
    <row r="8" spans="2:23" ht="60" customHeight="1">
      <c r="B8" s="35" t="s">
        <v>265</v>
      </c>
      <c r="C8" s="38"/>
      <c r="D8" s="38"/>
      <c r="E8" s="38"/>
      <c r="F8" s="38"/>
      <c r="G8" s="38"/>
      <c r="H8" s="38"/>
      <c r="I8" s="38"/>
      <c r="J8" s="38"/>
      <c r="K8" s="38"/>
      <c r="L8" s="38"/>
      <c r="M8" s="38"/>
      <c r="N8" s="38"/>
      <c r="O8" s="38"/>
      <c r="P8" s="38"/>
      <c r="Q8" s="38"/>
      <c r="R8" s="38"/>
      <c r="S8" s="38"/>
      <c r="T8" s="38"/>
      <c r="U8" s="38"/>
      <c r="V8" s="38"/>
      <c r="W8" s="58"/>
    </row>
    <row r="9" spans="2:23" ht="60" customHeight="1">
      <c r="B9" s="35" t="s">
        <v>266</v>
      </c>
      <c r="C9" s="38"/>
      <c r="D9" s="38"/>
      <c r="E9" s="38"/>
      <c r="F9" s="38"/>
      <c r="G9" s="38"/>
      <c r="H9" s="38"/>
      <c r="I9" s="38"/>
      <c r="J9" s="38"/>
      <c r="K9" s="38"/>
      <c r="L9" s="38"/>
      <c r="M9" s="38"/>
      <c r="N9" s="38"/>
      <c r="O9" s="38"/>
      <c r="P9" s="38"/>
      <c r="Q9" s="38"/>
      <c r="R9" s="38"/>
      <c r="S9" s="38"/>
      <c r="T9" s="38"/>
      <c r="U9" s="38"/>
      <c r="V9" s="38"/>
      <c r="W9" s="58"/>
    </row>
    <row r="10" spans="2:23" ht="60" customHeight="1">
      <c r="B10" s="35" t="s">
        <v>267</v>
      </c>
      <c r="C10" s="38"/>
      <c r="D10" s="38"/>
      <c r="E10" s="38"/>
      <c r="F10" s="38"/>
      <c r="G10" s="38"/>
      <c r="H10" s="38"/>
      <c r="I10" s="38"/>
      <c r="J10" s="38"/>
      <c r="K10" s="38"/>
      <c r="L10" s="38"/>
      <c r="M10" s="38"/>
      <c r="N10" s="38"/>
      <c r="O10" s="38"/>
      <c r="P10" s="38"/>
      <c r="Q10" s="38"/>
      <c r="R10" s="38"/>
      <c r="S10" s="38"/>
      <c r="T10" s="38"/>
      <c r="U10" s="38"/>
      <c r="V10" s="38"/>
      <c r="W10" s="58"/>
    </row>
    <row r="11" spans="2:23" ht="60" customHeight="1">
      <c r="B11" s="35" t="s">
        <v>268</v>
      </c>
      <c r="C11" s="38"/>
      <c r="D11" s="38"/>
      <c r="E11" s="38"/>
      <c r="F11" s="38"/>
      <c r="G11" s="66"/>
      <c r="H11" s="38"/>
      <c r="I11" s="38"/>
      <c r="J11" s="38"/>
      <c r="K11" s="38"/>
      <c r="L11" s="38"/>
      <c r="M11" s="38"/>
      <c r="N11" s="38"/>
      <c r="O11" s="38"/>
      <c r="P11" s="38"/>
      <c r="Q11" s="38"/>
      <c r="R11" s="38"/>
      <c r="S11" s="38"/>
      <c r="T11" s="38"/>
      <c r="U11" s="38"/>
      <c r="V11" s="38"/>
      <c r="W11" s="58"/>
    </row>
    <row r="12" spans="2:23" ht="60" customHeight="1">
      <c r="B12" s="76" t="s">
        <v>269</v>
      </c>
      <c r="C12" s="38"/>
      <c r="D12" s="38"/>
      <c r="E12" s="38"/>
      <c r="F12" s="38"/>
      <c r="G12" s="38"/>
      <c r="H12" s="38"/>
      <c r="I12" s="38"/>
      <c r="J12" s="38"/>
      <c r="K12" s="38"/>
      <c r="L12" s="38"/>
      <c r="M12" s="38"/>
      <c r="N12" s="38"/>
      <c r="O12" s="38"/>
      <c r="P12" s="38"/>
      <c r="Q12" s="38"/>
      <c r="R12" s="38"/>
      <c r="S12" s="38"/>
      <c r="T12" s="38"/>
      <c r="U12" s="38"/>
      <c r="V12" s="38"/>
      <c r="W12" s="58"/>
    </row>
    <row r="13" spans="2:23" ht="60" customHeight="1">
      <c r="B13" s="35" t="s">
        <v>270</v>
      </c>
      <c r="C13" s="38"/>
      <c r="D13" s="38"/>
      <c r="E13" s="38"/>
      <c r="F13" s="38"/>
      <c r="G13" s="38"/>
      <c r="H13" s="38"/>
      <c r="I13" s="38"/>
      <c r="J13" s="38"/>
      <c r="K13" s="38"/>
      <c r="L13" s="38"/>
      <c r="M13" s="38"/>
      <c r="N13" s="38"/>
      <c r="O13" s="38"/>
      <c r="P13" s="38"/>
      <c r="Q13" s="38"/>
      <c r="R13" s="38"/>
      <c r="S13" s="38"/>
      <c r="T13" s="38"/>
      <c r="U13" s="38"/>
      <c r="V13" s="38"/>
      <c r="W13" s="58"/>
    </row>
    <row r="14" spans="2:23" ht="60" customHeight="1">
      <c r="B14" s="76" t="s">
        <v>271</v>
      </c>
      <c r="C14" s="38"/>
      <c r="D14" s="38"/>
      <c r="E14" s="38"/>
      <c r="F14" s="38"/>
      <c r="G14" s="38"/>
      <c r="H14" s="38"/>
      <c r="I14" s="38"/>
      <c r="J14" s="38"/>
      <c r="K14" s="38"/>
      <c r="L14" s="38"/>
      <c r="M14" s="38"/>
      <c r="N14" s="38"/>
      <c r="O14" s="38"/>
      <c r="P14" s="38"/>
      <c r="Q14" s="38"/>
      <c r="R14" s="38"/>
      <c r="S14" s="38"/>
      <c r="T14" s="38"/>
      <c r="U14" s="38"/>
      <c r="V14" s="38"/>
      <c r="W14" s="58"/>
    </row>
    <row r="15" spans="2:23" ht="60" customHeight="1">
      <c r="B15" s="76" t="s">
        <v>272</v>
      </c>
      <c r="C15" s="38"/>
      <c r="D15" s="38"/>
      <c r="E15" s="38"/>
      <c r="F15" s="38"/>
      <c r="G15" s="38"/>
      <c r="H15" s="38"/>
      <c r="I15" s="38"/>
      <c r="J15" s="38"/>
      <c r="K15" s="38"/>
      <c r="L15" s="38"/>
      <c r="M15" s="38"/>
      <c r="N15" s="38"/>
      <c r="O15" s="38"/>
      <c r="P15" s="38"/>
      <c r="Q15" s="38"/>
      <c r="R15" s="38"/>
      <c r="S15" s="38"/>
      <c r="T15" s="38"/>
      <c r="U15" s="38"/>
      <c r="V15" s="38"/>
      <c r="W15" s="58"/>
    </row>
    <row r="16" spans="2:23" ht="60" customHeight="1">
      <c r="B16" s="35" t="s">
        <v>273</v>
      </c>
      <c r="C16" s="38"/>
      <c r="D16" s="38"/>
      <c r="E16" s="38"/>
      <c r="F16" s="38"/>
      <c r="G16" s="38"/>
      <c r="H16" s="38"/>
      <c r="I16" s="38"/>
      <c r="J16" s="38"/>
      <c r="K16" s="38"/>
      <c r="L16" s="38"/>
      <c r="M16" s="38"/>
      <c r="N16" s="38"/>
      <c r="O16" s="38"/>
      <c r="P16" s="38"/>
      <c r="Q16" s="38"/>
      <c r="R16" s="38"/>
      <c r="S16" s="38"/>
      <c r="T16" s="38"/>
      <c r="U16" s="38"/>
      <c r="V16" s="38"/>
      <c r="W16" s="58"/>
    </row>
    <row r="17" spans="2:23" ht="60" customHeight="1">
      <c r="B17" s="76" t="s">
        <v>274</v>
      </c>
      <c r="C17" s="38"/>
      <c r="D17" s="38"/>
      <c r="E17" s="38"/>
      <c r="F17" s="38"/>
      <c r="G17" s="38"/>
      <c r="H17" s="38"/>
      <c r="I17" s="38"/>
      <c r="J17" s="38"/>
      <c r="K17" s="38"/>
      <c r="L17" s="38"/>
      <c r="M17" s="38"/>
      <c r="N17" s="38"/>
      <c r="O17" s="38"/>
      <c r="P17" s="38"/>
      <c r="Q17" s="38"/>
      <c r="R17" s="38"/>
      <c r="S17" s="38"/>
      <c r="T17" s="38"/>
      <c r="U17" s="38"/>
      <c r="V17" s="38"/>
      <c r="W17" s="58"/>
    </row>
    <row r="18" spans="2:23" ht="60" customHeight="1">
      <c r="B18" s="76" t="s">
        <v>275</v>
      </c>
      <c r="C18" s="38"/>
      <c r="D18" s="38"/>
      <c r="E18" s="38"/>
      <c r="F18" s="38"/>
      <c r="G18" s="38"/>
      <c r="H18" s="38"/>
      <c r="I18" s="38"/>
      <c r="J18" s="38"/>
      <c r="K18" s="38"/>
      <c r="L18" s="38"/>
      <c r="M18" s="38"/>
      <c r="N18" s="38"/>
      <c r="O18" s="38"/>
      <c r="P18" s="38"/>
      <c r="Q18" s="38"/>
      <c r="R18" s="38"/>
      <c r="S18" s="38"/>
      <c r="T18" s="38"/>
      <c r="U18" s="38"/>
      <c r="V18" s="38"/>
      <c r="W18" s="58"/>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phoneticPr fontId="30" type="noConversion"/>
  <conditionalFormatting sqref="C8:W18 M4:W7">
    <cfRule type="notContainsBlanks" dxfId="55" priority="5" stopIfTrue="1">
      <formula>LEN(TRIM(C4))&gt;0</formula>
    </cfRule>
  </conditionalFormatting>
  <conditionalFormatting sqref="C4:L7">
    <cfRule type="notContainsBlanks" dxfId="54" priority="1" stopIfTrue="1">
      <formula>LEN(TRIM(C4))&gt;0</formula>
    </cfRule>
  </conditionalFormatting>
  <dataValidations count="3">
    <dataValidation type="list" allowBlank="1" showInputMessage="1" showErrorMessage="1" sqref="C4:V4 C6:V6" xr:uid="{00000000-0002-0000-0900-000000000000}">
      <formula1>"Yes,No"</formula1>
    </dataValidation>
    <dataValidation type="whole" operator="greaterThan" allowBlank="1" showInputMessage="1" showErrorMessage="1" sqref="C8:V8" xr:uid="{00000000-0002-0000-0900-000001000000}">
      <formula1>0</formula1>
    </dataValidation>
    <dataValidation type="list" allowBlank="1" showInputMessage="1" showErrorMessage="1" sqref="C5:V5" xr:uid="{00000000-0002-0000-0900-000002000000}">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F81BD"/>
  </sheetPr>
  <dimension ref="B3:K24"/>
  <sheetViews>
    <sheetView showGridLines="0" workbookViewId="0">
      <selection activeCell="B8" sqref="B8"/>
    </sheetView>
  </sheetViews>
  <sheetFormatPr defaultColWidth="10.88671875" defaultRowHeight="17.45"/>
  <cols>
    <col min="1" max="1" width="5.44140625" customWidth="1"/>
  </cols>
  <sheetData>
    <row r="3" spans="2:11" ht="33.950000000000003" customHeight="1">
      <c r="B3" s="87" t="s">
        <v>276</v>
      </c>
      <c r="C3" s="87"/>
      <c r="D3" s="87"/>
      <c r="E3" s="87"/>
      <c r="F3" s="87"/>
      <c r="G3" s="87"/>
      <c r="H3" s="87"/>
      <c r="I3" s="87"/>
      <c r="J3" s="87"/>
      <c r="K3" s="87"/>
    </row>
    <row r="4" spans="2:11" ht="33.950000000000003" customHeight="1">
      <c r="B4" s="87"/>
      <c r="C4" s="87"/>
      <c r="D4" s="87"/>
      <c r="E4" s="87"/>
      <c r="F4" s="87"/>
      <c r="G4" s="87"/>
      <c r="H4" s="87"/>
      <c r="I4" s="87"/>
      <c r="J4" s="87"/>
      <c r="K4" s="87"/>
    </row>
    <row r="5" spans="2:11" ht="33.950000000000003" customHeight="1">
      <c r="B5" s="87"/>
      <c r="C5" s="87"/>
      <c r="D5" s="87"/>
      <c r="E5" s="87"/>
      <c r="F5" s="87"/>
      <c r="G5" s="87"/>
      <c r="H5" s="87"/>
      <c r="I5" s="87"/>
      <c r="J5" s="87"/>
      <c r="K5" s="87"/>
    </row>
    <row r="6" spans="2:11" ht="33.950000000000003" customHeight="1">
      <c r="B6" s="87"/>
      <c r="C6" s="87"/>
      <c r="D6" s="87"/>
      <c r="E6" s="87"/>
      <c r="F6" s="87"/>
      <c r="G6" s="87"/>
      <c r="H6" s="87"/>
      <c r="I6" s="87"/>
      <c r="J6" s="87"/>
      <c r="K6" s="87"/>
    </row>
    <row r="8" spans="2:11">
      <c r="B8" t="s">
        <v>229</v>
      </c>
    </row>
    <row r="12" spans="2:11">
      <c r="B12" s="55"/>
    </row>
    <row r="15" spans="2:11">
      <c r="B15" s="55"/>
    </row>
    <row r="18" spans="2:2">
      <c r="B18" s="55"/>
    </row>
    <row r="21" spans="2:2">
      <c r="B21" s="55"/>
    </row>
    <row r="24" spans="2:2">
      <c r="B24" s="55"/>
    </row>
  </sheetData>
  <mergeCells count="1">
    <mergeCell ref="B3:K6"/>
  </mergeCells>
  <phoneticPr fontId="3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2:D28"/>
  <sheetViews>
    <sheetView zoomScale="40" zoomScaleNormal="40" workbookViewId="0">
      <selection activeCell="H30" sqref="H30"/>
    </sheetView>
  </sheetViews>
  <sheetFormatPr defaultColWidth="10.88671875" defaultRowHeight="20.100000000000001"/>
  <cols>
    <col min="1" max="1" width="4.109375" style="52" customWidth="1"/>
    <col min="2" max="2" width="200.88671875" style="10" customWidth="1"/>
    <col min="3" max="3" width="67.44140625" style="13" customWidth="1"/>
    <col min="4" max="16384" width="10.88671875" style="46"/>
  </cols>
  <sheetData>
    <row r="2" spans="2:4">
      <c r="B2" s="8" t="s">
        <v>277</v>
      </c>
      <c r="C2" s="11"/>
    </row>
    <row r="3" spans="2:4">
      <c r="B3" s="40" t="s">
        <v>278</v>
      </c>
      <c r="C3" s="54"/>
    </row>
    <row r="4" spans="2:4">
      <c r="B4" s="53" t="s">
        <v>279</v>
      </c>
      <c r="C4" s="54"/>
    </row>
    <row r="5" spans="2:4" ht="60">
      <c r="B5" s="51" t="s">
        <v>280</v>
      </c>
      <c r="C5" s="45" t="s">
        <v>148</v>
      </c>
      <c r="D5" s="47" t="s">
        <v>281</v>
      </c>
    </row>
    <row r="6" spans="2:4">
      <c r="B6" s="53" t="s">
        <v>282</v>
      </c>
      <c r="C6" s="54"/>
      <c r="D6" s="47"/>
    </row>
    <row r="7" spans="2:4" ht="60">
      <c r="B7" s="51" t="s">
        <v>283</v>
      </c>
      <c r="C7" s="45" t="s">
        <v>148</v>
      </c>
      <c r="D7" s="47" t="s">
        <v>284</v>
      </c>
    </row>
    <row r="8" spans="2:4">
      <c r="B8" s="53" t="s">
        <v>285</v>
      </c>
      <c r="C8" s="54"/>
    </row>
    <row r="9" spans="2:4" ht="60">
      <c r="B9" s="51" t="s">
        <v>286</v>
      </c>
      <c r="C9" s="45" t="s">
        <v>148</v>
      </c>
    </row>
    <row r="10" spans="2:4">
      <c r="B10" s="53" t="s">
        <v>287</v>
      </c>
      <c r="C10" s="54"/>
    </row>
    <row r="11" spans="2:4" ht="60">
      <c r="B11" s="51" t="s">
        <v>288</v>
      </c>
      <c r="C11" s="45" t="s">
        <v>148</v>
      </c>
    </row>
    <row r="12" spans="2:4">
      <c r="B12" s="40" t="s">
        <v>289</v>
      </c>
      <c r="C12" s="54"/>
    </row>
    <row r="13" spans="2:4">
      <c r="B13" s="53" t="s">
        <v>290</v>
      </c>
      <c r="C13" s="54"/>
    </row>
    <row r="14" spans="2:4" ht="39.950000000000003">
      <c r="B14" s="51" t="s">
        <v>291</v>
      </c>
      <c r="C14" s="45" t="s">
        <v>148</v>
      </c>
    </row>
    <row r="15" spans="2:4">
      <c r="B15" s="53" t="s">
        <v>292</v>
      </c>
      <c r="C15" s="54"/>
    </row>
    <row r="16" spans="2:4" ht="39.950000000000003">
      <c r="B16" s="51" t="s">
        <v>293</v>
      </c>
      <c r="C16" s="45" t="s">
        <v>148</v>
      </c>
    </row>
    <row r="17" spans="2:3">
      <c r="B17" s="53" t="s">
        <v>294</v>
      </c>
      <c r="C17" s="54"/>
    </row>
    <row r="18" spans="2:3" ht="39.950000000000003">
      <c r="B18" s="51" t="s">
        <v>295</v>
      </c>
      <c r="C18" s="45" t="s">
        <v>148</v>
      </c>
    </row>
    <row r="19" spans="2:3">
      <c r="B19" s="53" t="s">
        <v>296</v>
      </c>
      <c r="C19" s="54"/>
    </row>
    <row r="20" spans="2:3" ht="60">
      <c r="B20" s="51" t="s">
        <v>297</v>
      </c>
      <c r="C20" s="45" t="s">
        <v>148</v>
      </c>
    </row>
    <row r="21" spans="2:3">
      <c r="B21" s="53" t="s">
        <v>298</v>
      </c>
      <c r="C21" s="54"/>
    </row>
    <row r="22" spans="2:3" ht="60">
      <c r="B22" s="51" t="s">
        <v>299</v>
      </c>
      <c r="C22" s="45" t="s">
        <v>148</v>
      </c>
    </row>
    <row r="23" spans="2:3">
      <c r="B23" s="53" t="s">
        <v>300</v>
      </c>
      <c r="C23" s="54"/>
    </row>
    <row r="24" spans="2:3" ht="80.099999999999994">
      <c r="B24" s="51" t="s">
        <v>301</v>
      </c>
      <c r="C24" s="45" t="s">
        <v>148</v>
      </c>
    </row>
    <row r="25" spans="2:3">
      <c r="B25" s="53" t="s">
        <v>302</v>
      </c>
      <c r="C25" s="54"/>
    </row>
    <row r="26" spans="2:3" ht="80.099999999999994">
      <c r="B26" s="51" t="s">
        <v>303</v>
      </c>
      <c r="C26" s="45" t="s">
        <v>148</v>
      </c>
    </row>
    <row r="27" spans="2:3">
      <c r="B27" s="53" t="s">
        <v>304</v>
      </c>
      <c r="C27" s="54"/>
    </row>
    <row r="28" spans="2:3" ht="80.099999999999994">
      <c r="B28" s="51" t="s">
        <v>305</v>
      </c>
      <c r="C28" s="45" t="s">
        <v>148</v>
      </c>
    </row>
  </sheetData>
  <sheetProtection algorithmName="SHA-512" hashValue="Q1tIzZW4q1svot2fTtUaZdE5Z769zrGxjL5mh+I++440Oe5SSDlQ+Yw1B8wb5grTlGVqFQYapO2TrAXiTNZB8Q==" saltValue="1MRRozV0QtnVfVJaMmG8Jg==" spinCount="100000" sheet="1" objects="1" scenarios="1"/>
  <phoneticPr fontId="30" type="noConversion"/>
  <conditionalFormatting sqref="C5">
    <cfRule type="containsText" dxfId="53" priority="70" operator="containsText" text="Yes">
      <formula>NOT(ISERROR(SEARCH("Yes",C5)))</formula>
    </cfRule>
    <cfRule type="containsText" dxfId="52" priority="71" operator="containsText" text="No">
      <formula>NOT(ISERROR(SEARCH("No",C5)))</formula>
    </cfRule>
    <cfRule type="notContainsBlanks" dxfId="51" priority="72" stopIfTrue="1">
      <formula>LEN(TRIM(C5))&gt;0</formula>
    </cfRule>
  </conditionalFormatting>
  <conditionalFormatting sqref="C7">
    <cfRule type="containsText" dxfId="50" priority="58" operator="containsText" text="Yes">
      <formula>NOT(ISERROR(SEARCH("Yes",C7)))</formula>
    </cfRule>
    <cfRule type="containsText" dxfId="49" priority="59" operator="containsText" text="No">
      <formula>NOT(ISERROR(SEARCH("No",C7)))</formula>
    </cfRule>
    <cfRule type="notContainsBlanks" dxfId="48" priority="60" stopIfTrue="1">
      <formula>LEN(TRIM(C7))&gt;0</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43" operator="containsText" text="Yes">
      <formula>NOT(ISERROR(SEARCH("Yes",C12)))</formula>
    </cfRule>
    <cfRule type="containsText" dxfId="43" priority="44" operator="containsText" text="No">
      <formula>NOT(ISERROR(SEARCH("No",C12)))</formula>
    </cfRule>
    <cfRule type="notContainsBlanks" dxfId="42" priority="45" stopIfTrue="1">
      <formula>LEN(TRIM(C12))&gt;0</formula>
    </cfRule>
    <cfRule type="containsText" dxfId="41" priority="52" operator="containsText" text="Yes">
      <formula>NOT(ISERROR(SEARCH("Yes",C12)))</formula>
    </cfRule>
    <cfRule type="containsText" dxfId="40" priority="53" operator="containsText" text="No">
      <formula>NOT(ISERROR(SEARCH("No",C12)))</formula>
    </cfRule>
    <cfRule type="notContainsBlanks" dxfId="39" priority="54" stopIfTrue="1">
      <formula>LEN(TRIM(C12))&gt;0</formula>
    </cfRule>
  </conditionalFormatting>
  <conditionalFormatting sqref="C14">
    <cfRule type="containsText" dxfId="38" priority="22" operator="containsText" text="Yes">
      <formula>NOT(ISERROR(SEARCH("Yes",C14)))</formula>
    </cfRule>
    <cfRule type="containsText" dxfId="37" priority="23" operator="containsText" text="No">
      <formula>NOT(ISERROR(SEARCH("No",C14)))</formula>
    </cfRule>
    <cfRule type="notContainsBlanks" dxfId="36" priority="24" stopIfTrue="1">
      <formula>LEN(TRIM(C14))&gt;0</formula>
    </cfRule>
    <cfRule type="containsText" dxfId="35" priority="31" operator="containsText" text="Yes">
      <formula>NOT(ISERROR(SEARCH("Yes",C14)))</formula>
    </cfRule>
    <cfRule type="containsText" dxfId="34" priority="32" operator="containsText" text="No">
      <formula>NOT(ISERROR(SEARCH("No",C14)))</formula>
    </cfRule>
    <cfRule type="notContainsBlanks" dxfId="33" priority="33" stopIfTrue="1">
      <formula>LEN(TRIM(C14))&gt;0</formula>
    </cfRule>
    <cfRule type="containsText" dxfId="32" priority="40" operator="containsText" text="Yes">
      <formula>NOT(ISERROR(SEARCH("Yes",C14)))</formula>
    </cfRule>
    <cfRule type="containsText" dxfId="31" priority="41" operator="containsText" text="No">
      <formula>NOT(ISERROR(SEARCH("No",C14)))</formula>
    </cfRule>
    <cfRule type="notContainsBlanks" dxfId="30" priority="42" stopIfTrue="1">
      <formula>LEN(TRIM(C14))&gt;0</formula>
    </cfRule>
    <cfRule type="containsText" dxfId="29" priority="49" operator="containsText" text="Yes">
      <formula>NOT(ISERROR(SEARCH("Yes",C14)))</formula>
    </cfRule>
    <cfRule type="containsText" dxfId="28" priority="50" operator="containsText" text="No">
      <formula>NOT(ISERROR(SEARCH("No",C14)))</formula>
    </cfRule>
    <cfRule type="notContainsBlanks" dxfId="27" priority="51" stopIfTrue="1">
      <formula>LEN(TRIM(C14))&gt;0</formula>
    </cfRule>
  </conditionalFormatting>
  <conditionalFormatting sqref="C16">
    <cfRule type="containsText" dxfId="26" priority="19" operator="containsText" text="Yes">
      <formula>NOT(ISERROR(SEARCH("Yes",C16)))</formula>
    </cfRule>
    <cfRule type="containsText" dxfId="25" priority="20" operator="containsText" text="No">
      <formula>NOT(ISERROR(SEARCH("No",C16)))</formula>
    </cfRule>
    <cfRule type="notContainsBlanks" dxfId="24" priority="21" stopIfTrue="1">
      <formula>LEN(TRIM(C16))&gt;0</formula>
    </cfRule>
    <cfRule type="containsText" dxfId="23" priority="28" operator="containsText" text="Yes">
      <formula>NOT(ISERROR(SEARCH("Yes",C16)))</formula>
    </cfRule>
    <cfRule type="containsText" dxfId="22" priority="29" operator="containsText" text="No">
      <formula>NOT(ISERROR(SEARCH("No",C16)))</formula>
    </cfRule>
    <cfRule type="notContainsBlanks" dxfId="21" priority="30" stopIfTrue="1">
      <formula>LEN(TRIM(C16))&gt;0</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containsText" dxfId="17" priority="16" operator="containsText" text="Yes">
      <formula>NOT(ISERROR(SEARCH("Yes",C18)))</formula>
    </cfRule>
    <cfRule type="containsText" dxfId="16" priority="17" operator="containsText" text="No">
      <formula>NOT(ISERROR(SEARCH("No",C18)))</formula>
    </cfRule>
    <cfRule type="notContainsBlanks" dxfId="15" priority="18" stopIfTrue="1">
      <formula>LEN(TRIM(C18))&gt;0</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containsText" dxfId="11" priority="10" operator="containsText" text="Yes">
      <formula>NOT(ISERROR(SEARCH("Yes",C22)))</formula>
    </cfRule>
    <cfRule type="containsText" dxfId="10" priority="11" operator="containsText" text="No">
      <formula>NOT(ISERROR(SEARCH("No",C22)))</formula>
    </cfRule>
    <cfRule type="notContainsBlanks" dxfId="9" priority="12" stopIfTrue="1">
      <formula>LEN(TRIM(C22))&gt;0</formula>
    </cfRule>
  </conditionalFormatting>
  <conditionalFormatting sqref="C24">
    <cfRule type="containsText" dxfId="8" priority="7" operator="containsText" text="Yes">
      <formula>NOT(ISERROR(SEARCH("Yes",C24)))</formula>
    </cfRule>
    <cfRule type="containsText" dxfId="7" priority="8" operator="containsText" text="No">
      <formula>NOT(ISERROR(SEARCH("No",C24)))</formula>
    </cfRule>
    <cfRule type="notContainsBlanks" dxfId="6" priority="9" stopIfTrue="1">
      <formula>LEN(TRIM(C24))&gt;0</formula>
    </cfRule>
  </conditionalFormatting>
  <conditionalFormatting sqref="C26">
    <cfRule type="containsText" dxfId="5" priority="4" operator="containsText" text="Yes">
      <formula>NOT(ISERROR(SEARCH("Yes",C26)))</formula>
    </cfRule>
    <cfRule type="containsText" dxfId="4" priority="5" operator="containsText" text="No">
      <formula>NOT(ISERROR(SEARCH("No",C26)))</formula>
    </cfRule>
    <cfRule type="notContainsBlanks" dxfId="3" priority="6" stopIfTrue="1">
      <formula>LEN(TRIM(C26))&gt;0</formula>
    </cfRule>
  </conditionalFormatting>
  <conditionalFormatting sqref="C28">
    <cfRule type="containsText" dxfId="2" priority="1" operator="containsText" text="Yes">
      <formula>NOT(ISERROR(SEARCH("Yes",C28)))</formula>
    </cfRule>
    <cfRule type="containsText" dxfId="1" priority="2" operator="containsText" text="No">
      <formula>NOT(ISERROR(SEARCH("No",C28)))</formula>
    </cfRule>
    <cfRule type="notContainsBlanks" dxfId="0" priority="3" stopIfTrue="1">
      <formula>LEN(TRIM(C28))&gt;0</formula>
    </cfRule>
  </conditionalFormatting>
  <dataValidations count="1">
    <dataValidation type="list" allowBlank="1" showInputMessage="1" showErrorMessage="1" sqref="C5 C7 C9 C11 C14 C16 C18 C20 C22 C24 C26 C28" xr:uid="{00000000-0002-0000-0B00-000000000000}">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7"/>
  <sheetViews>
    <sheetView workbookViewId="0"/>
  </sheetViews>
  <sheetFormatPr defaultColWidth="10.88671875" defaultRowHeight="15.6"/>
  <cols>
    <col min="1" max="1" width="14.6640625" style="1" bestFit="1" customWidth="1"/>
    <col min="2" max="2" width="10.88671875" style="1"/>
    <col min="3" max="3" width="60" style="1" bestFit="1" customWidth="1"/>
    <col min="4" max="4" width="10.88671875" style="1"/>
    <col min="5" max="5" width="7.109375" style="1" bestFit="1" customWidth="1"/>
    <col min="6" max="6" width="10.88671875" style="1"/>
    <col min="7" max="7" width="17" style="1" bestFit="1" customWidth="1"/>
    <col min="8" max="8" width="21" style="1" customWidth="1"/>
    <col min="9" max="10" width="10.88671875" style="1"/>
    <col min="11" max="11" width="12" style="1" customWidth="1"/>
    <col min="12" max="16384" width="10.88671875" style="1"/>
  </cols>
  <sheetData>
    <row r="1" spans="1:7">
      <c r="A1" s="1" t="s">
        <v>306</v>
      </c>
      <c r="C1" s="7" t="s">
        <v>307</v>
      </c>
      <c r="E1" s="5" t="s">
        <v>308</v>
      </c>
      <c r="G1" s="5" t="s">
        <v>309</v>
      </c>
    </row>
    <row r="2" spans="1:7">
      <c r="A2" s="1" t="s">
        <v>310</v>
      </c>
      <c r="C2" s="1" t="s">
        <v>311</v>
      </c>
      <c r="E2" s="1" t="s">
        <v>148</v>
      </c>
      <c r="G2" s="1" t="s">
        <v>312</v>
      </c>
    </row>
    <row r="3" spans="1:7">
      <c r="A3" s="1" t="s">
        <v>313</v>
      </c>
      <c r="C3" s="1" t="s">
        <v>253</v>
      </c>
      <c r="E3" s="1" t="s">
        <v>146</v>
      </c>
      <c r="G3" s="1" t="s">
        <v>314</v>
      </c>
    </row>
    <row r="4" spans="1:7">
      <c r="C4" s="1" t="s">
        <v>315</v>
      </c>
      <c r="G4" s="1" t="s">
        <v>316</v>
      </c>
    </row>
    <row r="5" spans="1:7">
      <c r="C5" s="1" t="s">
        <v>317</v>
      </c>
      <c r="G5" s="1" t="s">
        <v>318</v>
      </c>
    </row>
    <row r="6" spans="1:7">
      <c r="C6" s="1" t="s">
        <v>319</v>
      </c>
      <c r="G6" s="1" t="s">
        <v>320</v>
      </c>
    </row>
    <row r="7" spans="1:7">
      <c r="C7" s="1" t="s">
        <v>321</v>
      </c>
      <c r="G7" s="1" t="s">
        <v>322</v>
      </c>
    </row>
    <row r="8" spans="1:7">
      <c r="C8" s="1" t="s">
        <v>323</v>
      </c>
      <c r="G8" s="1" t="s">
        <v>324</v>
      </c>
    </row>
    <row r="9" spans="1:7">
      <c r="C9" s="1" t="s">
        <v>325</v>
      </c>
      <c r="G9" s="1" t="s">
        <v>326</v>
      </c>
    </row>
    <row r="10" spans="1:7">
      <c r="C10" s="1" t="s">
        <v>327</v>
      </c>
      <c r="G10" s="1" t="s">
        <v>328</v>
      </c>
    </row>
    <row r="11" spans="1:7">
      <c r="C11" s="1" t="s">
        <v>329</v>
      </c>
      <c r="G11" s="1" t="s">
        <v>330</v>
      </c>
    </row>
    <row r="12" spans="1:7">
      <c r="C12" s="1" t="s">
        <v>331</v>
      </c>
      <c r="G12" s="1" t="s">
        <v>332</v>
      </c>
    </row>
    <row r="13" spans="1:7">
      <c r="C13" s="1" t="s">
        <v>241</v>
      </c>
      <c r="G13" s="1" t="s">
        <v>333</v>
      </c>
    </row>
    <row r="14" spans="1:7">
      <c r="C14" s="1" t="s">
        <v>334</v>
      </c>
      <c r="G14" s="1" t="s">
        <v>335</v>
      </c>
    </row>
    <row r="15" spans="1:7">
      <c r="C15" s="1" t="s">
        <v>336</v>
      </c>
      <c r="G15" s="1" t="s">
        <v>337</v>
      </c>
    </row>
    <row r="16" spans="1:7">
      <c r="C16" s="1" t="s">
        <v>338</v>
      </c>
      <c r="G16" s="1" t="s">
        <v>339</v>
      </c>
    </row>
    <row r="17" spans="3:7">
      <c r="C17" s="1" t="s">
        <v>340</v>
      </c>
      <c r="G17" s="1" t="s">
        <v>341</v>
      </c>
    </row>
    <row r="18" spans="3:7">
      <c r="C18" s="1" t="s">
        <v>342</v>
      </c>
      <c r="G18" s="1" t="s">
        <v>343</v>
      </c>
    </row>
    <row r="19" spans="3:7">
      <c r="C19" s="1" t="s">
        <v>344</v>
      </c>
      <c r="G19" s="1" t="s">
        <v>345</v>
      </c>
    </row>
    <row r="20" spans="3:7">
      <c r="C20" s="1" t="s">
        <v>346</v>
      </c>
      <c r="G20" s="1" t="s">
        <v>347</v>
      </c>
    </row>
    <row r="21" spans="3:7">
      <c r="C21" s="1" t="s">
        <v>348</v>
      </c>
      <c r="G21" s="1" t="s">
        <v>349</v>
      </c>
    </row>
    <row r="22" spans="3:7">
      <c r="G22" s="1" t="s">
        <v>350</v>
      </c>
    </row>
    <row r="23" spans="3:7">
      <c r="G23" s="1" t="s">
        <v>351</v>
      </c>
    </row>
    <row r="24" spans="3:7">
      <c r="G24" s="1" t="s">
        <v>352</v>
      </c>
    </row>
    <row r="25" spans="3:7">
      <c r="G25" s="1" t="s">
        <v>353</v>
      </c>
    </row>
    <row r="26" spans="3:7">
      <c r="G26" s="1" t="s">
        <v>354</v>
      </c>
    </row>
    <row r="27" spans="3:7">
      <c r="G27" s="1" t="s">
        <v>355</v>
      </c>
    </row>
    <row r="28" spans="3:7">
      <c r="G28" s="1" t="s">
        <v>356</v>
      </c>
    </row>
    <row r="29" spans="3:7">
      <c r="G29" s="1" t="s">
        <v>357</v>
      </c>
    </row>
    <row r="30" spans="3:7">
      <c r="G30" s="1" t="s">
        <v>358</v>
      </c>
    </row>
    <row r="31" spans="3:7">
      <c r="G31" s="1" t="s">
        <v>359</v>
      </c>
    </row>
    <row r="32" spans="3:7">
      <c r="G32" s="1" t="s">
        <v>360</v>
      </c>
    </row>
    <row r="33" spans="7:7">
      <c r="G33" s="1" t="s">
        <v>361</v>
      </c>
    </row>
    <row r="34" spans="7:7">
      <c r="G34" s="1" t="s">
        <v>362</v>
      </c>
    </row>
    <row r="35" spans="7:7">
      <c r="G35" s="1" t="s">
        <v>363</v>
      </c>
    </row>
    <row r="36" spans="7:7">
      <c r="G36" s="1" t="s">
        <v>364</v>
      </c>
    </row>
    <row r="37" spans="7:7">
      <c r="G37" s="1" t="s">
        <v>365</v>
      </c>
    </row>
    <row r="38" spans="7:7">
      <c r="G38" s="1" t="s">
        <v>366</v>
      </c>
    </row>
    <row r="39" spans="7:7">
      <c r="G39" s="1" t="s">
        <v>367</v>
      </c>
    </row>
    <row r="40" spans="7:7">
      <c r="G40" s="1" t="s">
        <v>368</v>
      </c>
    </row>
    <row r="41" spans="7:7">
      <c r="G41" s="1" t="s">
        <v>369</v>
      </c>
    </row>
    <row r="42" spans="7:7">
      <c r="G42" s="1" t="s">
        <v>370</v>
      </c>
    </row>
    <row r="43" spans="7:7">
      <c r="G43" s="1" t="s">
        <v>371</v>
      </c>
    </row>
    <row r="44" spans="7:7">
      <c r="G44" s="1" t="s">
        <v>372</v>
      </c>
    </row>
    <row r="45" spans="7:7">
      <c r="G45" s="1" t="s">
        <v>373</v>
      </c>
    </row>
    <row r="46" spans="7:7">
      <c r="G46" s="1" t="s">
        <v>374</v>
      </c>
    </row>
    <row r="47" spans="7:7">
      <c r="G47" s="1" t="s">
        <v>375</v>
      </c>
    </row>
    <row r="48" spans="7:7">
      <c r="G48" s="1" t="s">
        <v>376</v>
      </c>
    </row>
    <row r="49" spans="7:7">
      <c r="G49" s="1" t="s">
        <v>377</v>
      </c>
    </row>
    <row r="50" spans="7:7">
      <c r="G50" s="1" t="s">
        <v>378</v>
      </c>
    </row>
    <row r="51" spans="7:7">
      <c r="G51" s="1" t="s">
        <v>379</v>
      </c>
    </row>
    <row r="52" spans="7:7">
      <c r="G52" s="1" t="s">
        <v>380</v>
      </c>
    </row>
    <row r="53" spans="7:7">
      <c r="G53" s="1" t="s">
        <v>381</v>
      </c>
    </row>
    <row r="54" spans="7:7">
      <c r="G54" s="1" t="s">
        <v>382</v>
      </c>
    </row>
    <row r="55" spans="7:7">
      <c r="G55" s="1" t="s">
        <v>383</v>
      </c>
    </row>
    <row r="56" spans="7:7">
      <c r="G56" s="1" t="s">
        <v>384</v>
      </c>
    </row>
    <row r="57" spans="7:7">
      <c r="G57" s="1" t="s">
        <v>385</v>
      </c>
    </row>
  </sheetData>
  <phoneticPr fontId="3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Kevin Li</cp:lastModifiedBy>
  <cp:revision/>
  <dcterms:created xsi:type="dcterms:W3CDTF">2018-09-10T17:18:27Z</dcterms:created>
  <dcterms:modified xsi:type="dcterms:W3CDTF">2025-09-04T03:28:26Z</dcterms:modified>
  <cp:category/>
  <cp:contentStatus/>
</cp:coreProperties>
</file>