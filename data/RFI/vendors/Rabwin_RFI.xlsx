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rabwinintelligent-my.sharepoint.com/personal/manokar_s_rabwin_com/Documents/Desktop/"/>
    </mc:Choice>
  </mc:AlternateContent>
  <xr:revisionPtr revIDLastSave="98" documentId="8_{27CC8AE5-2B0A-4170-96C4-7F31A4E72358}" xr6:coauthVersionLast="47" xr6:coauthVersionMax="47" xr10:uidLastSave="{00E9A26F-6EEF-41D0-B6AF-6A81D7ADBE86}"/>
  <bookViews>
    <workbookView xWindow="-108" yWindow="-108" windowWidth="23256" windowHeight="12456" tabRatio="644"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<sst xmlns="http://schemas.openxmlformats.org/spreadsheetml/2006/main" count="662" uniqueCount="423">
  <si>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</si>
  <si>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</si>
  <si>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</si>
  <si>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</si>
  <si>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</si>
  <si>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</si>
  <si>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</si>
  <si>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</si>
  <si>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December 12, 2025</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</si>
  <si>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</si>
  <si>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</si>
  <si>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</si>
  <si>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Amer Mokaddem
Global Sourcing &amp; Supply Management
+1 408-464-1693 amokaddem@apple.com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</si>
  <si>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</si>
  <si>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</si>
  <si>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</si>
  <si>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</si>
  <si>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</si>
  <si>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</si>
  <si>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All Proposals shall be submitted via email to Procurement Contact no later than time indicated in Section 1.</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</si>
  <si>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</si>
  <si>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</si>
  <si>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</si>
  <si>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</si>
  <si>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</si>
  <si>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</si>
  <si>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</si>
  <si>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</si>
  <si>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</si>
  <si>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</si>
  <si>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</si>
  <si>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</si>
  <si>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</si>
  <si>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</si>
  <si>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</si>
  <si>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</si>
  <si>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</si>
  <si>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</si>
  <si>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</si>
  <si>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</si>
  <si>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</si>
  <si>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</si>
  <si>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</si>
  <si>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</si>
  <si>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</si>
  <si>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</si>
  <si>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</si>
  <si>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</si>
  <si>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Official Legal Name</t>
  </si>
  <si>
    <t>RABWIN Intelligent Private Limited</t>
  </si>
  <si>
    <t>Parent Company Official Name</t>
  </si>
  <si>
    <t>RABWIN Industries</t>
  </si>
  <si>
    <t>HQ Location</t>
  </si>
  <si>
    <t>Coimbatore</t>
  </si>
  <si>
    <t>Website</t>
  </si>
  <si>
    <t>https://rabwin.com</t>
  </si>
  <si>
    <t>Public/Private</t>
  </si>
  <si>
    <t>Private</t>
  </si>
  <si>
    <t>Ticker Symbol (if Public)</t>
  </si>
  <si>
    <t>Type</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</si>
  <si>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</si>
  <si>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</si>
  <si>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</si>
  <si>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</si>
  <si>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</si>
  <si>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</si>
  <si>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</si>
  <si>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</si>
  <si>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</si>
  <si>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</si>
  <si>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Aruchamy PR</t>
  </si>
  <si>
    <t>Managing Director</t>
  </si>
  <si>
    <t>INDIA</t>
  </si>
  <si>
    <t>pr.aruchamy@rabwin.in</t>
  </si>
  <si>
    <t>+91-9363108780</t>
  </si>
  <si>
    <t>Commercial DRI / Apple Executive Contact</t>
  </si>
  <si>
    <t>Ramakrishnan P</t>
  </si>
  <si>
    <t>Director</t>
  </si>
  <si>
    <t>p.ramakrishnan@rabwin.in</t>
  </si>
  <si>
    <t>+91-9363108781</t>
  </si>
  <si>
    <t>Operations Leader</t>
  </si>
  <si>
    <t>Manokar S</t>
  </si>
  <si>
    <t>Key account manager</t>
  </si>
  <si>
    <t>manokar.s@rabwin.com</t>
  </si>
  <si>
    <t>+91-8925887258</t>
  </si>
  <si>
    <t xml:space="preserve">Finance </t>
  </si>
  <si>
    <t>Senthilkumar K</t>
  </si>
  <si>
    <t>senthilkumar.k@rabwin.in</t>
  </si>
  <si>
    <t>+91-9360922552</t>
  </si>
  <si>
    <t>Engineering</t>
  </si>
  <si>
    <t>Prem Kumar R</t>
  </si>
  <si>
    <t>Manager</t>
  </si>
  <si>
    <t>premkumar.r@rabwin.com</t>
  </si>
  <si>
    <t>+91-8925887252</t>
  </si>
  <si>
    <t>Supply chain</t>
  </si>
  <si>
    <t>Arunkumar V</t>
  </si>
  <si>
    <t>General Manager</t>
  </si>
  <si>
    <t>arunkumar.v@rabwin.in</t>
  </si>
  <si>
    <t>+91-9994650945</t>
  </si>
  <si>
    <t>Project Management</t>
  </si>
  <si>
    <t>Kalaivanan M</t>
  </si>
  <si>
    <t>Project Manager</t>
  </si>
  <si>
    <t>kalai.m@rabwin.com</t>
  </si>
  <si>
    <t>+91-8925887243</t>
  </si>
  <si>
    <t>Production</t>
  </si>
  <si>
    <t>Muthukumar A</t>
  </si>
  <si>
    <t>muthukumar.a@rabwin.com</t>
  </si>
  <si>
    <t>+91-9791938380</t>
  </si>
  <si>
    <t>If any other, please add …</t>
  </si>
  <si>
    <t>Ranjith KB</t>
  </si>
  <si>
    <t>ranjith.kb@rabwin.com</t>
  </si>
  <si>
    <t>+91-8925887244</t>
  </si>
  <si>
    <t>Hari Vignesh</t>
  </si>
  <si>
    <t>hari.d@rabwin.com</t>
  </si>
  <si>
    <t>+91-6379636486</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</si>
  <si>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</si>
  <si>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</si>
  <si>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</si>
  <si>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</si>
  <si>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</si>
  <si>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</si>
  <si>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</si>
  <si>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</si>
  <si>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</si>
  <si>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</si>
  <si>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</si>
  <si>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</si>
  <si>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</si>
  <si>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</si>
  <si>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</si>
  <si>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</si>
  <si>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</si>
  <si>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</si>
  <si>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</si>
  <si>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</si>
  <si>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</si>
  <si>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 xml:space="preserve">City and Country </t>
  </si>
  <si>
    <t>Coimbatore &amp; INDIA</t>
  </si>
  <si>
    <t>Full Address</t>
  </si>
  <si>
    <t>S.F.NO. 154 /1A1, SNMV College Road, Malumichampatti, Coimbatore - 641050, INDIA</t>
  </si>
  <si>
    <t>Current Apple Programs Supported
 (List Program Name or N/A)</t>
  </si>
  <si>
    <t>ME, SAE, MLB &amp; CCB machine and parts</t>
  </si>
  <si>
    <t>EQ Type manufactured in above location for Apple
(Dispense, Pick and place, Assembly, Die Attach, Wire Bond, Test, etc)</t>
  </si>
  <si>
    <t>Assembly</t>
  </si>
  <si>
    <t>EQ Type manufactured in above location for other customers
(Dispense, Pick and place, Assembly, Die Attach, Wire Bond, Test, etc)</t>
  </si>
  <si>
    <t>Nil</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</si>
  <si>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</si>
  <si>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</si>
  <si>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</si>
  <si>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</si>
  <si>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</si>
  <si>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</si>
  <si>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</si>
  <si>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</si>
  <si>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</si>
  <si>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Chennai - INDIA, Bangaluru - INDIA, Hosur - INDIA</t>
  </si>
  <si>
    <t>Are there any Global expansion plans in the future for Manufacturing? Please desrcibe in detail.</t>
  </si>
  <si>
    <t>What are all the key subcomponent vendors used and where are they located (city, country)? Please provide rough volume &amp; spend with key subcomponent vendors as well.</t>
  </si>
  <si>
    <t>Surface Coating - Coimbatore, INDIA. Servo, Drives &amp; PLC - Delta - branches in coimbatore, INDIA</t>
  </si>
  <si>
    <t>Any previous issues faced in shipping to certain countries?</t>
  </si>
  <si>
    <t>NA</t>
  </si>
  <si>
    <t>What are the key supply chain tactics being followed?</t>
  </si>
  <si>
    <t>Dedicated vendors, Inventory management, Supplier Relationship management, Risk management</t>
  </si>
  <si>
    <t>Are there any inhouse machining / job shop capabilities? If so, please explain in detail in terms of machine qty available (CNC, Mill, Lathe, EDM Weld, etc.), volume produced, &amp; available capacity.</t>
  </si>
  <si>
    <t>CNC - 66, Mill - 2, Lathe - 2</t>
  </si>
  <si>
    <t>What are the incoming (IQC), in process (IPQC), and outgoing (OQC) quality control systems and/or processes? Please desrcibe in detail.</t>
  </si>
  <si>
    <t xml:space="preserve">IQC - Raw materials, Buy parts, Sub contract machined, surface coating, heat treatment, etc... 
IPQC - All machined componenets, sub assemblies, TPU Moulded parts, inhouse lasser cut / wire cut (edm) parts, etc.. verification against drawing. 
OQC - Final assemblies - all check points on Mechanical, Electrical , Pneumatics, PLC &amp; Dry run testing. </t>
  </si>
  <si>
    <t>Are there ERP system and processes, including any automation or integration functionality across EQ manufacturing supply chain? Please desrcibe in detail.</t>
  </si>
  <si>
    <t>SAP S4 HANA</t>
  </si>
  <si>
    <t>What are the supply chain resiliency plans to ensure no distruption in supply?</t>
  </si>
  <si>
    <t>For each raw material/ buy parts having multiple supplier/Source globally, 
Keep backup stock, 
Direct visit to supplier to get the material / buy parts 
Identified the long lead items and plan accordingly.</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</si>
  <si>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</si>
  <si>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</si>
  <si>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</si>
  <si>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</si>
  <si>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</si>
  <si>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</si>
  <si>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</si>
  <si>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</si>
  <si>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</si>
  <si>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</si>
  <si>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Total Field Service Engineers - L1 (HC)</t>
  </si>
  <si>
    <t>Total Field Service Engineers - L2 (HC)</t>
  </si>
  <si>
    <t>Total Field Service Engineers - L3 (HC)</t>
  </si>
  <si>
    <t>Support Capabilities in Region - Total # of Units (QTY)</t>
  </si>
  <si>
    <t>Hiring Difficulty in Region (High/Medium/Low)</t>
  </si>
  <si>
    <t>Low</t>
  </si>
  <si>
    <t>Dispatch Difficulty from Region (High/Medium/Low)</t>
  </si>
  <si>
    <t>Regions Served (Countries &amp; QTY)</t>
  </si>
  <si>
    <t>1 &amp; 120</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</si>
  <si>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</si>
  <si>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</si>
  <si>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</si>
  <si>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</si>
  <si>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</si>
  <si>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</si>
  <si>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</si>
  <si>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</si>
  <si>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</si>
  <si>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</si>
  <si>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</si>
  <si>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</si>
  <si>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</si>
  <si>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</si>
  <si>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</si>
  <si>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</si>
  <si>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</si>
  <si>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</si>
  <si>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</si>
  <si>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</si>
  <si>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</si>
  <si>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</si>
  <si>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</si>
  <si>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</si>
  <si>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US:
China:
India: 22
Vietnam:
Thailand:
Brazil:
ETC:</t>
  </si>
  <si>
    <t>Please add geographic breakdown of 2024/2025 Engineering resources by geography in the comments section
Suggested geogrpahies already incldued, feel free to edit/add/subtract geogrpahies as necessary</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</si>
  <si>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</si>
  <si>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</si>
  <si>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</si>
  <si>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</si>
  <si>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</si>
  <si>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</si>
  <si>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</si>
  <si>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</si>
  <si>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</si>
  <si>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</si>
  <si>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</si>
  <si>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</si>
  <si>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</si>
  <si>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</si>
  <si>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</si>
  <si>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</si>
  <si>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</si>
  <si>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</si>
  <si>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</si>
  <si>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</si>
  <si>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</si>
  <si>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</si>
  <si>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</si>
  <si>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</si>
  <si>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</si>
  <si>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</si>
  <si>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</si>
  <si>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</si>
  <si>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</si>
  <si>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</si>
  <si>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</si>
  <si>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</si>
  <si>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</si>
  <si>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</si>
  <si>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</si>
  <si>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</si>
  <si>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</si>
  <si>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</si>
  <si>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</si>
  <si>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High</t>
  </si>
  <si>
    <t>Medium</t>
  </si>
  <si>
    <t>N/A</t>
  </si>
  <si>
    <t>Outsourced?</t>
  </si>
  <si>
    <t>We will be outsourcing only for Special process and software programming.</t>
  </si>
  <si>
    <t>Core Competencies</t>
  </si>
  <si>
    <t xml:space="preserve">SAE,ME fixtures, MLB, CCB,  </t>
  </si>
  <si>
    <t>SAE,ME fixtures</t>
  </si>
  <si>
    <t>SAE,ME fixtures, MLB, CCB , Carrier &amp; Travel nest</t>
  </si>
  <si>
    <t xml:space="preserve">SAE,ME fixtures, MLB, CCB </t>
  </si>
  <si>
    <t xml:space="preserve">SAE </t>
  </si>
  <si>
    <t>Dedicated Resourcing (HC)
(PM, Engineering, Production, OSS, etc.)</t>
  </si>
  <si>
    <t>PM- 4
OSS- 33
Production- 195
engineering - 27
Others- 45</t>
  </si>
  <si>
    <t>Equipment Type &amp; Key Technologies</t>
  </si>
  <si>
    <t xml:space="preserve">SAE,ME fixtures </t>
  </si>
  <si>
    <t>Key Components &amp; Average Annual Spend ($M)
(Prefernce for off the shelf components)</t>
  </si>
  <si>
    <t>Pneumatic- 163760 $
electrical- 738256.66 $</t>
  </si>
  <si>
    <t>We mentioned only for sustained SAE machine.</t>
  </si>
  <si>
    <t xml:space="preserve">Typcical Development &amp; Equipment Lead Times
(RFP to DFM, KO to ETA, ETA to SAT, OEE, etc.) </t>
  </si>
  <si>
    <t>2 weeks</t>
  </si>
  <si>
    <t>3 weeks</t>
  </si>
  <si>
    <t>5 weeks</t>
  </si>
  <si>
    <t>7 weeks</t>
  </si>
  <si>
    <t>Competitive Advantage(s)</t>
  </si>
  <si>
    <t>Inhouse facility available</t>
  </si>
  <si>
    <t xml:space="preserve">1. Inhouse machining
2. Inhouse TPU
</t>
  </si>
  <si>
    <t>Applicable Project Experience
(Year, Machine Description &amp; QTY, Spend, Timeline)</t>
  </si>
  <si>
    <t>SAE,ME fixtures, MLB, CCB 
(2024 - 2025) 
V47,V44,V57,V54,V53,D23</t>
  </si>
  <si>
    <t>Client / Reference</t>
  </si>
  <si>
    <t>Dedicated to Apple</t>
  </si>
  <si>
    <t>Client / Reference Email</t>
  </si>
  <si>
    <t>Applicable Apple Experience
(Year, Machine Description &amp; QTY, Spend, Timeline)</t>
  </si>
  <si>
    <t>SAE,ME fixtures, MLB, CCB 
(2024 - 2025) 
V47,V44,V57,V54,V53,D24</t>
  </si>
  <si>
    <t>Apple DRI Name</t>
  </si>
  <si>
    <t>Vinay Raverkar</t>
  </si>
  <si>
    <t>Apple DRI Email</t>
  </si>
  <si>
    <t>raverkar_v@apple.com</t>
  </si>
  <si>
    <t>Use the blank page to detail your company's technical roadmap for apple or other customers</t>
  </si>
  <si>
    <t>SL NO</t>
  </si>
  <si>
    <t>Previous ( May-25)</t>
  </si>
  <si>
    <t xml:space="preserve"> Present (dec-25)</t>
  </si>
  <si>
    <t>Q1(2026)</t>
  </si>
  <si>
    <t xml:space="preserve"> Machine Capacity- 26x</t>
  </si>
  <si>
    <t xml:space="preserve"> Machine Capacity increased - 96x</t>
  </si>
  <si>
    <t xml:space="preserve"> Machine capacity increased - 126x</t>
  </si>
  <si>
    <t>Inhouse TPU not available</t>
  </si>
  <si>
    <t>Inhouse TPU developed</t>
  </si>
  <si>
    <t>Inhouse TPU available</t>
  </si>
  <si>
    <t>Design followed as per customer drawing</t>
  </si>
  <si>
    <t>Team strengthened to make our own design</t>
  </si>
  <si>
    <t>Plan to do AE machine design</t>
  </si>
  <si>
    <t>Many OSS persons are in L1 &amp; L2 level</t>
  </si>
  <si>
    <t>Trained and converted to L2 &amp; L3</t>
  </si>
  <si>
    <t>Will place L3 person to CM site</t>
  </si>
  <si>
    <t>Less productivity due to less and in experienced manpower</t>
  </si>
  <si>
    <t>Experienced employees deployed and trained existing manpower to improve productivity</t>
  </si>
  <si>
    <t>Approach systamatically to improve productivity</t>
  </si>
  <si>
    <t>Process are followed manually</t>
  </si>
  <si>
    <t>SAP is introduced to improve process flow</t>
  </si>
  <si>
    <t>Maintain the same and add additional QR code system for more accuracy</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</si>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</sst>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_-[$$-409]* #,##0_ ;_-[$$-409]* \-#,##0\ ;_-[$$-409]* &quot;-&quot;??_ ;_-@_ "/>
    <numFmt numFmtId="165" formatCode="_-* #,##0_-;\-* #,##0_-;_-* &quot;-&quot;_-;_-@_-"/>
    <numFmt numFmtId="166" formatCode="_-[$$-409]* #,##0.00_ ;_-[$$-409]* \-#,##0.00\ ;_-[$$-409]* &quot;-&quot;_ ;_-@_ "/>
  </numFmts>
  <fonts count="32">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8"/>
      <name val="Calibri"/>
      <family val="2"/>
      <scheme val="minor"/>
    </font>
    <font>
      <b/>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90">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0" fontId="0" fillId="0" borderId="1" xfId="0" applyBorder="1" applyAlignment="1">
      <alignment horizontal="center" vertical="center"/>
    </xf>
    <xf numFmtId="0" fontId="31" fillId="9" borderId="1" xfId="0" applyFont="1" applyFill="1" applyBorder="1" applyAlignment="1">
      <alignment horizontal="center" vertical="center"/>
    </xf>
    <xf numFmtId="6" fontId="12" fillId="5" borderId="1" xfId="0" applyNumberFormat="1" applyFont="1" applyFill="1" applyBorder="1" applyAlignment="1" applyProtection="1">
      <alignment horizontal="center" vertical="center" wrapText="1"/>
      <protection locked="0"/>
    </xf>
    <xf numFmtId="0" fontId="0" fillId="0" borderId="1" xfId="0"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259080</xdr:colOff>
      <xdr:row>6</xdr:row>
      <xdr:rowOff>15240</xdr:rowOff>
    </xdr:from>
    <xdr:to>
      <xdr:col>7</xdr:col>
      <xdr:colOff>571884</xdr:colOff>
      <xdr:row>36</xdr:row>
      <xdr:rowOff>69100</xdr:rowOff>
    </xdr:to>
    <xdr:pic>
      <xdr:nvPicPr>
        <xdr:cNvPr id="2" name="Picture 1">
          <a:extLst>
            <a:ext uri="{FF2B5EF4-FFF2-40B4-BE49-F238E27FC236}">
              <a16:creationId xmlns:a16="http://schemas.microsoft.com/office/drawing/2014/main" id="{529A0935-1DC0-5CF7-AF94-49CF5D87E684}"/>
            </a:ext>
          </a:extLst>
        </xdr:cNvPr>
        <xdr:cNvPicPr>
          <a:picLocks noChangeAspect="1"/>
        </xdr:cNvPicPr>
      </xdr:nvPicPr>
      <xdr:blipFill>
        <a:blip xmlns:r="http://schemas.openxmlformats.org/officeDocument/2006/relationships" r:embed="rId1"/>
        <a:stretch>
          <a:fillRect/>
        </a:stretch>
      </xdr:blipFill>
      <xdr:spPr>
        <a:xfrm>
          <a:off x="3291840" y="2788920"/>
          <a:ext cx="4427604" cy="59974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abSelected="1" zoomScale="70" zoomScaleNormal="70" workbookViewId="0">
      <selection activeCell="B8" sqref="B8"/>
    </sheetView>
  </sheetViews>
  <sheetFormatPr defaultColWidth="10.75" defaultRowHeight="20.45"/>
  <cols>
    <col min="1" max="1" width="10.75" style="46"/>
    <col min="2" max="2" width="200.75" style="10" customWidth="1"/>
    <col min="3" max="16384" width="10.75" style="46"/>
  </cols>
  <sheetData>
    <row r="2" spans="2:2" ht="21">
      <c r="B2" s="8" t="s">
        <v>0</v>
      </c>
    </row>
    <row r="3" spans="2:2" ht="21">
      <c r="B3" s="40" t="s">
        <v>1</v>
      </c>
    </row>
    <row r="4" spans="2:2" ht="81.599999999999994">
      <c r="B4" s="9" t="s">
        <v>2</v>
      </c>
    </row>
    <row r="5" spans="2:2" ht="21">
      <c r="B5" s="40" t="s">
        <v>3</v>
      </c>
    </row>
    <row r="6" spans="2:2" ht="40.9">
      <c r="B6" s="9" t="s">
        <v>4</v>
      </c>
    </row>
    <row r="7" spans="2:2" ht="21">
      <c r="B7" s="40" t="s">
        <v>5</v>
      </c>
    </row>
    <row r="8" spans="2:2" ht="285.60000000000002">
      <c r="B8" s="9" t="s">
        <v>6</v>
      </c>
    </row>
    <row r="9" spans="2:2" ht="21">
      <c r="B9" s="40" t="s">
        <v>7</v>
      </c>
    </row>
    <row r="10" spans="2:2" ht="21">
      <c r="B10" s="9" t="s">
        <v>8</v>
      </c>
    </row>
    <row r="11" spans="2:2" ht="21">
      <c r="B11" s="40" t="s">
        <v>9</v>
      </c>
    </row>
    <row r="12" spans="2:2" ht="40.9">
      <c r="B12" s="9" t="s">
        <v>10</v>
      </c>
    </row>
    <row r="13" spans="2:2" ht="21">
      <c r="B13" s="40" t="s">
        <v>11</v>
      </c>
    </row>
    <row r="14" spans="2:2" ht="61.15">
      <c r="B14" s="67"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20" zoomScale="80" zoomScaleNormal="80" workbookViewId="0">
      <selection activeCell="B31" sqref="B31"/>
    </sheetView>
  </sheetViews>
  <sheetFormatPr defaultColWidth="10.75" defaultRowHeight="20.45"/>
  <cols>
    <col min="1" max="1" width="10.75" style="46"/>
    <col min="2" max="2" width="200.75" style="10" customWidth="1"/>
    <col min="3" max="16384" width="10.75" style="46"/>
  </cols>
  <sheetData>
    <row r="2" spans="2:2" ht="21">
      <c r="B2" s="8" t="s">
        <v>13</v>
      </c>
    </row>
    <row r="3" spans="2:2" ht="21">
      <c r="B3" s="39" t="s">
        <v>14</v>
      </c>
    </row>
    <row r="4" spans="2:2" ht="61.15">
      <c r="B4" s="9" t="s">
        <v>15</v>
      </c>
    </row>
    <row r="5" spans="2:2" ht="21">
      <c r="B5" s="40" t="s">
        <v>16</v>
      </c>
    </row>
    <row r="6" spans="2:2" ht="40.9">
      <c r="B6" s="9" t="s">
        <v>17</v>
      </c>
    </row>
    <row r="7" spans="2:2" ht="21">
      <c r="B7" s="40" t="s">
        <v>18</v>
      </c>
    </row>
    <row r="8" spans="2:2" ht="61.9">
      <c r="B8" s="9" t="s">
        <v>19</v>
      </c>
    </row>
    <row r="9" spans="2:2" ht="21">
      <c r="B9" s="40" t="s">
        <v>20</v>
      </c>
    </row>
    <row r="10" spans="2:2" ht="40.9">
      <c r="B10" s="9" t="s">
        <v>21</v>
      </c>
    </row>
    <row r="11" spans="2:2" ht="21">
      <c r="B11" s="40" t="s">
        <v>22</v>
      </c>
    </row>
    <row r="12" spans="2:2" ht="122.45">
      <c r="B12" s="9" t="s">
        <v>23</v>
      </c>
    </row>
    <row r="13" spans="2:2" ht="21">
      <c r="B13" s="40" t="s">
        <v>24</v>
      </c>
    </row>
    <row r="14" spans="2:2" ht="81.599999999999994">
      <c r="B14" s="9" t="s">
        <v>25</v>
      </c>
    </row>
    <row r="15" spans="2:2" ht="21">
      <c r="B15" s="40" t="s">
        <v>26</v>
      </c>
    </row>
    <row r="16" spans="2:2" ht="163.15">
      <c r="B16" s="9" t="s">
        <v>27</v>
      </c>
    </row>
    <row r="17" spans="2:2" ht="21">
      <c r="B17" s="40" t="s">
        <v>28</v>
      </c>
    </row>
    <row r="18" spans="2:2" ht="61.15">
      <c r="B18" s="9" t="s">
        <v>29</v>
      </c>
    </row>
    <row r="19" spans="2:2" ht="21">
      <c r="B19" s="40" t="s">
        <v>30</v>
      </c>
    </row>
    <row r="20" spans="2:2" ht="122.45">
      <c r="B20" s="9" t="s">
        <v>31</v>
      </c>
    </row>
    <row r="21" spans="2:2" ht="21">
      <c r="B21" s="40" t="s">
        <v>32</v>
      </c>
    </row>
    <row r="22" spans="2:2" ht="61.15">
      <c r="B22" s="9" t="s">
        <v>33</v>
      </c>
    </row>
    <row r="23" spans="2:2" ht="21">
      <c r="B23" s="40" t="s">
        <v>34</v>
      </c>
    </row>
    <row r="24" spans="2:2" ht="224.45">
      <c r="B24" s="9" t="s">
        <v>35</v>
      </c>
    </row>
    <row r="25" spans="2:2" ht="21">
      <c r="B25" s="40" t="s">
        <v>36</v>
      </c>
    </row>
    <row r="26" spans="2:2" ht="163.15">
      <c r="B26" s="9" t="s">
        <v>37</v>
      </c>
    </row>
    <row r="27" spans="2:2" ht="21">
      <c r="B27" s="40" t="s">
        <v>38</v>
      </c>
    </row>
    <row r="28" spans="2:2" ht="40.9">
      <c r="B28" s="9" t="s">
        <v>39</v>
      </c>
    </row>
    <row r="29" spans="2:2" ht="21">
      <c r="B29" s="40" t="s">
        <v>40</v>
      </c>
    </row>
    <row r="30" spans="2:2" ht="40.9">
      <c r="B30" s="9"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topLeftCell="B1" workbookViewId="0">
      <selection activeCell="C4" sqref="C4"/>
    </sheetView>
  </sheetViews>
  <sheetFormatPr defaultColWidth="10.75" defaultRowHeight="20.45"/>
  <cols>
    <col min="1" max="1" width="10.75" style="46"/>
    <col min="2" max="2" width="141.5" style="10" customWidth="1"/>
    <col min="3" max="3" width="40.75" style="13" customWidth="1"/>
    <col min="4" max="16384" width="10.75" style="46"/>
  </cols>
  <sheetData>
    <row r="2" spans="2:3" ht="21">
      <c r="B2" s="8" t="s">
        <v>42</v>
      </c>
      <c r="C2" s="11"/>
    </row>
    <row r="3" spans="2:3" ht="21">
      <c r="B3" s="39" t="s">
        <v>43</v>
      </c>
      <c r="C3" s="11"/>
    </row>
    <row r="4" spans="2:3" ht="204">
      <c r="B4" s="12" t="s">
        <v>44</v>
      </c>
      <c r="C4" s="45"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C11" zoomScaleNormal="100" workbookViewId="0">
      <selection activeCell="I26" sqref="I26"/>
    </sheetView>
  </sheetViews>
  <sheetFormatPr defaultColWidth="10.75" defaultRowHeight="18"/>
  <cols>
    <col min="1" max="1" width="3.5" style="15" customWidth="1"/>
    <col min="2" max="2" width="74.75" style="15" customWidth="1"/>
    <col min="3" max="4" width="29.25" style="15" customWidth="1"/>
    <col min="5" max="5" width="30.25" style="15" bestFit="1" customWidth="1"/>
    <col min="6" max="6" width="29.25" style="15" customWidth="1"/>
    <col min="7" max="7" width="38.25" style="15" customWidth="1"/>
    <col min="8" max="8" width="10.75" style="3" customWidth="1"/>
    <col min="9" max="16384" width="10.75" style="3"/>
  </cols>
  <sheetData>
    <row r="1" spans="1:7" ht="25.9" customHeight="1">
      <c r="B1" s="14" t="s">
        <v>46</v>
      </c>
    </row>
    <row r="2" spans="1:7" ht="25.9" customHeight="1">
      <c r="A2" s="15">
        <v>1</v>
      </c>
      <c r="B2" s="77" t="s">
        <v>47</v>
      </c>
      <c r="C2" s="16">
        <v>45996</v>
      </c>
    </row>
    <row r="3" spans="1:7" ht="25.9" customHeight="1">
      <c r="A3" s="15">
        <v>2</v>
      </c>
      <c r="B3" s="77" t="s">
        <v>48</v>
      </c>
      <c r="C3" s="17" t="s">
        <v>49</v>
      </c>
    </row>
    <row r="4" spans="1:7" ht="25.9" customHeight="1">
      <c r="A4" s="15">
        <v>3</v>
      </c>
      <c r="B4" s="77" t="s">
        <v>50</v>
      </c>
      <c r="C4" s="17" t="s">
        <v>51</v>
      </c>
      <c r="E4" s="18"/>
    </row>
    <row r="5" spans="1:7" ht="25.9" customHeight="1">
      <c r="A5" s="15">
        <v>4</v>
      </c>
      <c r="B5" s="77" t="s">
        <v>52</v>
      </c>
      <c r="C5" s="17" t="s">
        <v>53</v>
      </c>
      <c r="E5" s="18"/>
    </row>
    <row r="6" spans="1:7" ht="25.9" customHeight="1">
      <c r="A6" s="15">
        <v>5</v>
      </c>
      <c r="B6" s="77" t="s">
        <v>54</v>
      </c>
      <c r="C6" s="19" t="s">
        <v>55</v>
      </c>
      <c r="E6" s="18"/>
    </row>
    <row r="7" spans="1:7" ht="25.9" customHeight="1">
      <c r="A7" s="15">
        <v>6</v>
      </c>
      <c r="B7" s="77" t="s">
        <v>56</v>
      </c>
      <c r="C7" s="17" t="s">
        <v>57</v>
      </c>
      <c r="E7" s="18"/>
    </row>
    <row r="8" spans="1:7" ht="25.9" customHeight="1">
      <c r="A8" s="15">
        <v>7</v>
      </c>
      <c r="B8" s="77" t="s">
        <v>58</v>
      </c>
      <c r="C8" s="17"/>
    </row>
    <row r="9" spans="1:7" ht="25.9" customHeight="1">
      <c r="A9" s="15">
        <v>8</v>
      </c>
      <c r="B9" s="77" t="s">
        <v>59</v>
      </c>
      <c r="C9" s="17"/>
    </row>
    <row r="10" spans="1:7" ht="25.9" customHeight="1">
      <c r="A10" s="15">
        <v>9</v>
      </c>
      <c r="B10" s="77" t="s">
        <v>60</v>
      </c>
      <c r="C10" s="17">
        <v>298</v>
      </c>
    </row>
    <row r="11" spans="1:7">
      <c r="A11" s="15">
        <v>10</v>
      </c>
      <c r="B11" s="77" t="s">
        <v>61</v>
      </c>
      <c r="C11" s="17">
        <v>2024</v>
      </c>
    </row>
    <row r="12" spans="1:7">
      <c r="A12" s="15">
        <v>11</v>
      </c>
      <c r="B12" s="77" t="s">
        <v>62</v>
      </c>
      <c r="C12" s="17">
        <v>2024</v>
      </c>
      <c r="F12" s="20"/>
    </row>
    <row r="15" spans="1:7" ht="36">
      <c r="B15" s="23" t="s">
        <v>63</v>
      </c>
      <c r="C15" s="24" t="s">
        <v>64</v>
      </c>
      <c r="D15" s="24" t="s">
        <v>65</v>
      </c>
      <c r="E15" s="24" t="s">
        <v>66</v>
      </c>
      <c r="F15" s="24" t="s">
        <v>67</v>
      </c>
      <c r="G15" s="25" t="s">
        <v>68</v>
      </c>
    </row>
    <row r="16" spans="1:7">
      <c r="B16" s="26" t="s">
        <v>69</v>
      </c>
      <c r="C16" s="17" t="s">
        <v>70</v>
      </c>
      <c r="D16" s="17" t="s">
        <v>71</v>
      </c>
      <c r="E16" s="17" t="s">
        <v>72</v>
      </c>
      <c r="F16" s="19" t="s">
        <v>73</v>
      </c>
      <c r="G16" s="27" t="s">
        <v>74</v>
      </c>
    </row>
    <row r="17" spans="2:7">
      <c r="B17" s="26" t="s">
        <v>75</v>
      </c>
      <c r="C17" s="17" t="s">
        <v>76</v>
      </c>
      <c r="D17" s="17" t="s">
        <v>77</v>
      </c>
      <c r="E17" s="17" t="s">
        <v>72</v>
      </c>
      <c r="F17" s="19" t="s">
        <v>78</v>
      </c>
      <c r="G17" s="27" t="s">
        <v>79</v>
      </c>
    </row>
    <row r="18" spans="2:7">
      <c r="B18" s="26" t="s">
        <v>80</v>
      </c>
      <c r="C18" s="17" t="s">
        <v>81</v>
      </c>
      <c r="D18" s="17" t="s">
        <v>82</v>
      </c>
      <c r="E18" s="17" t="s">
        <v>72</v>
      </c>
      <c r="F18" s="19" t="s">
        <v>83</v>
      </c>
      <c r="G18" s="27" t="s">
        <v>84</v>
      </c>
    </row>
    <row r="19" spans="2:7">
      <c r="B19" s="26" t="s">
        <v>85</v>
      </c>
      <c r="C19" s="17" t="s">
        <v>86</v>
      </c>
      <c r="D19" s="17" t="s">
        <v>77</v>
      </c>
      <c r="E19" s="17" t="s">
        <v>72</v>
      </c>
      <c r="F19" s="19" t="s">
        <v>87</v>
      </c>
      <c r="G19" s="27" t="s">
        <v>88</v>
      </c>
    </row>
    <row r="20" spans="2:7">
      <c r="B20" s="28" t="s">
        <v>89</v>
      </c>
      <c r="C20" s="21" t="s">
        <v>90</v>
      </c>
      <c r="D20" s="21" t="s">
        <v>91</v>
      </c>
      <c r="E20" s="17" t="s">
        <v>72</v>
      </c>
      <c r="F20" s="22" t="s">
        <v>92</v>
      </c>
      <c r="G20" s="27" t="s">
        <v>93</v>
      </c>
    </row>
    <row r="21" spans="2:7">
      <c r="B21" s="26" t="s">
        <v>94</v>
      </c>
      <c r="C21" s="17" t="s">
        <v>95</v>
      </c>
      <c r="D21" s="17" t="s">
        <v>96</v>
      </c>
      <c r="E21" s="17" t="s">
        <v>72</v>
      </c>
      <c r="F21" s="19" t="s">
        <v>97</v>
      </c>
      <c r="G21" s="27" t="s">
        <v>98</v>
      </c>
    </row>
    <row r="22" spans="2:7">
      <c r="B22" s="26" t="s">
        <v>99</v>
      </c>
      <c r="C22" s="17" t="s">
        <v>100</v>
      </c>
      <c r="D22" s="21" t="s">
        <v>101</v>
      </c>
      <c r="E22" s="17" t="s">
        <v>72</v>
      </c>
      <c r="F22" s="19" t="s">
        <v>102</v>
      </c>
      <c r="G22" s="27" t="s">
        <v>103</v>
      </c>
    </row>
    <row r="23" spans="2:7">
      <c r="B23" s="26" t="s">
        <v>104</v>
      </c>
      <c r="C23" s="17" t="s">
        <v>105</v>
      </c>
      <c r="D23" s="21" t="s">
        <v>96</v>
      </c>
      <c r="E23" s="17" t="s">
        <v>72</v>
      </c>
      <c r="F23" s="19" t="s">
        <v>106</v>
      </c>
      <c r="G23" s="27" t="s">
        <v>107</v>
      </c>
    </row>
    <row r="24" spans="2:7">
      <c r="B24" s="26" t="s">
        <v>108</v>
      </c>
      <c r="C24" s="17" t="s">
        <v>109</v>
      </c>
      <c r="D24" s="17" t="s">
        <v>101</v>
      </c>
      <c r="E24" s="17" t="s">
        <v>72</v>
      </c>
      <c r="F24" s="19" t="s">
        <v>110</v>
      </c>
      <c r="G24" s="27" t="s">
        <v>111</v>
      </c>
    </row>
    <row r="25" spans="2:7">
      <c r="B25" s="26" t="s">
        <v>108</v>
      </c>
      <c r="C25" s="29" t="s">
        <v>112</v>
      </c>
      <c r="D25" s="29" t="s">
        <v>101</v>
      </c>
      <c r="E25" s="29" t="s">
        <v>72</v>
      </c>
      <c r="F25" s="30" t="s">
        <v>113</v>
      </c>
      <c r="G25" s="31" t="s">
        <v>114</v>
      </c>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opLeftCell="C1" zoomScale="90" zoomScaleNormal="90" workbookViewId="0">
      <selection activeCell="G9" sqref="G9"/>
    </sheetView>
  </sheetViews>
  <sheetFormatPr defaultColWidth="10.75" defaultRowHeight="15.6"/>
  <cols>
    <col min="1" max="1" width="4.75" customWidth="1"/>
    <col min="2" max="2" width="53.75" customWidth="1"/>
    <col min="3" max="8" width="28.25" customWidth="1"/>
    <col min="9" max="16384" width="10.75" style="1"/>
  </cols>
  <sheetData>
    <row r="1" spans="2:9" ht="51" customHeight="1">
      <c r="B1" s="14" t="s">
        <v>115</v>
      </c>
    </row>
    <row r="2" spans="2:9" ht="51" customHeight="1">
      <c r="B2" s="77" t="s">
        <v>116</v>
      </c>
      <c r="C2" s="77">
        <v>2022</v>
      </c>
      <c r="D2" s="77">
        <v>2023</v>
      </c>
      <c r="E2" s="77">
        <v>2024</v>
      </c>
      <c r="F2" s="77" t="s">
        <v>117</v>
      </c>
      <c r="G2" s="77" t="s">
        <v>118</v>
      </c>
      <c r="H2" s="77" t="s">
        <v>119</v>
      </c>
    </row>
    <row r="3" spans="2:9" ht="51" customHeight="1">
      <c r="B3" s="32" t="s">
        <v>120</v>
      </c>
      <c r="C3" s="56"/>
      <c r="D3" s="56"/>
      <c r="E3" s="56"/>
      <c r="F3" s="56"/>
      <c r="G3" s="56"/>
      <c r="H3" s="56"/>
    </row>
    <row r="4" spans="2:9" ht="51" customHeight="1">
      <c r="B4" s="32" t="s">
        <v>121</v>
      </c>
      <c r="C4" s="56"/>
      <c r="D4" s="56"/>
      <c r="E4" s="56">
        <v>637504.5</v>
      </c>
      <c r="F4" s="56">
        <v>8831583</v>
      </c>
      <c r="G4" s="56">
        <v>22500000</v>
      </c>
      <c r="H4" s="56">
        <v>35000000</v>
      </c>
      <c r="I4" s="4"/>
    </row>
    <row r="5" spans="2:9" ht="51" customHeight="1">
      <c r="B5" s="32" t="s">
        <v>122</v>
      </c>
      <c r="C5" s="56"/>
      <c r="D5" s="56"/>
      <c r="E5" s="56"/>
      <c r="F5" s="56"/>
      <c r="G5" s="56"/>
      <c r="H5" s="56"/>
      <c r="I5" s="4" t="s">
        <v>123</v>
      </c>
    </row>
    <row r="6" spans="2:9" ht="51" customHeight="1">
      <c r="B6" s="32" t="s">
        <v>124</v>
      </c>
      <c r="C6" s="56"/>
      <c r="D6" s="56"/>
      <c r="E6" s="56">
        <v>637504.5</v>
      </c>
      <c r="F6" s="56">
        <v>8831583</v>
      </c>
      <c r="G6" s="56">
        <v>22500000</v>
      </c>
      <c r="H6" s="56">
        <v>35000000</v>
      </c>
      <c r="I6" s="2" t="s">
        <v>125</v>
      </c>
    </row>
    <row r="8" spans="2:9" ht="18">
      <c r="B8" s="77" t="s">
        <v>116</v>
      </c>
      <c r="C8" s="77">
        <v>2023</v>
      </c>
      <c r="D8" s="77">
        <v>2023</v>
      </c>
      <c r="E8" s="77">
        <v>2024</v>
      </c>
      <c r="F8" s="77" t="s">
        <v>117</v>
      </c>
      <c r="G8" s="77" t="s">
        <v>118</v>
      </c>
      <c r="H8" s="77" t="s">
        <v>119</v>
      </c>
    </row>
    <row r="9" spans="2:9" ht="18">
      <c r="B9" s="32" t="s">
        <v>126</v>
      </c>
      <c r="C9" s="57"/>
      <c r="D9" s="57"/>
      <c r="E9" s="57"/>
      <c r="F9" s="57"/>
      <c r="G9" s="57">
        <v>3600000</v>
      </c>
      <c r="H9" s="57">
        <v>7000000</v>
      </c>
    </row>
    <row r="10" spans="2:9" ht="18">
      <c r="B10" s="32" t="s">
        <v>127</v>
      </c>
      <c r="C10" s="57"/>
      <c r="D10" s="57"/>
      <c r="E10" s="57"/>
      <c r="F10" s="57"/>
      <c r="G10" s="57">
        <v>1800000</v>
      </c>
      <c r="H10" s="57">
        <v>4200000</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8" zoomScale="80" zoomScaleNormal="80" workbookViewId="0">
      <selection activeCell="D15" sqref="D15"/>
    </sheetView>
  </sheetViews>
  <sheetFormatPr defaultColWidth="10.75" defaultRowHeight="25.9" customHeight="1"/>
  <cols>
    <col min="1" max="1" width="6.25" style="61" customWidth="1"/>
    <col min="2" max="2" width="59" style="34" customWidth="1"/>
    <col min="3" max="3" width="38.5" style="3" customWidth="1"/>
    <col min="4" max="8" width="38.5" style="6" customWidth="1"/>
    <col min="9" max="11" width="29.25" style="3" customWidth="1"/>
    <col min="12" max="16384" width="10.75" style="3"/>
  </cols>
  <sheetData>
    <row r="1" spans="1:8" s="15" customFormat="1" ht="51" customHeight="1">
      <c r="A1" s="59"/>
      <c r="B1" s="33" t="s">
        <v>128</v>
      </c>
    </row>
    <row r="2" spans="1:8" s="34" customFormat="1" ht="55.9" customHeight="1">
      <c r="A2" s="60"/>
      <c r="B2" s="77"/>
      <c r="C2" s="77" t="s">
        <v>129</v>
      </c>
      <c r="D2" s="35" t="s">
        <v>130</v>
      </c>
      <c r="E2" s="35" t="s">
        <v>131</v>
      </c>
      <c r="F2" s="35" t="s">
        <v>132</v>
      </c>
      <c r="G2" s="35" t="s">
        <v>133</v>
      </c>
      <c r="H2" s="35" t="s">
        <v>134</v>
      </c>
    </row>
    <row r="3" spans="1:8" ht="60" customHeight="1">
      <c r="A3" s="61">
        <v>1</v>
      </c>
      <c r="B3" s="77" t="s">
        <v>135</v>
      </c>
      <c r="C3" s="36" t="s">
        <v>49</v>
      </c>
      <c r="D3" s="36"/>
      <c r="E3" s="36"/>
      <c r="F3" s="17"/>
      <c r="G3" s="17"/>
      <c r="H3" s="17"/>
    </row>
    <row r="4" spans="1:8" ht="60" customHeight="1">
      <c r="A4" s="61">
        <v>2</v>
      </c>
      <c r="B4" s="77" t="s">
        <v>136</v>
      </c>
      <c r="C4" s="17" t="s">
        <v>137</v>
      </c>
      <c r="D4" s="17"/>
      <c r="E4" s="17"/>
      <c r="F4" s="17"/>
      <c r="G4" s="48"/>
      <c r="H4" s="17"/>
    </row>
    <row r="5" spans="1:8" ht="60" customHeight="1">
      <c r="A5" s="61">
        <v>3</v>
      </c>
      <c r="B5" s="77" t="s">
        <v>138</v>
      </c>
      <c r="C5" s="17" t="s">
        <v>139</v>
      </c>
      <c r="D5" s="17"/>
      <c r="E5" s="17"/>
      <c r="F5" s="17"/>
      <c r="G5" s="17"/>
      <c r="H5" s="17"/>
    </row>
    <row r="6" spans="1:8" ht="60" customHeight="1">
      <c r="A6" s="61">
        <v>4</v>
      </c>
      <c r="B6" s="35" t="s">
        <v>140</v>
      </c>
      <c r="C6" s="17" t="s">
        <v>141</v>
      </c>
      <c r="D6" s="17"/>
      <c r="E6" s="17"/>
      <c r="F6" s="17"/>
      <c r="G6" s="17"/>
      <c r="H6" s="17"/>
    </row>
    <row r="7" spans="1:8" ht="85.9" customHeight="1">
      <c r="A7" s="61">
        <v>5</v>
      </c>
      <c r="B7" s="35" t="s">
        <v>142</v>
      </c>
      <c r="C7" s="17" t="s">
        <v>143</v>
      </c>
      <c r="D7" s="17"/>
      <c r="E7" s="17"/>
      <c r="F7" s="17"/>
      <c r="G7" s="17"/>
      <c r="H7" s="17"/>
    </row>
    <row r="8" spans="1:8" ht="85.9" customHeight="1">
      <c r="A8" s="61">
        <v>6</v>
      </c>
      <c r="B8" s="35" t="s">
        <v>144</v>
      </c>
      <c r="C8" s="17" t="s">
        <v>145</v>
      </c>
      <c r="D8" s="17"/>
      <c r="E8" s="17"/>
      <c r="F8" s="17"/>
      <c r="G8" s="17"/>
      <c r="H8" s="17"/>
    </row>
    <row r="9" spans="1:8" ht="60" customHeight="1">
      <c r="A9" s="61">
        <v>7</v>
      </c>
      <c r="B9" s="77" t="s">
        <v>146</v>
      </c>
      <c r="C9" s="37">
        <v>6689</v>
      </c>
      <c r="D9" s="37"/>
      <c r="E9" s="38"/>
      <c r="F9" s="38"/>
      <c r="G9" s="38"/>
      <c r="H9" s="38"/>
    </row>
    <row r="10" spans="1:8" ht="60" customHeight="1">
      <c r="A10" s="61">
        <v>8</v>
      </c>
      <c r="B10" s="35" t="s">
        <v>147</v>
      </c>
      <c r="C10" s="37">
        <v>298</v>
      </c>
      <c r="D10" s="37"/>
      <c r="E10" s="38"/>
      <c r="F10" s="38"/>
      <c r="G10" s="38"/>
      <c r="H10" s="38"/>
    </row>
    <row r="11" spans="1:8" ht="60" customHeight="1">
      <c r="A11" s="61">
        <v>9</v>
      </c>
      <c r="B11" s="35" t="s">
        <v>148</v>
      </c>
      <c r="C11" s="17">
        <v>10</v>
      </c>
      <c r="D11" s="17"/>
      <c r="E11" s="17"/>
      <c r="F11" s="17"/>
      <c r="G11" s="17"/>
      <c r="H11" s="17"/>
    </row>
    <row r="12" spans="1:8" ht="60" customHeight="1">
      <c r="A12" s="61">
        <v>10</v>
      </c>
      <c r="B12" s="35" t="s">
        <v>149</v>
      </c>
      <c r="C12" s="17">
        <v>15</v>
      </c>
      <c r="D12" s="17"/>
      <c r="E12" s="17"/>
      <c r="F12" s="17"/>
      <c r="G12" s="17"/>
      <c r="H12" s="17"/>
    </row>
    <row r="13" spans="1:8" ht="60" customHeight="1">
      <c r="A13" s="61">
        <v>11</v>
      </c>
      <c r="B13" s="35" t="s">
        <v>150</v>
      </c>
      <c r="C13" s="75">
        <v>8831583</v>
      </c>
      <c r="D13" s="17"/>
      <c r="E13" s="17"/>
      <c r="F13" s="17"/>
      <c r="G13" s="17"/>
      <c r="H13" s="17"/>
    </row>
    <row r="14" spans="1:8" ht="60" customHeight="1">
      <c r="A14" s="61">
        <v>12</v>
      </c>
      <c r="B14" s="35" t="s">
        <v>151</v>
      </c>
      <c r="C14" s="17" t="s">
        <v>152</v>
      </c>
      <c r="D14" s="17"/>
      <c r="E14" s="17"/>
      <c r="F14" s="17"/>
      <c r="G14" s="17"/>
      <c r="H14" s="17"/>
    </row>
    <row r="15" spans="1:8" ht="60" customHeight="1">
      <c r="A15" s="61">
        <v>13</v>
      </c>
      <c r="B15" s="35" t="s">
        <v>153</v>
      </c>
      <c r="C15" s="17" t="s">
        <v>45</v>
      </c>
      <c r="D15" s="17"/>
      <c r="E15" s="17"/>
      <c r="F15" s="17"/>
      <c r="G15" s="17"/>
      <c r="H15" s="17"/>
    </row>
    <row r="16" spans="1:8" ht="60" customHeight="1">
      <c r="A16" s="61">
        <v>14</v>
      </c>
      <c r="B16" s="35" t="s">
        <v>154</v>
      </c>
      <c r="C16" s="17" t="s">
        <v>155</v>
      </c>
      <c r="D16" s="17"/>
      <c r="E16" s="17"/>
      <c r="F16" s="17"/>
      <c r="G16" s="17"/>
      <c r="H16" s="17"/>
    </row>
    <row r="18" spans="1:8" ht="61.15" customHeight="1">
      <c r="A18" s="61">
        <v>15</v>
      </c>
      <c r="B18" s="79" t="s">
        <v>156</v>
      </c>
      <c r="C18" s="79"/>
      <c r="D18" s="80" t="s">
        <v>152</v>
      </c>
      <c r="E18" s="81"/>
      <c r="F18" s="81"/>
      <c r="G18" s="81"/>
      <c r="H18" s="82"/>
    </row>
    <row r="19" spans="1:8" ht="61.15" customHeight="1">
      <c r="A19" s="61">
        <v>16</v>
      </c>
      <c r="B19" s="79" t="s">
        <v>157</v>
      </c>
      <c r="C19" s="79"/>
      <c r="D19" s="80" t="s">
        <v>158</v>
      </c>
      <c r="E19" s="81"/>
      <c r="F19" s="81"/>
      <c r="G19" s="81"/>
      <c r="H19" s="82"/>
    </row>
    <row r="20" spans="1:8" ht="61.15" customHeight="1">
      <c r="A20" s="61">
        <v>17</v>
      </c>
      <c r="B20" s="79" t="s">
        <v>159</v>
      </c>
      <c r="C20" s="79"/>
      <c r="D20" s="80" t="s">
        <v>160</v>
      </c>
      <c r="E20" s="81"/>
      <c r="F20" s="81"/>
      <c r="G20" s="81"/>
      <c r="H20" s="82"/>
    </row>
    <row r="21" spans="1:8" ht="61.15" customHeight="1">
      <c r="A21" s="61">
        <v>18</v>
      </c>
      <c r="B21" s="79" t="s">
        <v>161</v>
      </c>
      <c r="C21" s="79"/>
      <c r="D21" s="80" t="s">
        <v>162</v>
      </c>
      <c r="E21" s="81"/>
      <c r="F21" s="81"/>
      <c r="G21" s="81"/>
      <c r="H21" s="82"/>
    </row>
    <row r="22" spans="1:8" ht="61.15" customHeight="1">
      <c r="A22" s="61">
        <v>19</v>
      </c>
      <c r="B22" s="79" t="s">
        <v>163</v>
      </c>
      <c r="C22" s="79"/>
      <c r="D22" s="80" t="s">
        <v>164</v>
      </c>
      <c r="E22" s="81"/>
      <c r="F22" s="81"/>
      <c r="G22" s="81"/>
      <c r="H22" s="82"/>
    </row>
    <row r="23" spans="1:8" ht="61.15" customHeight="1">
      <c r="A23" s="61">
        <v>20</v>
      </c>
      <c r="B23" s="83" t="s">
        <v>165</v>
      </c>
      <c r="C23" s="84"/>
      <c r="D23" s="80" t="s">
        <v>166</v>
      </c>
      <c r="E23" s="81"/>
      <c r="F23" s="81"/>
      <c r="G23" s="81"/>
      <c r="H23" s="82"/>
    </row>
    <row r="24" spans="1:8" ht="61.15" customHeight="1">
      <c r="A24" s="61">
        <v>21</v>
      </c>
      <c r="B24" s="83" t="s">
        <v>167</v>
      </c>
      <c r="C24" s="84"/>
      <c r="D24" s="80" t="s">
        <v>168</v>
      </c>
      <c r="E24" s="81"/>
      <c r="F24" s="81"/>
      <c r="G24" s="81"/>
      <c r="H24" s="82"/>
    </row>
    <row r="25" spans="1:8" ht="187.9" customHeight="1">
      <c r="A25" s="61">
        <v>22</v>
      </c>
      <c r="B25" s="79" t="s">
        <v>169</v>
      </c>
      <c r="C25" s="79"/>
      <c r="D25" s="80" t="s">
        <v>170</v>
      </c>
      <c r="E25" s="81"/>
      <c r="F25" s="81"/>
      <c r="G25" s="81"/>
      <c r="H25" s="82"/>
    </row>
    <row r="26" spans="1:8" ht="61.15" customHeight="1"/>
    <row r="27" spans="1:8" ht="61.15" customHeight="1"/>
    <row r="28" spans="1:8" ht="61.15" customHeight="1"/>
    <row r="29" spans="1:8" ht="61.15" customHeight="1"/>
  </sheetData>
  <sheetProtection algorithmName="SHA-512" hashValue="zQUmRTblo7NwmNDoVbXM0yjst7rVPj5/m4axI2ivAgmUPwHZYj2vbWzF/lmehodxi4GZXwtagu0UzxPO76uzxg==" saltValue="p9e4rdm25WVOlVQ/gvBS1w==" spinCount="100000" sheet="1" selectLockedCells="1"/>
  <mergeCells count="16">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 ref="D24:H24"/>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B15" zoomScale="70" zoomScaleNormal="70" workbookViewId="0">
      <selection activeCell="C25" sqref="C25:D25"/>
    </sheetView>
  </sheetViews>
  <sheetFormatPr defaultColWidth="10.75" defaultRowHeight="49.9" customHeight="1"/>
  <cols>
    <col min="1" max="1" width="5.25" style="3" customWidth="1"/>
    <col min="2" max="2" width="53.25" style="3" customWidth="1"/>
    <col min="3" max="10" width="32.75" style="3" customWidth="1"/>
    <col min="11" max="16384" width="10.75" style="3"/>
  </cols>
  <sheetData>
    <row r="1" spans="2:10" ht="49.9" customHeight="1">
      <c r="B1" s="41" t="s">
        <v>171</v>
      </c>
    </row>
    <row r="2" spans="2:10" ht="49.9" customHeight="1">
      <c r="B2" s="42"/>
      <c r="C2" s="43" t="s">
        <v>172</v>
      </c>
      <c r="D2" s="43" t="s">
        <v>173</v>
      </c>
      <c r="E2" s="43" t="s">
        <v>174</v>
      </c>
      <c r="F2" s="43" t="s">
        <v>175</v>
      </c>
      <c r="G2" s="43" t="s">
        <v>176</v>
      </c>
      <c r="H2" s="43" t="s">
        <v>177</v>
      </c>
      <c r="I2" s="43" t="s">
        <v>178</v>
      </c>
      <c r="J2" s="43" t="s">
        <v>179</v>
      </c>
    </row>
    <row r="3" spans="2:10" ht="49.9" customHeight="1">
      <c r="B3" s="43" t="s">
        <v>180</v>
      </c>
      <c r="C3" s="68" t="s">
        <v>72</v>
      </c>
      <c r="D3" s="68"/>
      <c r="E3" s="68"/>
      <c r="F3" s="68"/>
      <c r="G3" s="68"/>
      <c r="H3" s="68"/>
      <c r="I3" s="68"/>
      <c r="J3" s="68"/>
    </row>
    <row r="4" spans="2:10" ht="49.9" customHeight="1">
      <c r="B4" s="44" t="s">
        <v>181</v>
      </c>
      <c r="C4" s="68"/>
      <c r="D4" s="68"/>
      <c r="E4" s="68"/>
      <c r="F4" s="68"/>
      <c r="G4" s="68"/>
      <c r="H4" s="68"/>
      <c r="I4" s="68"/>
      <c r="J4" s="68"/>
    </row>
    <row r="5" spans="2:10" ht="49.9" customHeight="1">
      <c r="B5" s="44" t="s">
        <v>182</v>
      </c>
      <c r="C5" s="68">
        <v>14</v>
      </c>
      <c r="D5" s="68"/>
      <c r="E5" s="68"/>
      <c r="F5" s="68"/>
      <c r="G5" s="68"/>
      <c r="H5" s="68"/>
      <c r="I5" s="68"/>
      <c r="J5" s="68"/>
    </row>
    <row r="6" spans="2:10" ht="49.9" customHeight="1">
      <c r="B6" s="44" t="s">
        <v>183</v>
      </c>
      <c r="C6" s="68">
        <v>12</v>
      </c>
      <c r="D6" s="68"/>
      <c r="E6" s="68"/>
      <c r="F6" s="68"/>
      <c r="G6" s="68"/>
      <c r="H6" s="68"/>
      <c r="I6" s="68"/>
      <c r="J6" s="68"/>
    </row>
    <row r="7" spans="2:10" ht="49.9" customHeight="1">
      <c r="B7" s="44" t="s">
        <v>184</v>
      </c>
      <c r="C7" s="68">
        <v>150</v>
      </c>
      <c r="D7" s="68"/>
      <c r="E7" s="68"/>
      <c r="F7" s="68"/>
      <c r="G7" s="68"/>
      <c r="H7" s="68"/>
      <c r="I7" s="68"/>
      <c r="J7" s="68"/>
    </row>
    <row r="8" spans="2:10" ht="49.9" customHeight="1">
      <c r="B8" s="44" t="s">
        <v>185</v>
      </c>
      <c r="C8" s="68" t="s">
        <v>186</v>
      </c>
      <c r="D8" s="68"/>
      <c r="E8" s="68"/>
      <c r="F8" s="68"/>
      <c r="G8" s="68"/>
      <c r="H8" s="68"/>
      <c r="I8" s="68"/>
      <c r="J8" s="68"/>
    </row>
    <row r="9" spans="2:10" ht="49.9" customHeight="1">
      <c r="B9" s="44" t="s">
        <v>187</v>
      </c>
      <c r="C9" s="68" t="s">
        <v>186</v>
      </c>
      <c r="D9" s="68"/>
      <c r="E9" s="68"/>
      <c r="F9" s="68"/>
      <c r="G9" s="68"/>
      <c r="H9" s="68"/>
      <c r="I9" s="68"/>
      <c r="J9" s="68"/>
    </row>
    <row r="10" spans="2:10" ht="49.9" customHeight="1">
      <c r="B10" s="62" t="s">
        <v>188</v>
      </c>
      <c r="C10" s="68" t="s">
        <v>189</v>
      </c>
      <c r="D10" s="68"/>
      <c r="E10" s="68"/>
      <c r="F10" s="68"/>
      <c r="G10" s="68"/>
      <c r="H10" s="68"/>
      <c r="I10" s="68"/>
      <c r="J10" s="68"/>
    </row>
    <row r="11" spans="2:10" ht="49.9" customHeight="1">
      <c r="B11" s="44" t="s">
        <v>190</v>
      </c>
      <c r="C11" s="69">
        <v>6</v>
      </c>
      <c r="D11" s="69"/>
      <c r="E11" s="69"/>
      <c r="F11" s="68"/>
      <c r="G11" s="68"/>
      <c r="H11" s="68"/>
      <c r="I11" s="68"/>
      <c r="J11" s="68"/>
    </row>
    <row r="12" spans="2:10" ht="49.9" customHeight="1">
      <c r="B12" s="44" t="s">
        <v>191</v>
      </c>
      <c r="C12" s="70">
        <v>0.02</v>
      </c>
      <c r="D12" s="71"/>
      <c r="E12" s="71"/>
      <c r="F12" s="71"/>
      <c r="G12" s="71"/>
      <c r="H12" s="71"/>
      <c r="I12" s="71"/>
      <c r="J12" s="71"/>
    </row>
    <row r="14" spans="2:10" ht="49.9" customHeight="1">
      <c r="B14" s="86" t="s">
        <v>192</v>
      </c>
      <c r="C14" s="86"/>
      <c r="D14" s="86"/>
    </row>
    <row r="15" spans="2:10" ht="49.9" customHeight="1">
      <c r="B15" s="77" t="s">
        <v>193</v>
      </c>
      <c r="C15" s="86" t="s">
        <v>194</v>
      </c>
      <c r="D15" s="86"/>
    </row>
    <row r="16" spans="2:10" ht="49.9" customHeight="1">
      <c r="B16" s="78" t="s">
        <v>195</v>
      </c>
      <c r="C16" s="87" t="s">
        <v>196</v>
      </c>
      <c r="D16" s="87"/>
    </row>
    <row r="17" spans="2:4" ht="49.9" customHeight="1">
      <c r="B17" s="85" t="s">
        <v>197</v>
      </c>
      <c r="C17" s="85" t="s">
        <v>198</v>
      </c>
      <c r="D17" s="85"/>
    </row>
    <row r="18" spans="2:4" ht="49.9" customHeight="1">
      <c r="B18" s="85"/>
      <c r="C18" s="85" t="s">
        <v>199</v>
      </c>
      <c r="D18" s="85"/>
    </row>
    <row r="19" spans="2:4" ht="49.9" customHeight="1">
      <c r="B19" s="85"/>
      <c r="C19" s="85" t="s">
        <v>200</v>
      </c>
      <c r="D19" s="85"/>
    </row>
    <row r="20" spans="2:4" ht="49.9" customHeight="1">
      <c r="B20" s="85"/>
      <c r="C20" s="85" t="s">
        <v>201</v>
      </c>
      <c r="D20" s="85"/>
    </row>
    <row r="21" spans="2:4" ht="49.9" customHeight="1">
      <c r="B21" s="85" t="s">
        <v>202</v>
      </c>
      <c r="C21" s="85" t="s">
        <v>203</v>
      </c>
      <c r="D21" s="85"/>
    </row>
    <row r="22" spans="2:4" ht="49.9" customHeight="1">
      <c r="B22" s="85"/>
      <c r="C22" s="85" t="s">
        <v>204</v>
      </c>
      <c r="D22" s="85"/>
    </row>
    <row r="23" spans="2:4" ht="49.9" customHeight="1">
      <c r="B23" s="85"/>
      <c r="C23" s="85" t="s">
        <v>205</v>
      </c>
      <c r="D23" s="85"/>
    </row>
    <row r="24" spans="2:4" ht="49.9" customHeight="1">
      <c r="B24" s="85" t="s">
        <v>206</v>
      </c>
      <c r="C24" s="85" t="s">
        <v>207</v>
      </c>
      <c r="D24" s="85"/>
    </row>
    <row r="25" spans="2:4" ht="49.9" customHeight="1">
      <c r="B25" s="85"/>
      <c r="C25" s="85" t="s">
        <v>208</v>
      </c>
      <c r="D25" s="85"/>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disablePrompts="1"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70" zoomScaleNormal="70" workbookViewId="0">
      <selection activeCell="K5" sqref="K5"/>
    </sheetView>
  </sheetViews>
  <sheetFormatPr defaultColWidth="10.75" defaultRowHeight="15"/>
  <cols>
    <col min="1" max="1" width="4.25" style="1" customWidth="1"/>
    <col min="2" max="2" width="51.5" style="1" customWidth="1"/>
    <col min="3" max="9" width="29.25" style="1" customWidth="1"/>
    <col min="10" max="10" width="57.75" style="1" customWidth="1"/>
    <col min="11" max="11" width="102.75" style="1" bestFit="1" customWidth="1"/>
    <col min="12" max="15" width="29.25" style="1" customWidth="1"/>
    <col min="16" max="16384" width="10.75" style="1"/>
  </cols>
  <sheetData>
    <row r="1" spans="2:11" ht="67.150000000000006" customHeight="1">
      <c r="B1" s="33" t="s">
        <v>209</v>
      </c>
    </row>
    <row r="2" spans="2:11" ht="67.150000000000006" customHeight="1">
      <c r="B2" s="32"/>
      <c r="C2" s="77">
        <v>2022</v>
      </c>
      <c r="D2" s="77">
        <v>2023</v>
      </c>
      <c r="E2" s="77">
        <v>2024</v>
      </c>
      <c r="F2" s="77" t="s">
        <v>117</v>
      </c>
      <c r="G2" s="77" t="s">
        <v>118</v>
      </c>
      <c r="H2" s="77" t="s">
        <v>119</v>
      </c>
      <c r="I2" s="77" t="s">
        <v>210</v>
      </c>
      <c r="J2" s="77" t="s">
        <v>211</v>
      </c>
    </row>
    <row r="3" spans="2:11" ht="67.150000000000006" customHeight="1">
      <c r="B3" s="77" t="s">
        <v>212</v>
      </c>
      <c r="C3" s="38"/>
      <c r="D3" s="38"/>
      <c r="E3" s="38"/>
      <c r="F3" s="38">
        <v>6</v>
      </c>
      <c r="G3" s="38">
        <v>6</v>
      </c>
      <c r="H3" s="38"/>
      <c r="I3" s="38"/>
      <c r="J3" s="58"/>
    </row>
    <row r="4" spans="2:11" ht="126">
      <c r="B4" s="35" t="s">
        <v>213</v>
      </c>
      <c r="C4" s="38"/>
      <c r="D4" s="38"/>
      <c r="E4" s="38"/>
      <c r="F4" s="38">
        <v>22</v>
      </c>
      <c r="G4" s="38">
        <v>30</v>
      </c>
      <c r="H4" s="38"/>
      <c r="I4" s="38"/>
      <c r="J4" s="58" t="s">
        <v>214</v>
      </c>
      <c r="K4" s="72" t="s">
        <v>215</v>
      </c>
    </row>
    <row r="5" spans="2:11" ht="67.150000000000006" customHeight="1">
      <c r="B5" s="77" t="s">
        <v>216</v>
      </c>
      <c r="C5" s="38"/>
      <c r="D5" s="38"/>
      <c r="E5" s="38"/>
      <c r="F5" s="38">
        <v>190</v>
      </c>
      <c r="G5" s="38">
        <v>425</v>
      </c>
      <c r="H5" s="38"/>
      <c r="I5" s="38"/>
      <c r="J5" s="58"/>
    </row>
    <row r="6" spans="2:11" ht="67.150000000000006" customHeight="1">
      <c r="B6" s="77" t="s">
        <v>217</v>
      </c>
      <c r="C6" s="38"/>
      <c r="D6" s="38"/>
      <c r="E6" s="38"/>
      <c r="F6" s="38">
        <v>33</v>
      </c>
      <c r="G6" s="38">
        <v>50</v>
      </c>
      <c r="H6" s="38"/>
      <c r="I6" s="38"/>
      <c r="J6" s="58"/>
      <c r="K6" s="4" t="s">
        <v>218</v>
      </c>
    </row>
    <row r="7" spans="2:11" ht="67.150000000000006" customHeight="1">
      <c r="B7" s="77" t="s">
        <v>219</v>
      </c>
      <c r="C7" s="38"/>
      <c r="D7" s="38"/>
      <c r="E7" s="38"/>
      <c r="F7" s="38">
        <v>5</v>
      </c>
      <c r="G7" s="38">
        <v>10</v>
      </c>
      <c r="H7" s="38"/>
      <c r="I7" s="38"/>
      <c r="J7" s="58"/>
    </row>
    <row r="8" spans="2:11" ht="67.150000000000006" customHeight="1">
      <c r="B8" s="77" t="s">
        <v>220</v>
      </c>
      <c r="C8" s="38"/>
      <c r="D8" s="38"/>
      <c r="E8" s="38"/>
      <c r="F8" s="38">
        <v>14</v>
      </c>
      <c r="G8" s="38">
        <v>25</v>
      </c>
      <c r="H8" s="38"/>
      <c r="I8" s="38"/>
      <c r="J8" s="58"/>
    </row>
    <row r="9" spans="2:11" ht="67.150000000000006" customHeight="1">
      <c r="B9" s="77" t="s">
        <v>221</v>
      </c>
      <c r="C9" s="38"/>
      <c r="D9" s="38"/>
      <c r="E9" s="38"/>
      <c r="F9" s="38">
        <v>6</v>
      </c>
      <c r="G9" s="38">
        <v>20</v>
      </c>
      <c r="H9" s="38"/>
      <c r="I9" s="38"/>
      <c r="J9" s="58"/>
    </row>
    <row r="10" spans="2:11" ht="67.150000000000006" customHeight="1">
      <c r="B10" s="35" t="s">
        <v>222</v>
      </c>
      <c r="C10" s="38"/>
      <c r="D10" s="38"/>
      <c r="E10" s="38"/>
      <c r="F10" s="38">
        <v>8</v>
      </c>
      <c r="G10" s="38">
        <v>20</v>
      </c>
      <c r="H10" s="38"/>
      <c r="I10" s="38"/>
      <c r="J10" s="58"/>
    </row>
    <row r="11" spans="2:11" ht="67.150000000000006" customHeight="1">
      <c r="B11" s="77" t="s">
        <v>223</v>
      </c>
      <c r="C11" s="38"/>
      <c r="D11" s="38"/>
      <c r="E11" s="38"/>
      <c r="F11" s="38">
        <v>4</v>
      </c>
      <c r="G11" s="38">
        <v>12</v>
      </c>
      <c r="H11" s="38"/>
      <c r="I11" s="38"/>
      <c r="J11" s="58"/>
    </row>
    <row r="12" spans="2:11" ht="67.150000000000006" customHeight="1">
      <c r="B12" s="77" t="s">
        <v>224</v>
      </c>
      <c r="C12" s="38"/>
      <c r="D12" s="38"/>
      <c r="E12" s="38"/>
      <c r="F12" s="38">
        <v>10</v>
      </c>
      <c r="G12" s="38">
        <v>25</v>
      </c>
      <c r="H12" s="38"/>
      <c r="I12" s="38"/>
      <c r="J12" s="58"/>
    </row>
    <row r="13" spans="2:11" ht="67.150000000000006" customHeight="1">
      <c r="B13" s="77" t="s">
        <v>108</v>
      </c>
      <c r="C13" s="38"/>
      <c r="D13" s="38"/>
      <c r="E13" s="38"/>
      <c r="F13" s="38"/>
      <c r="G13" s="38"/>
      <c r="H13" s="38"/>
      <c r="I13" s="38"/>
      <c r="J13" s="58"/>
    </row>
    <row r="14" spans="2:11" ht="67.150000000000006" customHeight="1">
      <c r="B14" s="77" t="s">
        <v>108</v>
      </c>
      <c r="C14" s="38"/>
      <c r="D14" s="38"/>
      <c r="E14" s="38"/>
      <c r="F14" s="38"/>
      <c r="G14" s="38"/>
      <c r="H14" s="38"/>
      <c r="I14" s="38"/>
      <c r="J14" s="58"/>
    </row>
    <row r="15" spans="2:11" ht="67.150000000000006" customHeight="1">
      <c r="B15" s="77" t="s">
        <v>108</v>
      </c>
      <c r="C15" s="38"/>
      <c r="D15" s="38"/>
      <c r="E15" s="38"/>
      <c r="F15" s="38"/>
      <c r="G15" s="38"/>
      <c r="H15" s="38"/>
      <c r="I15" s="38"/>
      <c r="J15" s="58"/>
    </row>
    <row r="16" spans="2:11" ht="18">
      <c r="B16" s="49" t="s">
        <v>225</v>
      </c>
      <c r="C16" s="50">
        <f t="shared" ref="C16:I16" si="0">SUM(C3:C15)</f>
        <v>0</v>
      </c>
      <c r="D16" s="50">
        <f t="shared" si="0"/>
        <v>0</v>
      </c>
      <c r="E16" s="50">
        <f t="shared" si="0"/>
        <v>0</v>
      </c>
      <c r="F16" s="50">
        <f t="shared" si="0"/>
        <v>298</v>
      </c>
      <c r="G16" s="50">
        <f t="shared" si="0"/>
        <v>623</v>
      </c>
      <c r="H16" s="50">
        <f t="shared" si="0"/>
        <v>0</v>
      </c>
      <c r="I16" s="50">
        <f t="shared" si="0"/>
        <v>0</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topLeftCell="A4" workbookViewId="0">
      <selection activeCell="L26" sqref="L26"/>
    </sheetView>
  </sheetViews>
  <sheetFormatPr defaultColWidth="10.75" defaultRowHeight="15.6"/>
  <cols>
    <col min="1" max="1" width="5.25" customWidth="1"/>
    <col min="2" max="2" width="34.5" customWidth="1"/>
  </cols>
  <sheetData>
    <row r="2" spans="2:11" ht="46.9" customHeight="1">
      <c r="B2" s="88" t="s">
        <v>226</v>
      </c>
      <c r="C2" s="88"/>
      <c r="D2" s="88"/>
      <c r="E2" s="88"/>
      <c r="F2" s="88"/>
      <c r="G2" s="88"/>
      <c r="H2" s="88"/>
      <c r="I2" s="88"/>
      <c r="J2" s="88"/>
      <c r="K2" s="88"/>
    </row>
    <row r="3" spans="2:11" ht="46.9" customHeight="1">
      <c r="B3" s="88"/>
      <c r="C3" s="88"/>
      <c r="D3" s="88"/>
      <c r="E3" s="88"/>
      <c r="F3" s="88"/>
      <c r="G3" s="88"/>
      <c r="H3" s="88"/>
      <c r="I3" s="88"/>
      <c r="J3" s="88"/>
      <c r="K3" s="88"/>
    </row>
    <row r="4" spans="2:11" ht="46.9" customHeight="1">
      <c r="B4" s="88"/>
      <c r="C4" s="88"/>
      <c r="D4" s="88"/>
      <c r="E4" s="88"/>
      <c r="F4" s="88"/>
      <c r="G4" s="88"/>
      <c r="H4" s="88"/>
      <c r="I4" s="88"/>
      <c r="J4" s="88"/>
      <c r="K4" s="88"/>
    </row>
    <row r="5" spans="2:11" ht="46.9" customHeight="1">
      <c r="B5" s="88"/>
      <c r="C5" s="88"/>
      <c r="D5" s="88"/>
      <c r="E5" s="88"/>
      <c r="F5" s="88"/>
      <c r="G5" s="88"/>
      <c r="H5" s="88"/>
      <c r="I5" s="88"/>
      <c r="J5" s="88"/>
      <c r="K5" s="88"/>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70" zoomScaleNormal="70" workbookViewId="0">
      <pane xSplit="2" ySplit="3" topLeftCell="C13" activePane="bottomRight" state="frozen"/>
      <selection pane="bottomRight" activeCell="C18" sqref="C18"/>
      <selection pane="bottomLeft" activeCell="A4" sqref="A4"/>
      <selection pane="topRight" activeCell="C1" sqref="C1"/>
    </sheetView>
  </sheetViews>
  <sheetFormatPr defaultColWidth="11.25" defaultRowHeight="15.6"/>
  <cols>
    <col min="1" max="1" width="4.25" style="1" customWidth="1"/>
    <col min="2" max="2" width="51.5" style="1" customWidth="1"/>
    <col min="3" max="22" width="29.25" style="1" customWidth="1"/>
    <col min="23" max="23" width="57.75" style="1" customWidth="1"/>
  </cols>
  <sheetData>
    <row r="1" spans="2:23" ht="60" customHeight="1">
      <c r="B1" s="33" t="s">
        <v>227</v>
      </c>
    </row>
    <row r="2" spans="2:23" ht="60" customHeight="1">
      <c r="B2" s="63" t="s">
        <v>228</v>
      </c>
      <c r="C2" s="89" t="s">
        <v>229</v>
      </c>
      <c r="D2" s="89"/>
      <c r="E2" s="89"/>
      <c r="F2" s="89"/>
      <c r="G2" s="89" t="s">
        <v>230</v>
      </c>
      <c r="H2" s="89"/>
      <c r="I2" s="89"/>
      <c r="J2" s="89"/>
      <c r="K2" s="89"/>
      <c r="L2" s="89" t="s">
        <v>231</v>
      </c>
      <c r="M2" s="89"/>
      <c r="N2" s="89"/>
      <c r="O2" s="89"/>
      <c r="P2" s="89"/>
      <c r="Q2" s="89"/>
      <c r="R2" s="89"/>
      <c r="S2" s="89" t="s">
        <v>232</v>
      </c>
      <c r="T2" s="89"/>
      <c r="U2" s="89"/>
      <c r="V2" s="89"/>
    </row>
    <row r="3" spans="2:23" ht="60" customHeight="1">
      <c r="B3" s="77" t="s">
        <v>233</v>
      </c>
      <c r="C3" s="64" t="s">
        <v>234</v>
      </c>
      <c r="D3" s="64" t="s">
        <v>235</v>
      </c>
      <c r="E3" s="64" t="s">
        <v>236</v>
      </c>
      <c r="F3" s="64" t="s">
        <v>237</v>
      </c>
      <c r="G3" s="64" t="s">
        <v>238</v>
      </c>
      <c r="H3" s="64" t="s">
        <v>239</v>
      </c>
      <c r="I3" s="64" t="s">
        <v>240</v>
      </c>
      <c r="J3" s="64" t="s">
        <v>241</v>
      </c>
      <c r="K3" s="64" t="s">
        <v>143</v>
      </c>
      <c r="L3" s="64" t="s">
        <v>242</v>
      </c>
      <c r="M3" s="65" t="s">
        <v>243</v>
      </c>
      <c r="N3" s="64" t="s">
        <v>244</v>
      </c>
      <c r="O3" s="64" t="s">
        <v>245</v>
      </c>
      <c r="P3" s="64" t="s">
        <v>246</v>
      </c>
      <c r="Q3" s="64" t="s">
        <v>247</v>
      </c>
      <c r="R3" s="64" t="s">
        <v>248</v>
      </c>
      <c r="S3" s="64" t="s">
        <v>249</v>
      </c>
      <c r="T3" s="64" t="s">
        <v>250</v>
      </c>
      <c r="U3" s="64" t="s">
        <v>251</v>
      </c>
      <c r="V3" s="64" t="s">
        <v>252</v>
      </c>
      <c r="W3" s="77" t="s">
        <v>211</v>
      </c>
    </row>
    <row r="4" spans="2:23" ht="60" customHeight="1">
      <c r="B4" s="77" t="s">
        <v>253</v>
      </c>
      <c r="C4" s="38" t="s">
        <v>45</v>
      </c>
      <c r="D4" s="38" t="s">
        <v>45</v>
      </c>
      <c r="E4" s="38" t="s">
        <v>45</v>
      </c>
      <c r="F4" s="38" t="s">
        <v>45</v>
      </c>
      <c r="G4" s="38" t="s">
        <v>45</v>
      </c>
      <c r="H4" s="38" t="s">
        <v>45</v>
      </c>
      <c r="I4" s="38" t="s">
        <v>45</v>
      </c>
      <c r="J4" s="38"/>
      <c r="K4" s="38" t="s">
        <v>45</v>
      </c>
      <c r="L4" s="38" t="s">
        <v>45</v>
      </c>
      <c r="M4" s="38" t="s">
        <v>45</v>
      </c>
      <c r="N4" s="38" t="s">
        <v>45</v>
      </c>
      <c r="O4" s="38" t="s">
        <v>45</v>
      </c>
      <c r="P4" s="38" t="s">
        <v>45</v>
      </c>
      <c r="Q4" s="38" t="s">
        <v>45</v>
      </c>
      <c r="R4" s="38" t="s">
        <v>45</v>
      </c>
      <c r="S4" s="38" t="s">
        <v>45</v>
      </c>
      <c r="T4" s="38" t="s">
        <v>45</v>
      </c>
      <c r="U4" s="38" t="s">
        <v>152</v>
      </c>
      <c r="V4" s="38" t="s">
        <v>45</v>
      </c>
      <c r="W4" s="58"/>
    </row>
    <row r="5" spans="2:23" ht="60" customHeight="1">
      <c r="B5" s="35" t="s">
        <v>254</v>
      </c>
      <c r="C5" s="38" t="s">
        <v>255</v>
      </c>
      <c r="D5" s="38" t="s">
        <v>256</v>
      </c>
      <c r="E5" s="38" t="s">
        <v>256</v>
      </c>
      <c r="F5" s="38" t="s">
        <v>255</v>
      </c>
      <c r="G5" s="38" t="s">
        <v>256</v>
      </c>
      <c r="H5" s="38" t="s">
        <v>256</v>
      </c>
      <c r="I5" s="38" t="s">
        <v>256</v>
      </c>
      <c r="J5" s="38"/>
      <c r="K5" s="38" t="s">
        <v>255</v>
      </c>
      <c r="L5" s="38" t="s">
        <v>186</v>
      </c>
      <c r="M5" s="38" t="s">
        <v>186</v>
      </c>
      <c r="N5" s="38" t="s">
        <v>256</v>
      </c>
      <c r="O5" s="38" t="s">
        <v>256</v>
      </c>
      <c r="P5" s="38" t="s">
        <v>256</v>
      </c>
      <c r="Q5" s="38" t="s">
        <v>186</v>
      </c>
      <c r="R5" s="38" t="s">
        <v>186</v>
      </c>
      <c r="S5" s="38" t="s">
        <v>256</v>
      </c>
      <c r="T5" s="38" t="s">
        <v>186</v>
      </c>
      <c r="U5" s="38" t="s">
        <v>257</v>
      </c>
      <c r="V5" s="38" t="s">
        <v>256</v>
      </c>
      <c r="W5" s="58"/>
    </row>
    <row r="6" spans="2:23" ht="60" customHeight="1">
      <c r="B6" s="35" t="s">
        <v>258</v>
      </c>
      <c r="C6" s="38" t="s">
        <v>152</v>
      </c>
      <c r="D6" s="38" t="s">
        <v>152</v>
      </c>
      <c r="E6" s="38" t="s">
        <v>152</v>
      </c>
      <c r="F6" s="38" t="s">
        <v>152</v>
      </c>
      <c r="G6" s="38" t="s">
        <v>152</v>
      </c>
      <c r="H6" s="38" t="s">
        <v>45</v>
      </c>
      <c r="I6" s="38" t="s">
        <v>45</v>
      </c>
      <c r="J6" s="38"/>
      <c r="K6" s="38" t="s">
        <v>152</v>
      </c>
      <c r="L6" s="38" t="s">
        <v>45</v>
      </c>
      <c r="M6" s="38" t="s">
        <v>45</v>
      </c>
      <c r="N6" s="38" t="s">
        <v>45</v>
      </c>
      <c r="O6" s="38" t="s">
        <v>45</v>
      </c>
      <c r="P6" s="38" t="s">
        <v>45</v>
      </c>
      <c r="Q6" s="38" t="s">
        <v>45</v>
      </c>
      <c r="R6" s="38" t="s">
        <v>45</v>
      </c>
      <c r="S6" s="38" t="s">
        <v>45</v>
      </c>
      <c r="T6" s="38" t="s">
        <v>45</v>
      </c>
      <c r="U6" s="38" t="s">
        <v>45</v>
      </c>
      <c r="V6" s="38" t="s">
        <v>45</v>
      </c>
      <c r="W6" s="58" t="s">
        <v>259</v>
      </c>
    </row>
    <row r="7" spans="2:23" ht="60" customHeight="1">
      <c r="B7" s="35" t="s">
        <v>260</v>
      </c>
      <c r="C7" s="38" t="s">
        <v>261</v>
      </c>
      <c r="D7" s="38" t="s">
        <v>262</v>
      </c>
      <c r="E7" s="38" t="s">
        <v>262</v>
      </c>
      <c r="F7" s="38" t="s">
        <v>263</v>
      </c>
      <c r="G7" s="38" t="s">
        <v>257</v>
      </c>
      <c r="H7" s="38" t="s">
        <v>257</v>
      </c>
      <c r="I7" s="38" t="s">
        <v>257</v>
      </c>
      <c r="J7" s="38"/>
      <c r="K7" s="38" t="s">
        <v>264</v>
      </c>
      <c r="L7" s="38" t="s">
        <v>257</v>
      </c>
      <c r="M7" s="38" t="s">
        <v>257</v>
      </c>
      <c r="N7" s="38" t="s">
        <v>257</v>
      </c>
      <c r="O7" s="38" t="s">
        <v>257</v>
      </c>
      <c r="P7" s="38" t="s">
        <v>257</v>
      </c>
      <c r="Q7" s="38" t="s">
        <v>257</v>
      </c>
      <c r="R7" s="38" t="s">
        <v>257</v>
      </c>
      <c r="S7" s="38" t="s">
        <v>265</v>
      </c>
      <c r="T7" s="38" t="s">
        <v>257</v>
      </c>
      <c r="U7" s="38" t="s">
        <v>257</v>
      </c>
      <c r="V7" s="38" t="s">
        <v>257</v>
      </c>
      <c r="W7" s="58"/>
    </row>
    <row r="8" spans="2:23" ht="60" customHeight="1">
      <c r="B8" s="35" t="s">
        <v>266</v>
      </c>
      <c r="C8" s="38">
        <v>298</v>
      </c>
      <c r="D8" s="38"/>
      <c r="E8" s="38"/>
      <c r="F8" s="38"/>
      <c r="G8" s="38"/>
      <c r="H8" s="38"/>
      <c r="I8" s="38"/>
      <c r="J8" s="38"/>
      <c r="K8" s="38"/>
      <c r="L8" s="38"/>
      <c r="M8" s="38"/>
      <c r="N8" s="38"/>
      <c r="O8" s="38"/>
      <c r="P8" s="38"/>
      <c r="Q8" s="38"/>
      <c r="R8" s="38"/>
      <c r="S8" s="38"/>
      <c r="T8" s="38"/>
      <c r="U8" s="38"/>
      <c r="V8" s="38"/>
      <c r="W8" s="58" t="s">
        <v>267</v>
      </c>
    </row>
    <row r="9" spans="2:23" ht="60" customHeight="1">
      <c r="B9" s="35" t="s">
        <v>268</v>
      </c>
      <c r="C9" s="38" t="s">
        <v>264</v>
      </c>
      <c r="D9" s="38" t="s">
        <v>262</v>
      </c>
      <c r="E9" s="38" t="s">
        <v>269</v>
      </c>
      <c r="F9" s="38" t="s">
        <v>263</v>
      </c>
      <c r="G9" s="38" t="s">
        <v>257</v>
      </c>
      <c r="H9" s="38" t="s">
        <v>257</v>
      </c>
      <c r="I9" s="38" t="s">
        <v>257</v>
      </c>
      <c r="J9" s="38"/>
      <c r="K9" s="38" t="s">
        <v>264</v>
      </c>
      <c r="L9" s="38"/>
      <c r="M9" s="38"/>
      <c r="N9" s="38"/>
      <c r="O9" s="38"/>
      <c r="P9" s="38"/>
      <c r="Q9" s="38"/>
      <c r="R9" s="38"/>
      <c r="S9" s="38" t="s">
        <v>265</v>
      </c>
      <c r="T9" s="38"/>
      <c r="U9" s="38"/>
      <c r="V9" s="38"/>
      <c r="W9" s="58"/>
    </row>
    <row r="10" spans="2:23" ht="60" customHeight="1">
      <c r="B10" s="35" t="s">
        <v>270</v>
      </c>
      <c r="C10" s="38"/>
      <c r="D10" s="38"/>
      <c r="E10" s="38"/>
      <c r="F10" s="38"/>
      <c r="G10" s="38"/>
      <c r="H10" s="38"/>
      <c r="I10" s="38"/>
      <c r="J10" s="38"/>
      <c r="K10" s="38" t="s">
        <v>271</v>
      </c>
      <c r="L10" s="38"/>
      <c r="M10" s="38"/>
      <c r="N10" s="38"/>
      <c r="O10" s="38"/>
      <c r="P10" s="38"/>
      <c r="Q10" s="38"/>
      <c r="R10" s="38"/>
      <c r="S10" s="38"/>
      <c r="T10" s="38"/>
      <c r="U10" s="38"/>
      <c r="V10" s="38"/>
      <c r="W10" s="58" t="s">
        <v>272</v>
      </c>
    </row>
    <row r="11" spans="2:23" ht="60" customHeight="1">
      <c r="B11" s="35" t="s">
        <v>273</v>
      </c>
      <c r="C11" s="38" t="s">
        <v>274</v>
      </c>
      <c r="D11" s="38" t="s">
        <v>274</v>
      </c>
      <c r="E11" s="38" t="s">
        <v>275</v>
      </c>
      <c r="F11" s="38" t="s">
        <v>276</v>
      </c>
      <c r="G11" s="66" t="s">
        <v>277</v>
      </c>
      <c r="H11" s="38" t="s">
        <v>277</v>
      </c>
      <c r="I11" s="38" t="s">
        <v>277</v>
      </c>
      <c r="J11" s="38"/>
      <c r="K11" s="38" t="s">
        <v>277</v>
      </c>
      <c r="L11" s="38" t="s">
        <v>277</v>
      </c>
      <c r="M11" s="38" t="s">
        <v>277</v>
      </c>
      <c r="N11" s="38" t="s">
        <v>277</v>
      </c>
      <c r="O11" s="38" t="s">
        <v>277</v>
      </c>
      <c r="P11" s="38" t="s">
        <v>277</v>
      </c>
      <c r="Q11" s="38" t="s">
        <v>277</v>
      </c>
      <c r="R11" s="38" t="s">
        <v>277</v>
      </c>
      <c r="S11" s="38" t="s">
        <v>277</v>
      </c>
      <c r="T11" s="38" t="s">
        <v>277</v>
      </c>
      <c r="U11" s="38" t="s">
        <v>277</v>
      </c>
      <c r="V11" s="38" t="s">
        <v>277</v>
      </c>
      <c r="W11" s="58"/>
    </row>
    <row r="12" spans="2:23" ht="60" customHeight="1">
      <c r="B12" s="77" t="s">
        <v>278</v>
      </c>
      <c r="C12" s="38" t="s">
        <v>279</v>
      </c>
      <c r="D12" s="38" t="s">
        <v>279</v>
      </c>
      <c r="E12" s="38" t="s">
        <v>279</v>
      </c>
      <c r="F12" s="38" t="s">
        <v>280</v>
      </c>
      <c r="G12" s="38" t="s">
        <v>280</v>
      </c>
      <c r="H12" s="38" t="s">
        <v>280</v>
      </c>
      <c r="I12" s="38" t="s">
        <v>280</v>
      </c>
      <c r="J12" s="38"/>
      <c r="K12" s="38" t="s">
        <v>280</v>
      </c>
      <c r="L12" s="38" t="s">
        <v>280</v>
      </c>
      <c r="M12" s="38" t="s">
        <v>280</v>
      </c>
      <c r="N12" s="38" t="s">
        <v>280</v>
      </c>
      <c r="O12" s="38" t="s">
        <v>280</v>
      </c>
      <c r="P12" s="38" t="s">
        <v>280</v>
      </c>
      <c r="Q12" s="38" t="s">
        <v>280</v>
      </c>
      <c r="R12" s="38" t="s">
        <v>280</v>
      </c>
      <c r="S12" s="38" t="s">
        <v>280</v>
      </c>
      <c r="T12" s="38" t="s">
        <v>280</v>
      </c>
      <c r="U12" s="38" t="s">
        <v>280</v>
      </c>
      <c r="V12" s="38" t="s">
        <v>280</v>
      </c>
      <c r="W12" s="58"/>
    </row>
    <row r="13" spans="2:23" ht="60" customHeight="1">
      <c r="B13" s="35" t="s">
        <v>281</v>
      </c>
      <c r="C13" s="38" t="s">
        <v>282</v>
      </c>
      <c r="D13" s="38" t="s">
        <v>282</v>
      </c>
      <c r="E13" s="38" t="s">
        <v>282</v>
      </c>
      <c r="F13" s="38" t="s">
        <v>282</v>
      </c>
      <c r="G13" s="38"/>
      <c r="H13" s="38"/>
      <c r="I13" s="38"/>
      <c r="J13" s="38"/>
      <c r="K13" s="38" t="s">
        <v>282</v>
      </c>
      <c r="L13" s="38"/>
      <c r="M13" s="38"/>
      <c r="N13" s="38"/>
      <c r="O13" s="38"/>
      <c r="P13" s="38"/>
      <c r="Q13" s="38"/>
      <c r="R13" s="38"/>
      <c r="S13" s="38"/>
      <c r="T13" s="38"/>
      <c r="U13" s="38"/>
      <c r="V13" s="38"/>
      <c r="W13" s="58"/>
    </row>
    <row r="14" spans="2:23" ht="60" customHeight="1">
      <c r="B14" s="77" t="s">
        <v>283</v>
      </c>
      <c r="C14" s="38" t="s">
        <v>284</v>
      </c>
      <c r="D14" s="38" t="s">
        <v>284</v>
      </c>
      <c r="E14" s="38" t="s">
        <v>284</v>
      </c>
      <c r="F14" s="38" t="s">
        <v>284</v>
      </c>
      <c r="G14" s="38" t="s">
        <v>284</v>
      </c>
      <c r="H14" s="38" t="s">
        <v>284</v>
      </c>
      <c r="I14" s="38" t="s">
        <v>284</v>
      </c>
      <c r="J14" s="38"/>
      <c r="K14" s="38" t="s">
        <v>284</v>
      </c>
      <c r="L14" s="38" t="s">
        <v>284</v>
      </c>
      <c r="M14" s="38" t="s">
        <v>284</v>
      </c>
      <c r="N14" s="38" t="s">
        <v>284</v>
      </c>
      <c r="O14" s="38" t="s">
        <v>284</v>
      </c>
      <c r="P14" s="38" t="s">
        <v>284</v>
      </c>
      <c r="Q14" s="38" t="s">
        <v>284</v>
      </c>
      <c r="R14" s="38" t="s">
        <v>284</v>
      </c>
      <c r="S14" s="38" t="s">
        <v>284</v>
      </c>
      <c r="T14" s="38" t="s">
        <v>284</v>
      </c>
      <c r="U14" s="38" t="s">
        <v>284</v>
      </c>
      <c r="V14" s="38" t="s">
        <v>284</v>
      </c>
      <c r="W14" s="58"/>
    </row>
    <row r="15" spans="2:23" ht="60" customHeight="1">
      <c r="B15" s="77" t="s">
        <v>285</v>
      </c>
      <c r="C15" s="38" t="s">
        <v>257</v>
      </c>
      <c r="D15" s="38" t="s">
        <v>257</v>
      </c>
      <c r="E15" s="38" t="s">
        <v>257</v>
      </c>
      <c r="F15" s="38" t="s">
        <v>257</v>
      </c>
      <c r="G15" s="38" t="s">
        <v>257</v>
      </c>
      <c r="H15" s="38" t="s">
        <v>257</v>
      </c>
      <c r="I15" s="38" t="s">
        <v>257</v>
      </c>
      <c r="J15" s="38"/>
      <c r="K15" s="38" t="s">
        <v>257</v>
      </c>
      <c r="L15" s="38" t="s">
        <v>257</v>
      </c>
      <c r="M15" s="38" t="s">
        <v>257</v>
      </c>
      <c r="N15" s="38" t="s">
        <v>257</v>
      </c>
      <c r="O15" s="38" t="s">
        <v>257</v>
      </c>
      <c r="P15" s="38" t="s">
        <v>257</v>
      </c>
      <c r="Q15" s="38" t="s">
        <v>257</v>
      </c>
      <c r="R15" s="38" t="s">
        <v>257</v>
      </c>
      <c r="S15" s="38" t="s">
        <v>257</v>
      </c>
      <c r="T15" s="38" t="s">
        <v>257</v>
      </c>
      <c r="U15" s="38" t="s">
        <v>257</v>
      </c>
      <c r="V15" s="38" t="s">
        <v>257</v>
      </c>
      <c r="W15" s="58"/>
    </row>
    <row r="16" spans="2:23" ht="60" customHeight="1">
      <c r="B16" s="35" t="s">
        <v>286</v>
      </c>
      <c r="C16" s="38" t="s">
        <v>282</v>
      </c>
      <c r="D16" s="38" t="s">
        <v>282</v>
      </c>
      <c r="E16" s="38" t="s">
        <v>282</v>
      </c>
      <c r="F16" s="38" t="s">
        <v>287</v>
      </c>
      <c r="G16" s="38" t="s">
        <v>257</v>
      </c>
      <c r="H16" s="38" t="s">
        <v>257</v>
      </c>
      <c r="I16" s="38" t="s">
        <v>257</v>
      </c>
      <c r="J16" s="38"/>
      <c r="K16" s="38" t="s">
        <v>287</v>
      </c>
      <c r="L16" s="38" t="s">
        <v>257</v>
      </c>
      <c r="M16" s="38" t="s">
        <v>257</v>
      </c>
      <c r="N16" s="38" t="s">
        <v>257</v>
      </c>
      <c r="O16" s="38" t="s">
        <v>257</v>
      </c>
      <c r="P16" s="38" t="s">
        <v>257</v>
      </c>
      <c r="Q16" s="38" t="s">
        <v>257</v>
      </c>
      <c r="R16" s="38" t="s">
        <v>257</v>
      </c>
      <c r="S16" s="38" t="s">
        <v>257</v>
      </c>
      <c r="T16" s="38" t="s">
        <v>257</v>
      </c>
      <c r="U16" s="38" t="s">
        <v>257</v>
      </c>
      <c r="V16" s="38" t="s">
        <v>257</v>
      </c>
      <c r="W16" s="58"/>
    </row>
    <row r="17" spans="2:23" ht="60" customHeight="1">
      <c r="B17" s="77" t="s">
        <v>288</v>
      </c>
      <c r="C17" s="38" t="s">
        <v>289</v>
      </c>
      <c r="D17" s="38" t="s">
        <v>289</v>
      </c>
      <c r="E17" s="38" t="s">
        <v>289</v>
      </c>
      <c r="F17" s="38" t="s">
        <v>289</v>
      </c>
      <c r="G17" s="38" t="s">
        <v>289</v>
      </c>
      <c r="H17" s="38" t="s">
        <v>289</v>
      </c>
      <c r="I17" s="38" t="s">
        <v>289</v>
      </c>
      <c r="J17" s="38"/>
      <c r="K17" s="38" t="s">
        <v>289</v>
      </c>
      <c r="L17" s="38" t="s">
        <v>289</v>
      </c>
      <c r="M17" s="38" t="s">
        <v>289</v>
      </c>
      <c r="N17" s="38" t="s">
        <v>289</v>
      </c>
      <c r="O17" s="38" t="s">
        <v>289</v>
      </c>
      <c r="P17" s="38" t="s">
        <v>289</v>
      </c>
      <c r="Q17" s="38" t="s">
        <v>289</v>
      </c>
      <c r="R17" s="38" t="s">
        <v>289</v>
      </c>
      <c r="S17" s="38" t="s">
        <v>289</v>
      </c>
      <c r="T17" s="38" t="s">
        <v>289</v>
      </c>
      <c r="U17" s="38" t="s">
        <v>289</v>
      </c>
      <c r="V17" s="38" t="s">
        <v>289</v>
      </c>
      <c r="W17" s="58"/>
    </row>
    <row r="18" spans="2:23" ht="60" customHeight="1">
      <c r="B18" s="77" t="s">
        <v>290</v>
      </c>
      <c r="C18" s="38" t="s">
        <v>291</v>
      </c>
      <c r="D18" s="38" t="s">
        <v>291</v>
      </c>
      <c r="E18" s="38" t="s">
        <v>291</v>
      </c>
      <c r="F18" s="38" t="s">
        <v>291</v>
      </c>
      <c r="G18" s="38" t="s">
        <v>291</v>
      </c>
      <c r="H18" s="38" t="s">
        <v>291</v>
      </c>
      <c r="I18" s="38" t="s">
        <v>291</v>
      </c>
      <c r="J18" s="38"/>
      <c r="K18" s="38" t="s">
        <v>291</v>
      </c>
      <c r="L18" s="38" t="s">
        <v>291</v>
      </c>
      <c r="M18" s="38" t="s">
        <v>291</v>
      </c>
      <c r="N18" s="38" t="s">
        <v>291</v>
      </c>
      <c r="O18" s="38" t="s">
        <v>291</v>
      </c>
      <c r="P18" s="38" t="s">
        <v>291</v>
      </c>
      <c r="Q18" s="38" t="s">
        <v>291</v>
      </c>
      <c r="R18" s="38" t="s">
        <v>291</v>
      </c>
      <c r="S18" s="38" t="s">
        <v>291</v>
      </c>
      <c r="T18" s="38" t="s">
        <v>291</v>
      </c>
      <c r="U18" s="38" t="s">
        <v>291</v>
      </c>
      <c r="V18" s="38" t="s">
        <v>291</v>
      </c>
      <c r="W18" s="58"/>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phoneticPr fontId="30" type="noConversion"/>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opLeftCell="A5" workbookViewId="0">
      <selection activeCell="J20" sqref="J20"/>
    </sheetView>
  </sheetViews>
  <sheetFormatPr defaultColWidth="10.75" defaultRowHeight="15.6"/>
  <cols>
    <col min="1" max="1" width="5.5" customWidth="1"/>
    <col min="5" max="5" width="37.25" bestFit="1" customWidth="1"/>
    <col min="6" max="6" width="30.375" bestFit="1" customWidth="1"/>
    <col min="7" max="7" width="39.5" customWidth="1"/>
  </cols>
  <sheetData>
    <row r="3" spans="2:11" ht="34.15" customHeight="1">
      <c r="B3" s="88" t="s">
        <v>292</v>
      </c>
      <c r="C3" s="88"/>
      <c r="D3" s="88"/>
      <c r="E3" s="88"/>
      <c r="F3" s="88"/>
      <c r="G3" s="88"/>
      <c r="H3" s="88"/>
      <c r="I3" s="88"/>
      <c r="J3" s="88"/>
      <c r="K3" s="88"/>
    </row>
    <row r="4" spans="2:11" ht="34.15" customHeight="1">
      <c r="B4" s="88"/>
      <c r="C4" s="88"/>
      <c r="D4" s="88"/>
      <c r="E4" s="88"/>
      <c r="F4" s="88"/>
      <c r="G4" s="88"/>
      <c r="H4" s="88"/>
      <c r="I4" s="88"/>
      <c r="J4" s="88"/>
      <c r="K4" s="88"/>
    </row>
    <row r="5" spans="2:11" ht="34.15" customHeight="1">
      <c r="B5" s="88"/>
      <c r="C5" s="88"/>
      <c r="D5" s="88"/>
      <c r="E5" s="88"/>
      <c r="F5" s="88"/>
      <c r="G5" s="88"/>
      <c r="H5" s="88"/>
      <c r="I5" s="88"/>
      <c r="J5" s="88"/>
      <c r="K5" s="88"/>
    </row>
    <row r="6" spans="2:11" ht="34.15" customHeight="1">
      <c r="B6" s="88"/>
      <c r="C6" s="88"/>
      <c r="D6" s="88"/>
      <c r="E6" s="88"/>
      <c r="F6" s="88"/>
      <c r="G6" s="88"/>
      <c r="H6" s="88"/>
      <c r="I6" s="88"/>
      <c r="J6" s="88"/>
      <c r="K6" s="88"/>
    </row>
    <row r="10" spans="2:11" ht="27" customHeight="1">
      <c r="D10" s="74" t="s">
        <v>293</v>
      </c>
      <c r="E10" s="74" t="s">
        <v>294</v>
      </c>
      <c r="F10" s="74" t="s">
        <v>295</v>
      </c>
      <c r="G10" s="74" t="s">
        <v>296</v>
      </c>
    </row>
    <row r="11" spans="2:11" ht="30.6" customHeight="1">
      <c r="D11" s="73">
        <v>1</v>
      </c>
      <c r="E11" s="76" t="s">
        <v>297</v>
      </c>
      <c r="F11" s="76" t="s">
        <v>298</v>
      </c>
      <c r="G11" s="76" t="s">
        <v>299</v>
      </c>
    </row>
    <row r="12" spans="2:11" ht="30.6" customHeight="1">
      <c r="B12" s="55"/>
      <c r="D12" s="73">
        <v>2</v>
      </c>
      <c r="E12" s="76" t="s">
        <v>300</v>
      </c>
      <c r="F12" s="76" t="s">
        <v>301</v>
      </c>
      <c r="G12" s="76" t="s">
        <v>302</v>
      </c>
    </row>
    <row r="13" spans="2:11" ht="30.6" customHeight="1">
      <c r="D13" s="73">
        <v>3</v>
      </c>
      <c r="E13" s="76" t="s">
        <v>303</v>
      </c>
      <c r="F13" s="76" t="s">
        <v>304</v>
      </c>
      <c r="G13" s="76" t="s">
        <v>305</v>
      </c>
    </row>
    <row r="14" spans="2:11" ht="30.6" customHeight="1">
      <c r="D14" s="73">
        <v>4</v>
      </c>
      <c r="E14" s="76" t="s">
        <v>306</v>
      </c>
      <c r="F14" s="76" t="s">
        <v>307</v>
      </c>
      <c r="G14" s="76" t="s">
        <v>308</v>
      </c>
    </row>
    <row r="15" spans="2:11" ht="30.6" customHeight="1">
      <c r="B15" s="55"/>
      <c r="D15" s="73">
        <v>5</v>
      </c>
      <c r="E15" s="76" t="s">
        <v>309</v>
      </c>
      <c r="F15" s="76" t="s">
        <v>310</v>
      </c>
      <c r="G15" s="76" t="s">
        <v>311</v>
      </c>
    </row>
    <row r="16" spans="2:11" ht="30.6" customHeight="1">
      <c r="D16" s="73">
        <v>6</v>
      </c>
      <c r="E16" s="76" t="s">
        <v>312</v>
      </c>
      <c r="F16" s="76" t="s">
        <v>313</v>
      </c>
      <c r="G16" s="76" t="s">
        <v>314</v>
      </c>
    </row>
    <row r="18" spans="2:2">
      <c r="B18" s="55"/>
    </row>
    <row r="21" spans="2:2">
      <c r="B21" s="55"/>
    </row>
    <row r="24" spans="2:2">
      <c r="B24" s="55"/>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opLeftCell="B1" zoomScaleNormal="100" workbookViewId="0">
      <selection activeCell="B9" sqref="B9"/>
    </sheetView>
  </sheetViews>
  <sheetFormatPr defaultColWidth="10.75" defaultRowHeight="20.45"/>
  <cols>
    <col min="1" max="1" width="4.25" style="52" customWidth="1"/>
    <col min="2" max="2" width="200.75" style="10" customWidth="1"/>
    <col min="3" max="3" width="67.5" style="13" customWidth="1"/>
    <col min="4" max="16384" width="10.75" style="46"/>
  </cols>
  <sheetData>
    <row r="2" spans="2:4" ht="21">
      <c r="B2" s="8" t="s">
        <v>315</v>
      </c>
      <c r="C2" s="11"/>
    </row>
    <row r="3" spans="2:4" ht="21">
      <c r="B3" s="40" t="s">
        <v>316</v>
      </c>
      <c r="C3" s="54"/>
    </row>
    <row r="4" spans="2:4" ht="21">
      <c r="B4" s="53" t="s">
        <v>317</v>
      </c>
      <c r="C4" s="54"/>
    </row>
    <row r="5" spans="2:4" ht="81.599999999999994">
      <c r="B5" s="51" t="s">
        <v>318</v>
      </c>
      <c r="C5" s="45"/>
      <c r="D5" s="47" t="s">
        <v>319</v>
      </c>
    </row>
    <row r="6" spans="2:4" ht="21">
      <c r="B6" s="53" t="s">
        <v>320</v>
      </c>
      <c r="C6" s="54"/>
      <c r="D6" s="47"/>
    </row>
    <row r="7" spans="2:4" ht="61.15">
      <c r="B7" s="51" t="s">
        <v>321</v>
      </c>
      <c r="C7" s="45"/>
      <c r="D7" s="47" t="s">
        <v>322</v>
      </c>
    </row>
    <row r="8" spans="2:4" ht="21">
      <c r="B8" s="53" t="s">
        <v>323</v>
      </c>
      <c r="C8" s="54"/>
    </row>
    <row r="9" spans="2:4" ht="61.15">
      <c r="B9" s="51" t="s">
        <v>324</v>
      </c>
      <c r="C9" s="45"/>
    </row>
    <row r="10" spans="2:4" ht="21">
      <c r="B10" s="53" t="s">
        <v>325</v>
      </c>
      <c r="C10" s="54"/>
    </row>
    <row r="11" spans="2:4" ht="61.15">
      <c r="B11" s="51" t="s">
        <v>326</v>
      </c>
      <c r="C11" s="45"/>
    </row>
    <row r="12" spans="2:4" ht="21">
      <c r="B12" s="40" t="s">
        <v>327</v>
      </c>
      <c r="C12" s="54"/>
    </row>
    <row r="13" spans="2:4" ht="21">
      <c r="B13" s="53" t="s">
        <v>328</v>
      </c>
      <c r="C13" s="54"/>
    </row>
    <row r="14" spans="2:4" ht="61.15">
      <c r="B14" s="51" t="s">
        <v>329</v>
      </c>
      <c r="C14" s="45"/>
    </row>
    <row r="15" spans="2:4" ht="21">
      <c r="B15" s="53" t="s">
        <v>330</v>
      </c>
      <c r="C15" s="54"/>
    </row>
    <row r="16" spans="2:4" ht="61.15">
      <c r="B16" s="51" t="s">
        <v>331</v>
      </c>
      <c r="C16" s="45"/>
    </row>
    <row r="17" spans="2:3" ht="21">
      <c r="B17" s="53" t="s">
        <v>332</v>
      </c>
      <c r="C17" s="54"/>
    </row>
    <row r="18" spans="2:3" ht="61.15">
      <c r="B18" s="51" t="s">
        <v>333</v>
      </c>
      <c r="C18" s="45"/>
    </row>
    <row r="19" spans="2:3" ht="21">
      <c r="B19" s="53" t="s">
        <v>334</v>
      </c>
      <c r="C19" s="54"/>
    </row>
    <row r="20" spans="2:3" ht="61.15">
      <c r="B20" s="51" t="s">
        <v>335</v>
      </c>
      <c r="C20" s="45"/>
    </row>
    <row r="21" spans="2:3" ht="21">
      <c r="B21" s="53" t="s">
        <v>336</v>
      </c>
      <c r="C21" s="54"/>
    </row>
    <row r="22" spans="2:3" ht="81.599999999999994">
      <c r="B22" s="51" t="s">
        <v>337</v>
      </c>
      <c r="C22" s="45"/>
    </row>
    <row r="23" spans="2:3" ht="21">
      <c r="B23" s="53" t="s">
        <v>338</v>
      </c>
      <c r="C23" s="54"/>
    </row>
    <row r="24" spans="2:3" ht="102">
      <c r="B24" s="51" t="s">
        <v>339</v>
      </c>
      <c r="C24" s="45"/>
    </row>
    <row r="25" spans="2:3" ht="21">
      <c r="B25" s="53" t="s">
        <v>340</v>
      </c>
      <c r="C25" s="54"/>
    </row>
    <row r="26" spans="2:3" ht="81.599999999999994">
      <c r="B26" s="51" t="s">
        <v>341</v>
      </c>
      <c r="C26" s="45"/>
    </row>
    <row r="27" spans="2:3" ht="21">
      <c r="B27" s="53" t="s">
        <v>342</v>
      </c>
      <c r="C27" s="54"/>
    </row>
    <row r="28" spans="2:3" ht="81.599999999999994">
      <c r="B28" s="51" t="s">
        <v>343</v>
      </c>
      <c r="C28" s="45"/>
    </row>
  </sheetData>
  <sheetProtection algorithmName="SHA-512" hashValue="XeW6bUAKnm43j4meWYPApqpxgIUvkc+kiljCp7h71QUV2ZgishBBRb5NF7kP+72LnQELXBDhMs+rLegAjSnArA==" saltValue="2/ZNlC/KVpLBc1AR6Z48Dw=="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75" defaultRowHeight="15"/>
  <cols>
    <col min="1" max="1" width="14.75" style="1" bestFit="1" customWidth="1"/>
    <col min="2" max="2" width="10.75" style="1"/>
    <col min="3" max="3" width="60" style="1" bestFit="1" customWidth="1"/>
    <col min="4" max="4" width="10.75" style="1"/>
    <col min="5" max="5" width="7.25" style="1" bestFit="1" customWidth="1"/>
    <col min="6" max="6" width="10.75" style="1"/>
    <col min="7" max="7" width="17" style="1" bestFit="1" customWidth="1"/>
    <col min="8" max="8" width="21" style="1" customWidth="1"/>
    <col min="9" max="10" width="10.75" style="1"/>
    <col min="11" max="11" width="12" style="1" customWidth="1"/>
    <col min="12" max="16384" width="10.75" style="1"/>
  </cols>
  <sheetData>
    <row r="1" spans="1:7" ht="15.6">
      <c r="A1" s="1" t="s">
        <v>344</v>
      </c>
      <c r="C1" s="7" t="s">
        <v>345</v>
      </c>
      <c r="E1" s="5" t="s">
        <v>346</v>
      </c>
      <c r="G1" s="5" t="s">
        <v>347</v>
      </c>
    </row>
    <row r="2" spans="1:7">
      <c r="A2" s="1" t="s">
        <v>348</v>
      </c>
      <c r="C2" s="1" t="s">
        <v>349</v>
      </c>
      <c r="E2" s="1" t="s">
        <v>45</v>
      </c>
      <c r="G2" s="1" t="s">
        <v>350</v>
      </c>
    </row>
    <row r="3" spans="1:7">
      <c r="A3" s="1" t="s">
        <v>57</v>
      </c>
      <c r="C3" s="1" t="s">
        <v>249</v>
      </c>
      <c r="E3" s="1" t="s">
        <v>152</v>
      </c>
      <c r="G3" s="1" t="s">
        <v>351</v>
      </c>
    </row>
    <row r="4" spans="1:7">
      <c r="C4" s="1" t="s">
        <v>352</v>
      </c>
      <c r="G4" s="1" t="s">
        <v>353</v>
      </c>
    </row>
    <row r="5" spans="1:7">
      <c r="C5" s="1" t="s">
        <v>354</v>
      </c>
      <c r="G5" s="1" t="s">
        <v>355</v>
      </c>
    </row>
    <row r="6" spans="1:7">
      <c r="C6" s="1" t="s">
        <v>356</v>
      </c>
      <c r="G6" s="1" t="s">
        <v>357</v>
      </c>
    </row>
    <row r="7" spans="1:7">
      <c r="C7" s="1" t="s">
        <v>358</v>
      </c>
      <c r="G7" s="1" t="s">
        <v>359</v>
      </c>
    </row>
    <row r="8" spans="1:7">
      <c r="C8" s="1" t="s">
        <v>360</v>
      </c>
      <c r="G8" s="1" t="s">
        <v>361</v>
      </c>
    </row>
    <row r="9" spans="1:7">
      <c r="C9" s="1" t="s">
        <v>362</v>
      </c>
      <c r="G9" s="1" t="s">
        <v>363</v>
      </c>
    </row>
    <row r="10" spans="1:7">
      <c r="C10" s="1" t="s">
        <v>364</v>
      </c>
      <c r="G10" s="1" t="s">
        <v>365</v>
      </c>
    </row>
    <row r="11" spans="1:7">
      <c r="C11" s="1" t="s">
        <v>366</v>
      </c>
      <c r="G11" s="1" t="s">
        <v>367</v>
      </c>
    </row>
    <row r="12" spans="1:7">
      <c r="C12" s="1" t="s">
        <v>368</v>
      </c>
      <c r="G12" s="1" t="s">
        <v>369</v>
      </c>
    </row>
    <row r="13" spans="1:7">
      <c r="C13" s="1" t="s">
        <v>238</v>
      </c>
      <c r="G13" s="1" t="s">
        <v>370</v>
      </c>
    </row>
    <row r="14" spans="1:7">
      <c r="C14" s="1" t="s">
        <v>371</v>
      </c>
      <c r="G14" s="1" t="s">
        <v>372</v>
      </c>
    </row>
    <row r="15" spans="1:7">
      <c r="C15" s="1" t="s">
        <v>373</v>
      </c>
      <c r="G15" s="1" t="s">
        <v>374</v>
      </c>
    </row>
    <row r="16" spans="1:7">
      <c r="C16" s="1" t="s">
        <v>375</v>
      </c>
      <c r="G16" s="1" t="s">
        <v>376</v>
      </c>
    </row>
    <row r="17" spans="3:7">
      <c r="C17" s="1" t="s">
        <v>377</v>
      </c>
      <c r="G17" s="1" t="s">
        <v>378</v>
      </c>
    </row>
    <row r="18" spans="3:7">
      <c r="C18" s="1" t="s">
        <v>379</v>
      </c>
      <c r="G18" s="1" t="s">
        <v>380</v>
      </c>
    </row>
    <row r="19" spans="3:7">
      <c r="C19" s="1" t="s">
        <v>381</v>
      </c>
      <c r="G19" s="1" t="s">
        <v>382</v>
      </c>
    </row>
    <row r="20" spans="3:7">
      <c r="C20" s="1" t="s">
        <v>383</v>
      </c>
      <c r="G20" s="1" t="s">
        <v>384</v>
      </c>
    </row>
    <row r="21" spans="3:7">
      <c r="C21" s="1" t="s">
        <v>385</v>
      </c>
      <c r="G21" s="1" t="s">
        <v>386</v>
      </c>
    </row>
    <row r="22" spans="3:7">
      <c r="G22" s="1" t="s">
        <v>387</v>
      </c>
    </row>
    <row r="23" spans="3:7">
      <c r="G23" s="1" t="s">
        <v>388</v>
      </c>
    </row>
    <row r="24" spans="3:7">
      <c r="G24" s="1" t="s">
        <v>389</v>
      </c>
    </row>
    <row r="25" spans="3:7">
      <c r="G25" s="1" t="s">
        <v>390</v>
      </c>
    </row>
    <row r="26" spans="3:7">
      <c r="G26" s="1" t="s">
        <v>391</v>
      </c>
    </row>
    <row r="27" spans="3:7">
      <c r="G27" s="1" t="s">
        <v>392</v>
      </c>
    </row>
    <row r="28" spans="3:7">
      <c r="G28" s="1" t="s">
        <v>393</v>
      </c>
    </row>
    <row r="29" spans="3:7">
      <c r="G29" s="1" t="s">
        <v>394</v>
      </c>
    </row>
    <row r="30" spans="3:7">
      <c r="G30" s="1" t="s">
        <v>395</v>
      </c>
    </row>
    <row r="31" spans="3:7">
      <c r="G31" s="1" t="s">
        <v>396</v>
      </c>
    </row>
    <row r="32" spans="3:7">
      <c r="G32" s="1" t="s">
        <v>397</v>
      </c>
    </row>
    <row r="33" spans="7:7">
      <c r="G33" s="1" t="s">
        <v>398</v>
      </c>
    </row>
    <row r="34" spans="7:7">
      <c r="G34" s="1" t="s">
        <v>399</v>
      </c>
    </row>
    <row r="35" spans="7:7">
      <c r="G35" s="1" t="s">
        <v>400</v>
      </c>
    </row>
    <row r="36" spans="7:7">
      <c r="G36" s="1" t="s">
        <v>401</v>
      </c>
    </row>
    <row r="37" spans="7:7">
      <c r="G37" s="1" t="s">
        <v>402</v>
      </c>
    </row>
    <row r="38" spans="7:7">
      <c r="G38" s="1" t="s">
        <v>403</v>
      </c>
    </row>
    <row r="39" spans="7:7">
      <c r="G39" s="1" t="s">
        <v>404</v>
      </c>
    </row>
    <row r="40" spans="7:7">
      <c r="G40" s="1" t="s">
        <v>405</v>
      </c>
    </row>
    <row r="41" spans="7:7">
      <c r="G41" s="1" t="s">
        <v>406</v>
      </c>
    </row>
    <row r="42" spans="7:7">
      <c r="G42" s="1" t="s">
        <v>407</v>
      </c>
    </row>
    <row r="43" spans="7:7">
      <c r="G43" s="1" t="s">
        <v>408</v>
      </c>
    </row>
    <row r="44" spans="7:7">
      <c r="G44" s="1" t="s">
        <v>409</v>
      </c>
    </row>
    <row r="45" spans="7:7">
      <c r="G45" s="1" t="s">
        <v>410</v>
      </c>
    </row>
    <row r="46" spans="7:7">
      <c r="G46" s="1" t="s">
        <v>411</v>
      </c>
    </row>
    <row r="47" spans="7:7">
      <c r="G47" s="1" t="s">
        <v>412</v>
      </c>
    </row>
    <row r="48" spans="7:7">
      <c r="G48" s="1" t="s">
        <v>413</v>
      </c>
    </row>
    <row r="49" spans="7:7">
      <c r="G49" s="1" t="s">
        <v>414</v>
      </c>
    </row>
    <row r="50" spans="7:7">
      <c r="G50" s="1" t="s">
        <v>415</v>
      </c>
    </row>
    <row r="51" spans="7:7">
      <c r="G51" s="1" t="s">
        <v>416</v>
      </c>
    </row>
    <row r="52" spans="7:7">
      <c r="G52" s="1" t="s">
        <v>417</v>
      </c>
    </row>
    <row r="53" spans="7:7">
      <c r="G53" s="1" t="s">
        <v>418</v>
      </c>
    </row>
    <row r="54" spans="7:7">
      <c r="G54" s="1" t="s">
        <v>419</v>
      </c>
    </row>
    <row r="55" spans="7:7">
      <c r="G55" s="1" t="s">
        <v>420</v>
      </c>
    </row>
    <row r="56" spans="7:7">
      <c r="G56" s="1" t="s">
        <v>421</v>
      </c>
    </row>
    <row r="57" spans="7:7">
      <c r="G57" s="1" t="s">
        <v>422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Ayush Sisodia</cp:lastModifiedBy>
  <cp:revision/>
  <dcterms:created xsi:type="dcterms:W3CDTF">2018-09-10T17:18:27Z</dcterms:created>
  <dcterms:modified xsi:type="dcterms:W3CDTF">2026-01-20T22:24:38Z</dcterms:modified>
  <cp:category/>
  <cp:contentStatus/>
</cp:coreProperties>
</file>