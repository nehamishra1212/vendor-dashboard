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D:\▷ MD Automation\RFI\Attachment\"/>
    </mc:Choice>
  </mc:AlternateContent>
  <xr:revisionPtr revIDLastSave="0" documentId="13_ncr:1_{EAF68702-FC87-47CA-98F8-CE6CF238C250}" xr6:coauthVersionLast="47" xr6:coauthVersionMax="47" xr10:uidLastSave="{00000000-0000-0000-0000-000000000000}"/>
  <workbookProtection workbookAlgorithmName="SHA-512" workbookHashValue="DZ307OSwGf3RBgln30ohjK9cXpWpHHaHtd7yDeNi+Mrqi98RPfIMLB2jlZwwG/H9xWNSm6Szu+3goAXOg6dRiA==" workbookSaltValue="o4x2JKd6JvqWvCAbp3C4+Q==" workbookSpinCount="100000" lockStructure="1"/>
  <bookViews>
    <workbookView xWindow="-120" yWindow="-120" windowWidth="51840" windowHeight="21240" firstSheet="3" activeTab="4" xr2:uid="{1DE64824-9F2A-024B-98E0-95D9197CA6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19" l="1"/>
  <c r="I16" i="20"/>
  <c r="H16" i="20"/>
  <c r="G16" i="20"/>
  <c r="F16" i="20"/>
  <c r="E16" i="20"/>
  <c r="D16" i="20"/>
  <c r="C16"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엄정은/연구원/제조물류DX Task(je.eom@lge.com)</author>
  </authors>
  <commentList>
    <comment ref="C11" authorId="0" shapeId="0" xr:uid="{08EC5DD0-8060-48A5-B8EA-0E63ED43D9C5}">
      <text>
        <r>
          <rPr>
            <sz val="9"/>
            <color indexed="81"/>
            <rFont val="Tahoma"/>
            <family val="2"/>
          </rPr>
          <t>It depends on equipment spec and volume. As PRI is operating with sub-contractors, the manufacturing capacity depends on many situations.</t>
        </r>
      </text>
    </comment>
    <comment ref="C12" authorId="0" shapeId="0" xr:uid="{158CF53B-FDD3-4882-81B0-4DA49DC01E07}">
      <text>
        <r>
          <rPr>
            <sz val="9"/>
            <color indexed="81"/>
            <rFont val="Tahoma"/>
            <family val="2"/>
          </rPr>
          <t>It depends on equipment spec and volume. As PRI is operating with sub-contractors, the manufacturing capacity depends on many situations.</t>
        </r>
      </text>
    </comment>
    <comment ref="C13" authorId="0" shapeId="0" xr:uid="{29A9211F-1F8B-45E8-94C3-7017AA2D4167}">
      <text>
        <r>
          <rPr>
            <sz val="9"/>
            <color indexed="81"/>
            <rFont val="Tahoma"/>
            <family val="2"/>
          </rPr>
          <t>See "5. Financial Info"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tc={A431FCAE-3D4F-4694-9A14-7E764003D7FA}</author>
    <author>tc={5416B8F6-595F-416C-817B-4A24C272D0B5}</author>
  </authors>
  <commentList>
    <comment ref="C14" authorId="0" shapeId="0" xr:uid="{A431FCAE-3D4F-4694-9A14-7E764003D7FA}">
      <text>
        <t>[스레드 댓글]
사용 중인 버전의 Excel에서 이 스레드 댓글을 읽을 수 있지만 파일을 이후 버전의 Excel에서 열면 편집 내용이 모두 제거됩니다. 자세한 정보: https://go.microsoft.com/fwlink/?linkid=870924.
댓글:
    LG PRI's internal policy does not allow to proceed with the equipment manufacturing process without PO issuance.
Even Apple issues a PO, payment will only be made if the equipment meets the performance requirements.</t>
      </text>
    </comment>
    <comment ref="C16" authorId="1" shapeId="0" xr:uid="{5416B8F6-595F-416C-817B-4A24C272D0B5}">
      <text>
        <t>[스레드 댓글]
사용 중인 버전의 Excel에서 이 스레드 댓글을 읽을 수 있지만 파일을 이후 버전의 Excel에서 열면 편집 내용이 모두 제거됩니다. 자세한 정보: https://go.microsoft.com/fwlink/?linkid=870924.
댓글:
    LG PRI's internal policy does not allow to proceed with the equipment manufacturing process without PO issuance.
Even Apple issues a PO, payment will only be made if the equipment meets the performance requirements.</t>
      </text>
    </comment>
  </commentList>
</comments>
</file>

<file path=xl/sharedStrings.xml><?xml version="1.0" encoding="utf-8"?>
<sst xmlns="http://schemas.openxmlformats.org/spreadsheetml/2006/main" count="742" uniqueCount="410">
  <si>
    <t>Website</t>
  </si>
  <si>
    <t>Public/Private</t>
  </si>
  <si>
    <t>Ticker Symbol (if Public)</t>
  </si>
  <si>
    <t>Year Founded</t>
  </si>
  <si>
    <t>First Year of Engagement with Apple</t>
  </si>
  <si>
    <t>Total # of Employees</t>
  </si>
  <si>
    <t>Region 1</t>
  </si>
  <si>
    <t>Region 2</t>
  </si>
  <si>
    <t>Region 3</t>
  </si>
  <si>
    <t>Market Cap (USD)</t>
  </si>
  <si>
    <t>Company Total Revenue (USD)</t>
  </si>
  <si>
    <t>Apple Direct Generated Revenue (USD)</t>
  </si>
  <si>
    <t>Public</t>
  </si>
  <si>
    <t>Parent Company Official Name</t>
  </si>
  <si>
    <t>Official Legal Name</t>
  </si>
  <si>
    <t>Company HQ</t>
  </si>
  <si>
    <t>Region 4</t>
  </si>
  <si>
    <t>Region 5</t>
  </si>
  <si>
    <t>*Apple issued a PO to you for this spend</t>
  </si>
  <si>
    <t>Title</t>
  </si>
  <si>
    <t>Email</t>
  </si>
  <si>
    <t>CEO or President</t>
  </si>
  <si>
    <t>Core Competencies</t>
  </si>
  <si>
    <t>Component Category</t>
  </si>
  <si>
    <t>Machine Vision</t>
  </si>
  <si>
    <t>Robotics</t>
  </si>
  <si>
    <t>Motors/Drives</t>
  </si>
  <si>
    <t>Pneumatics</t>
  </si>
  <si>
    <t>Optics</t>
  </si>
  <si>
    <t>Mechanical Linear Motion</t>
  </si>
  <si>
    <t>Conveyor System</t>
  </si>
  <si>
    <t>Feeder System</t>
  </si>
  <si>
    <t>Machined Part/Bracket</t>
  </si>
  <si>
    <t>Nest/Holder/Pallet</t>
  </si>
  <si>
    <t>Other</t>
  </si>
  <si>
    <t>Binary</t>
  </si>
  <si>
    <t>Yes</t>
  </si>
  <si>
    <t>No</t>
  </si>
  <si>
    <t>Safety/Electrical/Wiring</t>
  </si>
  <si>
    <t>Gantry Systems/Linear Motors/Stages</t>
  </si>
  <si>
    <t>Frame/Baseplate/Indexing Table</t>
  </si>
  <si>
    <t>Dispensing</t>
  </si>
  <si>
    <t>Screwdriving</t>
  </si>
  <si>
    <t>Consumables</t>
  </si>
  <si>
    <t>IPC/PLC/Motion Controller</t>
  </si>
  <si>
    <t>Fan Filtration Unit/Ionizer/HEPA Filter</t>
  </si>
  <si>
    <t>Force Measurement/Load Cells/Pressure Sensors/Accelerometers</t>
  </si>
  <si>
    <t>Countries</t>
  </si>
  <si>
    <t>Albania</t>
  </si>
  <si>
    <t>American Samoa</t>
  </si>
  <si>
    <t>Australia</t>
  </si>
  <si>
    <t>Austria</t>
  </si>
  <si>
    <t>Belgium</t>
  </si>
  <si>
    <t>Brazil</t>
  </si>
  <si>
    <t>British West Indie</t>
  </si>
  <si>
    <t>Cambodia</t>
  </si>
  <si>
    <t>Canada</t>
  </si>
  <si>
    <t>Cayman Islands</t>
  </si>
  <si>
    <t>China</t>
  </si>
  <si>
    <t>Costa Rica</t>
  </si>
  <si>
    <t>Czech Republic</t>
  </si>
  <si>
    <t>Denmark</t>
  </si>
  <si>
    <t>Estonia</t>
  </si>
  <si>
    <t>Finland</t>
  </si>
  <si>
    <t>France</t>
  </si>
  <si>
    <t>Germany</t>
  </si>
  <si>
    <t>Greece</t>
  </si>
  <si>
    <t>Hungary</t>
  </si>
  <si>
    <t>India</t>
  </si>
  <si>
    <t>Indonesia</t>
  </si>
  <si>
    <t>Ireland</t>
  </si>
  <si>
    <t>Israel</t>
  </si>
  <si>
    <t>Italy</t>
  </si>
  <si>
    <t>Japan</t>
  </si>
  <si>
    <t>Korea</t>
  </si>
  <si>
    <t>Latvia</t>
  </si>
  <si>
    <t>Luxembourg</t>
  </si>
  <si>
    <t>Malaysia</t>
  </si>
  <si>
    <t>Malta</t>
  </si>
  <si>
    <t>Mauritius</t>
  </si>
  <si>
    <t>Mexico</t>
  </si>
  <si>
    <t>Morocco</t>
  </si>
  <si>
    <t>Netherlands</t>
  </si>
  <si>
    <t>New Zealand</t>
  </si>
  <si>
    <t>Nicaragua</t>
  </si>
  <si>
    <t>Norway</t>
  </si>
  <si>
    <t>Philippines</t>
  </si>
  <si>
    <t>Poland</t>
  </si>
  <si>
    <t>Portugal</t>
  </si>
  <si>
    <t>Puerto Rico</t>
  </si>
  <si>
    <t>Russia</t>
  </si>
  <si>
    <t>Singapore</t>
  </si>
  <si>
    <t>South Africa</t>
  </si>
  <si>
    <t>Spain</t>
  </si>
  <si>
    <t>Sweden</t>
  </si>
  <si>
    <t>Switzerland</t>
  </si>
  <si>
    <t>Taiwan</t>
  </si>
  <si>
    <t>Thailand</t>
  </si>
  <si>
    <t>Tunis</t>
  </si>
  <si>
    <t>Turkey</t>
  </si>
  <si>
    <t>UAE</t>
  </si>
  <si>
    <t>United Kingdom</t>
  </si>
  <si>
    <t>USA</t>
  </si>
  <si>
    <t>Vietnam</t>
  </si>
  <si>
    <t>Company Type</t>
  </si>
  <si>
    <t>Private</t>
  </si>
  <si>
    <t>Training Time (wks)</t>
  </si>
  <si>
    <t>Manufacturing Location 1</t>
  </si>
  <si>
    <t>Manufacturing Location 2</t>
  </si>
  <si>
    <t>Manufacturing Location 3</t>
  </si>
  <si>
    <t>Manufacturing Location 4</t>
  </si>
  <si>
    <t>Manufacturing Location 5</t>
  </si>
  <si>
    <t>Country of Residence</t>
  </si>
  <si>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</si>
  <si>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</si>
  <si>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t xml:space="preserve">All sections requiring Participant's response are denoted by a highlighted cell. All responses shall be submitted, in writing, in the associated cell or attached via email response, where requested. </t>
  </si>
  <si>
    <t xml:space="preserve">2   RFI Rules of Engagement </t>
  </si>
  <si>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</si>
  <si>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</si>
  <si>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</si>
  <si>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</si>
  <si>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</si>
  <si>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</si>
  <si>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</si>
  <si>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</si>
  <si>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</si>
  <si>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</si>
  <si>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</si>
  <si>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t xml:space="preserve">Participant’s Proposal must identify and describe the Goods and/or Services to be provided by each subcontractor, if any, which Participant intends to use in providing any Goods and/or Services to Apple. </t>
  </si>
  <si>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</si>
  <si>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</si>
  <si>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</si>
  <si>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 xml:space="preserve">RFI Submission Date </t>
  </si>
  <si>
    <t>HQ Location</t>
  </si>
  <si>
    <t>Type</t>
  </si>
  <si>
    <t>Key Area Leaders (Example : CEO, COO, CFO etc)</t>
  </si>
  <si>
    <t>Name (First, Last)</t>
  </si>
  <si>
    <t xml:space="preserve">Contact Number (include country code - e.g. USA +1) </t>
  </si>
  <si>
    <t>Commercial DRI / Apple Executive Contact</t>
  </si>
  <si>
    <t>Operations Leader</t>
  </si>
  <si>
    <t xml:space="preserve">Finance </t>
  </si>
  <si>
    <t>Engineering</t>
  </si>
  <si>
    <t>Supply chain</t>
  </si>
  <si>
    <t>Project Management</t>
  </si>
  <si>
    <t>Production</t>
  </si>
  <si>
    <t>*Enter Data in USD in millions</t>
  </si>
  <si>
    <t>2026 (expected)</t>
  </si>
  <si>
    <t>2027 (expected)</t>
  </si>
  <si>
    <t>Gross Profit</t>
  </si>
  <si>
    <t>Operating Profit</t>
  </si>
  <si>
    <t>*CMs and Module Integrators issued a PO to you for this spend</t>
  </si>
  <si>
    <r>
      <t>     3.1  </t>
    </r>
    <r>
      <rPr>
        <b/>
        <sz val="16"/>
        <color theme="0"/>
        <rFont val="SF Hello Regular"/>
      </rPr>
      <t xml:space="preserve"> Participant Acknowledgment</t>
    </r>
  </si>
  <si>
    <t>Facility Name (if any)</t>
  </si>
  <si>
    <t xml:space="preserve">City and Country </t>
  </si>
  <si>
    <t>Full Address</t>
  </si>
  <si>
    <t>Current Apple Programs Supported
 (List Program Name or N/A)</t>
  </si>
  <si>
    <t>EQ Type manufactured in above location for Apple
(Dispense, Pick and place, Assembly, Die Attach, Wire Bond, Test, etc)</t>
  </si>
  <si>
    <t>EQ Type manufactured in above location for other customers
(Dispense, Pick and place, Assembly, Die Attach, Wire Bond, Test, etc)</t>
  </si>
  <si>
    <t>Facility Floor Space (Square Meters)</t>
    <phoneticPr fontId="0" type="noConversion"/>
  </si>
  <si>
    <t>What are the key supply chain tactics being followed?</t>
  </si>
  <si>
    <r>
      <t xml:space="preserve">     2.1   </t>
    </r>
    <r>
      <rPr>
        <b/>
        <sz val="16"/>
        <color theme="0"/>
        <rFont val="SF Hello Regular"/>
      </rPr>
      <t xml:space="preserve">Communications </t>
    </r>
  </si>
  <si>
    <r>
      <t xml:space="preserve">     2.2   </t>
    </r>
    <r>
      <rPr>
        <b/>
        <sz val="16"/>
        <color theme="0"/>
        <rFont val="SF Hello Regular"/>
      </rPr>
      <t xml:space="preserve">Proposal </t>
    </r>
  </si>
  <si>
    <r>
      <t xml:space="preserve">     2.3   </t>
    </r>
    <r>
      <rPr>
        <b/>
        <sz val="16"/>
        <color theme="0"/>
        <rFont val="SF Hello Regular"/>
      </rPr>
      <t xml:space="preserve">RFI Submission </t>
    </r>
  </si>
  <si>
    <r>
      <t xml:space="preserve">     2.4   </t>
    </r>
    <r>
      <rPr>
        <b/>
        <sz val="16"/>
        <color theme="0"/>
        <rFont val="SF Hello Regular"/>
      </rPr>
      <t xml:space="preserve">Proposal Decision </t>
    </r>
  </si>
  <si>
    <r>
      <t xml:space="preserve">     2.5   </t>
    </r>
    <r>
      <rPr>
        <b/>
        <sz val="16"/>
        <color theme="0"/>
        <rFont val="SF Hello Regular"/>
      </rPr>
      <t xml:space="preserve">No Obligation </t>
    </r>
  </si>
  <si>
    <r>
      <t xml:space="preserve">     2.6   </t>
    </r>
    <r>
      <rPr>
        <b/>
        <sz val="16"/>
        <color theme="0"/>
        <rFont val="SF Hello Regular"/>
      </rPr>
      <t xml:space="preserve">Purchase Orders </t>
    </r>
  </si>
  <si>
    <r>
      <t xml:space="preserve">     2.7   </t>
    </r>
    <r>
      <rPr>
        <b/>
        <sz val="16"/>
        <color theme="0"/>
        <rFont val="SF Hello Regular"/>
      </rPr>
      <t xml:space="preserve">Confidentiality; Publicity; Marks </t>
    </r>
  </si>
  <si>
    <r>
      <t xml:space="preserve">     2.8   </t>
    </r>
    <r>
      <rPr>
        <b/>
        <sz val="16"/>
        <color theme="0"/>
        <rFont val="SF Hello Regular"/>
      </rPr>
      <t xml:space="preserve">Risk of Loss, Damage or Delay </t>
    </r>
  </si>
  <si>
    <r>
      <t xml:space="preserve">     2.9   </t>
    </r>
    <r>
      <rPr>
        <b/>
        <sz val="16"/>
        <color theme="0"/>
        <rFont val="SF Hello Regular"/>
      </rPr>
      <t xml:space="preserve">No Gift Policy </t>
    </r>
  </si>
  <si>
    <r>
      <t xml:space="preserve">     2.10   </t>
    </r>
    <r>
      <rPr>
        <b/>
        <sz val="16"/>
        <color theme="0"/>
        <rFont val="SF Hello Regular"/>
      </rPr>
      <t xml:space="preserve">Participant Information </t>
    </r>
  </si>
  <si>
    <r>
      <t xml:space="preserve">     2.11   </t>
    </r>
    <r>
      <rPr>
        <b/>
        <sz val="16"/>
        <color theme="0"/>
        <rFont val="SF Hello Regular"/>
      </rPr>
      <t xml:space="preserve">Collusive Bidding </t>
    </r>
  </si>
  <si>
    <r>
      <t xml:space="preserve">     2.12   </t>
    </r>
    <r>
      <rPr>
        <b/>
        <sz val="16"/>
        <color theme="0"/>
        <rFont val="SF Hello Regular"/>
      </rPr>
      <t xml:space="preserve">Personnel </t>
    </r>
  </si>
  <si>
    <r>
      <t xml:space="preserve">     2.13   </t>
    </r>
    <r>
      <rPr>
        <b/>
        <sz val="16"/>
        <color theme="0"/>
        <rFont val="SF Hello Regular"/>
      </rPr>
      <t xml:space="preserve">Subcontractors </t>
    </r>
  </si>
  <si>
    <r>
      <t xml:space="preserve">     2.14   </t>
    </r>
    <r>
      <rPr>
        <b/>
        <sz val="16"/>
        <color theme="0"/>
        <rFont val="SF Hello Regular"/>
      </rPr>
      <t xml:space="preserve">Errors and Omissions </t>
    </r>
  </si>
  <si>
    <r>
      <t xml:space="preserve">     1.1   </t>
    </r>
    <r>
      <rPr>
        <b/>
        <sz val="16"/>
        <color theme="0"/>
        <rFont val="SF Hello Regular"/>
      </rPr>
      <t xml:space="preserve">About Apple </t>
    </r>
  </si>
  <si>
    <r>
      <t xml:space="preserve">     1.2  </t>
    </r>
    <r>
      <rPr>
        <b/>
        <sz val="16"/>
        <color theme="0"/>
        <rFont val="SF Hello Regular"/>
      </rPr>
      <t xml:space="preserve">Project Overview and Purpose </t>
    </r>
  </si>
  <si>
    <r>
      <t xml:space="preserve">     1.3  </t>
    </r>
    <r>
      <rPr>
        <b/>
        <sz val="16"/>
        <color theme="0"/>
        <rFont val="SF Hello Regular"/>
      </rPr>
      <t>RFI Content &amp; Sections</t>
    </r>
  </si>
  <si>
    <r>
      <t xml:space="preserve">     1.4  </t>
    </r>
    <r>
      <rPr>
        <b/>
        <sz val="16"/>
        <color theme="0"/>
        <rFont val="SF Hello Regular"/>
      </rPr>
      <t>RFI Due Date</t>
    </r>
  </si>
  <si>
    <r>
      <t xml:space="preserve">     1.5  </t>
    </r>
    <r>
      <rPr>
        <b/>
        <sz val="16"/>
        <color theme="0"/>
        <rFont val="SF Hello Regular"/>
      </rPr>
      <t>RFI Response Requested</t>
    </r>
  </si>
  <si>
    <r>
      <t>     1.6  </t>
    </r>
    <r>
      <rPr>
        <b/>
        <sz val="16"/>
        <color theme="0"/>
        <rFont val="SF Hello Regular"/>
      </rPr>
      <t xml:space="preserve">Procurement Contact </t>
    </r>
  </si>
  <si>
    <r>
      <t xml:space="preserve">Participant's Proposal to this Request for Information (“RFI”) shall be sent via email by no later than </t>
    </r>
    <r>
      <rPr>
        <b/>
        <sz val="16"/>
        <color rgb="FFFF0000"/>
        <rFont val="SF Hello Regular"/>
      </rPr>
      <t>Monday, April 28, 2025 by 23:00 Asia time.</t>
    </r>
    <r>
      <rPr>
        <b/>
        <sz val="16"/>
        <color theme="1"/>
        <rFont val="SF Hello Regular"/>
      </rPr>
      <t xml:space="preserve"> </t>
    </r>
  </si>
  <si>
    <r>
      <t xml:space="preserve">All Proposals shall be submitted via email to Procurement Contact no later than </t>
    </r>
    <r>
      <rPr>
        <b/>
        <sz val="16"/>
        <color rgb="FFFF0000"/>
        <rFont val="SF Hello Regular"/>
      </rPr>
      <t>Monday, April 28, 2025 by 23:00 Asia time.</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</si>
  <si>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t>Region 6</t>
  </si>
  <si>
    <t>Region Country</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</si>
  <si>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</si>
  <si>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</si>
  <si>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</si>
  <si>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</si>
  <si>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</si>
  <si>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</si>
  <si>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</si>
  <si>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</si>
  <si>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</si>
  <si>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</si>
  <si>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</si>
  <si>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</si>
  <si>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</si>
  <si>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</si>
  <si>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</si>
  <si>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</si>
  <si>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</si>
  <si>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Attrition Rate (%)</t>
  </si>
  <si>
    <t>Any previous issues faced in shipping to certain countries?</t>
  </si>
  <si>
    <t>Are there any inhouse machining / job shop capabilities? If so, please explain in detail in terms of machine qty available (CNC, Mill, Lathe, EDM Weld, etc.), volume produced, &amp; available capacity.</t>
  </si>
  <si>
    <t>What are the supply chain resiliency plans to ensure no distruption in supply?</t>
  </si>
  <si>
    <t>Facility New Product Security (NPS) Approved?</t>
  </si>
  <si>
    <t>Customer Base served from this location
(City and Country of the customer)</t>
  </si>
  <si>
    <t>Max Weekly Manufacturing Capacity
(by volume of units shipped)</t>
  </si>
  <si>
    <t>Average Weekly Manufacturing Capacity
(by volume of units shipped)</t>
  </si>
  <si>
    <t>Comments</t>
  </si>
  <si>
    <t>2025 (expected)</t>
  </si>
  <si>
    <t>2028 (expected)</t>
  </si>
  <si>
    <t>If any other, please add …</t>
  </si>
  <si>
    <t>Please fill in all fields with year end numbers to complete this section. Only numbers are allowed to be input.</t>
  </si>
  <si>
    <t xml:space="preserve">1   Introduction </t>
  </si>
  <si>
    <t>What are all the key subcomponent vendors used and where are they located (city, country)? Please provide rough volume &amp; spend with key subcomponent vendors as well.</t>
  </si>
  <si>
    <t>Hiring Difficulty in Region (High/Medium/Low)</t>
  </si>
  <si>
    <t>Region 7</t>
  </si>
  <si>
    <t>Region 8</t>
  </si>
  <si>
    <t>Exclude 3rd Party Agency Partners</t>
  </si>
  <si>
    <t>TOTAL</t>
  </si>
  <si>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</si>
  <si>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</si>
  <si>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</si>
  <si>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</si>
  <si>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</si>
  <si>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t>What are the incoming (IQC), in process (IPQC), and outgoing (OQC) quality control systems and/or processes? Please desrcibe in detail.</t>
  </si>
  <si>
    <t>Are there ERP system and processes, including any automation or integration functionality across EQ manufacturing supply chain? Please desrcibe in detail.</t>
  </si>
  <si>
    <t>Are there any Global expansion plans in the future for Manufacturing? Please desrcibe in detail.</t>
  </si>
  <si>
    <r>
      <t>     10.2.2</t>
    </r>
    <r>
      <rPr>
        <b/>
        <sz val="16"/>
        <color theme="0"/>
        <rFont val="SF Hello Regular"/>
      </rPr>
      <t>   Development Resources</t>
    </r>
  </si>
  <si>
    <r>
      <t>     10.2.3</t>
    </r>
    <r>
      <rPr>
        <b/>
        <sz val="16"/>
        <color theme="0"/>
        <rFont val="SF Hello Regular"/>
      </rPr>
      <t>   Price / Equipment Breakdown Transparency</t>
    </r>
  </si>
  <si>
    <r>
      <t xml:space="preserve">     10.2   </t>
    </r>
    <r>
      <rPr>
        <b/>
        <sz val="16"/>
        <color theme="0"/>
        <rFont val="SF Hello Regular"/>
      </rPr>
      <t>Commercial Standards</t>
    </r>
  </si>
  <si>
    <r>
      <t xml:space="preserve">     10.1   </t>
    </r>
    <r>
      <rPr>
        <b/>
        <sz val="16"/>
        <color theme="0"/>
        <rFont val="SF Hello Regular"/>
      </rPr>
      <t>Contractual Standards</t>
    </r>
  </si>
  <si>
    <r>
      <t xml:space="preserve">     10.2.1 </t>
    </r>
    <r>
      <rPr>
        <b/>
        <sz val="16"/>
        <color theme="0"/>
        <rFont val="SF Hello Regular"/>
      </rPr>
      <t>   Demo EQ</t>
    </r>
  </si>
  <si>
    <t>10   Commercial Expectations</t>
  </si>
  <si>
    <t>Please fill in all fields to complete this section. If there are supplemental compnay overview slides, please attach to RFI response.</t>
  </si>
  <si>
    <t>Custom Automation</t>
  </si>
  <si>
    <t>Plasma/Oven</t>
  </si>
  <si>
    <t>P&amp;P / Attach</t>
  </si>
  <si>
    <t>Lighting</t>
  </si>
  <si>
    <t>AI/ML</t>
  </si>
  <si>
    <t>Categories</t>
  </si>
  <si>
    <t>Sub-Categories</t>
  </si>
  <si>
    <t>Core Tech</t>
  </si>
  <si>
    <t>Process Equipment Tech</t>
  </si>
  <si>
    <t>Inspection Equipment Tech</t>
  </si>
  <si>
    <t>System Integtation</t>
  </si>
  <si>
    <t>Laser</t>
  </si>
  <si>
    <t>Please fill in Technical Capabilties information by Category and Sub-Category.</t>
  </si>
  <si>
    <t>Client / Reference</t>
  </si>
  <si>
    <t>Apple DRI Name</t>
  </si>
  <si>
    <t>Apple DRI Email</t>
  </si>
  <si>
    <t>Client / Reference Email</t>
  </si>
  <si>
    <t>Applicable Project Experience
(Year, Machine Description &amp; QTY, Spend, Timeline)</t>
  </si>
  <si>
    <t>Applicable Apple Experience
(Year, Machine Description &amp; QTY, Spend, Timeline)</t>
  </si>
  <si>
    <t>In House Capability?</t>
  </si>
  <si>
    <t>Outsourced?</t>
  </si>
  <si>
    <t>Equipment Type &amp; Key Technologies</t>
  </si>
  <si>
    <t>Competitive Advantage(s)</t>
  </si>
  <si>
    <r>
      <t>     10.1.3</t>
    </r>
    <r>
      <rPr>
        <b/>
        <sz val="16"/>
        <color theme="0"/>
        <rFont val="SF Hello Regular"/>
      </rPr>
      <t xml:space="preserve">  New Product Security (NPS) Audit</t>
    </r>
  </si>
  <si>
    <r>
      <t>     10.1.2</t>
    </r>
    <r>
      <rPr>
        <b/>
        <sz val="16"/>
        <color theme="0"/>
        <rFont val="SF Hello Regular"/>
      </rPr>
      <t xml:space="preserve">  NDA, ARPA, &amp; EDPA</t>
    </r>
  </si>
  <si>
    <r>
      <t xml:space="preserve">     10.1.1 </t>
    </r>
    <r>
      <rPr>
        <b/>
        <sz val="16"/>
        <color theme="0"/>
        <rFont val="SF Hello Regular"/>
      </rPr>
      <t>  Company Organizational Structure &amp; Entities</t>
    </r>
  </si>
  <si>
    <r>
      <t>     10.2.4</t>
    </r>
    <r>
      <rPr>
        <b/>
        <sz val="16"/>
        <color theme="0"/>
        <rFont val="SF Hello Regular"/>
      </rPr>
      <t>   Distribution Model &amp; Authorized Purchasers</t>
    </r>
  </si>
  <si>
    <t>Total Field Service Engineers - L2 (HC)</t>
  </si>
  <si>
    <t>Total Field Service Engineers - L1 (HC)</t>
  </si>
  <si>
    <t>Total Field Service Engineers - L3 (HC)</t>
  </si>
  <si>
    <t>Support Capabilities in Region - Total # of Units (QTY)</t>
  </si>
  <si>
    <t>Total Project Management (HC)</t>
  </si>
  <si>
    <t>Total Engineering (HC)
(Mechanical, Electircal, Software, etc.)</t>
  </si>
  <si>
    <t>Total Production (HC)</t>
  </si>
  <si>
    <t>Total OSS (HC)</t>
  </si>
  <si>
    <t>Supply Chain (HC)</t>
  </si>
  <si>
    <t>Quality (HC)</t>
  </si>
  <si>
    <t>Shipping &amp; Logistics (HC)</t>
  </si>
  <si>
    <t>Dedicated Resourcing (HC)
(PM, Engineering, Production, OSS, etc.)</t>
  </si>
  <si>
    <t>Proficiency</t>
  </si>
  <si>
    <t xml:space="preserve">Typcical Development &amp; Equipment Lead Times
(RFP to DFM, KO to ETA, ETA to SAT, OEE, etc.) </t>
  </si>
  <si>
    <t>*If there are existing NDA, ARPA, and EDPA, please attach in response to RFI.</t>
  </si>
  <si>
    <t>Facility Headcount (HC)
(PM, Engineering, Production, OSS, Supply Chain, Quality, Shipping &amp; Logistics, R&amp;D, Sales &amp; Marketing, Executive)</t>
  </si>
  <si>
    <t xml:space="preserve">Average Total Annual Revenue from Units Produced </t>
  </si>
  <si>
    <r>
      <t>     10.1.4</t>
    </r>
    <r>
      <rPr>
        <b/>
        <sz val="16"/>
        <color theme="0"/>
        <rFont val="SF Hello Regular"/>
      </rPr>
      <t xml:space="preserve">  Enviroment &amp; Supply Supply Chain Innovation (ESCI) Facility Readiness Assessment (FRA)</t>
    </r>
  </si>
  <si>
    <t>Participant acknowledges and agrees to an on-site Facility Readiness Assessment (FRA) of workshop and facilities by Apple Enviroment &amp; Supply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</si>
  <si>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t>Enviroment &amp; Supply Supply Chain Innovation (ESCI) Facility Readiness Assessment (FRA) Approved?</t>
  </si>
  <si>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</si>
  <si>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</si>
  <si>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</si>
  <si>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t>Apple Indirect Generated Revenue (USD)</t>
  </si>
  <si>
    <t>R&amp;D (HC)
(Mechanical, Electircal, Software, etc.)</t>
  </si>
  <si>
    <t>Sales &amp; Marketing (HC)</t>
  </si>
  <si>
    <t>Executive (HC)</t>
  </si>
  <si>
    <t>Please fill in Headcount (HC) information. Only numbers are allowed to be input.</t>
  </si>
  <si>
    <t>Assembly</t>
  </si>
  <si>
    <t>Regions Served (Countries &amp; QTY)</t>
  </si>
  <si>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</si>
  <si>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t>Fixture Design &amp; Fabrication</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</si>
  <si>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</si>
  <si>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</si>
  <si>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Metrology</t>
  </si>
  <si>
    <t>Dispatch Difficulty from Region (High/Medium/Low)</t>
  </si>
  <si>
    <t>SW/PLC Integration</t>
  </si>
  <si>
    <r>
      <t>     10.2.5</t>
    </r>
    <r>
      <rPr>
        <b/>
        <sz val="16"/>
        <color theme="0"/>
        <rFont val="SF Hello Regular"/>
      </rPr>
      <t>   Equipment Design &amp; Retrofitability</t>
    </r>
  </si>
  <si>
    <r>
      <t>     10.2.7</t>
    </r>
    <r>
      <rPr>
        <b/>
        <sz val="16"/>
        <color theme="0"/>
        <rFont val="SF Hello Regular"/>
      </rPr>
      <t>   Equipment Component Selection</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</si>
  <si>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</si>
  <si>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</si>
  <si>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</si>
  <si>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10.2.6</t>
    </r>
    <r>
      <rPr>
        <b/>
        <sz val="16"/>
        <color theme="0"/>
        <rFont val="SF Hello Regular"/>
      </rPr>
      <t>   OSS Requirements &amp; Necessity</t>
    </r>
  </si>
  <si>
    <t>Key Components &amp; Average Annual Spend ($M)
(Prefernce for off the shelf components)</t>
  </si>
  <si>
    <t>Test Equipment Tech</t>
  </si>
  <si>
    <t>Laser Compliance Test</t>
  </si>
  <si>
    <t>Button Test</t>
  </si>
  <si>
    <t>Camera Test</t>
  </si>
  <si>
    <t>Optical Test</t>
  </si>
  <si>
    <t>Acoustic Test</t>
  </si>
  <si>
    <t>Force Test</t>
  </si>
  <si>
    <t>Display Sensing/L
uminance Test</t>
  </si>
  <si>
    <r>
      <t>     10.2.8</t>
    </r>
    <r>
      <rPr>
        <b/>
        <sz val="16"/>
        <color theme="0"/>
        <rFont val="SF Hello Regular"/>
      </rPr>
      <t>   Equipment Software &amp; Training Materials</t>
    </r>
  </si>
  <si>
    <t xml:space="preserve">Kyle Boutin
Global Sourcing &amp; Supply Management
+1-415-352-9000
kboutin@apple.com   </t>
  </si>
  <si>
    <r>
      <t>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t>
    </r>
    <r>
      <rPr>
        <b/>
        <sz val="14"/>
        <color theme="0"/>
        <rFont val="Calibri"/>
        <family val="2"/>
      </rPr>
      <t xml:space="preserve">
</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</si>
  <si>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</si>
  <si>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2025 April, 28</t>
  </si>
  <si>
    <t>LG Electronics Inc.</t>
  </si>
  <si>
    <t>128, Yeoui-daero, Yeongdeungpo-gu, Seoul, Republic of Korea</t>
  </si>
  <si>
    <t>www.lge.com</t>
  </si>
  <si>
    <t>JJ Lee</t>
  </si>
  <si>
    <t>LG PRI (Production Engineering Research Institute)</t>
  </si>
  <si>
    <t>Total Solutions on Core Production Engineering and Manufacturing Process Equipment</t>
  </si>
  <si>
    <t>South Korea</t>
  </si>
  <si>
    <t>Vice President</t>
  </si>
  <si>
    <t>YC Lee</t>
  </si>
  <si>
    <t>Brandon Yoon</t>
  </si>
  <si>
    <t>Sung Kim</t>
  </si>
  <si>
    <t>High</t>
  </si>
  <si>
    <t>Medium</t>
  </si>
  <si>
    <t>Confidential</t>
  </si>
  <si>
    <t>Team Leader</t>
  </si>
  <si>
    <t>jj1121.lee@lge.com</t>
  </si>
  <si>
    <t>+82 10-2466-9169</t>
  </si>
  <si>
    <t>yongchan.lee@lge.com</t>
  </si>
  <si>
    <t>+82 10-2449-0783</t>
  </si>
  <si>
    <t>brandon.yoon@lge.com</t>
  </si>
  <si>
    <t>+82 10-5036-9751</t>
  </si>
  <si>
    <t>cr.sungyeon.kim@lge.com</t>
  </si>
  <si>
    <t>+82 10-3918-1579</t>
  </si>
  <si>
    <t>LG PRI, P1 Building</t>
  </si>
  <si>
    <t>LG PRI, P2 Building</t>
  </si>
  <si>
    <t>LG PRI, P3 Building</t>
  </si>
  <si>
    <t>LG PRI, P4 Building</t>
  </si>
  <si>
    <t>LG PRI, P5 Building</t>
  </si>
  <si>
    <t>LG PRI</t>
  </si>
  <si>
    <t>Pyeongtaek, South Korea</t>
  </si>
  <si>
    <t>222, LG-ro, Jinwi-myeon, Pyeongtaek-si, Gyeonggi-do, Republic of Korea</t>
  </si>
  <si>
    <t>ALL</t>
  </si>
  <si>
    <t>Lab (Laser, Inspection, SMT), office
Automation &amp; Production Engineering R&amp;D Facility</t>
  </si>
  <si>
    <t>Clean room</t>
  </si>
  <si>
    <t>Clean room (10,548 Sq.Ft, Class 10,000)</t>
  </si>
  <si>
    <t>Mechanical/electrical assembly
- Machine Center : 33 ea
- Laser Machining EQ : 1 ea
- Wire-EDM : 8 ea
- EDM : 2 ea
- CNC Lathe : 1 ea
- Polishing EQ : 3 ea
- CMM : 10 ea
- Etc. (Milling, Die spotting, etc.) : 8ea</t>
  </si>
  <si>
    <t>Mechanical/electrical assembly
Automation &amp; Production Engineering R&amp;D Facility
Clean room (33,852 Sq.Ft, 1F: Class 10,000, 2F: 100,000)</t>
  </si>
  <si>
    <t>066570</t>
  </si>
  <si>
    <t>India</t>
    <phoneticPr fontId="30" type="noConversion"/>
  </si>
  <si>
    <t>China</t>
    <phoneticPr fontId="30" type="noConversion"/>
  </si>
  <si>
    <t>Vietnam</t>
    <phoneticPr fontId="30" type="noConversion"/>
  </si>
  <si>
    <t>D971, D19X, X2471, X2846</t>
  </si>
  <si>
    <t>V53, V54, V57, D23</t>
  </si>
  <si>
    <t>N/A</t>
  </si>
  <si>
    <t>D971, X2471, D19X, X3442, V53, V54, V57, D23</t>
  </si>
  <si>
    <t>D971, X2471, D19X, X3442, V53, V54, V57, D23, X2846</t>
  </si>
  <si>
    <t>Korea, China, Vietnam, India, Poland, Canada, Mexico, Brazil, United States</t>
  </si>
  <si>
    <t>LG Electronics operates GERP (Global Enterprise Resource Planning), and PRI additionally builds and manages the following automation systems for equipment manufacturing supply chain management.
- PEOP :  : An internal system that supports various tasks such as project management, quality control, safety management, and the registration of ordered items.
- PU-IMC : A system that comprehensive purchasing management system for ordering and contracting of modules, units, components, and equipment, including delivery management, receipt, and settlement processes.
- PEMS : A system that manages production and manufacturing.
- COTS : A system that allows real-time monitoring and tracking of the status of customer order service materials.</t>
  </si>
  <si>
    <t xml:space="preserve">When shipping to India, there were cases where there were difficulties in importing some parts because customs did not allow them to be exported for a long time.
For example, KC certification is needed in some parts import, it is too long time to get KC certification. </t>
  </si>
  <si>
    <t>Incoming Inspection (IQC): Upon the arrival of key components (both processed and purchased), we receive inspection reports to verify any abnormalities.  If necessary, we also conduct direct measurements to confirm the quality of the components.
In-Process Inspection (IPQC): During the equipment manufacturing process, we perform the following checks:
1) Measure the Install Parameter (IP Data) to verify the status of hardware settings.
2) Regularly inspect for any non-conformities against the specifications.
Outgoing Inspection (OQC): We conduct PRI safety inspections and PRI-SAT to assess the basic quality and operational functionality of the products, which determines their eligibility for shipment. Additionally, we make final shipment decisions based on customer inspections. (Note: SAT stands for Site Acceptance Test.)
All these processes are monitored and managed by the Quality Team at the PRI quality team conducts audits of partner companies for inspection and management.</t>
  </si>
  <si>
    <t>- PRI is currently pursuing the diversification of alternative makers and supply agents.
- PRI is in the process of establishing a system to enhance material procurement and supply management.
- PRI has implemented a risk monitoring system for our suppliers, which is currently operational.</t>
  </si>
  <si>
    <t>PRI has 47 CNC milling machines, 5 EDMs, 5 WEDMs, 1 CNC lathe, 8 grinders, 
10 precision measuring machines, 19 other equipment, 12 injection molding machines in the company, 
Our processing and assembly shop covers an area of ​​16,327 square meters and has 140 employees.</t>
  </si>
  <si>
    <t>To respond quickly to customer requests and increase cost efficiency, PRI is planning a localization strategy for production with our partners.
This will strengthen our competitiveness by responding to faster due date and reducing operating costs.
If there is cooperation from the customer, PRI plans to use local suppliers through third-party trade to supply them.</t>
  </si>
  <si>
    <t>In order to develop and manufacture equipment, PRI operates a supply chain with major domestic and international component partners as follows. 
In addition, PRI establishes a supply chain and building relationships with various companies beyond the listed components.
- Laser : Coherent(USA), IPG PHOTONICS(USA), TRUMPF(DE), etc.
- Robot : YASKAWA(JP), Robostar(KOR), Musasi(JP), etc.
- FA(Factory Automation) Part : MITSUBISHI(JP), SIEMENS(DE), PANASONIC(JP), Bosch Rexroth(DE), etc.
- Camera Accessory, Lens: Schneider(DE), EURESYS(BE), JAI(DK), DALSA(CA), etc.
- PC : SUPERMICRO(USA), Advantech(TW), GIGA-BYTE(TW), etc.
- SENSOR : KEYENCE(JP), COGNEX(USA), etc.
- ETC.
※ Please note that information regarding transaction volumes and expenditure details related to key component suppliers are classfied as confidential business information and are therefore not available for external disclosure. We ask for your understanding in this matter.</t>
  </si>
  <si>
    <t>&lt;See Attachment 1&gt;
Haipong</t>
  </si>
  <si>
    <t>&lt;See Attachment 1&gt;
Guangzhou, Nanjing, Mianyang, Bingang, Xiamen, Chongqing, Hefei, Yantai, Shenzhen, Shanghai, Dongguan, Guan, China</t>
  </si>
  <si>
    <t>Approx. 50 PPOM members, 20 AME members, 10 SQE members, 10 MDE members, 10 MQE members, 10 Display Engineering members, 10 GSM members</t>
  </si>
  <si>
    <t>Numerous
(See Comments)</t>
  </si>
  <si>
    <t>See Comments</t>
  </si>
  <si>
    <t>Key components and average annual spend vary depending on several factors, such as equipment type and specifications. We appreciate your understading as providing a definitive list and amount is challenging.</t>
  </si>
  <si>
    <t>Equipment lead time is dependent to Apple build schedule, equipment type and specifications. For example, PRI took only 2 months from DFM to EIH in India site for MIM/MAM (Apple FATP auto-screw installment equipment)</t>
  </si>
  <si>
    <t xml:space="preserve"> ① Apple Metal-Ring(IPhone 6S) PJT ('15)
   : Full Automation In-line System, (Set-up 6 Site simultaneously) 
 ② JDI Module Line(iPhone 7) Turn-Key PJT ('16)
   : Module Line Full Automation In-line System (5 Lines, 36 processes/line) 
 ③ 2D Battery Cell/ Assembly Line ('18)
   : Full Automation In-line System (21 lines) 
 ④ Dual Camera Module (iPhone 7) ('16)
   : Pre-focusing Single AA, ,Laser Soldering, Integration Test, Dual AA(358 Equipment Automation)
 ⑤ Laser Module (IPhone X) ('18)
   : Underfill, Sidefill, LIV Tester, AA, Laser Soldering, Vision Inspection, Cosmetic Inspection, etc (368 Equipment Automation)
 ⑥ Ink Sealing(IPhone, IPad) ('21~)
   : S/phone Hole Ink Sealing(16line), S/phone Top Ink Sealing(16line), Tablet Ink Sealing(6line)
 ⑦ Direct Bonding(IPhone, IPad, S/Watch) ('17~)
   : S/phone Direct Bonding(18line), Tablet Direct Bonding(4line), S/Watch Direct Bonding(5line)
 ⑧ O-TV CP ~ Assembly Line Performance ('18)
   : Total Lay-Out  Optimization, Productivity Improvement/Cost Reduction/Manpower Efficiency
 ⑨ LG Household &amp; Health Care TP New Factory ('20)
   : Charging/Packaging/Inbound Automation Line, Automation/Process &amp; Equipment &amp; Equipment Monitoring &amp; Optimal Maintenance Control
 ⑩ Changwon Refrigerator Lighthouse Factory (＇20)
   : Building Assembly Line Automation
     Pre-assembly Block Automation, Screw Automation, High-frequency Welding and Lock Ring Process Automation, Cycle Process Automation, SPS Process Automation, Establishment of information outside of SPS box, Assembly Process Automation, Door Pre-assembly Automation, Exterior Packaging Automation
  : Building Logistics Automation
      AGV, OHCV, OHT, Automated Warehouse, Lift &amp; Conveyor, Continuous Shuttle, Warehouse Management System, Factory Cleanliness Management Cart</t>
  </si>
  <si>
    <t xml:space="preserve"> - Advance Precision Dispensing(Conner,Hole,3-Side,Waterproof, Grounding, Light leakage prevention), Advance TIM, Dispensing(Multi- Heat dissipation dispensing), Direct Bonding(3D Lami._4-Side Bending, High Speed DB, OCA DB, OCR DB), Lamination(Roll, Drum, Screen), Bonding(COF, PCB), CM(Single AA, Dual AA, Pre-Focusing), LM(Soldering), Automotive CM, Tape Laminator, Cylindrical Can Rivet and Leak Inspection, LMS Logistics, uLED, Flex Attach, High speed Attach, Die Attach, Hairpin Motor Assembly Equipment, Power Semiconductor Sintering Equipment, Semiconductor PLP, Solar Cell(Tabbing, Layup, Busing) , Laser(Cutting, Marking,  Lift Off, Repair, Trimming, Scriber), Batter Laser (Welding, De Gasing, Notching), AOI(Cover Glass, MCL/SR, Sealing, Coating, Assy, Bonding, Direct Bonding, Panel Crack), Screw Fastener, Inner Packaging Loader, Laser Soldering, Shield Cover, AGV, OHCV, OHT</t>
  </si>
  <si>
    <t>LG PRI has been working directly with Apple to provide early advanced development and mass production solutions to a variety of product areas since 2017. As a system integrator and custom automation company, it has been recognized by various Apple organizations and is currently involved in a number of projects.</t>
  </si>
  <si>
    <t>Considering that LG PRI has experience in implementing the automated assembly line for LG phones, we believe we have sufficient capabilities on RFI that you requested. Currently, LG dropped phone business, but it's very likely that we may be able to implement further advanced automation line with Apple utilizing our experience.</t>
  </si>
  <si>
    <t>Refer to System Integration</t>
  </si>
  <si>
    <t xml:space="preserve"> - Assembly: Dispensing, Direct Bonding, Lamination, Bonding, CM, LM, Tape Attach, Rivet &amp; Leak Inspection, uLED
   Attach, PLP, Hairpin Motor, Sintering, Solar Module, Laser Machine, AOI Machine, Screw Fastener, Shield Cover, AGV,
   OHCV, OHT
 - Pick &amp; Place: Flex Attach, Die Attach, PLP
 - Laser welding/ marking: Glass ID Marker, Battery pack laser welding, Battery tab laser welding, Rear lamp laser welding
 - Leak testing: He Leak tester
 - Packing: Inner Packaging Automation(TV, Refrigerator, Cosmetics)
 - Familiar with robotics &amp; vision software: Automated Screw Fastener, Automated Logistics
 - Ability to integrate laser, dispense, load unload mechanism: Laser Cutting, Laser Lift Off, Laser soldering, Laser Repair,
   Dispensing(Sealing, FAD, EHD), UL/ULD
 - Dimensional metrology: MCL/SR AOI, AS Coating AOI, Ink Sealng AOI, Mobile Top Edge ink metrology, Motor Hairpin process metrology, Battery Cell Lami and Stacking process metrology Automated cosmetic inspection of parts: Cover Glass AOI, Panel Crack AOI
 - AOI (Automated Optical Inspection): Bonding AOI, ASSY AOI, AMI, Defect classifier and Data storage System, OLED Mobile Cove rGlass Cosmetic Inspector, detect scratch, dent, stain and particle in Cover Glass, OLED Mobile iIk Sealing Cosmetic Inspector, OLED IT &amp; Mobile Assy Cosmetic Inspector, LED PKG Taping  Vision, OLED Mobile MCL/SR AOI, OLED IT DB and Panel Crack AOI, OLED IT Bonding AOI
 - Packaging (Shrink film wrapping, OPP box wrapping): Inner Packaging, Automated Packaging
 - Vision solutions for manufacturing: Align (Optics), Optic Alignment Automated Collimator, PRAICAM
 - Manufacturing analytics: FMEA Simulation, Front Engineering Simulation (LOB, Layout)</t>
  </si>
  <si>
    <t>With excellent capabilities in design of jigs and fixtures, improvement plans can be drawn within a reasonable time (D+1 to 3)
PRI Molding Technology Division is capable of :
1) Equipment Infra (securing both small, large size) 
*manufacturing equipment(3,5-axis): High Speed Manufacturing, Tapping Equipment
*Ladder, Milling, Complex Machine
*Injection Mold (FANUC, SODIC)
* Small/Mid-Large 3D Measurement Equipment, Scanning Equipment 
2) JIG and Fixing Equipment Production Record 
* MC(Mobile Communication) JIG Manufacturing : Product Fixing JIG for CNC processing (Accuracy +/-0.01), 45C Material, AL60/70 Manufacturing 
* FIXTURE Assembly Manufacture: Display Inspection Jig Manufacture (23”,27”) : Length 1100mm JIG (Flatness +/-0.1)
* Press Process Specialized Jig Manufacturing: Wheel Jig, Twisting-Jig Manufacture  : Material HP4M, Full CNC Manufacture</t>
  </si>
  <si>
    <t>See Attachment 3</t>
  </si>
  <si>
    <t>Currently working on 45 types of iPhone FATP equipments based on both PLC and PC</t>
  </si>
  <si>
    <t>PRI is able to provide services of both PC (visual basic, C++, etc.) and PLC (Mitsubishi, Omron, A&amp;B) using operating system within equipment.</t>
  </si>
  <si>
    <t>[LG Mobile Final Assembly Equipment List]
 Front Loader
2 Point PSA(Pressure Sensitive Adhesive) Attach
Thermal Bonding
LCD Assemble
Bonding Cure
Clamp Remover
PF(Protect Film) Attach 
Pad Attach
PF Remover
FT(Front) Camera Insert
Motor Insert
Multi Press
Grease dispensing
Side Key Assemble
Power Key Insert
Waterproof test
SIM Actuator Insert
PF Remover
Battery Attach
AOI
Gate Conveyor
Set Assemble
Auto Screw Fastener 
Vision Inspection
Camera Cap Remove
Battery cover Assemble 
Heating 
Sim Tray Insert
Set WaterProof Test
Wireless Sensitivity Test
MITS(Mobile Integrated Test System)
AFTS(Additional Function Test)
Key Test
Camera Test
Vibration Test
Function Test
MID #1 (Mobile ID Writing)
MID #2 (Mobile ID Inspection)
Final Inspection 
Sleeve Wrapping 
Unit Box Load
Unit Box Top plate Printing
Blisterpack Insert
Gender Insert 
Travel Adapter Insert
Datacable Insert
Ear Phone Insert
Unit Box Assemble
Unit Label Attach
Seal Label Attach
Vision Inspection
Weight Screening
MaterBox Label</t>
  </si>
  <si>
    <t>1. Quick Test
- CM/LM/Actuator demo test support  w/ bench tester
- Quick Testers for Mechanical / circuit / optical test / display image test can be supported before detailed display metrology test.
- Inspection items and system configuration of Quick testers can be customized.
2. Optical / Photonics test
 1) (Technology) key metrology developed in-house  
  - Grabber( for camera module ), Socket B/D
  - DIL(Direct Imaging Lens)
  - TM calibration metrology(Sphere, P2P, Reflector,,)
  - Auto socket for actuator module
  - CL Lens, 5-axis &amp; 3-axis displacement measuring unit
   ※ Have mechanic design, circuit design, optic design engineers    
   ※ handle most of the element technologies in-house
   ※ Supplied camera module testers for nearly 10 years and is currently responding to NPI builds
 2) (Application history) CM / LM / Actuator Tester
   - CM Up/Down Tester, Z-Cal/Gopher Tester, IGA Tester
   - APS Tester, DCR Tester, Lens SFR Tester, Flare Tester
   - LM Tx Tester , FATP IQC Tester
   - TM CALU-S Tester, FATP IQC Tester
   - Actuator Hawkeye Tester, Daytona Tester, 
3. Display Instrumentation Test
   1) (Technology) : Evaluate luminance, intensity, Flux, Chromaticity, contrast, characterize backlit panels.
   2) (Application) : OLED&amp;LCD IT / mobile / watch Assy display Automated Optical Inspection (LG display)
   - Evaluate luminance uniformity and color uniformity and chromaticity
The PRI Company has manufactured Mobile for many years, offers a variety of RF measurement and verification solutions, and is now producing automotive telematics modules using the same technology.
1. RF Fixture &amp; mechanical holders
- Fixture and mechanical holder for production with RF functions are designed and used with fixed maximum/variable partial minimization and cover various sizes/performance of automatic telematics. 
(Currently utilizing PRI's own developed RF signal connector) 
2. Near Field Measurement Capability with wide band radio frequency
 - (Secured Technology)
   : RF performance certified instrument-based specification optimization configuration and mass production application
 - (Shield box with antenna)
  : Design/manufacture a shield box with a built-in antenna according to RF frequency and product size, and conduct a wireless test in an RF noise-blocking environment (Wi-Fi / BT / GPS / 3G / 4G / 5G / 5G mmWave)
※ Both the pre-assembly and post-assembly stages use the same instrument, but the logistics configuration and operation are optimized for each stage. Upon customer request, the instrument can be configured to meet the pre/post stage requirements.
※ Nearfield inspection is being conducted in full inspection. Far-field inspection is being conducted for sampling inspection for Mobile, and telematics for vehicles are being reviewed
PRI has lot of experiences of implementing Testers using FPGA and FW design skill
1. FCT
   1) Pattern Generator
   (Application)
   * FPGA based MIPI Pattern Generator for Apple Watch Display
   * High speed LCD Signal Pattern Generator
  2) Data Acquisition 
   (Application)
   * Digital Function Tester for TV board → FPGA board for custom High-speed Signal (VbyOne, CEDS, eDP)
   * Camera Module Grabber (ACI/LPDP/MIPI) → 20Gbps Camera Module Grabber
   * Analog DAQ for VCM Testers → 16 analog channel 
2. ICT
   1) Camera : Self-manufactured high speed &amp; resolution cameras (5M/12M/21M/31M/50M/67M/70M/150M/600M)
   2) Ultra Resolution Custom camera based PCB Inspection Tester and Tester Software.
   3) 3D Inspection Solution
 3. DFU
   - Android Mobile Phone High-speed Firmware Downloader and Equipment (LG Mobile)</t>
  </si>
  <si>
    <t>See Video 3
See Video 4</t>
  </si>
  <si>
    <t>See Attachment 4</t>
  </si>
  <si>
    <t>See Attachment 5</t>
  </si>
  <si>
    <t>See Attachment 6</t>
  </si>
  <si>
    <t>See Attachment 7</t>
  </si>
  <si>
    <t>See Attachment 8</t>
  </si>
  <si>
    <t>See Attachment 9
See Video 2</t>
  </si>
  <si>
    <t>See Attachment 10</t>
  </si>
  <si>
    <t>See Attachment 0
See Video 1</t>
  </si>
  <si>
    <t>President / EVP</t>
  </si>
  <si>
    <t>DH Jeong
Daniel Jeong</t>
  </si>
  <si>
    <t>daehwa.jeong@lge.com
 soohoa.jeong@lge.com</t>
  </si>
  <si>
    <t>+82 10-8301-3493
+82 10-3907-2042</t>
  </si>
  <si>
    <t>In case of India but not limited to, PRI has  identified local manafacturing candidates and machining candidates and are currently verifying them for quality, cost and delivery. 
PRI will figure out their capabilities and plan to manufacture some components and conduct verification by June.</t>
  </si>
  <si>
    <t>&lt;See Attachment 1&gt;
Chennai, Bengalore, Noida, Pune</t>
  </si>
  <si>
    <t>There're too many Apple members that PRI is working with.
In 2024, over 150 Apple members visited PRI 60 times</t>
  </si>
  <si>
    <t xml:space="preserve">&lt;See Attachment 2&gt;
PRI engineers often have overlapping skill sets, it's difficult to assign headcount exactly as per this template.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</si>
</sst>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164" formatCode="_-[$$-409]* #,##0_ ;_-[$$-409]* \-#,##0\ ;_-[$$-409]* &quot;-&quot;??_ ;_-@_ "/>
    <numFmt numFmtId="165" formatCode="_-[$$-409]* #,##0.00_ ;_-[$$-409]* \-#,##0.00\ ;_-[$$-409]* &quot;-&quot;_ ;_-@_ "/>
  </numFmts>
  <fonts count="34">
    <font>
      <sz val="12"/>
      <color theme="1"/>
      <name val="Calibri"/>
      <family val="2"/>
      <scheme val="minor"/>
    </font>
    <font>
      <sz val="12"/>
      <color theme="1"/>
      <name val="Calibri"/>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Calibri"/>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Calibri"/>
      <family val="2"/>
      <scheme val="minor"/>
    </font>
    <font>
      <b/>
      <u/>
      <sz val="12"/>
      <color theme="1"/>
      <name val="Calibri"/>
      <family val="2"/>
      <scheme val="minor"/>
    </font>
    <font>
      <sz val="14"/>
      <name val="Helvetica Neue"/>
      <family val="2"/>
    </font>
    <font>
      <sz val="12"/>
      <name val="Helvetica Neue"/>
      <family val="2"/>
    </font>
    <font>
      <b/>
      <u/>
      <sz val="14"/>
      <color theme="1"/>
      <name val="Helvetica Neue"/>
      <family val="2"/>
    </font>
    <font>
      <b/>
      <sz val="12"/>
      <color theme="1"/>
      <name val="Calibri"/>
      <family val="2"/>
      <scheme val="minor"/>
    </font>
    <font>
      <i/>
      <sz val="12"/>
      <color theme="1"/>
      <name val="Calibri"/>
      <family val="2"/>
      <scheme val="minor"/>
    </font>
    <font>
      <sz val="8"/>
      <name val="Calibri"/>
      <family val="2"/>
      <scheme val="minor"/>
    </font>
    <font>
      <sz val="9"/>
      <color indexed="81"/>
      <name val="Tahoma"/>
      <family val="2"/>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41" fontId="1" fillId="0" borderId="0" applyFont="0" applyFill="0" applyBorder="0" applyAlignment="0" applyProtection="0">
      <alignment vertical="center"/>
    </xf>
  </cellStyleXfs>
  <cellXfs count="93">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0" fontId="11" fillId="4" borderId="1" xfId="0" applyFont="1" applyFill="1" applyBorder="1" applyAlignment="1">
      <alignment horizontal="center" vertical="center"/>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64"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8" fillId="5" borderId="2" xfId="3"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3" fillId="4" borderId="8" xfId="0" applyFont="1" applyFill="1" applyBorder="1" applyAlignment="1">
      <alignment horizontal="center" vertical="center"/>
    </xf>
    <xf numFmtId="0" fontId="12" fillId="5" borderId="9" xfId="0" quotePrefix="1" applyFont="1" applyFill="1" applyBorder="1" applyAlignment="1" applyProtection="1">
      <alignment horizontal="center" vertical="center" wrapText="1"/>
      <protection locked="0"/>
    </xf>
    <xf numFmtId="0" fontId="13" fillId="4" borderId="10" xfId="0" applyFont="1" applyFill="1" applyBorder="1" applyAlignment="1">
      <alignment horizontal="center" vertical="center"/>
    </xf>
    <xf numFmtId="0" fontId="12" fillId="5" borderId="11" xfId="0" applyFont="1" applyFill="1" applyBorder="1" applyAlignment="1" applyProtection="1">
      <alignment horizontal="center" vertical="center" wrapText="1"/>
      <protection locked="0"/>
    </xf>
    <xf numFmtId="0" fontId="8" fillId="5" borderId="11" xfId="3"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0" fontId="10" fillId="7" borderId="1" xfId="0" applyFont="1" applyFill="1" applyBorder="1" applyAlignment="1">
      <alignment horizontal="center" vertical="center" wrapText="1"/>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1" fillId="5" borderId="1" xfId="0" applyFont="1" applyFill="1" applyBorder="1" applyAlignment="1" applyProtection="1">
      <alignment horizontal="center" vertical="center" wrapText="1"/>
      <protection locked="0"/>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0" fontId="26" fillId="0" borderId="0" xfId="0" applyFont="1"/>
    <xf numFmtId="165" fontId="12" fillId="5" borderId="1" xfId="0" applyNumberFormat="1" applyFont="1" applyFill="1" applyBorder="1" applyAlignment="1" applyProtection="1">
      <alignment horizontal="center" vertical="center" wrapText="1"/>
      <protection locked="0"/>
    </xf>
    <xf numFmtId="165" fontId="12" fillId="5" borderId="1" xfId="4"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1" fontId="12" fillId="5" borderId="1" xfId="0" quotePrefix="1" applyNumberFormat="1" applyFont="1" applyFill="1" applyBorder="1" applyAlignment="1" applyProtection="1">
      <alignment horizontal="center" vertical="center" wrapText="1"/>
      <protection locked="0"/>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3" fontId="12" fillId="5" borderId="1" xfId="0" applyNumberFormat="1" applyFont="1" applyFill="1" applyBorder="1" applyAlignment="1" applyProtection="1">
      <alignment horizontal="center" vertical="center" wrapText="1"/>
      <protection locked="0"/>
    </xf>
    <xf numFmtId="0" fontId="12" fillId="5" borderId="1" xfId="0" quotePrefix="1" applyFont="1" applyFill="1" applyBorder="1" applyAlignment="1" applyProtection="1">
      <alignment horizontal="center" vertical="center" wrapText="1"/>
      <protection locked="0"/>
    </xf>
    <xf numFmtId="0" fontId="11" fillId="4" borderId="1" xfId="0" applyFont="1" applyFill="1" applyBorder="1" applyAlignment="1">
      <alignment horizontal="left" vertical="center" wrapText="1"/>
    </xf>
    <xf numFmtId="0" fontId="12" fillId="5" borderId="3" xfId="0" quotePrefix="1"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2" fillId="5" borderId="3"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2" fillId="8" borderId="1" xfId="0" applyFont="1" applyFill="1" applyBorder="1" applyAlignment="1">
      <alignment horizontal="center"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0" fillId="0" borderId="0" xfId="0" applyAlignment="1">
      <alignment horizontal="left" vertical="top" wrapText="1"/>
    </xf>
    <xf numFmtId="0" fontId="31" fillId="0" borderId="0" xfId="0" applyFont="1" applyAlignment="1">
      <alignment horizontal="left" vertical="top" wrapText="1"/>
    </xf>
    <xf numFmtId="0" fontId="11" fillId="4" borderId="14" xfId="0" applyFont="1" applyFill="1" applyBorder="1" applyAlignment="1">
      <alignment horizontal="center" vertical="center"/>
    </xf>
  </cellXfs>
  <cellStyles count="5">
    <cellStyle name="Comma [0] 2" xfId="4" xr:uid="{286E3D10-827B-F54C-817D-B29004B17F97}"/>
    <cellStyle name="Normal 2" xfId="2" xr:uid="{C3243E13-6EF8-E042-BC12-751DCDBFECFE}"/>
    <cellStyle name="백분율" xfId="1" builtinId="5"/>
    <cellStyle name="표준" xfId="0" builtinId="0"/>
    <cellStyle name="하이퍼링크" xfId="3" builtinId="8"/>
  </cellStyles>
  <dxfs count="66">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177832</xdr:colOff>
      <xdr:row>0</xdr:row>
      <xdr:rowOff>0</xdr:rowOff>
    </xdr:from>
    <xdr:to>
      <xdr:col>13</xdr:col>
      <xdr:colOff>427856</xdr:colOff>
      <xdr:row>13</xdr:row>
      <xdr:rowOff>462363</xdr:rowOff>
    </xdr:to>
    <xdr:pic>
      <xdr:nvPicPr>
        <xdr:cNvPr id="2" name="그림 1">
          <a:extLst>
            <a:ext uri="{FF2B5EF4-FFF2-40B4-BE49-F238E27FC236}">
              <a16:creationId xmlns:a16="http://schemas.microsoft.com/office/drawing/2014/main" id="{ECB153B0-ADE6-4A66-AA40-3DFDAB2B2E0C}"/>
            </a:ext>
          </a:extLst>
        </xdr:cNvPr>
        <xdr:cNvPicPr>
          <a:picLocks noChangeAspect="1"/>
        </xdr:cNvPicPr>
      </xdr:nvPicPr>
      <xdr:blipFill rotWithShape="1">
        <a:blip xmlns:r="http://schemas.openxmlformats.org/officeDocument/2006/relationships" r:embed="rId1"/>
        <a:srcRect b="39087"/>
        <a:stretch/>
      </xdr:blipFill>
      <xdr:spPr>
        <a:xfrm>
          <a:off x="177832" y="0"/>
          <a:ext cx="12419612" cy="52584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71438</xdr:rowOff>
    </xdr:from>
    <xdr:to>
      <xdr:col>19</xdr:col>
      <xdr:colOff>826641</xdr:colOff>
      <xdr:row>55</xdr:row>
      <xdr:rowOff>151652</xdr:rowOff>
    </xdr:to>
    <xdr:pic>
      <xdr:nvPicPr>
        <xdr:cNvPr id="5" name="그림 4">
          <a:extLst>
            <a:ext uri="{FF2B5EF4-FFF2-40B4-BE49-F238E27FC236}">
              <a16:creationId xmlns:a16="http://schemas.microsoft.com/office/drawing/2014/main" id="{C7C0A401-BF9B-498C-AB90-4E8C1076DCBB}"/>
            </a:ext>
          </a:extLst>
        </xdr:cNvPr>
        <xdr:cNvPicPr>
          <a:picLocks noChangeAspect="1"/>
        </xdr:cNvPicPr>
      </xdr:nvPicPr>
      <xdr:blipFill>
        <a:blip xmlns:r="http://schemas.openxmlformats.org/officeDocument/2006/relationships" r:embed="rId1"/>
        <a:stretch>
          <a:fillRect/>
        </a:stretch>
      </xdr:blipFill>
      <xdr:spPr>
        <a:xfrm>
          <a:off x="428625" y="71438"/>
          <a:ext cx="15828516" cy="11510214"/>
        </a:xfrm>
        <a:prstGeom prst="rect">
          <a:avLst/>
        </a:prstGeom>
      </xdr:spPr>
    </xdr:pic>
    <xdr:clientData/>
  </xdr:twoCellAnchor>
  <xdr:twoCellAnchor editAs="oneCell">
    <xdr:from>
      <xdr:col>20</xdr:col>
      <xdr:colOff>425223</xdr:colOff>
      <xdr:row>0</xdr:row>
      <xdr:rowOff>30616</xdr:rowOff>
    </xdr:from>
    <xdr:to>
      <xdr:col>39</xdr:col>
      <xdr:colOff>419111</xdr:colOff>
      <xdr:row>53</xdr:row>
      <xdr:rowOff>130237</xdr:rowOff>
    </xdr:to>
    <xdr:pic>
      <xdr:nvPicPr>
        <xdr:cNvPr id="7" name="그림 6">
          <a:extLst>
            <a:ext uri="{FF2B5EF4-FFF2-40B4-BE49-F238E27FC236}">
              <a16:creationId xmlns:a16="http://schemas.microsoft.com/office/drawing/2014/main" id="{9D22B9F1-A402-120A-7411-66B66F03C7EC}"/>
            </a:ext>
          </a:extLst>
        </xdr:cNvPr>
        <xdr:cNvPicPr>
          <a:picLocks noChangeAspect="1"/>
        </xdr:cNvPicPr>
      </xdr:nvPicPr>
      <xdr:blipFill>
        <a:blip xmlns:r="http://schemas.openxmlformats.org/officeDocument/2006/relationships" r:embed="rId2"/>
        <a:stretch>
          <a:fillRect/>
        </a:stretch>
      </xdr:blipFill>
      <xdr:spPr>
        <a:xfrm>
          <a:off x="16617723" y="30616"/>
          <a:ext cx="15764567" cy="1184258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엄정은/연구원/PRI DA TAM" id="{9E25B5F7-3C73-4BDA-AB06-08EACDBB9275}" userId="S::je.eom@lge.com::86c8f15e-a907-4428-b957-4662690c9217" providerId="AD"/>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4" dT="2025-04-24T09:45:53.99" personId="{9E25B5F7-3C73-4BDA-AB06-08EACDBB9275}" id="{A431FCAE-3D4F-4694-9A14-7E764003D7FA}">
    <text>LG PRI's internal policy does not allow to proceed with the equipment manufacturing process without PO issuance.
Even Apple issues a PO, payment will only be made if the equipment meets the performance requirements.</text>
  </threadedComment>
  <threadedComment ref="C16" dT="2025-04-24T09:47:37.71" personId="{9E25B5F7-3C73-4BDA-AB06-08EACDBB9275}" id="{5416B8F6-595F-416C-817B-4A24C272D0B5}">
    <text>LG PRI's internal policy does not allow to proceed with the equipment manufacturing process without PO issuance.
Even Apple issues a PO, payment will only be made if the equipment meets the performance requirements.</text>
  </threadedComment>
</ThreadedComment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526-ABAF-014C-AF51-05D74B756853}">
  <sheetPr>
    <tabColor rgb="FFFFFF00"/>
  </sheetPr>
  <dimension ref="B2:B14"/>
  <sheetViews>
    <sheetView showGridLines="0" zoomScale="70" zoomScaleNormal="70" workbookViewId="0">
      <selection activeCell="B17" sqref="B17"/>
    </sheetView>
  </sheetViews>
  <sheetFormatPr defaultColWidth="10.875" defaultRowHeight="20.25"/>
  <cols>
    <col min="1" max="1" width="10.875" style="51"/>
    <col min="2" max="2" width="200.875" style="10" customWidth="1"/>
    <col min="3" max="16384" width="10.875" style="51"/>
  </cols>
  <sheetData>
    <row r="2" spans="2:2">
      <c r="B2" s="8" t="s">
        <v>214</v>
      </c>
    </row>
    <row r="3" spans="2:2">
      <c r="B3" s="44" t="s">
        <v>174</v>
      </c>
    </row>
    <row r="4" spans="2:2" ht="81">
      <c r="B4" s="9" t="s">
        <v>113</v>
      </c>
    </row>
    <row r="5" spans="2:2">
      <c r="B5" s="44" t="s">
        <v>175</v>
      </c>
    </row>
    <row r="6" spans="2:2" ht="40.5">
      <c r="B6" s="9" t="s">
        <v>114</v>
      </c>
    </row>
    <row r="7" spans="2:2">
      <c r="B7" s="44" t="s">
        <v>176</v>
      </c>
    </row>
    <row r="8" spans="2:2" ht="283.5">
      <c r="B8" s="9" t="s">
        <v>293</v>
      </c>
    </row>
    <row r="9" spans="2:2">
      <c r="B9" s="44" t="s">
        <v>177</v>
      </c>
    </row>
    <row r="10" spans="2:2">
      <c r="B10" s="9" t="s">
        <v>180</v>
      </c>
    </row>
    <row r="11" spans="2:2">
      <c r="B11" s="44" t="s">
        <v>178</v>
      </c>
    </row>
    <row r="12" spans="2:2" ht="40.5">
      <c r="B12" s="9" t="s">
        <v>115</v>
      </c>
    </row>
    <row r="13" spans="2:2">
      <c r="B13" s="44" t="s">
        <v>179</v>
      </c>
    </row>
    <row r="14" spans="2:2" ht="81">
      <c r="B14" s="72" t="s">
        <v>316</v>
      </c>
    </row>
  </sheetData>
  <sheetProtection algorithmName="SHA-512" hashValue="oqQmTTL1TGDehFTcAOr2PQzV2AF19eG2fsUcc8MPwK3DeUGnHmuByNhhMgg5CE2BrggHILzN+R4S0gsFxK+kfw==" saltValue="b/vDCHd/sP/Ufj+9MTyigg==" spinCount="100000" sheet="1" objects="1" scenarios="1"/>
  <pageMargins left="0.7" right="0.7" top="0.75" bottom="0.75" header="0.3" footer="0.3"/>
  <headerFooter>
    <oddHeader>&amp;C&amp;"Calibri"&amp;12&amp;K000000 LGE Internal Use Only&amp;1#_x000D_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BF69-562E-D441-9927-EC884647A6CB}">
  <sheetPr>
    <tabColor rgb="FFFFFF00"/>
  </sheetPr>
  <dimension ref="B2:B30"/>
  <sheetViews>
    <sheetView showGridLines="0" topLeftCell="A3" zoomScale="70" zoomScaleNormal="70" workbookViewId="0">
      <selection activeCell="A16" sqref="A16"/>
    </sheetView>
  </sheetViews>
  <sheetFormatPr defaultColWidth="10.875" defaultRowHeight="20.25"/>
  <cols>
    <col min="1" max="1" width="10.875" style="51"/>
    <col min="2" max="2" width="200.875" style="10" customWidth="1"/>
    <col min="3" max="16384" width="10.875" style="51"/>
  </cols>
  <sheetData>
    <row r="2" spans="2:2">
      <c r="B2" s="8" t="s">
        <v>116</v>
      </c>
    </row>
    <row r="3" spans="2:2">
      <c r="B3" s="43" t="s">
        <v>160</v>
      </c>
    </row>
    <row r="4" spans="2:2" ht="60.75">
      <c r="B4" s="9" t="s">
        <v>117</v>
      </c>
    </row>
    <row r="5" spans="2:2">
      <c r="B5" s="44" t="s">
        <v>161</v>
      </c>
    </row>
    <row r="6" spans="2:2" ht="40.5">
      <c r="B6" s="9" t="s">
        <v>118</v>
      </c>
    </row>
    <row r="7" spans="2:2">
      <c r="B7" s="44" t="s">
        <v>162</v>
      </c>
    </row>
    <row r="8" spans="2:2" ht="60.75">
      <c r="B8" s="9" t="s">
        <v>181</v>
      </c>
    </row>
    <row r="9" spans="2:2">
      <c r="B9" s="44" t="s">
        <v>163</v>
      </c>
    </row>
    <row r="10" spans="2:2" ht="40.5">
      <c r="B10" s="9" t="s">
        <v>119</v>
      </c>
    </row>
    <row r="11" spans="2:2">
      <c r="B11" s="44" t="s">
        <v>164</v>
      </c>
    </row>
    <row r="12" spans="2:2" ht="121.5">
      <c r="B12" s="9" t="s">
        <v>120</v>
      </c>
    </row>
    <row r="13" spans="2:2">
      <c r="B13" s="44" t="s">
        <v>165</v>
      </c>
    </row>
    <row r="14" spans="2:2" ht="81">
      <c r="B14" s="9" t="s">
        <v>121</v>
      </c>
    </row>
    <row r="15" spans="2:2">
      <c r="B15" s="44" t="s">
        <v>166</v>
      </c>
    </row>
    <row r="16" spans="2:2" ht="162">
      <c r="B16" s="9" t="s">
        <v>122</v>
      </c>
    </row>
    <row r="17" spans="2:2">
      <c r="B17" s="44" t="s">
        <v>167</v>
      </c>
    </row>
    <row r="18" spans="2:2" ht="60.75">
      <c r="B18" s="9" t="s">
        <v>123</v>
      </c>
    </row>
    <row r="19" spans="2:2">
      <c r="B19" s="44" t="s">
        <v>168</v>
      </c>
    </row>
    <row r="20" spans="2:2" ht="121.5">
      <c r="B20" s="9" t="s">
        <v>124</v>
      </c>
    </row>
    <row r="21" spans="2:2">
      <c r="B21" s="44" t="s">
        <v>169</v>
      </c>
    </row>
    <row r="22" spans="2:2" ht="60.75">
      <c r="B22" s="9" t="s">
        <v>125</v>
      </c>
    </row>
    <row r="23" spans="2:2">
      <c r="B23" s="44" t="s">
        <v>170</v>
      </c>
    </row>
    <row r="24" spans="2:2" ht="202.5">
      <c r="B24" s="9" t="s">
        <v>126</v>
      </c>
    </row>
    <row r="25" spans="2:2">
      <c r="B25" s="44" t="s">
        <v>171</v>
      </c>
    </row>
    <row r="26" spans="2:2" ht="162">
      <c r="B26" s="9" t="s">
        <v>127</v>
      </c>
    </row>
    <row r="27" spans="2:2">
      <c r="B27" s="44" t="s">
        <v>172</v>
      </c>
    </row>
    <row r="28" spans="2:2" ht="40.5">
      <c r="B28" s="9" t="s">
        <v>128</v>
      </c>
    </row>
    <row r="29" spans="2:2">
      <c r="B29" s="44" t="s">
        <v>173</v>
      </c>
    </row>
    <row r="30" spans="2:2" ht="40.5">
      <c r="B30" s="9" t="s">
        <v>129</v>
      </c>
    </row>
  </sheetData>
  <sheetProtection algorithmName="SHA-512" hashValue="16lh0SMdOYpgz3mnq1FR8VPhkQB9WkH38CSEnYhumJ7oOgzraD5PFwCtlNgfhiodXtWpUFbS52RGhhbDqUMGuw==" saltValue="TscPftiJMrKjkcTdY+qO4A==" spinCount="100000" sheet="1" objects="1" scenarios="1"/>
  <pageMargins left="0.7" right="0.7" top="0.75" bottom="0.75" header="0.3" footer="0.3"/>
  <headerFooter>
    <oddHeader>&amp;C&amp;"Calibri"&amp;12&amp;K000000 LGE Internal Use Only&amp;1#_x000D_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F49-5BD8-DF46-AF90-35C340E8EFC4}">
  <sheetPr>
    <tabColor rgb="FFFFFF00"/>
  </sheetPr>
  <dimension ref="B2:C4"/>
  <sheetViews>
    <sheetView showGridLines="0" zoomScale="85" zoomScaleNormal="85" workbookViewId="0">
      <selection activeCell="B8" sqref="B8"/>
    </sheetView>
  </sheetViews>
  <sheetFormatPr defaultColWidth="10.875" defaultRowHeight="20.25"/>
  <cols>
    <col min="1" max="1" width="10.875" style="51"/>
    <col min="2" max="2" width="141.5" style="10" customWidth="1"/>
    <col min="3" max="3" width="40.875" style="13" customWidth="1"/>
    <col min="4" max="16384" width="10.875" style="51"/>
  </cols>
  <sheetData>
    <row r="2" spans="2:3">
      <c r="B2" s="8" t="s">
        <v>130</v>
      </c>
      <c r="C2" s="11"/>
    </row>
    <row r="3" spans="2:3">
      <c r="B3" s="43" t="s">
        <v>151</v>
      </c>
      <c r="C3" s="11"/>
    </row>
    <row r="4" spans="2:3" ht="202.5">
      <c r="B4" s="12" t="s">
        <v>131</v>
      </c>
      <c r="C4" s="50" t="s">
        <v>36</v>
      </c>
    </row>
  </sheetData>
  <sheetProtection algorithmName="SHA-512" hashValue="cPVBRGIOKtrTXlo8MnBnv30QuoK2ij4jvok7Fuxi7SU44lPIkdnO5QVJCpjHhshse5xZzxGkMdhwa1LXka8wWQ==" saltValue="QyILU6nUmgu4hisGiP9AQw==" spinCount="100000" sheet="1" objects="1" scenarios="1"/>
  <conditionalFormatting sqref="C4">
    <cfRule type="containsText" dxfId="65" priority="1" operator="containsText" text="Yes">
      <formula>NOT(ISERROR(SEARCH("Yes",C4)))</formula>
    </cfRule>
    <cfRule type="containsText" dxfId="64" priority="2" operator="containsText" text="No">
      <formula>NOT(ISERROR(SEARCH("No",C4)))</formula>
    </cfRule>
    <cfRule type="notContainsBlanks" dxfId="63" priority="3" stopIfTrue="1">
      <formula>LEN(TRIM(C4))&gt;0</formula>
    </cfRule>
  </conditionalFormatting>
  <dataValidations count="1">
    <dataValidation type="list" allowBlank="1" showInputMessage="1" showErrorMessage="1" sqref="C4" xr:uid="{E82E43B1-DD90-F244-855A-4754571FC385}">
      <formula1>"Yes, No"</formula1>
    </dataValidation>
  </dataValidations>
  <pageMargins left="0.7" right="0.7" top="0.75" bottom="0.75" header="0.3" footer="0.3"/>
  <headerFooter>
    <oddHeader>&amp;C&amp;"Calibri"&amp;12&amp;K000000 LGE Internal Use Only&amp;1#_x000D_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7FB4-6B8E-EC46-B518-AA4B397B9214}">
  <sheetPr>
    <tabColor rgb="FF4F81BD"/>
  </sheetPr>
  <dimension ref="A1:G25"/>
  <sheetViews>
    <sheetView showGridLines="0" topLeftCell="B1" zoomScaleNormal="100" workbookViewId="0">
      <selection activeCell="D31" sqref="D31"/>
    </sheetView>
  </sheetViews>
  <sheetFormatPr defaultColWidth="10.875" defaultRowHeight="18.75"/>
  <cols>
    <col min="1" max="1" width="3.5" style="15" customWidth="1"/>
    <col min="2" max="2" width="74.625" style="15" customWidth="1"/>
    <col min="3" max="4" width="29.125" style="15" customWidth="1"/>
    <col min="5" max="5" width="30.375" style="15" bestFit="1" customWidth="1"/>
    <col min="6" max="6" width="29.125" style="15" customWidth="1"/>
    <col min="7" max="7" width="38.375" style="15" customWidth="1"/>
    <col min="8" max="8" width="10.875" style="3" customWidth="1"/>
    <col min="9" max="16384" width="10.875" style="3"/>
  </cols>
  <sheetData>
    <row r="1" spans="1:7" ht="26.1" customHeight="1">
      <c r="B1" s="14" t="s">
        <v>235</v>
      </c>
    </row>
    <row r="2" spans="1:7" ht="26.1" customHeight="1">
      <c r="A2" s="15">
        <v>1</v>
      </c>
      <c r="B2" s="16" t="s">
        <v>132</v>
      </c>
      <c r="C2" s="17" t="s">
        <v>319</v>
      </c>
    </row>
    <row r="3" spans="1:7" ht="26.1" customHeight="1">
      <c r="A3" s="15">
        <v>2</v>
      </c>
      <c r="B3" s="16" t="s">
        <v>14</v>
      </c>
      <c r="C3" s="18" t="s">
        <v>324</v>
      </c>
    </row>
    <row r="4" spans="1:7" ht="26.1" customHeight="1">
      <c r="A4" s="15">
        <v>3</v>
      </c>
      <c r="B4" s="16" t="s">
        <v>13</v>
      </c>
      <c r="C4" s="18" t="s">
        <v>320</v>
      </c>
      <c r="E4" s="19"/>
    </row>
    <row r="5" spans="1:7" ht="26.1" customHeight="1">
      <c r="A5" s="15">
        <v>4</v>
      </c>
      <c r="B5" s="16" t="s">
        <v>133</v>
      </c>
      <c r="C5" s="18" t="s">
        <v>321</v>
      </c>
      <c r="E5" s="19"/>
    </row>
    <row r="6" spans="1:7" ht="26.1" customHeight="1">
      <c r="A6" s="15">
        <v>5</v>
      </c>
      <c r="B6" s="16" t="s">
        <v>0</v>
      </c>
      <c r="C6" s="20" t="s">
        <v>322</v>
      </c>
      <c r="E6" s="19"/>
    </row>
    <row r="7" spans="1:7" ht="26.1" customHeight="1">
      <c r="A7" s="15">
        <v>6</v>
      </c>
      <c r="B7" s="16" t="s">
        <v>1</v>
      </c>
      <c r="C7" s="18" t="s">
        <v>12</v>
      </c>
      <c r="E7" s="19"/>
    </row>
    <row r="8" spans="1:7" ht="26.1" customHeight="1">
      <c r="A8" s="15">
        <v>7</v>
      </c>
      <c r="B8" s="16" t="s">
        <v>2</v>
      </c>
      <c r="C8" s="78" t="s">
        <v>357</v>
      </c>
    </row>
    <row r="9" spans="1:7" ht="26.1" customHeight="1">
      <c r="A9" s="15">
        <v>8</v>
      </c>
      <c r="B9" s="16" t="s">
        <v>134</v>
      </c>
      <c r="C9" s="18" t="s">
        <v>325</v>
      </c>
    </row>
    <row r="10" spans="1:7" ht="26.1" customHeight="1">
      <c r="A10" s="15">
        <v>9</v>
      </c>
      <c r="B10" s="16" t="s">
        <v>5</v>
      </c>
      <c r="C10" s="77">
        <v>1815</v>
      </c>
    </row>
    <row r="11" spans="1:7">
      <c r="A11" s="15">
        <v>10</v>
      </c>
      <c r="B11" s="16" t="s">
        <v>3</v>
      </c>
      <c r="C11" s="18">
        <v>1987</v>
      </c>
    </row>
    <row r="12" spans="1:7">
      <c r="A12" s="15">
        <v>11</v>
      </c>
      <c r="B12" s="16" t="s">
        <v>4</v>
      </c>
      <c r="C12" s="18">
        <v>2012</v>
      </c>
      <c r="F12" s="21"/>
    </row>
    <row r="15" spans="1:7" ht="37.5">
      <c r="B15" s="24" t="s">
        <v>135</v>
      </c>
      <c r="C15" s="25" t="s">
        <v>136</v>
      </c>
      <c r="D15" s="25" t="s">
        <v>19</v>
      </c>
      <c r="E15" s="25" t="s">
        <v>112</v>
      </c>
      <c r="F15" s="25" t="s">
        <v>20</v>
      </c>
      <c r="G15" s="26" t="s">
        <v>137</v>
      </c>
    </row>
    <row r="16" spans="1:7" ht="37.5">
      <c r="B16" s="27" t="s">
        <v>21</v>
      </c>
      <c r="C16" s="18" t="s">
        <v>403</v>
      </c>
      <c r="D16" s="18" t="s">
        <v>402</v>
      </c>
      <c r="E16" s="18" t="s">
        <v>326</v>
      </c>
      <c r="F16" s="20" t="s">
        <v>404</v>
      </c>
      <c r="G16" s="28" t="s">
        <v>405</v>
      </c>
    </row>
    <row r="17" spans="2:7">
      <c r="B17" s="27" t="s">
        <v>138</v>
      </c>
      <c r="C17" s="18" t="s">
        <v>323</v>
      </c>
      <c r="D17" s="18" t="s">
        <v>327</v>
      </c>
      <c r="E17" s="18" t="s">
        <v>326</v>
      </c>
      <c r="F17" s="20" t="s">
        <v>335</v>
      </c>
      <c r="G17" s="28" t="s">
        <v>336</v>
      </c>
    </row>
    <row r="18" spans="2:7">
      <c r="B18" s="27" t="s">
        <v>139</v>
      </c>
      <c r="C18" s="18" t="s">
        <v>328</v>
      </c>
      <c r="D18" s="18" t="s">
        <v>327</v>
      </c>
      <c r="E18" s="18" t="s">
        <v>326</v>
      </c>
      <c r="F18" s="20" t="s">
        <v>337</v>
      </c>
      <c r="G18" s="28" t="s">
        <v>338</v>
      </c>
    </row>
    <row r="19" spans="2:7">
      <c r="B19" s="27" t="s">
        <v>140</v>
      </c>
      <c r="C19" s="18" t="s">
        <v>329</v>
      </c>
      <c r="D19" s="18" t="s">
        <v>334</v>
      </c>
      <c r="E19" s="18" t="s">
        <v>326</v>
      </c>
      <c r="F19" s="20" t="s">
        <v>339</v>
      </c>
      <c r="G19" s="28" t="s">
        <v>340</v>
      </c>
    </row>
    <row r="20" spans="2:7">
      <c r="B20" s="29" t="s">
        <v>141</v>
      </c>
      <c r="C20" s="22" t="s">
        <v>330</v>
      </c>
      <c r="D20" s="22" t="s">
        <v>334</v>
      </c>
      <c r="E20" s="18" t="s">
        <v>326</v>
      </c>
      <c r="F20" s="23" t="s">
        <v>341</v>
      </c>
      <c r="G20" s="28" t="s">
        <v>342</v>
      </c>
    </row>
    <row r="21" spans="2:7">
      <c r="B21" s="27" t="s">
        <v>142</v>
      </c>
      <c r="C21" s="18" t="s">
        <v>328</v>
      </c>
      <c r="D21" s="18" t="s">
        <v>327</v>
      </c>
      <c r="E21" s="18" t="s">
        <v>326</v>
      </c>
      <c r="F21" s="20" t="s">
        <v>337</v>
      </c>
      <c r="G21" s="28" t="s">
        <v>338</v>
      </c>
    </row>
    <row r="22" spans="2:7">
      <c r="B22" s="27" t="s">
        <v>143</v>
      </c>
      <c r="C22" s="18" t="s">
        <v>328</v>
      </c>
      <c r="D22" s="22" t="s">
        <v>327</v>
      </c>
      <c r="E22" s="18" t="s">
        <v>326</v>
      </c>
      <c r="F22" s="20" t="s">
        <v>337</v>
      </c>
      <c r="G22" s="28" t="s">
        <v>338</v>
      </c>
    </row>
    <row r="23" spans="2:7">
      <c r="B23" s="27" t="s">
        <v>144</v>
      </c>
      <c r="C23" s="18" t="s">
        <v>328</v>
      </c>
      <c r="D23" s="22" t="s">
        <v>327</v>
      </c>
      <c r="E23" s="18" t="s">
        <v>326</v>
      </c>
      <c r="F23" s="20" t="s">
        <v>337</v>
      </c>
      <c r="G23" s="28" t="s">
        <v>338</v>
      </c>
    </row>
    <row r="24" spans="2:7">
      <c r="B24" s="27" t="s">
        <v>212</v>
      </c>
      <c r="C24" s="18"/>
      <c r="D24" s="18"/>
      <c r="E24" s="18"/>
      <c r="F24" s="20"/>
      <c r="G24" s="28"/>
    </row>
    <row r="25" spans="2:7">
      <c r="B25" s="27" t="s">
        <v>212</v>
      </c>
      <c r="C25" s="30"/>
      <c r="D25" s="30"/>
      <c r="E25" s="30"/>
      <c r="F25" s="31"/>
      <c r="G25" s="32"/>
    </row>
  </sheetData>
  <sheetProtection algorithmName="SHA-512" hashValue="6yI60cFygKABQ6hsh5VMwt5lwhrATZ21Hzv2csGFFn0nCOgRIkGTqVPEw9cgpAkSwjap78AvGrfGpwdsFd9Lnw==" saltValue="sj8fAt/Q3fALWU/fQ7kXBA==" spinCount="100000" sheet="1" objects="1" scenarios="1"/>
  <conditionalFormatting sqref="C2:C12">
    <cfRule type="notContainsBlanks" dxfId="62" priority="2">
      <formula>LEN(TRIM(C2))&gt;0</formula>
    </cfRule>
  </conditionalFormatting>
  <conditionalFormatting sqref="C16:G25">
    <cfRule type="notContainsBlanks" dxfId="61" priority="1">
      <formula>LEN(TRIM(C16))&gt;0</formula>
    </cfRule>
  </conditionalFormatting>
  <dataValidations count="1">
    <dataValidation type="whole" operator="greaterThan" allowBlank="1" showInputMessage="1" showErrorMessage="1" sqref="C10" xr:uid="{9090E2AA-80FC-4C48-94FD-5AB77E95CFDE}">
      <formula1>0</formula1>
    </dataValidation>
  </dataValidations>
  <pageMargins left="0.7" right="0.7" top="0.75" bottom="0.75" header="0.3" footer="0.3"/>
  <headerFooter>
    <oddHeader>&amp;C&amp;"Calibri"&amp;12&amp;K000000 LGE Internal Use Only&amp;1#_x000D_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68EF-9483-A845-BDFB-78E6227C00B8}">
  <sheetPr>
    <tabColor rgb="FF4F81BD"/>
  </sheetPr>
  <dimension ref="A1:I10"/>
  <sheetViews>
    <sheetView showGridLines="0" tabSelected="1" zoomScale="85" zoomScaleNormal="85" workbookViewId="0">
      <selection activeCell="C17" sqref="C17"/>
    </sheetView>
  </sheetViews>
  <sheetFormatPr defaultColWidth="10.875" defaultRowHeight="15.75"/>
  <cols>
    <col min="1" max="1" width="4.875" customWidth="1"/>
    <col min="2" max="2" width="53.875" customWidth="1"/>
    <col min="3" max="8" width="28.125" customWidth="1"/>
    <col min="9" max="16384" width="10.875" style="1"/>
  </cols>
  <sheetData>
    <row r="1" spans="2:9" ht="51" customHeight="1">
      <c r="B1" s="14" t="s">
        <v>213</v>
      </c>
    </row>
    <row r="2" spans="2:9" ht="51" customHeight="1">
      <c r="B2" s="16" t="s">
        <v>145</v>
      </c>
      <c r="C2" s="16">
        <v>2022</v>
      </c>
      <c r="D2" s="16">
        <v>2023</v>
      </c>
      <c r="E2" s="16">
        <v>2024</v>
      </c>
      <c r="F2" s="16" t="s">
        <v>210</v>
      </c>
      <c r="G2" s="16" t="s">
        <v>146</v>
      </c>
      <c r="H2" s="16" t="s">
        <v>147</v>
      </c>
    </row>
    <row r="3" spans="2:9" ht="51" customHeight="1">
      <c r="B3" s="33" t="s">
        <v>9</v>
      </c>
      <c r="C3" s="61"/>
      <c r="D3" s="61"/>
      <c r="E3" s="61"/>
      <c r="F3" s="61"/>
      <c r="G3" s="61"/>
      <c r="H3" s="61"/>
    </row>
    <row r="4" spans="2:9" ht="51" customHeight="1">
      <c r="B4" s="33" t="s">
        <v>10</v>
      </c>
      <c r="C4" s="61">
        <v>1331</v>
      </c>
      <c r="D4" s="61">
        <v>1560</v>
      </c>
      <c r="E4" s="61">
        <v>1396</v>
      </c>
      <c r="F4" s="61"/>
      <c r="G4" s="61"/>
      <c r="H4" s="61"/>
      <c r="I4" s="4"/>
    </row>
    <row r="5" spans="2:9" ht="51" customHeight="1">
      <c r="B5" s="33" t="s">
        <v>11</v>
      </c>
      <c r="C5" s="61">
        <v>10.1</v>
      </c>
      <c r="D5" s="61">
        <v>10.45</v>
      </c>
      <c r="E5" s="61">
        <v>6</v>
      </c>
      <c r="F5" s="61"/>
      <c r="G5" s="61"/>
      <c r="H5" s="61"/>
      <c r="I5" s="4" t="s">
        <v>18</v>
      </c>
    </row>
    <row r="6" spans="2:9" ht="51" customHeight="1">
      <c r="B6" s="33" t="s">
        <v>286</v>
      </c>
      <c r="C6" s="61">
        <v>457</v>
      </c>
      <c r="D6" s="61">
        <v>456.9</v>
      </c>
      <c r="E6" s="61">
        <v>238</v>
      </c>
      <c r="F6" s="61"/>
      <c r="G6" s="61"/>
      <c r="H6" s="61"/>
      <c r="I6" s="2" t="s">
        <v>150</v>
      </c>
    </row>
    <row r="8" spans="2:9" ht="18.75">
      <c r="B8" s="16" t="s">
        <v>145</v>
      </c>
      <c r="C8" s="16">
        <v>2023</v>
      </c>
      <c r="D8" s="16">
        <v>2023</v>
      </c>
      <c r="E8" s="16">
        <v>2024</v>
      </c>
      <c r="F8" s="16" t="s">
        <v>210</v>
      </c>
      <c r="G8" s="16" t="s">
        <v>146</v>
      </c>
      <c r="H8" s="16" t="s">
        <v>147</v>
      </c>
    </row>
    <row r="9" spans="2:9" ht="18.75">
      <c r="B9" s="33" t="s">
        <v>148</v>
      </c>
      <c r="C9" s="62"/>
      <c r="D9" s="62"/>
      <c r="E9" s="62"/>
      <c r="F9" s="62"/>
      <c r="G9" s="62"/>
      <c r="H9" s="62"/>
    </row>
    <row r="10" spans="2:9" ht="18.75">
      <c r="B10" s="33" t="s">
        <v>149</v>
      </c>
      <c r="C10" s="62"/>
      <c r="D10" s="62"/>
      <c r="E10" s="62"/>
      <c r="F10" s="62"/>
      <c r="G10" s="62"/>
      <c r="H10" s="62"/>
    </row>
  </sheetData>
  <sheetProtection algorithmName="SHA-512" hashValue="ADYHa84FNvxgDAPkQMA/ds4sXCGn4cmNRk+QJEHJSD6Mj+8x0KTQ9z3XQL2xdLYTVckdH232Lggvd0pM/Osjng==" saltValue="pjSFd/rHk5+ena2trvj3tA==" spinCount="100000" sheet="1" objects="1" scenarios="1"/>
  <conditionalFormatting sqref="C3:H6">
    <cfRule type="notContainsBlanks" dxfId="60" priority="4" stopIfTrue="1">
      <formula>LEN(TRIM(C3))&gt;0</formula>
    </cfRule>
  </conditionalFormatting>
  <conditionalFormatting sqref="C9:H10">
    <cfRule type="notContainsBlanks" dxfId="59" priority="3" stopIfTrue="1">
      <formula>LEN(TRIM(C9))&gt;0</formula>
    </cfRule>
  </conditionalFormatting>
  <dataValidations count="1">
    <dataValidation type="decimal" operator="greaterThan" allowBlank="1" showInputMessage="1" showErrorMessage="1" sqref="C9:H10 C3:H6" xr:uid="{C80DD866-3DB9-1B4B-A165-145642E3CFCC}">
      <formula1>0</formula1>
    </dataValidation>
  </dataValidations>
  <pageMargins left="0.7" right="0.7" top="0.75" bottom="0.75" header="0.3" footer="0.3"/>
  <headerFooter>
    <oddHeader>&amp;C&amp;"Calibri"&amp;12&amp;K000000 LGE Internal Use Only&amp;1#_x000D_</oddHead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1A3B-B0FD-FF47-BC1F-A6FB68374103}">
  <sheetPr>
    <tabColor rgb="FF4F81BD"/>
  </sheetPr>
  <dimension ref="A1:H29"/>
  <sheetViews>
    <sheetView showGridLines="0" topLeftCell="A18" zoomScale="85" zoomScaleNormal="85" workbookViewId="0">
      <selection activeCell="D25" sqref="D25:H25"/>
    </sheetView>
  </sheetViews>
  <sheetFormatPr defaultColWidth="10.875" defaultRowHeight="26.1" customHeight="1"/>
  <cols>
    <col min="1" max="1" width="6.125" style="66" customWidth="1"/>
    <col min="2" max="2" width="59" style="35" customWidth="1"/>
    <col min="3" max="3" width="38.5" style="3" customWidth="1"/>
    <col min="4" max="8" width="38.5" style="6" customWidth="1"/>
    <col min="9" max="11" width="29.125" style="3" customWidth="1"/>
    <col min="12" max="16384" width="10.875" style="3"/>
  </cols>
  <sheetData>
    <row r="1" spans="1:8" s="15" customFormat="1" ht="51" customHeight="1">
      <c r="A1" s="64"/>
      <c r="B1" s="34" t="s">
        <v>295</v>
      </c>
    </row>
    <row r="2" spans="1:8" s="35" customFormat="1" ht="56.1" customHeight="1">
      <c r="A2" s="65"/>
      <c r="B2" s="16"/>
      <c r="C2" s="16" t="s">
        <v>15</v>
      </c>
      <c r="D2" s="36" t="s">
        <v>107</v>
      </c>
      <c r="E2" s="36" t="s">
        <v>108</v>
      </c>
      <c r="F2" s="36" t="s">
        <v>109</v>
      </c>
      <c r="G2" s="36" t="s">
        <v>110</v>
      </c>
      <c r="H2" s="36" t="s">
        <v>111</v>
      </c>
    </row>
    <row r="3" spans="1:8" ht="60" customHeight="1">
      <c r="A3" s="66">
        <v>1</v>
      </c>
      <c r="B3" s="16" t="s">
        <v>152</v>
      </c>
      <c r="C3" s="37" t="s">
        <v>348</v>
      </c>
      <c r="D3" s="37" t="s">
        <v>343</v>
      </c>
      <c r="E3" s="37" t="s">
        <v>344</v>
      </c>
      <c r="F3" s="18" t="s">
        <v>345</v>
      </c>
      <c r="G3" s="18" t="s">
        <v>346</v>
      </c>
      <c r="H3" s="18" t="s">
        <v>347</v>
      </c>
    </row>
    <row r="4" spans="1:8" ht="60" customHeight="1">
      <c r="A4" s="66">
        <v>2</v>
      </c>
      <c r="B4" s="16" t="s">
        <v>153</v>
      </c>
      <c r="C4" s="18" t="s">
        <v>349</v>
      </c>
      <c r="D4" s="18" t="s">
        <v>349</v>
      </c>
      <c r="E4" s="18" t="s">
        <v>349</v>
      </c>
      <c r="F4" s="18" t="s">
        <v>349</v>
      </c>
      <c r="G4" s="53" t="s">
        <v>349</v>
      </c>
      <c r="H4" s="18" t="s">
        <v>349</v>
      </c>
    </row>
    <row r="5" spans="1:8" ht="60" customHeight="1">
      <c r="A5" s="66">
        <v>3</v>
      </c>
      <c r="B5" s="16" t="s">
        <v>154</v>
      </c>
      <c r="C5" s="18" t="s">
        <v>350</v>
      </c>
      <c r="D5" s="18" t="s">
        <v>350</v>
      </c>
      <c r="E5" s="18" t="s">
        <v>350</v>
      </c>
      <c r="F5" s="18" t="s">
        <v>350</v>
      </c>
      <c r="G5" s="18" t="s">
        <v>350</v>
      </c>
      <c r="H5" s="18" t="s">
        <v>350</v>
      </c>
    </row>
    <row r="6" spans="1:8" ht="60" customHeight="1">
      <c r="A6" s="66">
        <v>4</v>
      </c>
      <c r="B6" s="36" t="s">
        <v>155</v>
      </c>
      <c r="C6" s="18" t="s">
        <v>365</v>
      </c>
      <c r="D6" s="18" t="s">
        <v>364</v>
      </c>
      <c r="E6" s="18" t="s">
        <v>363</v>
      </c>
      <c r="F6" s="18" t="s">
        <v>363</v>
      </c>
      <c r="G6" s="18" t="s">
        <v>362</v>
      </c>
      <c r="H6" s="18" t="s">
        <v>361</v>
      </c>
    </row>
    <row r="7" spans="1:8" ht="86.1" customHeight="1">
      <c r="A7" s="66">
        <v>5</v>
      </c>
      <c r="B7" s="36" t="s">
        <v>156</v>
      </c>
      <c r="C7" s="18" t="s">
        <v>351</v>
      </c>
      <c r="D7" s="18" t="s">
        <v>352</v>
      </c>
      <c r="E7" s="18" t="s">
        <v>353</v>
      </c>
      <c r="F7" s="18" t="s">
        <v>354</v>
      </c>
      <c r="G7" s="18" t="s">
        <v>355</v>
      </c>
      <c r="H7" s="18" t="s">
        <v>356</v>
      </c>
    </row>
    <row r="8" spans="1:8" ht="86.1" customHeight="1">
      <c r="A8" s="66">
        <v>6</v>
      </c>
      <c r="B8" s="36" t="s">
        <v>157</v>
      </c>
      <c r="C8" s="18" t="s">
        <v>351</v>
      </c>
      <c r="D8" s="18" t="s">
        <v>352</v>
      </c>
      <c r="E8" s="18" t="s">
        <v>353</v>
      </c>
      <c r="F8" s="18" t="s">
        <v>354</v>
      </c>
      <c r="G8" s="18" t="s">
        <v>355</v>
      </c>
      <c r="H8" s="18" t="s">
        <v>356</v>
      </c>
    </row>
    <row r="9" spans="1:8" ht="60" customHeight="1">
      <c r="A9" s="66">
        <v>7</v>
      </c>
      <c r="B9" s="16" t="s">
        <v>158</v>
      </c>
      <c r="C9" s="38">
        <f>SUM(D9:H9)</f>
        <v>346897</v>
      </c>
      <c r="D9" s="38">
        <v>27577</v>
      </c>
      <c r="E9" s="39">
        <v>14746</v>
      </c>
      <c r="F9" s="39">
        <v>33906</v>
      </c>
      <c r="G9" s="39">
        <v>166883</v>
      </c>
      <c r="H9" s="39">
        <v>103785</v>
      </c>
    </row>
    <row r="10" spans="1:8" ht="60" customHeight="1">
      <c r="A10" s="66">
        <v>8</v>
      </c>
      <c r="B10" s="36" t="s">
        <v>278</v>
      </c>
      <c r="C10" s="38">
        <v>1815</v>
      </c>
      <c r="D10" s="38"/>
      <c r="E10" s="39"/>
      <c r="F10" s="39"/>
      <c r="G10" s="39"/>
      <c r="H10" s="39"/>
    </row>
    <row r="11" spans="1:8" ht="60" customHeight="1">
      <c r="A11" s="66">
        <v>9</v>
      </c>
      <c r="B11" s="36" t="s">
        <v>208</v>
      </c>
      <c r="C11" s="18"/>
      <c r="D11" s="18"/>
      <c r="E11" s="18"/>
      <c r="F11" s="18"/>
      <c r="G11" s="18"/>
      <c r="H11" s="18"/>
    </row>
    <row r="12" spans="1:8" ht="60" customHeight="1">
      <c r="A12" s="66">
        <v>10</v>
      </c>
      <c r="B12" s="36" t="s">
        <v>207</v>
      </c>
      <c r="C12" s="18"/>
      <c r="D12" s="18"/>
      <c r="E12" s="18"/>
      <c r="F12" s="18"/>
      <c r="G12" s="18"/>
      <c r="H12" s="18"/>
    </row>
    <row r="13" spans="1:8" ht="60" customHeight="1">
      <c r="A13" s="66">
        <v>11</v>
      </c>
      <c r="B13" s="36" t="s">
        <v>279</v>
      </c>
      <c r="C13" s="18"/>
      <c r="D13" s="18"/>
      <c r="E13" s="18"/>
      <c r="F13" s="18"/>
      <c r="G13" s="18"/>
      <c r="H13" s="18"/>
    </row>
    <row r="14" spans="1:8" ht="60" customHeight="1">
      <c r="A14" s="66">
        <v>12</v>
      </c>
      <c r="B14" s="36" t="s">
        <v>205</v>
      </c>
      <c r="C14" s="18" t="s">
        <v>36</v>
      </c>
      <c r="D14" s="18" t="s">
        <v>36</v>
      </c>
      <c r="E14" s="18" t="s">
        <v>37</v>
      </c>
      <c r="F14" s="18" t="s">
        <v>37</v>
      </c>
      <c r="G14" s="18" t="s">
        <v>36</v>
      </c>
      <c r="H14" s="18" t="s">
        <v>36</v>
      </c>
    </row>
    <row r="15" spans="1:8" ht="60" customHeight="1">
      <c r="A15" s="66">
        <v>13</v>
      </c>
      <c r="B15" s="36" t="s">
        <v>282</v>
      </c>
      <c r="C15" s="18" t="s">
        <v>36</v>
      </c>
      <c r="D15" s="18"/>
      <c r="E15" s="18"/>
      <c r="F15" s="18"/>
      <c r="G15" s="18"/>
      <c r="H15" s="18"/>
    </row>
    <row r="16" spans="1:8" ht="60" customHeight="1">
      <c r="A16" s="66">
        <v>14</v>
      </c>
      <c r="B16" s="36" t="s">
        <v>206</v>
      </c>
      <c r="C16" s="18" t="s">
        <v>366</v>
      </c>
      <c r="D16" s="18"/>
      <c r="E16" s="18"/>
      <c r="F16" s="18"/>
      <c r="G16" s="18"/>
      <c r="H16" s="18"/>
    </row>
    <row r="18" spans="1:8" ht="60.95" customHeight="1">
      <c r="A18" s="66">
        <v>15</v>
      </c>
      <c r="B18" s="79" t="s">
        <v>228</v>
      </c>
      <c r="C18" s="79"/>
      <c r="D18" s="83" t="s">
        <v>406</v>
      </c>
      <c r="E18" s="81"/>
      <c r="F18" s="81"/>
      <c r="G18" s="81"/>
      <c r="H18" s="82"/>
    </row>
    <row r="19" spans="1:8" ht="60.95" customHeight="1">
      <c r="A19" s="66">
        <v>16</v>
      </c>
      <c r="B19" s="79" t="s">
        <v>215</v>
      </c>
      <c r="C19" s="79"/>
      <c r="D19" s="83" t="s">
        <v>373</v>
      </c>
      <c r="E19" s="81"/>
      <c r="F19" s="81"/>
      <c r="G19" s="81"/>
      <c r="H19" s="82"/>
    </row>
    <row r="20" spans="1:8" ht="60.95" customHeight="1">
      <c r="A20" s="66">
        <v>17</v>
      </c>
      <c r="B20" s="79" t="s">
        <v>202</v>
      </c>
      <c r="C20" s="79"/>
      <c r="D20" s="83" t="s">
        <v>368</v>
      </c>
      <c r="E20" s="81"/>
      <c r="F20" s="81"/>
      <c r="G20" s="81"/>
      <c r="H20" s="82"/>
    </row>
    <row r="21" spans="1:8" ht="60.95" customHeight="1">
      <c r="A21" s="66">
        <v>18</v>
      </c>
      <c r="B21" s="79" t="s">
        <v>159</v>
      </c>
      <c r="C21" s="79"/>
      <c r="D21" s="80" t="s">
        <v>372</v>
      </c>
      <c r="E21" s="81"/>
      <c r="F21" s="81"/>
      <c r="G21" s="81"/>
      <c r="H21" s="82"/>
    </row>
    <row r="22" spans="1:8" ht="60.95" customHeight="1">
      <c r="A22" s="66">
        <v>19</v>
      </c>
      <c r="B22" s="79" t="s">
        <v>203</v>
      </c>
      <c r="C22" s="79"/>
      <c r="D22" s="83" t="s">
        <v>371</v>
      </c>
      <c r="E22" s="81"/>
      <c r="F22" s="81"/>
      <c r="G22" s="81"/>
      <c r="H22" s="82"/>
    </row>
    <row r="23" spans="1:8" ht="60.95" customHeight="1">
      <c r="A23" s="66">
        <v>20</v>
      </c>
      <c r="B23" s="84" t="s">
        <v>226</v>
      </c>
      <c r="C23" s="85"/>
      <c r="D23" s="40" t="s">
        <v>369</v>
      </c>
      <c r="E23" s="41"/>
      <c r="F23" s="41"/>
      <c r="G23" s="41"/>
      <c r="H23" s="42"/>
    </row>
    <row r="24" spans="1:8" ht="60.95" customHeight="1">
      <c r="A24" s="66">
        <v>21</v>
      </c>
      <c r="B24" s="84" t="s">
        <v>227</v>
      </c>
      <c r="C24" s="85"/>
      <c r="D24" s="40" t="s">
        <v>367</v>
      </c>
      <c r="E24" s="41"/>
      <c r="F24" s="41"/>
      <c r="G24" s="41"/>
      <c r="H24" s="42"/>
    </row>
    <row r="25" spans="1:8" ht="187.7" customHeight="1">
      <c r="A25" s="66">
        <v>22</v>
      </c>
      <c r="B25" s="79" t="s">
        <v>204</v>
      </c>
      <c r="C25" s="79"/>
      <c r="D25" s="80" t="s">
        <v>370</v>
      </c>
      <c r="E25" s="81"/>
      <c r="F25" s="81"/>
      <c r="G25" s="81"/>
      <c r="H25" s="82"/>
    </row>
    <row r="26" spans="1:8" ht="60.95" customHeight="1"/>
    <row r="27" spans="1:8" ht="60.95" customHeight="1"/>
    <row r="28" spans="1:8" ht="60.95" customHeight="1"/>
    <row r="29" spans="1:8" ht="60.95" customHeight="1"/>
  </sheetData>
  <sheetProtection algorithmName="SHA-512" hashValue="MfMEAblZjKBqAPX9VPQm6sFACoYf1wgSCXTunSYdqxnUDVIBn7Ehzs0RsgzyRvt0O5q+B8a8sVj/VubePBmZ+w==" saltValue="i4XABQq/CBPEu2Kvm2yl+A==" spinCount="100000" sheet="1" selectLockedCells="1"/>
  <mergeCells count="14">
    <mergeCell ref="B18:C18"/>
    <mergeCell ref="D18:H18"/>
    <mergeCell ref="B19:C19"/>
    <mergeCell ref="D19:H19"/>
    <mergeCell ref="B20:C20"/>
    <mergeCell ref="D20:H20"/>
    <mergeCell ref="B21:C21"/>
    <mergeCell ref="D21:H21"/>
    <mergeCell ref="B22:C22"/>
    <mergeCell ref="D22:H22"/>
    <mergeCell ref="B25:C25"/>
    <mergeCell ref="D25:H25"/>
    <mergeCell ref="B24:C24"/>
    <mergeCell ref="B23:C23"/>
  </mergeCells>
  <conditionalFormatting sqref="C3:H16">
    <cfRule type="notContainsBlanks" dxfId="58" priority="1">
      <formula>LEN(TRIM(C3))&gt;0</formula>
    </cfRule>
  </conditionalFormatting>
  <conditionalFormatting sqref="D18:D25">
    <cfRule type="notContainsBlanks" dxfId="57" priority="2">
      <formula>LEN(TRIM(D18))&gt;0</formula>
    </cfRule>
  </conditionalFormatting>
  <dataValidations count="3">
    <dataValidation type="decimal" operator="greaterThan" allowBlank="1" showInputMessage="1" showErrorMessage="1" sqref="C9:H10" xr:uid="{729C1851-60B4-2548-B527-9EB9AF6842FF}">
      <formula1>0</formula1>
    </dataValidation>
    <dataValidation type="list" allowBlank="1" showInputMessage="1" showErrorMessage="1" sqref="C14:H15" xr:uid="{BED30279-6FF8-9540-B9F0-66107877420E}">
      <formula1>"Yes,No"</formula1>
    </dataValidation>
    <dataValidation type="whole" operator="greaterThan" allowBlank="1" showInputMessage="1" showErrorMessage="1" sqref="C11:H13" xr:uid="{3BD27C0B-8095-D04C-8C74-BA6999DA2B14}">
      <formula1>0</formula1>
    </dataValidation>
  </dataValidations>
  <pageMargins left="0.7" right="0.7" top="0.75" bottom="0.75" header="0.3" footer="0.3"/>
  <pageSetup orientation="portrait" r:id="rId1"/>
  <headerFooter>
    <oddHeader>&amp;C&amp;"Calibri"&amp;12&amp;K000000 LGE Internal Use Only&amp;1#_x000D_</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F10A-AE33-7847-A469-AFC9D635ABF6}">
  <sheetPr>
    <tabColor rgb="FF4F81BD"/>
  </sheetPr>
  <dimension ref="B1:J25"/>
  <sheetViews>
    <sheetView showGridLines="0" zoomScale="70" zoomScaleNormal="70" workbookViewId="0">
      <selection activeCell="F15" sqref="F15"/>
    </sheetView>
  </sheetViews>
  <sheetFormatPr defaultColWidth="10.875" defaultRowHeight="50.1" customHeight="1"/>
  <cols>
    <col min="1" max="1" width="5.125" style="3" customWidth="1"/>
    <col min="2" max="2" width="53.125" style="3" customWidth="1"/>
    <col min="3" max="10" width="32.625" style="3" customWidth="1"/>
    <col min="11" max="16384" width="10.875" style="3"/>
  </cols>
  <sheetData>
    <row r="1" spans="2:10" ht="50.1" customHeight="1">
      <c r="B1" s="45" t="s">
        <v>296</v>
      </c>
    </row>
    <row r="2" spans="2:10" ht="50.1" customHeight="1">
      <c r="B2" s="46"/>
      <c r="C2" s="47" t="s">
        <v>6</v>
      </c>
      <c r="D2" s="47" t="s">
        <v>7</v>
      </c>
      <c r="E2" s="47" t="s">
        <v>8</v>
      </c>
      <c r="F2" s="47" t="s">
        <v>16</v>
      </c>
      <c r="G2" s="47" t="s">
        <v>17</v>
      </c>
      <c r="H2" s="47" t="s">
        <v>182</v>
      </c>
      <c r="I2" s="47" t="s">
        <v>217</v>
      </c>
      <c r="J2" s="47" t="s">
        <v>218</v>
      </c>
    </row>
    <row r="3" spans="2:10" ht="50.1" customHeight="1">
      <c r="B3" s="47" t="s">
        <v>183</v>
      </c>
      <c r="C3" s="73" t="s">
        <v>358</v>
      </c>
      <c r="D3" s="73" t="s">
        <v>359</v>
      </c>
      <c r="E3" s="73" t="s">
        <v>360</v>
      </c>
      <c r="F3" s="73"/>
      <c r="G3" s="73"/>
      <c r="H3" s="73"/>
      <c r="I3" s="73"/>
      <c r="J3" s="73"/>
    </row>
    <row r="4" spans="2:10" ht="50.1" customHeight="1">
      <c r="B4" s="48" t="s">
        <v>264</v>
      </c>
      <c r="C4" s="73">
        <v>20</v>
      </c>
      <c r="D4" s="73">
        <v>10</v>
      </c>
      <c r="E4" s="73">
        <v>10</v>
      </c>
      <c r="F4" s="73"/>
      <c r="G4" s="73"/>
      <c r="H4" s="73"/>
      <c r="I4" s="73"/>
      <c r="J4" s="73"/>
    </row>
    <row r="5" spans="2:10" ht="50.1" customHeight="1">
      <c r="B5" s="48" t="s">
        <v>263</v>
      </c>
      <c r="C5" s="73">
        <v>120</v>
      </c>
      <c r="D5" s="73">
        <v>60</v>
      </c>
      <c r="E5" s="73">
        <v>60</v>
      </c>
      <c r="F5" s="73"/>
      <c r="G5" s="73"/>
      <c r="H5" s="73"/>
      <c r="I5" s="73"/>
      <c r="J5" s="73"/>
    </row>
    <row r="6" spans="2:10" ht="50.1" customHeight="1">
      <c r="B6" s="48" t="s">
        <v>265</v>
      </c>
      <c r="C6" s="73">
        <v>60</v>
      </c>
      <c r="D6" s="73">
        <v>30</v>
      </c>
      <c r="E6" s="73">
        <v>30</v>
      </c>
      <c r="F6" s="73"/>
      <c r="G6" s="73"/>
      <c r="H6" s="73"/>
      <c r="I6" s="73"/>
      <c r="J6" s="73"/>
    </row>
    <row r="7" spans="2:10" ht="50.1" customHeight="1">
      <c r="B7" s="48" t="s">
        <v>266</v>
      </c>
      <c r="C7" s="73">
        <v>200</v>
      </c>
      <c r="D7" s="73">
        <v>100</v>
      </c>
      <c r="E7" s="73">
        <v>100</v>
      </c>
      <c r="F7" s="73"/>
      <c r="G7" s="73"/>
      <c r="H7" s="73"/>
      <c r="I7" s="73"/>
      <c r="J7" s="73"/>
    </row>
    <row r="8" spans="2:10" ht="50.1" customHeight="1">
      <c r="B8" s="48" t="s">
        <v>216</v>
      </c>
      <c r="C8" s="73" t="s">
        <v>332</v>
      </c>
      <c r="D8" s="73" t="s">
        <v>332</v>
      </c>
      <c r="E8" s="73" t="s">
        <v>332</v>
      </c>
      <c r="F8" s="73"/>
      <c r="G8" s="73"/>
      <c r="H8" s="73"/>
      <c r="I8" s="73"/>
      <c r="J8" s="73"/>
    </row>
    <row r="9" spans="2:10" ht="50.1" customHeight="1">
      <c r="B9" s="48" t="s">
        <v>298</v>
      </c>
      <c r="C9" s="73" t="s">
        <v>332</v>
      </c>
      <c r="D9" s="73" t="s">
        <v>332</v>
      </c>
      <c r="E9" s="73" t="s">
        <v>332</v>
      </c>
      <c r="F9" s="73"/>
      <c r="G9" s="73"/>
      <c r="H9" s="73"/>
      <c r="I9" s="73"/>
      <c r="J9" s="73"/>
    </row>
    <row r="10" spans="2:10" ht="50.1" customHeight="1">
      <c r="B10" s="67" t="s">
        <v>292</v>
      </c>
      <c r="C10" s="74" t="s">
        <v>407</v>
      </c>
      <c r="D10" s="74" t="s">
        <v>375</v>
      </c>
      <c r="E10" s="74" t="s">
        <v>374</v>
      </c>
      <c r="F10" s="73"/>
      <c r="G10" s="73"/>
      <c r="H10" s="73"/>
      <c r="I10" s="73"/>
      <c r="J10" s="73"/>
    </row>
    <row r="11" spans="2:10" ht="50.1" customHeight="1">
      <c r="B11" s="48" t="s">
        <v>106</v>
      </c>
      <c r="C11" s="74">
        <v>4</v>
      </c>
      <c r="D11" s="74">
        <v>4</v>
      </c>
      <c r="E11" s="74">
        <v>4</v>
      </c>
      <c r="F11" s="73"/>
      <c r="G11" s="73"/>
      <c r="H11" s="73"/>
      <c r="I11" s="73"/>
      <c r="J11" s="73"/>
    </row>
    <row r="12" spans="2:10" ht="50.1" customHeight="1">
      <c r="B12" s="48" t="s">
        <v>201</v>
      </c>
      <c r="C12" s="75">
        <v>0.05</v>
      </c>
      <c r="D12" s="76">
        <v>0.05</v>
      </c>
      <c r="E12" s="76">
        <v>0.05</v>
      </c>
      <c r="F12" s="76"/>
      <c r="G12" s="76"/>
      <c r="H12" s="76"/>
      <c r="I12" s="76"/>
      <c r="J12" s="76"/>
    </row>
    <row r="14" spans="2:10" ht="50.1" customHeight="1">
      <c r="B14" s="87" t="s">
        <v>184</v>
      </c>
      <c r="C14" s="87"/>
      <c r="D14" s="87"/>
    </row>
    <row r="15" spans="2:10" ht="50.1" customHeight="1">
      <c r="B15" s="16" t="s">
        <v>185</v>
      </c>
      <c r="C15" s="87" t="s">
        <v>186</v>
      </c>
      <c r="D15" s="87"/>
    </row>
    <row r="16" spans="2:10" ht="50.1" customHeight="1">
      <c r="B16" s="49" t="s">
        <v>187</v>
      </c>
      <c r="C16" s="88" t="s">
        <v>188</v>
      </c>
      <c r="D16" s="88"/>
    </row>
    <row r="17" spans="2:4" ht="50.1" customHeight="1">
      <c r="B17" s="86" t="s">
        <v>189</v>
      </c>
      <c r="C17" s="86" t="s">
        <v>190</v>
      </c>
      <c r="D17" s="86"/>
    </row>
    <row r="18" spans="2:4" ht="50.1" customHeight="1">
      <c r="B18" s="86"/>
      <c r="C18" s="86" t="s">
        <v>191</v>
      </c>
      <c r="D18" s="86"/>
    </row>
    <row r="19" spans="2:4" ht="50.1" customHeight="1">
      <c r="B19" s="86"/>
      <c r="C19" s="86" t="s">
        <v>192</v>
      </c>
      <c r="D19" s="86"/>
    </row>
    <row r="20" spans="2:4" ht="50.1" customHeight="1">
      <c r="B20" s="86"/>
      <c r="C20" s="86" t="s">
        <v>193</v>
      </c>
      <c r="D20" s="86"/>
    </row>
    <row r="21" spans="2:4" ht="50.1" customHeight="1">
      <c r="B21" s="86" t="s">
        <v>194</v>
      </c>
      <c r="C21" s="86" t="s">
        <v>195</v>
      </c>
      <c r="D21" s="86"/>
    </row>
    <row r="22" spans="2:4" ht="50.1" customHeight="1">
      <c r="B22" s="86"/>
      <c r="C22" s="86" t="s">
        <v>196</v>
      </c>
      <c r="D22" s="86"/>
    </row>
    <row r="23" spans="2:4" ht="50.1" customHeight="1">
      <c r="B23" s="86"/>
      <c r="C23" s="86" t="s">
        <v>197</v>
      </c>
      <c r="D23" s="86"/>
    </row>
    <row r="24" spans="2:4" ht="50.1" customHeight="1">
      <c r="B24" s="86" t="s">
        <v>198</v>
      </c>
      <c r="C24" s="86" t="s">
        <v>199</v>
      </c>
      <c r="D24" s="86"/>
    </row>
    <row r="25" spans="2:4" ht="50.1" customHeight="1">
      <c r="B25" s="86"/>
      <c r="C25" s="86" t="s">
        <v>200</v>
      </c>
      <c r="D25" s="86"/>
    </row>
  </sheetData>
  <sheetProtection algorithmName="SHA-512" hashValue="bZUL6mD159NJzrDMfwN4drt+BOqtexhCohLvWTFiYmwi3OxjnrOscfwij2lbQWlD1y6kwb2Toihf5J7T9rDt2w==" saltValue="3UFfoL413EPmJz18ZLo85A==" spinCount="100000" sheet="1" objects="1" scenarios="1"/>
  <mergeCells count="15">
    <mergeCell ref="B14:D14"/>
    <mergeCell ref="C15:D15"/>
    <mergeCell ref="C16:D16"/>
    <mergeCell ref="B17:B20"/>
    <mergeCell ref="C17:D17"/>
    <mergeCell ref="C18:D18"/>
    <mergeCell ref="C19:D19"/>
    <mergeCell ref="C20:D20"/>
    <mergeCell ref="B21:B23"/>
    <mergeCell ref="C21:D21"/>
    <mergeCell ref="C22:D22"/>
    <mergeCell ref="C23:D23"/>
    <mergeCell ref="B24:B25"/>
    <mergeCell ref="C24:D24"/>
    <mergeCell ref="C25:D25"/>
  </mergeCells>
  <conditionalFormatting sqref="C3:J12">
    <cfRule type="containsBlanks" dxfId="56" priority="1" stopIfTrue="1">
      <formula>LEN(TRIM(C3))=0</formula>
    </cfRule>
  </conditionalFormatting>
  <dataValidations count="2">
    <dataValidation type="list" allowBlank="1" showInputMessage="1" showErrorMessage="1" sqref="C8:J9" xr:uid="{26019721-06B4-C344-8224-CB676EC62513}">
      <formula1>"High,Medium,Low"</formula1>
    </dataValidation>
    <dataValidation type="decimal" operator="greaterThan" allowBlank="1" showInputMessage="1" showErrorMessage="1" sqref="C4:J7 C11:J12" xr:uid="{3ACB799D-6863-874C-A853-DD4D01F96B84}">
      <formula1>0</formula1>
    </dataValidation>
  </dataValidations>
  <pageMargins left="0.7" right="0.7" top="0.75" bottom="0.75" header="0.3" footer="0.3"/>
  <pageSetup scale="47" orientation="portrait" horizontalDpi="0" verticalDpi="0"/>
  <headerFooter>
    <oddHeader>&amp;C&amp;"Calibri"&amp;12&amp;K000000 LGE Internal Use Only&amp;1#_x000D_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F098-1FD7-C444-9DE7-00998B4A673C}">
  <sheetPr>
    <tabColor rgb="FF4F81BD"/>
  </sheetPr>
  <dimension ref="B1:K16"/>
  <sheetViews>
    <sheetView showGridLines="0" zoomScale="70" zoomScaleNormal="70" workbookViewId="0">
      <selection activeCell="J4" sqref="J4"/>
    </sheetView>
  </sheetViews>
  <sheetFormatPr defaultColWidth="10.875" defaultRowHeight="15"/>
  <cols>
    <col min="1" max="1" width="4.125" style="1" customWidth="1"/>
    <col min="2" max="2" width="51.5" style="1" customWidth="1"/>
    <col min="3" max="9" width="29.125" style="1" customWidth="1"/>
    <col min="10" max="10" width="57.875" style="1" customWidth="1"/>
    <col min="11" max="11" width="31.375" style="1" bestFit="1" customWidth="1"/>
    <col min="12" max="15" width="29.125" style="1" customWidth="1"/>
    <col min="16" max="16384" width="10.875" style="1"/>
  </cols>
  <sheetData>
    <row r="1" spans="2:11" ht="66.95" customHeight="1">
      <c r="B1" s="34" t="s">
        <v>290</v>
      </c>
    </row>
    <row r="2" spans="2:11" ht="66.95" customHeight="1">
      <c r="B2" s="33"/>
      <c r="C2" s="16">
        <v>2022</v>
      </c>
      <c r="D2" s="16">
        <v>2023</v>
      </c>
      <c r="E2" s="16">
        <v>2024</v>
      </c>
      <c r="F2" s="16" t="s">
        <v>210</v>
      </c>
      <c r="G2" s="16" t="s">
        <v>146</v>
      </c>
      <c r="H2" s="16" t="s">
        <v>147</v>
      </c>
      <c r="I2" s="16" t="s">
        <v>211</v>
      </c>
      <c r="J2" s="16" t="s">
        <v>209</v>
      </c>
    </row>
    <row r="3" spans="2:11" ht="66.95" customHeight="1">
      <c r="B3" s="16" t="s">
        <v>267</v>
      </c>
      <c r="C3" s="39"/>
      <c r="D3" s="39"/>
      <c r="E3" s="39"/>
      <c r="F3" s="39"/>
      <c r="G3" s="39"/>
      <c r="H3" s="39"/>
      <c r="I3" s="39"/>
      <c r="J3" s="63" t="s">
        <v>409</v>
      </c>
    </row>
    <row r="4" spans="2:11" ht="66.95" customHeight="1">
      <c r="B4" s="36" t="s">
        <v>268</v>
      </c>
      <c r="C4" s="39"/>
      <c r="D4" s="39"/>
      <c r="E4" s="39"/>
      <c r="F4" s="39"/>
      <c r="G4" s="39"/>
      <c r="H4" s="39"/>
      <c r="I4" s="39"/>
      <c r="J4" s="63"/>
    </row>
    <row r="5" spans="2:11" ht="66.95" customHeight="1">
      <c r="B5" s="16" t="s">
        <v>269</v>
      </c>
      <c r="C5" s="39"/>
      <c r="D5" s="39"/>
      <c r="E5" s="39"/>
      <c r="F5" s="39"/>
      <c r="G5" s="39"/>
      <c r="H5" s="39"/>
      <c r="I5" s="39"/>
      <c r="J5" s="63"/>
    </row>
    <row r="6" spans="2:11" ht="66.95" customHeight="1">
      <c r="B6" s="16" t="s">
        <v>270</v>
      </c>
      <c r="C6" s="39"/>
      <c r="D6" s="39"/>
      <c r="E6" s="39"/>
      <c r="F6" s="39"/>
      <c r="G6" s="39"/>
      <c r="H6" s="39"/>
      <c r="I6" s="39"/>
      <c r="J6" s="63"/>
      <c r="K6" s="4" t="s">
        <v>219</v>
      </c>
    </row>
    <row r="7" spans="2:11" ht="66.95" customHeight="1">
      <c r="B7" s="16" t="s">
        <v>271</v>
      </c>
      <c r="C7" s="39"/>
      <c r="D7" s="39"/>
      <c r="E7" s="39"/>
      <c r="F7" s="39"/>
      <c r="G7" s="39"/>
      <c r="H7" s="39"/>
      <c r="I7" s="39"/>
      <c r="J7" s="63"/>
    </row>
    <row r="8" spans="2:11" ht="66.95" customHeight="1">
      <c r="B8" s="16" t="s">
        <v>272</v>
      </c>
      <c r="C8" s="39"/>
      <c r="D8" s="39"/>
      <c r="E8" s="39"/>
      <c r="F8" s="39"/>
      <c r="G8" s="39"/>
      <c r="H8" s="39"/>
      <c r="I8" s="39"/>
      <c r="J8" s="63"/>
    </row>
    <row r="9" spans="2:11" ht="66.95" customHeight="1">
      <c r="B9" s="16" t="s">
        <v>273</v>
      </c>
      <c r="C9" s="39"/>
      <c r="D9" s="39"/>
      <c r="E9" s="39"/>
      <c r="F9" s="39"/>
      <c r="G9" s="39"/>
      <c r="H9" s="39"/>
      <c r="I9" s="39"/>
      <c r="J9" s="63"/>
    </row>
    <row r="10" spans="2:11" ht="66.95" customHeight="1">
      <c r="B10" s="36" t="s">
        <v>287</v>
      </c>
      <c r="C10" s="39"/>
      <c r="D10" s="39"/>
      <c r="E10" s="39"/>
      <c r="F10" s="39"/>
      <c r="G10" s="39"/>
      <c r="H10" s="39"/>
      <c r="I10" s="39"/>
      <c r="J10" s="63"/>
    </row>
    <row r="11" spans="2:11" ht="66.95" customHeight="1">
      <c r="B11" s="16" t="s">
        <v>288</v>
      </c>
      <c r="C11" s="39"/>
      <c r="D11" s="39"/>
      <c r="E11" s="39"/>
      <c r="F11" s="39"/>
      <c r="G11" s="39"/>
      <c r="H11" s="39"/>
      <c r="I11" s="39"/>
      <c r="J11" s="63"/>
    </row>
    <row r="12" spans="2:11" ht="66.95" customHeight="1">
      <c r="B12" s="16" t="s">
        <v>289</v>
      </c>
      <c r="C12" s="39"/>
      <c r="D12" s="39"/>
      <c r="E12" s="39"/>
      <c r="F12" s="39"/>
      <c r="G12" s="39"/>
      <c r="H12" s="39"/>
      <c r="I12" s="39"/>
      <c r="J12" s="63"/>
    </row>
    <row r="13" spans="2:11" ht="66.95" customHeight="1">
      <c r="B13" s="16" t="s">
        <v>212</v>
      </c>
      <c r="C13" s="39"/>
      <c r="D13" s="39"/>
      <c r="E13" s="39"/>
      <c r="F13" s="39"/>
      <c r="G13" s="39"/>
      <c r="H13" s="39"/>
      <c r="I13" s="39"/>
      <c r="J13" s="63"/>
    </row>
    <row r="14" spans="2:11" ht="66.95" customHeight="1">
      <c r="B14" s="16" t="s">
        <v>212</v>
      </c>
      <c r="C14" s="39"/>
      <c r="D14" s="39"/>
      <c r="E14" s="39"/>
      <c r="F14" s="39"/>
      <c r="G14" s="39"/>
      <c r="H14" s="39"/>
      <c r="I14" s="39"/>
      <c r="J14" s="63"/>
    </row>
    <row r="15" spans="2:11" ht="66.95" customHeight="1">
      <c r="B15" s="16" t="s">
        <v>212</v>
      </c>
      <c r="C15" s="39"/>
      <c r="D15" s="39"/>
      <c r="E15" s="39"/>
      <c r="F15" s="39"/>
      <c r="G15" s="39"/>
      <c r="H15" s="39"/>
      <c r="I15" s="39"/>
      <c r="J15" s="63"/>
    </row>
    <row r="16" spans="2:11" ht="18.75">
      <c r="B16" s="54" t="s">
        <v>220</v>
      </c>
      <c r="C16" s="55">
        <f t="shared" ref="C16:I16" si="0">SUM(C3:C15)</f>
        <v>0</v>
      </c>
      <c r="D16" s="55">
        <f t="shared" si="0"/>
        <v>0</v>
      </c>
      <c r="E16" s="55">
        <f t="shared" si="0"/>
        <v>0</v>
      </c>
      <c r="F16" s="55">
        <f t="shared" si="0"/>
        <v>0</v>
      </c>
      <c r="G16" s="55">
        <f t="shared" si="0"/>
        <v>0</v>
      </c>
      <c r="H16" s="55">
        <f t="shared" si="0"/>
        <v>0</v>
      </c>
      <c r="I16" s="55">
        <f t="shared" si="0"/>
        <v>0</v>
      </c>
    </row>
  </sheetData>
  <sheetProtection sheet="1" objects="1" scenarios="1"/>
  <conditionalFormatting sqref="C3:J15">
    <cfRule type="notContainsBlanks" dxfId="55" priority="1">
      <formula>LEN(TRIM(C3))&gt;0</formula>
    </cfRule>
  </conditionalFormatting>
  <dataValidations count="1">
    <dataValidation type="whole" operator="greaterThan" allowBlank="1" showInputMessage="1" showErrorMessage="1" sqref="C3:I15" xr:uid="{E2094605-44BD-C24A-B860-DF8CFA448BC3}">
      <formula1>0</formula1>
    </dataValidation>
  </dataValidations>
  <pageMargins left="0.7" right="0.7" top="0.75" bottom="0.75" header="0.3" footer="0.3"/>
  <pageSetup orientation="portrait" r:id="rId1"/>
  <headerFooter>
    <oddHeader>&amp;C&amp;"Calibri"&amp;12&amp;K000000 LGE Internal Use Only&amp;1#_x000D_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EA0C-0E40-6A44-9C2A-C32E79078142}">
  <sheetPr>
    <tabColor rgb="FF4F81BD"/>
  </sheetPr>
  <dimension ref="B2:U84"/>
  <sheetViews>
    <sheetView showGridLines="0" zoomScale="70" zoomScaleNormal="70" workbookViewId="0">
      <selection activeCell="K13" sqref="K13:T13"/>
    </sheetView>
  </sheetViews>
  <sheetFormatPr defaultColWidth="10.875" defaultRowHeight="15.75"/>
  <cols>
    <col min="1" max="1" width="5.375" customWidth="1"/>
    <col min="2" max="2" width="34.5" customWidth="1"/>
    <col min="10" max="10" width="10.875" customWidth="1"/>
  </cols>
  <sheetData>
    <row r="2" spans="2:20" ht="47.1" customHeight="1">
      <c r="B2" s="89" t="s">
        <v>317</v>
      </c>
      <c r="C2" s="89"/>
      <c r="D2" s="89"/>
      <c r="E2" s="89"/>
      <c r="F2" s="89"/>
      <c r="G2" s="89"/>
      <c r="H2" s="89"/>
      <c r="I2" s="89"/>
      <c r="J2" s="89"/>
      <c r="K2" s="89"/>
    </row>
    <row r="3" spans="2:20" ht="47.1" customHeight="1">
      <c r="B3" s="89"/>
      <c r="C3" s="89"/>
      <c r="D3" s="89"/>
      <c r="E3" s="89"/>
      <c r="F3" s="89"/>
      <c r="G3" s="89"/>
      <c r="H3" s="89"/>
      <c r="I3" s="89"/>
      <c r="J3" s="89"/>
      <c r="K3" s="89"/>
    </row>
    <row r="4" spans="2:20" ht="47.1" customHeight="1">
      <c r="B4" s="89"/>
      <c r="C4" s="89"/>
      <c r="D4" s="89"/>
      <c r="E4" s="89"/>
      <c r="F4" s="89"/>
      <c r="G4" s="89"/>
      <c r="H4" s="89"/>
      <c r="I4" s="89"/>
      <c r="J4" s="89"/>
      <c r="K4" s="89"/>
    </row>
    <row r="5" spans="2:20" ht="47.1" customHeight="1">
      <c r="B5" s="89"/>
      <c r="C5" s="89"/>
      <c r="D5" s="89"/>
      <c r="E5" s="89"/>
      <c r="F5" s="89"/>
      <c r="G5" s="89"/>
      <c r="H5" s="89"/>
      <c r="I5" s="89"/>
      <c r="J5" s="89"/>
      <c r="K5" s="89"/>
    </row>
    <row r="9" spans="2:20" ht="15.75" customHeight="1"/>
    <row r="13" spans="2:20" ht="63.75" customHeight="1">
      <c r="K13" s="90"/>
      <c r="L13" s="90"/>
      <c r="M13" s="90"/>
      <c r="N13" s="90"/>
      <c r="O13" s="90"/>
      <c r="P13" s="90"/>
      <c r="Q13" s="90"/>
      <c r="R13" s="90"/>
      <c r="S13" s="90"/>
      <c r="T13" s="90"/>
    </row>
    <row r="14" spans="2:20" ht="100.5" customHeight="1">
      <c r="K14" s="90"/>
      <c r="L14" s="90"/>
      <c r="M14" s="90"/>
      <c r="N14" s="90"/>
      <c r="O14" s="90"/>
      <c r="P14" s="90"/>
      <c r="Q14" s="90"/>
      <c r="R14" s="90"/>
      <c r="S14" s="90"/>
      <c r="T14" s="90"/>
    </row>
    <row r="15" spans="2:20" ht="45" customHeight="1">
      <c r="K15" s="90"/>
      <c r="L15" s="90"/>
      <c r="M15" s="90"/>
      <c r="N15" s="90"/>
      <c r="O15" s="90"/>
      <c r="P15" s="90"/>
      <c r="Q15" s="90"/>
      <c r="R15" s="90"/>
      <c r="S15" s="90"/>
      <c r="T15" s="90"/>
    </row>
    <row r="16" spans="2:20" ht="76.5" customHeight="1">
      <c r="K16" s="90"/>
      <c r="L16" s="90"/>
      <c r="M16" s="90"/>
      <c r="N16" s="90"/>
      <c r="O16" s="90"/>
      <c r="P16" s="90"/>
      <c r="Q16" s="90"/>
      <c r="R16" s="90"/>
      <c r="S16" s="90"/>
      <c r="T16" s="90"/>
    </row>
    <row r="17" spans="11:20" ht="75" customHeight="1">
      <c r="K17" s="90"/>
      <c r="L17" s="90"/>
      <c r="M17" s="90"/>
      <c r="N17" s="90"/>
      <c r="O17" s="90"/>
      <c r="P17" s="90"/>
      <c r="Q17" s="90"/>
      <c r="R17" s="90"/>
      <c r="S17" s="90"/>
      <c r="T17" s="90"/>
    </row>
    <row r="18" spans="11:20" ht="52.5" customHeight="1">
      <c r="K18" s="90"/>
      <c r="L18" s="90"/>
      <c r="M18" s="90"/>
      <c r="N18" s="90"/>
      <c r="O18" s="90"/>
      <c r="P18" s="90"/>
      <c r="Q18" s="90"/>
      <c r="R18" s="90"/>
      <c r="S18" s="90"/>
      <c r="T18" s="90"/>
    </row>
    <row r="19" spans="11:20" ht="48.75" customHeight="1">
      <c r="K19" s="90"/>
      <c r="L19" s="90"/>
      <c r="M19" s="90"/>
      <c r="N19" s="90"/>
      <c r="O19" s="90"/>
      <c r="P19" s="90"/>
      <c r="Q19" s="90"/>
      <c r="R19" s="90"/>
      <c r="S19" s="90"/>
      <c r="T19" s="90"/>
    </row>
    <row r="20" spans="11:20" ht="51" customHeight="1">
      <c r="K20" s="90"/>
      <c r="L20" s="90"/>
      <c r="M20" s="90"/>
      <c r="N20" s="90"/>
      <c r="O20" s="90"/>
      <c r="P20" s="90"/>
      <c r="Q20" s="90"/>
      <c r="R20" s="90"/>
      <c r="S20" s="90"/>
      <c r="T20" s="90"/>
    </row>
    <row r="21" spans="11:20" ht="69.75" customHeight="1">
      <c r="K21" s="90"/>
      <c r="L21" s="90"/>
      <c r="M21" s="90"/>
      <c r="N21" s="90"/>
      <c r="O21" s="90"/>
      <c r="P21" s="90"/>
      <c r="Q21" s="90"/>
      <c r="R21" s="90"/>
      <c r="S21" s="90"/>
      <c r="T21" s="90"/>
    </row>
    <row r="22" spans="11:20" ht="36" customHeight="1">
      <c r="K22" s="90"/>
      <c r="L22" s="90"/>
      <c r="M22" s="90"/>
      <c r="N22" s="90"/>
      <c r="O22" s="90"/>
      <c r="P22" s="90"/>
      <c r="Q22" s="90"/>
      <c r="R22" s="90"/>
      <c r="S22" s="90"/>
      <c r="T22" s="90"/>
    </row>
    <row r="23" spans="11:20">
      <c r="K23" s="91"/>
      <c r="L23" s="91"/>
      <c r="M23" s="91"/>
      <c r="N23" s="91"/>
      <c r="O23" s="91"/>
      <c r="P23" s="91"/>
      <c r="Q23" s="91"/>
      <c r="R23" s="91"/>
      <c r="S23" s="91"/>
      <c r="T23" s="91"/>
    </row>
    <row r="24" spans="11:20">
      <c r="K24" s="90"/>
      <c r="L24" s="90"/>
      <c r="M24" s="90"/>
      <c r="N24" s="90"/>
      <c r="O24" s="90"/>
      <c r="P24" s="90"/>
      <c r="Q24" s="90"/>
      <c r="R24" s="90"/>
      <c r="S24" s="90"/>
      <c r="T24" s="90"/>
    </row>
    <row r="50" spans="10:21">
      <c r="J50" s="90"/>
      <c r="K50" s="90"/>
      <c r="L50" s="90"/>
      <c r="M50" s="90"/>
      <c r="N50" s="90"/>
      <c r="O50" s="90"/>
      <c r="P50" s="90"/>
      <c r="Q50" s="90"/>
      <c r="R50" s="90"/>
      <c r="S50" s="90"/>
      <c r="T50" s="90"/>
      <c r="U50" s="90"/>
    </row>
    <row r="51" spans="10:21">
      <c r="J51" s="90"/>
      <c r="K51" s="90"/>
      <c r="L51" s="90"/>
      <c r="M51" s="90"/>
      <c r="N51" s="90"/>
      <c r="O51" s="90"/>
      <c r="P51" s="90"/>
      <c r="Q51" s="90"/>
      <c r="R51" s="90"/>
      <c r="S51" s="90"/>
      <c r="T51" s="90"/>
      <c r="U51" s="90"/>
    </row>
    <row r="52" spans="10:21">
      <c r="J52" s="90"/>
      <c r="K52" s="90"/>
      <c r="L52" s="90"/>
      <c r="M52" s="90"/>
      <c r="N52" s="90"/>
      <c r="O52" s="90"/>
      <c r="P52" s="90"/>
      <c r="Q52" s="90"/>
      <c r="R52" s="90"/>
      <c r="S52" s="90"/>
      <c r="T52" s="90"/>
      <c r="U52" s="90"/>
    </row>
    <row r="53" spans="10:21">
      <c r="J53" s="90"/>
      <c r="K53" s="90"/>
      <c r="L53" s="90"/>
      <c r="M53" s="90"/>
      <c r="N53" s="90"/>
      <c r="O53" s="90"/>
      <c r="P53" s="90"/>
      <c r="Q53" s="90"/>
      <c r="R53" s="90"/>
      <c r="S53" s="90"/>
      <c r="T53" s="90"/>
      <c r="U53" s="90"/>
    </row>
    <row r="54" spans="10:21">
      <c r="J54" s="90"/>
      <c r="K54" s="90"/>
      <c r="L54" s="90"/>
      <c r="M54" s="90"/>
      <c r="N54" s="90"/>
      <c r="O54" s="90"/>
      <c r="P54" s="90"/>
      <c r="Q54" s="90"/>
      <c r="R54" s="90"/>
      <c r="S54" s="90"/>
      <c r="T54" s="90"/>
      <c r="U54" s="90"/>
    </row>
    <row r="55" spans="10:21">
      <c r="J55" s="90"/>
      <c r="K55" s="90"/>
      <c r="L55" s="90"/>
      <c r="M55" s="90"/>
      <c r="N55" s="90"/>
      <c r="O55" s="90"/>
      <c r="P55" s="90"/>
      <c r="Q55" s="90"/>
      <c r="R55" s="90"/>
      <c r="S55" s="90"/>
      <c r="T55" s="90"/>
      <c r="U55" s="90"/>
    </row>
    <row r="56" spans="10:21">
      <c r="J56" s="90"/>
      <c r="K56" s="90"/>
      <c r="L56" s="90"/>
      <c r="M56" s="90"/>
      <c r="N56" s="90"/>
      <c r="O56" s="90"/>
      <c r="P56" s="90"/>
      <c r="Q56" s="90"/>
      <c r="R56" s="90"/>
      <c r="S56" s="90"/>
      <c r="T56" s="90"/>
      <c r="U56" s="90"/>
    </row>
    <row r="57" spans="10:21">
      <c r="J57" s="90"/>
      <c r="K57" s="90"/>
      <c r="L57" s="90"/>
      <c r="M57" s="90"/>
      <c r="N57" s="90"/>
      <c r="O57" s="90"/>
      <c r="P57" s="90"/>
      <c r="Q57" s="90"/>
      <c r="R57" s="90"/>
      <c r="S57" s="90"/>
      <c r="T57" s="90"/>
      <c r="U57" s="90"/>
    </row>
    <row r="58" spans="10:21">
      <c r="J58" s="90"/>
      <c r="K58" s="90"/>
      <c r="L58" s="90"/>
      <c r="M58" s="90"/>
      <c r="N58" s="90"/>
      <c r="O58" s="90"/>
      <c r="P58" s="90"/>
      <c r="Q58" s="90"/>
      <c r="R58" s="90"/>
      <c r="S58" s="90"/>
      <c r="T58" s="90"/>
      <c r="U58" s="90"/>
    </row>
    <row r="59" spans="10:21">
      <c r="J59" s="90"/>
      <c r="K59" s="90"/>
      <c r="L59" s="90"/>
      <c r="M59" s="90"/>
      <c r="N59" s="90"/>
      <c r="O59" s="90"/>
      <c r="P59" s="90"/>
      <c r="Q59" s="90"/>
      <c r="R59" s="90"/>
      <c r="S59" s="90"/>
      <c r="T59" s="90"/>
      <c r="U59" s="90"/>
    </row>
    <row r="60" spans="10:21">
      <c r="J60" s="90"/>
      <c r="K60" s="90"/>
      <c r="L60" s="90"/>
      <c r="M60" s="90"/>
      <c r="N60" s="90"/>
      <c r="O60" s="90"/>
      <c r="P60" s="90"/>
      <c r="Q60" s="90"/>
      <c r="R60" s="90"/>
      <c r="S60" s="90"/>
      <c r="T60" s="90"/>
      <c r="U60" s="90"/>
    </row>
    <row r="61" spans="10:21">
      <c r="J61" s="90"/>
      <c r="K61" s="90"/>
      <c r="L61" s="90"/>
      <c r="M61" s="90"/>
      <c r="N61" s="90"/>
      <c r="O61" s="90"/>
      <c r="P61" s="90"/>
      <c r="Q61" s="90"/>
      <c r="R61" s="90"/>
      <c r="S61" s="90"/>
      <c r="T61" s="90"/>
      <c r="U61" s="90"/>
    </row>
    <row r="62" spans="10:21">
      <c r="J62" s="90"/>
      <c r="K62" s="90"/>
      <c r="L62" s="90"/>
      <c r="M62" s="90"/>
      <c r="N62" s="90"/>
      <c r="O62" s="90"/>
      <c r="P62" s="90"/>
      <c r="Q62" s="90"/>
      <c r="R62" s="90"/>
      <c r="S62" s="90"/>
      <c r="T62" s="90"/>
      <c r="U62" s="90"/>
    </row>
    <row r="63" spans="10:21">
      <c r="J63" s="90"/>
      <c r="K63" s="90"/>
      <c r="L63" s="90"/>
      <c r="M63" s="90"/>
      <c r="N63" s="90"/>
      <c r="O63" s="90"/>
      <c r="P63" s="90"/>
      <c r="Q63" s="90"/>
      <c r="R63" s="90"/>
      <c r="S63" s="90"/>
      <c r="T63" s="90"/>
      <c r="U63" s="90"/>
    </row>
    <row r="64" spans="10:21">
      <c r="J64" s="90"/>
      <c r="K64" s="90"/>
      <c r="L64" s="90"/>
      <c r="M64" s="90"/>
      <c r="N64" s="90"/>
      <c r="O64" s="90"/>
      <c r="P64" s="90"/>
      <c r="Q64" s="90"/>
      <c r="R64" s="90"/>
      <c r="S64" s="90"/>
      <c r="T64" s="90"/>
      <c r="U64" s="90"/>
    </row>
    <row r="65" spans="10:21">
      <c r="J65" s="90"/>
      <c r="K65" s="90"/>
      <c r="L65" s="90"/>
      <c r="M65" s="90"/>
      <c r="N65" s="90"/>
      <c r="O65" s="90"/>
      <c r="P65" s="90"/>
      <c r="Q65" s="90"/>
      <c r="R65" s="90"/>
      <c r="S65" s="90"/>
      <c r="T65" s="90"/>
      <c r="U65" s="90"/>
    </row>
    <row r="66" spans="10:21">
      <c r="J66" s="90"/>
      <c r="K66" s="90"/>
      <c r="L66" s="90"/>
      <c r="M66" s="90"/>
      <c r="N66" s="90"/>
      <c r="O66" s="90"/>
      <c r="P66" s="90"/>
      <c r="Q66" s="90"/>
      <c r="R66" s="90"/>
      <c r="S66" s="90"/>
      <c r="T66" s="90"/>
      <c r="U66" s="90"/>
    </row>
    <row r="67" spans="10:21">
      <c r="J67" s="90"/>
      <c r="K67" s="90"/>
      <c r="L67" s="90"/>
      <c r="M67" s="90"/>
      <c r="N67" s="90"/>
      <c r="O67" s="90"/>
      <c r="P67" s="90"/>
      <c r="Q67" s="90"/>
      <c r="R67" s="90"/>
      <c r="S67" s="90"/>
      <c r="T67" s="90"/>
      <c r="U67" s="90"/>
    </row>
    <row r="68" spans="10:21">
      <c r="J68" s="90"/>
      <c r="K68" s="90"/>
      <c r="L68" s="90"/>
      <c r="M68" s="90"/>
      <c r="N68" s="90"/>
      <c r="O68" s="90"/>
      <c r="P68" s="90"/>
      <c r="Q68" s="90"/>
      <c r="R68" s="90"/>
      <c r="S68" s="90"/>
      <c r="T68" s="90"/>
      <c r="U68" s="90"/>
    </row>
    <row r="69" spans="10:21">
      <c r="J69" s="90"/>
      <c r="K69" s="90"/>
      <c r="L69" s="90"/>
      <c r="M69" s="90"/>
      <c r="N69" s="90"/>
      <c r="O69" s="90"/>
      <c r="P69" s="90"/>
      <c r="Q69" s="90"/>
      <c r="R69" s="90"/>
      <c r="S69" s="90"/>
      <c r="T69" s="90"/>
      <c r="U69" s="90"/>
    </row>
    <row r="70" spans="10:21">
      <c r="J70" s="90"/>
      <c r="K70" s="90"/>
      <c r="L70" s="90"/>
      <c r="M70" s="90"/>
      <c r="N70" s="90"/>
      <c r="O70" s="90"/>
      <c r="P70" s="90"/>
      <c r="Q70" s="90"/>
      <c r="R70" s="90"/>
      <c r="S70" s="90"/>
      <c r="T70" s="90"/>
      <c r="U70" s="90"/>
    </row>
    <row r="71" spans="10:21">
      <c r="J71" s="90"/>
      <c r="K71" s="90"/>
      <c r="L71" s="90"/>
      <c r="M71" s="90"/>
      <c r="N71" s="90"/>
      <c r="O71" s="90"/>
      <c r="P71" s="90"/>
      <c r="Q71" s="90"/>
      <c r="R71" s="90"/>
      <c r="S71" s="90"/>
      <c r="T71" s="90"/>
      <c r="U71" s="90"/>
    </row>
    <row r="72" spans="10:21">
      <c r="J72" s="90"/>
      <c r="K72" s="90"/>
      <c r="L72" s="90"/>
      <c r="M72" s="90"/>
      <c r="N72" s="90"/>
      <c r="O72" s="90"/>
      <c r="P72" s="90"/>
      <c r="Q72" s="90"/>
      <c r="R72" s="90"/>
      <c r="S72" s="90"/>
      <c r="T72" s="90"/>
      <c r="U72" s="90"/>
    </row>
    <row r="73" spans="10:21">
      <c r="J73" s="90"/>
      <c r="K73" s="90"/>
      <c r="L73" s="90"/>
      <c r="M73" s="90"/>
      <c r="N73" s="90"/>
      <c r="O73" s="90"/>
      <c r="P73" s="90"/>
      <c r="Q73" s="90"/>
      <c r="R73" s="90"/>
      <c r="S73" s="90"/>
      <c r="T73" s="90"/>
      <c r="U73" s="90"/>
    </row>
    <row r="74" spans="10:21">
      <c r="J74" s="90"/>
      <c r="K74" s="90"/>
      <c r="L74" s="90"/>
      <c r="M74" s="90"/>
      <c r="N74" s="90"/>
      <c r="O74" s="90"/>
      <c r="P74" s="90"/>
      <c r="Q74" s="90"/>
      <c r="R74" s="90"/>
      <c r="S74" s="90"/>
      <c r="T74" s="90"/>
      <c r="U74" s="90"/>
    </row>
    <row r="75" spans="10:21">
      <c r="J75" s="90"/>
      <c r="K75" s="90"/>
      <c r="L75" s="90"/>
      <c r="M75" s="90"/>
      <c r="N75" s="90"/>
      <c r="O75" s="90"/>
      <c r="P75" s="90"/>
      <c r="Q75" s="90"/>
      <c r="R75" s="90"/>
      <c r="S75" s="90"/>
      <c r="T75" s="90"/>
      <c r="U75" s="90"/>
    </row>
    <row r="76" spans="10:21">
      <c r="J76" s="90"/>
      <c r="K76" s="90"/>
      <c r="L76" s="90"/>
      <c r="M76" s="90"/>
      <c r="N76" s="90"/>
      <c r="O76" s="90"/>
      <c r="P76" s="90"/>
      <c r="Q76" s="90"/>
      <c r="R76" s="90"/>
      <c r="S76" s="90"/>
      <c r="T76" s="90"/>
      <c r="U76" s="90"/>
    </row>
    <row r="77" spans="10:21">
      <c r="J77" s="90"/>
      <c r="K77" s="90"/>
      <c r="L77" s="90"/>
      <c r="M77" s="90"/>
      <c r="N77" s="90"/>
      <c r="O77" s="90"/>
      <c r="P77" s="90"/>
      <c r="Q77" s="90"/>
      <c r="R77" s="90"/>
      <c r="S77" s="90"/>
      <c r="T77" s="90"/>
      <c r="U77" s="90"/>
    </row>
    <row r="78" spans="10:21">
      <c r="J78" s="90"/>
      <c r="K78" s="90"/>
      <c r="L78" s="90"/>
      <c r="M78" s="90"/>
      <c r="N78" s="90"/>
      <c r="O78" s="90"/>
      <c r="P78" s="90"/>
      <c r="Q78" s="90"/>
      <c r="R78" s="90"/>
      <c r="S78" s="90"/>
      <c r="T78" s="90"/>
      <c r="U78" s="90"/>
    </row>
    <row r="79" spans="10:21">
      <c r="J79" s="90"/>
      <c r="K79" s="90"/>
      <c r="L79" s="90"/>
      <c r="M79" s="90"/>
      <c r="N79" s="90"/>
      <c r="O79" s="90"/>
      <c r="P79" s="90"/>
      <c r="Q79" s="90"/>
      <c r="R79" s="90"/>
      <c r="S79" s="90"/>
      <c r="T79" s="90"/>
      <c r="U79" s="90"/>
    </row>
    <row r="80" spans="10:21">
      <c r="J80" s="90"/>
      <c r="K80" s="90"/>
      <c r="L80" s="90"/>
      <c r="M80" s="90"/>
      <c r="N80" s="90"/>
      <c r="O80" s="90"/>
      <c r="P80" s="90"/>
      <c r="Q80" s="90"/>
      <c r="R80" s="90"/>
      <c r="S80" s="90"/>
      <c r="T80" s="90"/>
      <c r="U80" s="90"/>
    </row>
    <row r="81" spans="10:21">
      <c r="J81" s="90"/>
      <c r="K81" s="90"/>
      <c r="L81" s="90"/>
      <c r="M81" s="90"/>
      <c r="N81" s="90"/>
      <c r="O81" s="90"/>
      <c r="P81" s="90"/>
      <c r="Q81" s="90"/>
      <c r="R81" s="90"/>
      <c r="S81" s="90"/>
      <c r="T81" s="90"/>
      <c r="U81" s="90"/>
    </row>
    <row r="82" spans="10:21">
      <c r="J82" s="90"/>
      <c r="K82" s="90"/>
      <c r="L82" s="90"/>
      <c r="M82" s="90"/>
      <c r="N82" s="90"/>
      <c r="O82" s="90"/>
      <c r="P82" s="90"/>
      <c r="Q82" s="90"/>
      <c r="R82" s="90"/>
      <c r="S82" s="90"/>
      <c r="T82" s="90"/>
      <c r="U82" s="90"/>
    </row>
    <row r="83" spans="10:21">
      <c r="J83" s="90"/>
      <c r="K83" s="90"/>
      <c r="L83" s="90"/>
      <c r="M83" s="90"/>
      <c r="N83" s="90"/>
      <c r="O83" s="90"/>
      <c r="P83" s="90"/>
      <c r="Q83" s="90"/>
      <c r="R83" s="90"/>
      <c r="S83" s="90"/>
      <c r="T83" s="90"/>
      <c r="U83" s="90"/>
    </row>
    <row r="84" spans="10:21">
      <c r="J84" s="90"/>
      <c r="K84" s="90"/>
      <c r="L84" s="90"/>
      <c r="M84" s="90"/>
      <c r="N84" s="90"/>
      <c r="O84" s="90"/>
      <c r="P84" s="90"/>
      <c r="Q84" s="90"/>
      <c r="R84" s="90"/>
      <c r="S84" s="90"/>
      <c r="T84" s="90"/>
      <c r="U84" s="90"/>
    </row>
  </sheetData>
  <mergeCells count="14">
    <mergeCell ref="B2:K5"/>
    <mergeCell ref="J50:U84"/>
    <mergeCell ref="K13:T13"/>
    <mergeCell ref="K14:T14"/>
    <mergeCell ref="K15:T15"/>
    <mergeCell ref="K16:T16"/>
    <mergeCell ref="K17:T17"/>
    <mergeCell ref="K18:T18"/>
    <mergeCell ref="K19:T19"/>
    <mergeCell ref="K20:T20"/>
    <mergeCell ref="K21:T21"/>
    <mergeCell ref="K22:T22"/>
    <mergeCell ref="K23:T23"/>
    <mergeCell ref="K24:T24"/>
  </mergeCells>
  <pageMargins left="0.7" right="0.7" top="0.75" bottom="0.75" header="0.3" footer="0.3"/>
  <headerFooter>
    <oddHeader>&amp;C&amp;"Calibri"&amp;12&amp;K000000 LGE Internal Use Only&amp;1#_x000D_</oddHead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0E82-C9FC-884C-B846-A111D80C5D4B}">
  <sheetPr>
    <tabColor rgb="FF4F81BD"/>
  </sheetPr>
  <dimension ref="A1:W18"/>
  <sheetViews>
    <sheetView zoomScale="70" zoomScaleNormal="70" workbookViewId="0">
      <selection activeCell="I14" sqref="I14"/>
    </sheetView>
  </sheetViews>
  <sheetFormatPr defaultColWidth="11" defaultRowHeight="15.75"/>
  <cols>
    <col min="1" max="1" width="4.125" style="1" customWidth="1"/>
    <col min="2" max="2" width="51.5" style="1" customWidth="1"/>
    <col min="3" max="22" width="29.125" style="1" customWidth="1"/>
    <col min="23" max="23" width="57.875" style="1" customWidth="1"/>
  </cols>
  <sheetData>
    <row r="1" spans="2:23" ht="60" customHeight="1">
      <c r="B1" s="34" t="s">
        <v>248</v>
      </c>
    </row>
    <row r="2" spans="2:23" ht="60" customHeight="1">
      <c r="B2" s="68" t="s">
        <v>241</v>
      </c>
      <c r="C2" s="92" t="s">
        <v>243</v>
      </c>
      <c r="D2" s="92"/>
      <c r="E2" s="92"/>
      <c r="F2" s="92"/>
      <c r="G2" s="92" t="s">
        <v>244</v>
      </c>
      <c r="H2" s="92"/>
      <c r="I2" s="92"/>
      <c r="J2" s="92"/>
      <c r="K2" s="92"/>
      <c r="L2" s="92" t="s">
        <v>307</v>
      </c>
      <c r="M2" s="92"/>
      <c r="N2" s="92"/>
      <c r="O2" s="92"/>
      <c r="P2" s="92"/>
      <c r="Q2" s="92"/>
      <c r="R2" s="92"/>
      <c r="S2" s="92" t="s">
        <v>245</v>
      </c>
      <c r="T2" s="92"/>
      <c r="U2" s="92"/>
      <c r="V2" s="92"/>
    </row>
    <row r="3" spans="2:23" ht="60" customHeight="1">
      <c r="B3" s="16" t="s">
        <v>242</v>
      </c>
      <c r="C3" s="69" t="s">
        <v>246</v>
      </c>
      <c r="D3" s="69" t="s">
        <v>299</v>
      </c>
      <c r="E3" s="69" t="s">
        <v>236</v>
      </c>
      <c r="F3" s="69" t="s">
        <v>294</v>
      </c>
      <c r="G3" s="69" t="s">
        <v>41</v>
      </c>
      <c r="H3" s="69" t="s">
        <v>247</v>
      </c>
      <c r="I3" s="69" t="s">
        <v>237</v>
      </c>
      <c r="J3" s="69" t="s">
        <v>238</v>
      </c>
      <c r="K3" s="69" t="s">
        <v>291</v>
      </c>
      <c r="L3" s="69" t="s">
        <v>308</v>
      </c>
      <c r="M3" s="70" t="s">
        <v>314</v>
      </c>
      <c r="N3" s="69" t="s">
        <v>309</v>
      </c>
      <c r="O3" s="69" t="s">
        <v>313</v>
      </c>
      <c r="P3" s="69" t="s">
        <v>310</v>
      </c>
      <c r="Q3" s="69" t="s">
        <v>311</v>
      </c>
      <c r="R3" s="69" t="s">
        <v>312</v>
      </c>
      <c r="S3" s="69" t="s">
        <v>24</v>
      </c>
      <c r="T3" s="69" t="s">
        <v>239</v>
      </c>
      <c r="U3" s="69" t="s">
        <v>297</v>
      </c>
      <c r="V3" s="69" t="s">
        <v>240</v>
      </c>
      <c r="W3" s="16" t="s">
        <v>209</v>
      </c>
    </row>
    <row r="4" spans="2:23" ht="60" customHeight="1">
      <c r="B4" s="16" t="s">
        <v>255</v>
      </c>
      <c r="C4" s="39" t="s">
        <v>36</v>
      </c>
      <c r="D4" s="39" t="s">
        <v>36</v>
      </c>
      <c r="E4" s="39" t="s">
        <v>36</v>
      </c>
      <c r="F4" s="39" t="s">
        <v>36</v>
      </c>
      <c r="G4" s="39" t="s">
        <v>36</v>
      </c>
      <c r="H4" s="39" t="s">
        <v>36</v>
      </c>
      <c r="I4" s="39" t="s">
        <v>36</v>
      </c>
      <c r="J4" s="39" t="s">
        <v>36</v>
      </c>
      <c r="K4" s="39" t="s">
        <v>36</v>
      </c>
      <c r="L4" s="39" t="s">
        <v>36</v>
      </c>
      <c r="M4" s="39" t="s">
        <v>36</v>
      </c>
      <c r="N4" s="39" t="s">
        <v>36</v>
      </c>
      <c r="O4" s="39" t="s">
        <v>36</v>
      </c>
      <c r="P4" s="39" t="s">
        <v>36</v>
      </c>
      <c r="Q4" s="39" t="s">
        <v>36</v>
      </c>
      <c r="R4" s="39" t="s">
        <v>36</v>
      </c>
      <c r="S4" s="39" t="s">
        <v>36</v>
      </c>
      <c r="T4" s="39" t="s">
        <v>36</v>
      </c>
      <c r="U4" s="39" t="s">
        <v>36</v>
      </c>
      <c r="V4" s="39" t="s">
        <v>36</v>
      </c>
      <c r="W4" s="63" t="s">
        <v>401</v>
      </c>
    </row>
    <row r="5" spans="2:23" ht="60" customHeight="1">
      <c r="B5" s="36" t="s">
        <v>275</v>
      </c>
      <c r="C5" s="39" t="s">
        <v>331</v>
      </c>
      <c r="D5" s="39" t="s">
        <v>331</v>
      </c>
      <c r="E5" s="39" t="s">
        <v>331</v>
      </c>
      <c r="F5" s="39" t="s">
        <v>331</v>
      </c>
      <c r="G5" s="39" t="s">
        <v>331</v>
      </c>
      <c r="H5" s="39" t="s">
        <v>331</v>
      </c>
      <c r="I5" s="39" t="s">
        <v>331</v>
      </c>
      <c r="J5" s="39" t="s">
        <v>331</v>
      </c>
      <c r="K5" s="39" t="s">
        <v>331</v>
      </c>
      <c r="L5" s="39" t="s">
        <v>331</v>
      </c>
      <c r="M5" s="39" t="s">
        <v>331</v>
      </c>
      <c r="N5" s="39" t="s">
        <v>332</v>
      </c>
      <c r="O5" s="39" t="s">
        <v>332</v>
      </c>
      <c r="P5" s="39" t="s">
        <v>331</v>
      </c>
      <c r="Q5" s="39" t="s">
        <v>331</v>
      </c>
      <c r="R5" s="39" t="s">
        <v>332</v>
      </c>
      <c r="S5" s="39" t="s">
        <v>331</v>
      </c>
      <c r="T5" s="39" t="s">
        <v>331</v>
      </c>
      <c r="U5" s="39" t="s">
        <v>331</v>
      </c>
      <c r="V5" s="39" t="s">
        <v>331</v>
      </c>
      <c r="W5" s="63"/>
    </row>
    <row r="6" spans="2:23" ht="60" customHeight="1">
      <c r="B6" s="36" t="s">
        <v>256</v>
      </c>
      <c r="C6" s="39" t="s">
        <v>37</v>
      </c>
      <c r="D6" s="39" t="s">
        <v>37</v>
      </c>
      <c r="E6" s="39" t="s">
        <v>37</v>
      </c>
      <c r="F6" s="39" t="s">
        <v>37</v>
      </c>
      <c r="G6" s="39" t="s">
        <v>37</v>
      </c>
      <c r="H6" s="39" t="s">
        <v>37</v>
      </c>
      <c r="I6" s="39" t="s">
        <v>37</v>
      </c>
      <c r="J6" s="39" t="s">
        <v>37</v>
      </c>
      <c r="K6" s="39" t="s">
        <v>36</v>
      </c>
      <c r="L6" s="39" t="s">
        <v>37</v>
      </c>
      <c r="M6" s="39" t="s">
        <v>37</v>
      </c>
      <c r="N6" s="39" t="s">
        <v>37</v>
      </c>
      <c r="O6" s="39" t="s">
        <v>37</v>
      </c>
      <c r="P6" s="39" t="s">
        <v>37</v>
      </c>
      <c r="Q6" s="39" t="s">
        <v>37</v>
      </c>
      <c r="R6" s="39" t="s">
        <v>37</v>
      </c>
      <c r="S6" s="39" t="s">
        <v>37</v>
      </c>
      <c r="T6" s="39" t="s">
        <v>37</v>
      </c>
      <c r="U6" s="39" t="s">
        <v>37</v>
      </c>
      <c r="V6" s="39" t="s">
        <v>37</v>
      </c>
      <c r="W6" s="63"/>
    </row>
    <row r="7" spans="2:23" ht="60" customHeight="1">
      <c r="B7" s="36" t="s">
        <v>22</v>
      </c>
      <c r="C7" s="39" t="s">
        <v>383</v>
      </c>
      <c r="D7" s="39" t="s">
        <v>385</v>
      </c>
      <c r="E7" s="39" t="s">
        <v>385</v>
      </c>
      <c r="F7" s="39" t="s">
        <v>387</v>
      </c>
      <c r="G7" s="39" t="s">
        <v>395</v>
      </c>
      <c r="H7" s="39" t="s">
        <v>396</v>
      </c>
      <c r="I7" s="39" t="s">
        <v>397</v>
      </c>
      <c r="J7" s="39" t="s">
        <v>398</v>
      </c>
      <c r="K7" s="39" t="s">
        <v>384</v>
      </c>
      <c r="L7" s="39" t="s">
        <v>392</v>
      </c>
      <c r="M7" s="39" t="s">
        <v>392</v>
      </c>
      <c r="N7" s="39" t="s">
        <v>392</v>
      </c>
      <c r="O7" s="39" t="s">
        <v>392</v>
      </c>
      <c r="P7" s="39" t="s">
        <v>392</v>
      </c>
      <c r="Q7" s="39" t="s">
        <v>392</v>
      </c>
      <c r="R7" s="39" t="s">
        <v>392</v>
      </c>
      <c r="S7" s="39" t="s">
        <v>400</v>
      </c>
      <c r="T7" s="39" t="s">
        <v>400</v>
      </c>
      <c r="U7" s="39" t="s">
        <v>400</v>
      </c>
      <c r="V7" s="39" t="s">
        <v>400</v>
      </c>
      <c r="W7" s="63"/>
    </row>
    <row r="8" spans="2:23" ht="60" customHeight="1">
      <c r="B8" s="36" t="s">
        <v>274</v>
      </c>
      <c r="C8" s="39">
        <v>214</v>
      </c>
      <c r="D8" s="39">
        <v>214</v>
      </c>
      <c r="E8" s="39">
        <v>214</v>
      </c>
      <c r="F8" s="39">
        <v>160</v>
      </c>
      <c r="G8" s="39">
        <v>225</v>
      </c>
      <c r="H8" s="39">
        <v>225</v>
      </c>
      <c r="I8" s="39">
        <v>225</v>
      </c>
      <c r="J8" s="39">
        <v>225</v>
      </c>
      <c r="K8" s="39">
        <v>225</v>
      </c>
      <c r="L8" s="39">
        <v>123</v>
      </c>
      <c r="M8" s="39">
        <v>123</v>
      </c>
      <c r="N8" s="39">
        <v>123</v>
      </c>
      <c r="O8" s="39">
        <v>123</v>
      </c>
      <c r="P8" s="39">
        <v>123</v>
      </c>
      <c r="Q8" s="39">
        <v>123</v>
      </c>
      <c r="R8" s="39">
        <v>123</v>
      </c>
      <c r="S8" s="39">
        <v>123</v>
      </c>
      <c r="T8" s="39">
        <v>123</v>
      </c>
      <c r="U8" s="39">
        <v>123</v>
      </c>
      <c r="V8" s="39">
        <v>123</v>
      </c>
      <c r="W8" s="63"/>
    </row>
    <row r="9" spans="2:23" ht="60" customHeight="1">
      <c r="B9" s="36" t="s">
        <v>257</v>
      </c>
      <c r="C9" s="39" t="s">
        <v>382</v>
      </c>
      <c r="D9" s="39" t="s">
        <v>390</v>
      </c>
      <c r="E9" s="39" t="s">
        <v>386</v>
      </c>
      <c r="F9" s="39" t="s">
        <v>394</v>
      </c>
      <c r="G9" s="39" t="s">
        <v>395</v>
      </c>
      <c r="H9" s="39" t="s">
        <v>396</v>
      </c>
      <c r="I9" s="39" t="s">
        <v>397</v>
      </c>
      <c r="J9" s="39" t="s">
        <v>398</v>
      </c>
      <c r="K9" s="39" t="s">
        <v>391</v>
      </c>
      <c r="L9" s="39" t="s">
        <v>393</v>
      </c>
      <c r="M9" s="39" t="s">
        <v>393</v>
      </c>
      <c r="N9" s="39" t="s">
        <v>393</v>
      </c>
      <c r="O9" s="39" t="s">
        <v>393</v>
      </c>
      <c r="P9" s="39" t="s">
        <v>393</v>
      </c>
      <c r="Q9" s="39" t="s">
        <v>393</v>
      </c>
      <c r="R9" s="39" t="s">
        <v>393</v>
      </c>
      <c r="S9" s="39" t="s">
        <v>400</v>
      </c>
      <c r="T9" s="39" t="s">
        <v>400</v>
      </c>
      <c r="U9" s="39" t="s">
        <v>400</v>
      </c>
      <c r="V9" s="39" t="s">
        <v>400</v>
      </c>
      <c r="W9" s="63"/>
    </row>
    <row r="10" spans="2:23" ht="60" customHeight="1">
      <c r="B10" s="36" t="s">
        <v>306</v>
      </c>
      <c r="C10" s="39" t="s">
        <v>378</v>
      </c>
      <c r="D10" s="39" t="s">
        <v>378</v>
      </c>
      <c r="E10" s="39" t="s">
        <v>378</v>
      </c>
      <c r="F10" s="39" t="s">
        <v>378</v>
      </c>
      <c r="G10" s="39" t="s">
        <v>378</v>
      </c>
      <c r="H10" s="39" t="s">
        <v>378</v>
      </c>
      <c r="I10" s="39" t="s">
        <v>378</v>
      </c>
      <c r="J10" s="39" t="s">
        <v>378</v>
      </c>
      <c r="K10" s="39" t="s">
        <v>378</v>
      </c>
      <c r="L10" s="39" t="s">
        <v>378</v>
      </c>
      <c r="M10" s="39" t="s">
        <v>378</v>
      </c>
      <c r="N10" s="39" t="s">
        <v>378</v>
      </c>
      <c r="O10" s="39" t="s">
        <v>378</v>
      </c>
      <c r="P10" s="39" t="s">
        <v>378</v>
      </c>
      <c r="Q10" s="39" t="s">
        <v>378</v>
      </c>
      <c r="R10" s="39" t="s">
        <v>378</v>
      </c>
      <c r="S10" s="39" t="s">
        <v>378</v>
      </c>
      <c r="T10" s="39" t="s">
        <v>378</v>
      </c>
      <c r="U10" s="39" t="s">
        <v>378</v>
      </c>
      <c r="V10" s="39" t="s">
        <v>378</v>
      </c>
      <c r="W10" s="63" t="s">
        <v>379</v>
      </c>
    </row>
    <row r="11" spans="2:23" ht="60" customHeight="1">
      <c r="B11" s="36" t="s">
        <v>276</v>
      </c>
      <c r="C11" s="39" t="s">
        <v>378</v>
      </c>
      <c r="D11" s="39" t="s">
        <v>378</v>
      </c>
      <c r="E11" s="39" t="s">
        <v>378</v>
      </c>
      <c r="F11" s="39" t="s">
        <v>378</v>
      </c>
      <c r="G11" s="71" t="s">
        <v>378</v>
      </c>
      <c r="H11" s="39" t="s">
        <v>378</v>
      </c>
      <c r="I11" s="39" t="s">
        <v>378</v>
      </c>
      <c r="J11" s="39" t="s">
        <v>378</v>
      </c>
      <c r="K11" s="39" t="s">
        <v>378</v>
      </c>
      <c r="L11" s="39" t="s">
        <v>378</v>
      </c>
      <c r="M11" s="39" t="s">
        <v>378</v>
      </c>
      <c r="N11" s="39" t="s">
        <v>378</v>
      </c>
      <c r="O11" s="39" t="s">
        <v>378</v>
      </c>
      <c r="P11" s="39" t="s">
        <v>378</v>
      </c>
      <c r="Q11" s="39" t="s">
        <v>378</v>
      </c>
      <c r="R11" s="39" t="s">
        <v>378</v>
      </c>
      <c r="S11" s="39" t="s">
        <v>378</v>
      </c>
      <c r="T11" s="39" t="s">
        <v>378</v>
      </c>
      <c r="U11" s="39" t="s">
        <v>378</v>
      </c>
      <c r="V11" s="39" t="s">
        <v>378</v>
      </c>
      <c r="W11" s="63" t="s">
        <v>380</v>
      </c>
    </row>
    <row r="12" spans="2:23" ht="60" customHeight="1">
      <c r="B12" s="16" t="s">
        <v>258</v>
      </c>
      <c r="C12" s="39" t="s">
        <v>384</v>
      </c>
      <c r="D12" s="39" t="s">
        <v>385</v>
      </c>
      <c r="E12" s="39" t="s">
        <v>385</v>
      </c>
      <c r="F12" s="39" t="s">
        <v>394</v>
      </c>
      <c r="G12" s="39" t="s">
        <v>395</v>
      </c>
      <c r="H12" s="39" t="s">
        <v>396</v>
      </c>
      <c r="I12" s="39" t="s">
        <v>397</v>
      </c>
      <c r="J12" s="39" t="s">
        <v>398</v>
      </c>
      <c r="K12" s="39" t="s">
        <v>399</v>
      </c>
      <c r="L12" s="39" t="s">
        <v>393</v>
      </c>
      <c r="M12" s="39" t="s">
        <v>393</v>
      </c>
      <c r="N12" s="39" t="s">
        <v>393</v>
      </c>
      <c r="O12" s="39" t="s">
        <v>393</v>
      </c>
      <c r="P12" s="39" t="s">
        <v>393</v>
      </c>
      <c r="Q12" s="39" t="s">
        <v>393</v>
      </c>
      <c r="R12" s="39" t="s">
        <v>393</v>
      </c>
      <c r="S12" s="39" t="s">
        <v>400</v>
      </c>
      <c r="T12" s="39" t="s">
        <v>400</v>
      </c>
      <c r="U12" s="39" t="s">
        <v>400</v>
      </c>
      <c r="V12" s="39" t="s">
        <v>400</v>
      </c>
      <c r="W12" s="63"/>
    </row>
    <row r="13" spans="2:23" ht="60" customHeight="1">
      <c r="B13" s="36" t="s">
        <v>253</v>
      </c>
      <c r="C13" s="39" t="s">
        <v>381</v>
      </c>
      <c r="D13" s="39" t="s">
        <v>389</v>
      </c>
      <c r="E13" s="39" t="s">
        <v>386</v>
      </c>
      <c r="F13" s="39" t="s">
        <v>394</v>
      </c>
      <c r="G13" s="39" t="s">
        <v>395</v>
      </c>
      <c r="H13" s="39" t="s">
        <v>396</v>
      </c>
      <c r="I13" s="39" t="s">
        <v>397</v>
      </c>
      <c r="J13" s="39" t="s">
        <v>398</v>
      </c>
      <c r="K13" s="39" t="s">
        <v>399</v>
      </c>
      <c r="L13" s="39" t="s">
        <v>393</v>
      </c>
      <c r="M13" s="39" t="s">
        <v>393</v>
      </c>
      <c r="N13" s="39" t="s">
        <v>393</v>
      </c>
      <c r="O13" s="39" t="s">
        <v>393</v>
      </c>
      <c r="P13" s="39" t="s">
        <v>393</v>
      </c>
      <c r="Q13" s="39" t="s">
        <v>393</v>
      </c>
      <c r="R13" s="39" t="s">
        <v>393</v>
      </c>
      <c r="S13" s="39" t="s">
        <v>400</v>
      </c>
      <c r="T13" s="39" t="s">
        <v>400</v>
      </c>
      <c r="U13" s="39" t="s">
        <v>400</v>
      </c>
      <c r="V13" s="39" t="s">
        <v>400</v>
      </c>
      <c r="W13" s="63"/>
    </row>
    <row r="14" spans="2:23" ht="60" customHeight="1">
      <c r="B14" s="16" t="s">
        <v>249</v>
      </c>
      <c r="C14" s="39" t="s">
        <v>333</v>
      </c>
      <c r="D14" s="39" t="s">
        <v>333</v>
      </c>
      <c r="E14" s="39" t="s">
        <v>333</v>
      </c>
      <c r="F14" s="39" t="s">
        <v>333</v>
      </c>
      <c r="G14" s="39" t="s">
        <v>333</v>
      </c>
      <c r="H14" s="39" t="s">
        <v>333</v>
      </c>
      <c r="I14" s="39" t="s">
        <v>333</v>
      </c>
      <c r="J14" s="39" t="s">
        <v>333</v>
      </c>
      <c r="K14" s="39" t="s">
        <v>333</v>
      </c>
      <c r="L14" s="39" t="s">
        <v>333</v>
      </c>
      <c r="M14" s="39" t="s">
        <v>333</v>
      </c>
      <c r="N14" s="39" t="s">
        <v>333</v>
      </c>
      <c r="O14" s="39" t="s">
        <v>333</v>
      </c>
      <c r="P14" s="39" t="s">
        <v>333</v>
      </c>
      <c r="Q14" s="39" t="s">
        <v>333</v>
      </c>
      <c r="R14" s="39" t="s">
        <v>333</v>
      </c>
      <c r="S14" s="39" t="s">
        <v>333</v>
      </c>
      <c r="T14" s="39" t="s">
        <v>333</v>
      </c>
      <c r="U14" s="39" t="s">
        <v>333</v>
      </c>
      <c r="V14" s="39" t="s">
        <v>333</v>
      </c>
      <c r="W14" s="63"/>
    </row>
    <row r="15" spans="2:23" ht="60" customHeight="1">
      <c r="B15" s="16" t="s">
        <v>252</v>
      </c>
      <c r="C15" s="39" t="s">
        <v>333</v>
      </c>
      <c r="D15" s="39" t="s">
        <v>333</v>
      </c>
      <c r="E15" s="39" t="s">
        <v>333</v>
      </c>
      <c r="F15" s="39" t="s">
        <v>333</v>
      </c>
      <c r="G15" s="39" t="s">
        <v>333</v>
      </c>
      <c r="H15" s="39" t="s">
        <v>333</v>
      </c>
      <c r="I15" s="39" t="s">
        <v>333</v>
      </c>
      <c r="J15" s="39" t="s">
        <v>333</v>
      </c>
      <c r="K15" s="39" t="s">
        <v>333</v>
      </c>
      <c r="L15" s="39" t="s">
        <v>333</v>
      </c>
      <c r="M15" s="39" t="s">
        <v>333</v>
      </c>
      <c r="N15" s="39" t="s">
        <v>333</v>
      </c>
      <c r="O15" s="39" t="s">
        <v>333</v>
      </c>
      <c r="P15" s="39" t="s">
        <v>333</v>
      </c>
      <c r="Q15" s="39" t="s">
        <v>333</v>
      </c>
      <c r="R15" s="39" t="s">
        <v>333</v>
      </c>
      <c r="S15" s="39" t="s">
        <v>333</v>
      </c>
      <c r="T15" s="39" t="s">
        <v>333</v>
      </c>
      <c r="U15" s="39" t="s">
        <v>333</v>
      </c>
      <c r="V15" s="39" t="s">
        <v>333</v>
      </c>
      <c r="W15" s="63"/>
    </row>
    <row r="16" spans="2:23" ht="60" customHeight="1">
      <c r="B16" s="36" t="s">
        <v>254</v>
      </c>
      <c r="C16" s="39" t="s">
        <v>388</v>
      </c>
      <c r="D16" s="39" t="s">
        <v>388</v>
      </c>
      <c r="E16" s="39" t="s">
        <v>388</v>
      </c>
      <c r="F16" s="39" t="s">
        <v>388</v>
      </c>
      <c r="G16" s="39" t="s">
        <v>388</v>
      </c>
      <c r="H16" s="39" t="s">
        <v>388</v>
      </c>
      <c r="I16" s="39" t="s">
        <v>388</v>
      </c>
      <c r="J16" s="39" t="s">
        <v>388</v>
      </c>
      <c r="K16" s="39" t="s">
        <v>388</v>
      </c>
      <c r="L16" s="39" t="s">
        <v>388</v>
      </c>
      <c r="M16" s="39" t="s">
        <v>388</v>
      </c>
      <c r="N16" s="39" t="s">
        <v>388</v>
      </c>
      <c r="O16" s="39" t="s">
        <v>388</v>
      </c>
      <c r="P16" s="39" t="s">
        <v>388</v>
      </c>
      <c r="Q16" s="39" t="s">
        <v>388</v>
      </c>
      <c r="R16" s="39" t="s">
        <v>388</v>
      </c>
      <c r="S16" s="39" t="s">
        <v>388</v>
      </c>
      <c r="T16" s="39" t="s">
        <v>388</v>
      </c>
      <c r="U16" s="39" t="s">
        <v>388</v>
      </c>
      <c r="V16" s="39" t="s">
        <v>388</v>
      </c>
      <c r="W16" s="63"/>
    </row>
    <row r="17" spans="2:23" ht="60" customHeight="1">
      <c r="B17" s="16" t="s">
        <v>250</v>
      </c>
      <c r="C17" s="39" t="s">
        <v>377</v>
      </c>
      <c r="D17" s="39" t="s">
        <v>377</v>
      </c>
      <c r="E17" s="39" t="s">
        <v>377</v>
      </c>
      <c r="F17" s="39" t="s">
        <v>377</v>
      </c>
      <c r="G17" s="39" t="s">
        <v>377</v>
      </c>
      <c r="H17" s="39" t="s">
        <v>377</v>
      </c>
      <c r="I17" s="39" t="s">
        <v>377</v>
      </c>
      <c r="J17" s="39" t="s">
        <v>377</v>
      </c>
      <c r="K17" s="39" t="s">
        <v>377</v>
      </c>
      <c r="L17" s="39" t="s">
        <v>377</v>
      </c>
      <c r="M17" s="39" t="s">
        <v>377</v>
      </c>
      <c r="N17" s="39" t="s">
        <v>377</v>
      </c>
      <c r="O17" s="39" t="s">
        <v>377</v>
      </c>
      <c r="P17" s="39" t="s">
        <v>377</v>
      </c>
      <c r="Q17" s="39" t="s">
        <v>377</v>
      </c>
      <c r="R17" s="39" t="s">
        <v>377</v>
      </c>
      <c r="S17" s="39" t="s">
        <v>377</v>
      </c>
      <c r="T17" s="39" t="s">
        <v>377</v>
      </c>
      <c r="U17" s="39" t="s">
        <v>377</v>
      </c>
      <c r="V17" s="39" t="s">
        <v>377</v>
      </c>
      <c r="W17" s="63" t="s">
        <v>408</v>
      </c>
    </row>
    <row r="18" spans="2:23" ht="60" customHeight="1">
      <c r="B18" s="16" t="s">
        <v>251</v>
      </c>
      <c r="C18" s="39" t="s">
        <v>377</v>
      </c>
      <c r="D18" s="39" t="s">
        <v>377</v>
      </c>
      <c r="E18" s="39" t="s">
        <v>377</v>
      </c>
      <c r="F18" s="39" t="s">
        <v>377</v>
      </c>
      <c r="G18" s="39" t="s">
        <v>377</v>
      </c>
      <c r="H18" s="39" t="s">
        <v>377</v>
      </c>
      <c r="I18" s="39" t="s">
        <v>377</v>
      </c>
      <c r="J18" s="39" t="s">
        <v>377</v>
      </c>
      <c r="K18" s="39" t="s">
        <v>377</v>
      </c>
      <c r="L18" s="39" t="s">
        <v>377</v>
      </c>
      <c r="M18" s="39" t="s">
        <v>377</v>
      </c>
      <c r="N18" s="39" t="s">
        <v>377</v>
      </c>
      <c r="O18" s="39" t="s">
        <v>377</v>
      </c>
      <c r="P18" s="39" t="s">
        <v>377</v>
      </c>
      <c r="Q18" s="39" t="s">
        <v>377</v>
      </c>
      <c r="R18" s="39" t="s">
        <v>377</v>
      </c>
      <c r="S18" s="39" t="s">
        <v>377</v>
      </c>
      <c r="T18" s="39" t="s">
        <v>377</v>
      </c>
      <c r="U18" s="39" t="s">
        <v>377</v>
      </c>
      <c r="V18" s="39" t="s">
        <v>377</v>
      </c>
      <c r="W18" s="63" t="s">
        <v>376</v>
      </c>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phoneticPr fontId="32" type="noConversion"/>
  <conditionalFormatting sqref="C4:W18">
    <cfRule type="notContainsBlanks" dxfId="54" priority="4" stopIfTrue="1">
      <formula>LEN(TRIM(C4))&gt;0</formula>
    </cfRule>
  </conditionalFormatting>
  <dataValidations count="3">
    <dataValidation type="list" allowBlank="1" showInputMessage="1" showErrorMessage="1" sqref="C4:V4 C6:V6" xr:uid="{3C94C46B-AE0A-7546-AE4A-70564BCE0467}">
      <formula1>"Yes,No"</formula1>
    </dataValidation>
    <dataValidation type="whole" operator="greaterThan" allowBlank="1" showInputMessage="1" showErrorMessage="1" sqref="C8:V8" xr:uid="{0CDD62B7-BEBF-0648-A0A4-2C6D168439F0}">
      <formula1>0</formula1>
    </dataValidation>
    <dataValidation type="list" allowBlank="1" showInputMessage="1" showErrorMessage="1" sqref="C5:V5" xr:uid="{E9005C81-8F3A-004A-AD31-E0B88249D0D7}">
      <formula1>"High,Medium,Low,N/A"</formula1>
    </dataValidation>
  </dataValidations>
  <pageMargins left="0.7" right="0.7" top="0.75" bottom="0.75" header="0.3" footer="0.3"/>
  <pageSetup orientation="portrait" horizontalDpi="0" verticalDpi="0"/>
  <headerFooter>
    <oddHeader>&amp;C&amp;"Calibri"&amp;12&amp;K000000 LGE Internal Use Only&amp;1#_x000D_</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5BEE-ECCF-464E-B3BE-DA7F33AA34D2}">
  <sheetPr>
    <tabColor rgb="FF4F81BD"/>
  </sheetPr>
  <dimension ref="B3:B24"/>
  <sheetViews>
    <sheetView showGridLines="0" zoomScale="40" zoomScaleNormal="40" workbookViewId="0">
      <selection activeCell="AC77" sqref="AC77"/>
    </sheetView>
  </sheetViews>
  <sheetFormatPr defaultColWidth="10.875" defaultRowHeight="15.75"/>
  <cols>
    <col min="1" max="1" width="5.5" customWidth="1"/>
  </cols>
  <sheetData>
    <row r="3" spans="2:2" ht="33.950000000000003" customHeight="1"/>
    <row r="4" spans="2:2" ht="33.950000000000003" customHeight="1"/>
    <row r="5" spans="2:2" ht="33.950000000000003" customHeight="1"/>
    <row r="6" spans="2:2" ht="33.950000000000003" customHeight="1"/>
    <row r="12" spans="2:2">
      <c r="B12" s="60"/>
    </row>
    <row r="15" spans="2:2">
      <c r="B15" s="60"/>
    </row>
    <row r="18" spans="2:2">
      <c r="B18" s="60"/>
    </row>
    <row r="21" spans="2:2">
      <c r="B21" s="60"/>
    </row>
    <row r="24" spans="2:2">
      <c r="B24" s="60"/>
    </row>
  </sheetData>
  <pageMargins left="0.7" right="0.7" top="0.75" bottom="0.75" header="0.3" footer="0.3"/>
  <headerFooter>
    <oddHeader>&amp;C&amp;"Calibri"&amp;12&amp;K000000 LGE Internal Use Only&amp;1#_x000D_</oddHead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D8D5-CD4F-D44B-8DDB-AA53C4225B46}">
  <sheetPr>
    <tabColor rgb="FFFFFF00"/>
  </sheetPr>
  <dimension ref="A2:D28"/>
  <sheetViews>
    <sheetView topLeftCell="B1" zoomScale="85" zoomScaleNormal="85" workbookViewId="0">
      <selection activeCell="E18" sqref="E18"/>
    </sheetView>
  </sheetViews>
  <sheetFormatPr defaultColWidth="10.875" defaultRowHeight="20.25"/>
  <cols>
    <col min="1" max="1" width="4.125" style="57" customWidth="1"/>
    <col min="2" max="2" width="200.875" style="10" customWidth="1"/>
    <col min="3" max="3" width="67.5" style="13" customWidth="1"/>
    <col min="4" max="16384" width="10.875" style="51"/>
  </cols>
  <sheetData>
    <row r="2" spans="2:4">
      <c r="B2" s="8" t="s">
        <v>234</v>
      </c>
      <c r="C2" s="11"/>
    </row>
    <row r="3" spans="2:4">
      <c r="B3" s="44" t="s">
        <v>232</v>
      </c>
      <c r="C3" s="59"/>
    </row>
    <row r="4" spans="2:4">
      <c r="B4" s="58" t="s">
        <v>261</v>
      </c>
      <c r="C4" s="59"/>
    </row>
    <row r="5" spans="2:4" ht="60.75">
      <c r="B5" s="56" t="s">
        <v>284</v>
      </c>
      <c r="C5" s="50" t="s">
        <v>36</v>
      </c>
      <c r="D5" s="52" t="s">
        <v>285</v>
      </c>
    </row>
    <row r="6" spans="2:4">
      <c r="B6" s="58" t="s">
        <v>260</v>
      </c>
      <c r="C6" s="59"/>
      <c r="D6" s="52"/>
    </row>
    <row r="7" spans="2:4" ht="60.75">
      <c r="B7" s="56" t="s">
        <v>223</v>
      </c>
      <c r="C7" s="50" t="s">
        <v>36</v>
      </c>
      <c r="D7" s="52" t="s">
        <v>277</v>
      </c>
    </row>
    <row r="8" spans="2:4">
      <c r="B8" s="58" t="s">
        <v>259</v>
      </c>
      <c r="C8" s="59"/>
    </row>
    <row r="9" spans="2:4" ht="60.75">
      <c r="B9" s="56" t="s">
        <v>224</v>
      </c>
      <c r="C9" s="50" t="s">
        <v>36</v>
      </c>
    </row>
    <row r="10" spans="2:4">
      <c r="B10" s="58" t="s">
        <v>280</v>
      </c>
      <c r="C10" s="59"/>
    </row>
    <row r="11" spans="2:4" ht="60.75">
      <c r="B11" s="56" t="s">
        <v>281</v>
      </c>
      <c r="C11" s="50" t="s">
        <v>36</v>
      </c>
    </row>
    <row r="12" spans="2:4">
      <c r="B12" s="44" t="s">
        <v>231</v>
      </c>
      <c r="C12" s="59"/>
    </row>
    <row r="13" spans="2:4">
      <c r="B13" s="58" t="s">
        <v>233</v>
      </c>
      <c r="C13" s="59"/>
    </row>
    <row r="14" spans="2:4" ht="60.75">
      <c r="B14" s="56" t="s">
        <v>221</v>
      </c>
      <c r="C14" s="50"/>
    </row>
    <row r="15" spans="2:4">
      <c r="B15" s="58" t="s">
        <v>229</v>
      </c>
      <c r="C15" s="59"/>
    </row>
    <row r="16" spans="2:4" ht="60.75">
      <c r="B16" s="56" t="s">
        <v>222</v>
      </c>
      <c r="C16" s="50"/>
    </row>
    <row r="17" spans="2:3">
      <c r="B17" s="58" t="s">
        <v>230</v>
      </c>
      <c r="C17" s="59"/>
    </row>
    <row r="18" spans="2:3" ht="60.75">
      <c r="B18" s="56" t="s">
        <v>225</v>
      </c>
      <c r="C18" s="50" t="s">
        <v>36</v>
      </c>
    </row>
    <row r="19" spans="2:3">
      <c r="B19" s="58" t="s">
        <v>262</v>
      </c>
      <c r="C19" s="59"/>
    </row>
    <row r="20" spans="2:3" ht="60.75">
      <c r="B20" s="56" t="s">
        <v>283</v>
      </c>
      <c r="C20" s="50" t="s">
        <v>36</v>
      </c>
    </row>
    <row r="21" spans="2:3">
      <c r="B21" s="58" t="s">
        <v>300</v>
      </c>
      <c r="C21" s="59"/>
    </row>
    <row r="22" spans="2:3" ht="81">
      <c r="B22" s="56" t="s">
        <v>302</v>
      </c>
      <c r="C22" s="50" t="s">
        <v>36</v>
      </c>
    </row>
    <row r="23" spans="2:3">
      <c r="B23" s="58" t="s">
        <v>305</v>
      </c>
      <c r="C23" s="59"/>
    </row>
    <row r="24" spans="2:3" ht="81">
      <c r="B24" s="56" t="s">
        <v>303</v>
      </c>
      <c r="C24" s="50" t="s">
        <v>36</v>
      </c>
    </row>
    <row r="25" spans="2:3">
      <c r="B25" s="58" t="s">
        <v>301</v>
      </c>
      <c r="C25" s="59"/>
    </row>
    <row r="26" spans="2:3" ht="81">
      <c r="B26" s="56" t="s">
        <v>304</v>
      </c>
      <c r="C26" s="50" t="s">
        <v>36</v>
      </c>
    </row>
    <row r="27" spans="2:3">
      <c r="B27" s="58" t="s">
        <v>315</v>
      </c>
      <c r="C27" s="59"/>
    </row>
    <row r="28" spans="2:3" ht="81">
      <c r="B28" s="56" t="s">
        <v>318</v>
      </c>
      <c r="C28" s="50" t="s">
        <v>36</v>
      </c>
    </row>
  </sheetData>
  <sheetProtection algorithmName="SHA-512" hashValue="Q1tIzZW4q1svot2fTtUaZdE5Z769zrGxjL5mh+I++440Oe5SSDlQ+Yw1B8wb5grTlGVqFQYapO2TrAXiTNZB8Q==" saltValue="1MRRozV0QtnVfVJaMmG8Jg==" spinCount="100000" sheet="1" objects="1" scenarios="1"/>
  <conditionalFormatting sqref="C5">
    <cfRule type="notContainsBlanks" dxfId="53" priority="72" stopIfTrue="1">
      <formula>LEN(TRIM(C5))&gt;0</formula>
    </cfRule>
    <cfRule type="containsText" dxfId="52" priority="70" operator="containsText" text="Yes">
      <formula>NOT(ISERROR(SEARCH("Yes",C5)))</formula>
    </cfRule>
    <cfRule type="containsText" dxfId="51" priority="71" operator="containsText" text="No">
      <formula>NOT(ISERROR(SEARCH("No",C5)))</formula>
    </cfRule>
  </conditionalFormatting>
  <conditionalFormatting sqref="C7">
    <cfRule type="notContainsBlanks" dxfId="50" priority="60" stopIfTrue="1">
      <formula>LEN(TRIM(C7))&gt;0</formula>
    </cfRule>
    <cfRule type="containsText" dxfId="49" priority="59" operator="containsText" text="No">
      <formula>NOT(ISERROR(SEARCH("No",C7)))</formula>
    </cfRule>
    <cfRule type="containsText" dxfId="48" priority="58" operator="containsText" text="Yes">
      <formula>NOT(ISERROR(SEARCH("Yes",C7)))</formula>
    </cfRule>
  </conditionalFormatting>
  <conditionalFormatting sqref="C9:C12">
    <cfRule type="containsText" dxfId="47" priority="25" operator="containsText" text="Yes">
      <formula>NOT(ISERROR(SEARCH("Yes",C9)))</formula>
    </cfRule>
    <cfRule type="containsText" dxfId="46" priority="26" operator="containsText" text="No">
      <formula>NOT(ISERROR(SEARCH("No",C9)))</formula>
    </cfRule>
    <cfRule type="notContainsBlanks" dxfId="45" priority="27" stopIfTrue="1">
      <formula>LEN(TRIM(C9))&gt;0</formula>
    </cfRule>
  </conditionalFormatting>
  <conditionalFormatting sqref="C12">
    <cfRule type="containsText" dxfId="44" priority="53" operator="containsText" text="No">
      <formula>NOT(ISERROR(SEARCH("No",C12)))</formula>
    </cfRule>
    <cfRule type="containsText" dxfId="43" priority="52" operator="containsText" text="Yes">
      <formula>NOT(ISERROR(SEARCH("Yes",C12)))</formula>
    </cfRule>
    <cfRule type="notContainsBlanks" dxfId="42" priority="45" stopIfTrue="1">
      <formula>LEN(TRIM(C12))&gt;0</formula>
    </cfRule>
    <cfRule type="containsText" dxfId="41" priority="44" operator="containsText" text="No">
      <formula>NOT(ISERROR(SEARCH("No",C12)))</formula>
    </cfRule>
    <cfRule type="containsText" dxfId="40" priority="43" operator="containsText" text="Yes">
      <formula>NOT(ISERROR(SEARCH("Yes",C12)))</formula>
    </cfRule>
    <cfRule type="notContainsBlanks" dxfId="39" priority="54" stopIfTrue="1">
      <formula>LEN(TRIM(C12))&gt;0</formula>
    </cfRule>
  </conditionalFormatting>
  <conditionalFormatting sqref="C14">
    <cfRule type="notContainsBlanks" dxfId="38" priority="51" stopIfTrue="1">
      <formula>LEN(TRIM(C14))&gt;0</formula>
    </cfRule>
    <cfRule type="containsText" dxfId="37" priority="50" operator="containsText" text="No">
      <formula>NOT(ISERROR(SEARCH("No",C14)))</formula>
    </cfRule>
    <cfRule type="containsText" dxfId="36" priority="49" operator="containsText" text="Yes">
      <formula>NOT(ISERROR(SEARCH("Yes",C14)))</formula>
    </cfRule>
    <cfRule type="notContainsBlanks" dxfId="35" priority="42" stopIfTrue="1">
      <formula>LEN(TRIM(C14))&gt;0</formula>
    </cfRule>
    <cfRule type="containsText" dxfId="34" priority="41" operator="containsText" text="No">
      <formula>NOT(ISERROR(SEARCH("No",C14)))</formula>
    </cfRule>
    <cfRule type="containsText" dxfId="33" priority="40" operator="containsText" text="Yes">
      <formula>NOT(ISERROR(SEARCH("Yes",C14)))</formula>
    </cfRule>
    <cfRule type="notContainsBlanks" dxfId="32" priority="33" stopIfTrue="1">
      <formula>LEN(TRIM(C14))&gt;0</formula>
    </cfRule>
    <cfRule type="containsText" dxfId="31" priority="32" operator="containsText" text="No">
      <formula>NOT(ISERROR(SEARCH("No",C14)))</formula>
    </cfRule>
    <cfRule type="containsText" dxfId="30" priority="31" operator="containsText" text="Yes">
      <formula>NOT(ISERROR(SEARCH("Yes",C14)))</formula>
    </cfRule>
    <cfRule type="containsText" dxfId="29" priority="22" operator="containsText" text="Yes">
      <formula>NOT(ISERROR(SEARCH("Yes",C14)))</formula>
    </cfRule>
    <cfRule type="containsText" dxfId="28" priority="23" operator="containsText" text="No">
      <formula>NOT(ISERROR(SEARCH("No",C14)))</formula>
    </cfRule>
    <cfRule type="notContainsBlanks" dxfId="27" priority="24" stopIfTrue="1">
      <formula>LEN(TRIM(C14))&gt;0</formula>
    </cfRule>
  </conditionalFormatting>
  <conditionalFormatting sqref="C16">
    <cfRule type="containsText" dxfId="26" priority="28" operator="containsText" text="Yes">
      <formula>NOT(ISERROR(SEARCH("Yes",C16)))</formula>
    </cfRule>
    <cfRule type="containsText" dxfId="25" priority="29" operator="containsText" text="No">
      <formula>NOT(ISERROR(SEARCH("No",C16)))</formula>
    </cfRule>
    <cfRule type="notContainsBlanks" dxfId="24" priority="30" stopIfTrue="1">
      <formula>LEN(TRIM(C16))&gt;0</formula>
    </cfRule>
    <cfRule type="containsText" dxfId="23" priority="37" operator="containsText" text="Yes">
      <formula>NOT(ISERROR(SEARCH("Yes",C16)))</formula>
    </cfRule>
    <cfRule type="containsText" dxfId="22" priority="38" operator="containsText" text="No">
      <formula>NOT(ISERROR(SEARCH("No",C16)))</formula>
    </cfRule>
    <cfRule type="notContainsBlanks" dxfId="21" priority="39" stopIfTrue="1">
      <formula>LEN(TRIM(C16))&gt;0</formula>
    </cfRule>
    <cfRule type="containsText" dxfId="20" priority="19" operator="containsText" text="Yes">
      <formula>NOT(ISERROR(SEARCH("Yes",C16)))</formula>
    </cfRule>
    <cfRule type="containsText" dxfId="19" priority="20" operator="containsText" text="No">
      <formula>NOT(ISERROR(SEARCH("No",C16)))</formula>
    </cfRule>
    <cfRule type="notContainsBlanks" dxfId="18" priority="21" stopIfTrue="1">
      <formula>LEN(TRIM(C16))&gt;0</formula>
    </cfRule>
  </conditionalFormatting>
  <conditionalFormatting sqref="C18">
    <cfRule type="notContainsBlanks" dxfId="17" priority="18" stopIfTrue="1">
      <formula>LEN(TRIM(C18))&gt;0</formula>
    </cfRule>
    <cfRule type="containsText" dxfId="16" priority="17" operator="containsText" text="No">
      <formula>NOT(ISERROR(SEARCH("No",C18)))</formula>
    </cfRule>
    <cfRule type="containsText" dxfId="15" priority="16" operator="containsText" text="Yes">
      <formula>NOT(ISERROR(SEARCH("Yes",C18)))</formula>
    </cfRule>
  </conditionalFormatting>
  <conditionalFormatting sqref="C20">
    <cfRule type="notContainsBlanks" dxfId="14" priority="15" stopIfTrue="1">
      <formula>LEN(TRIM(C20))&gt;0</formula>
    </cfRule>
    <cfRule type="containsText" dxfId="13" priority="14" operator="containsText" text="No">
      <formula>NOT(ISERROR(SEARCH("No",C20)))</formula>
    </cfRule>
    <cfRule type="containsText" dxfId="12" priority="13" operator="containsText" text="Yes">
      <formula>NOT(ISERROR(SEARCH("Yes",C20)))</formula>
    </cfRule>
  </conditionalFormatting>
  <conditionalFormatting sqref="C22">
    <cfRule type="notContainsBlanks" dxfId="11" priority="12" stopIfTrue="1">
      <formula>LEN(TRIM(C22))&gt;0</formula>
    </cfRule>
    <cfRule type="containsText" dxfId="10" priority="11" operator="containsText" text="No">
      <formula>NOT(ISERROR(SEARCH("No",C22)))</formula>
    </cfRule>
    <cfRule type="containsText" dxfId="9" priority="10" operator="containsText" text="Yes">
      <formula>NOT(ISERROR(SEARCH("Yes",C22)))</formula>
    </cfRule>
  </conditionalFormatting>
  <conditionalFormatting sqref="C24">
    <cfRule type="notContainsBlanks" dxfId="8" priority="9" stopIfTrue="1">
      <formula>LEN(TRIM(C24))&gt;0</formula>
    </cfRule>
    <cfRule type="containsText" dxfId="7" priority="8" operator="containsText" text="No">
      <formula>NOT(ISERROR(SEARCH("No",C24)))</formula>
    </cfRule>
    <cfRule type="containsText" dxfId="6" priority="7" operator="containsText" text="Yes">
      <formula>NOT(ISERROR(SEARCH("Yes",C24)))</formula>
    </cfRule>
  </conditionalFormatting>
  <conditionalFormatting sqref="C26">
    <cfRule type="notContainsBlanks" dxfId="5" priority="6" stopIfTrue="1">
      <formula>LEN(TRIM(C26))&gt;0</formula>
    </cfRule>
    <cfRule type="containsText" dxfId="4" priority="5" operator="containsText" text="No">
      <formula>NOT(ISERROR(SEARCH("No",C26)))</formula>
    </cfRule>
    <cfRule type="containsText" dxfId="3" priority="4" operator="containsText" text="Yes">
      <formula>NOT(ISERROR(SEARCH("Yes",C26)))</formula>
    </cfRule>
  </conditionalFormatting>
  <conditionalFormatting sqref="C28">
    <cfRule type="containsText" dxfId="2" priority="1" operator="containsText" text="Yes">
      <formula>NOT(ISERROR(SEARCH("Yes",C28)))</formula>
    </cfRule>
    <cfRule type="notContainsBlanks" dxfId="1" priority="3" stopIfTrue="1">
      <formula>LEN(TRIM(C28))&gt;0</formula>
    </cfRule>
    <cfRule type="containsText" dxfId="0" priority="2" operator="containsText" text="No">
      <formula>NOT(ISERROR(SEARCH("No",C28)))</formula>
    </cfRule>
  </conditionalFormatting>
  <dataValidations count="1">
    <dataValidation type="list" allowBlank="1" showInputMessage="1" showErrorMessage="1" sqref="C5 C7 C9 C11 C14 C16 C18 C20 C22 C24 C26 C28" xr:uid="{5E0D2A51-2942-1841-888F-D0D48AAF8241}">
      <formula1>"Yes, No"</formula1>
    </dataValidation>
  </dataValidations>
  <pageMargins left="0.7" right="0.7" top="0.75" bottom="0.75" header="0.3" footer="0.3"/>
  <pageSetup orientation="portrait" horizontalDpi="0" verticalDpi="0"/>
  <headerFooter>
    <oddHeader>&amp;C&amp;"Calibri"&amp;12&amp;K000000 LGE Internal Use Only&amp;1#_x000D_</oddHeader>
  </headerFooter>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6ECF-F3C0-424C-AD4C-E4E952C6C45C}">
  <dimension ref="A1:G57"/>
  <sheetViews>
    <sheetView workbookViewId="0"/>
  </sheetViews>
  <sheetFormatPr defaultColWidth="10.875" defaultRowHeight="15"/>
  <cols>
    <col min="1" max="1" width="14.625" style="1" bestFit="1" customWidth="1"/>
    <col min="2" max="2" width="10.875" style="1"/>
    <col min="3" max="3" width="60" style="1" bestFit="1" customWidth="1"/>
    <col min="4" max="4" width="10.875" style="1"/>
    <col min="5" max="5" width="7.125" style="1" bestFit="1" customWidth="1"/>
    <col min="6" max="6" width="10.875" style="1"/>
    <col min="7" max="7" width="17" style="1" bestFit="1" customWidth="1"/>
    <col min="8" max="8" width="21" style="1" customWidth="1"/>
    <col min="9" max="10" width="10.875" style="1"/>
    <col min="11" max="11" width="12" style="1" customWidth="1"/>
    <col min="12" max="16384" width="10.875" style="1"/>
  </cols>
  <sheetData>
    <row r="1" spans="1:7" ht="15.75">
      <c r="A1" s="1" t="s">
        <v>104</v>
      </c>
      <c r="C1" s="7" t="s">
        <v>23</v>
      </c>
      <c r="E1" s="5" t="s">
        <v>35</v>
      </c>
      <c r="G1" s="5" t="s">
        <v>47</v>
      </c>
    </row>
    <row r="2" spans="1:7">
      <c r="A2" s="1" t="s">
        <v>12</v>
      </c>
      <c r="C2" s="1" t="s">
        <v>26</v>
      </c>
      <c r="E2" s="1" t="s">
        <v>36</v>
      </c>
      <c r="G2" s="1" t="s">
        <v>48</v>
      </c>
    </row>
    <row r="3" spans="1:7">
      <c r="A3" s="1" t="s">
        <v>105</v>
      </c>
      <c r="C3" s="1" t="s">
        <v>24</v>
      </c>
      <c r="E3" s="1" t="s">
        <v>37</v>
      </c>
      <c r="G3" s="1" t="s">
        <v>49</v>
      </c>
    </row>
    <row r="4" spans="1:7">
      <c r="C4" s="1" t="s">
        <v>28</v>
      </c>
      <c r="G4" s="1" t="s">
        <v>50</v>
      </c>
    </row>
    <row r="5" spans="1:7">
      <c r="C5" s="1" t="s">
        <v>44</v>
      </c>
      <c r="G5" s="1" t="s">
        <v>51</v>
      </c>
    </row>
    <row r="6" spans="1:7">
      <c r="C6" s="1" t="s">
        <v>27</v>
      </c>
      <c r="G6" s="1" t="s">
        <v>52</v>
      </c>
    </row>
    <row r="7" spans="1:7">
      <c r="C7" s="1" t="s">
        <v>38</v>
      </c>
      <c r="G7" s="1" t="s">
        <v>53</v>
      </c>
    </row>
    <row r="8" spans="1:7">
      <c r="C8" s="1" t="s">
        <v>25</v>
      </c>
      <c r="G8" s="1" t="s">
        <v>54</v>
      </c>
    </row>
    <row r="9" spans="1:7">
      <c r="C9" s="1" t="s">
        <v>29</v>
      </c>
      <c r="G9" s="1" t="s">
        <v>55</v>
      </c>
    </row>
    <row r="10" spans="1:7">
      <c r="C10" s="1" t="s">
        <v>39</v>
      </c>
      <c r="G10" s="1" t="s">
        <v>56</v>
      </c>
    </row>
    <row r="11" spans="1:7">
      <c r="C11" s="1" t="s">
        <v>40</v>
      </c>
      <c r="G11" s="1" t="s">
        <v>57</v>
      </c>
    </row>
    <row r="12" spans="1:7">
      <c r="C12" s="1" t="s">
        <v>46</v>
      </c>
      <c r="G12" s="1" t="s">
        <v>58</v>
      </c>
    </row>
    <row r="13" spans="1:7">
      <c r="C13" s="1" t="s">
        <v>41</v>
      </c>
      <c r="G13" s="1" t="s">
        <v>59</v>
      </c>
    </row>
    <row r="14" spans="1:7">
      <c r="C14" s="1" t="s">
        <v>32</v>
      </c>
      <c r="G14" s="1" t="s">
        <v>60</v>
      </c>
    </row>
    <row r="15" spans="1:7">
      <c r="C15" s="1" t="s">
        <v>33</v>
      </c>
      <c r="G15" s="1" t="s">
        <v>61</v>
      </c>
    </row>
    <row r="16" spans="1:7">
      <c r="C16" s="1" t="s">
        <v>30</v>
      </c>
      <c r="G16" s="1" t="s">
        <v>62</v>
      </c>
    </row>
    <row r="17" spans="3:7">
      <c r="C17" s="1" t="s">
        <v>45</v>
      </c>
      <c r="G17" s="1" t="s">
        <v>63</v>
      </c>
    </row>
    <row r="18" spans="3:7">
      <c r="C18" s="1" t="s">
        <v>31</v>
      </c>
      <c r="G18" s="1" t="s">
        <v>64</v>
      </c>
    </row>
    <row r="19" spans="3:7">
      <c r="C19" s="1" t="s">
        <v>42</v>
      </c>
      <c r="G19" s="1" t="s">
        <v>65</v>
      </c>
    </row>
    <row r="20" spans="3:7">
      <c r="C20" s="1" t="s">
        <v>43</v>
      </c>
      <c r="G20" s="1" t="s">
        <v>66</v>
      </c>
    </row>
    <row r="21" spans="3:7">
      <c r="C21" s="1" t="s">
        <v>34</v>
      </c>
      <c r="G21" s="1" t="s">
        <v>67</v>
      </c>
    </row>
    <row r="22" spans="3:7">
      <c r="G22" s="1" t="s">
        <v>68</v>
      </c>
    </row>
    <row r="23" spans="3:7">
      <c r="G23" s="1" t="s">
        <v>69</v>
      </c>
    </row>
    <row r="24" spans="3:7">
      <c r="G24" s="1" t="s">
        <v>70</v>
      </c>
    </row>
    <row r="25" spans="3:7">
      <c r="G25" s="1" t="s">
        <v>71</v>
      </c>
    </row>
    <row r="26" spans="3:7">
      <c r="G26" s="1" t="s">
        <v>72</v>
      </c>
    </row>
    <row r="27" spans="3:7">
      <c r="G27" s="1" t="s">
        <v>73</v>
      </c>
    </row>
    <row r="28" spans="3:7">
      <c r="G28" s="1" t="s">
        <v>74</v>
      </c>
    </row>
    <row r="29" spans="3:7">
      <c r="G29" s="1" t="s">
        <v>75</v>
      </c>
    </row>
    <row r="30" spans="3:7">
      <c r="G30" s="1" t="s">
        <v>76</v>
      </c>
    </row>
    <row r="31" spans="3:7">
      <c r="G31" s="1" t="s">
        <v>77</v>
      </c>
    </row>
    <row r="32" spans="3:7">
      <c r="G32" s="1" t="s">
        <v>78</v>
      </c>
    </row>
    <row r="33" spans="7:7">
      <c r="G33" s="1" t="s">
        <v>79</v>
      </c>
    </row>
    <row r="34" spans="7:7">
      <c r="G34" s="1" t="s">
        <v>80</v>
      </c>
    </row>
    <row r="35" spans="7:7">
      <c r="G35" s="1" t="s">
        <v>81</v>
      </c>
    </row>
    <row r="36" spans="7:7">
      <c r="G36" s="1" t="s">
        <v>82</v>
      </c>
    </row>
    <row r="37" spans="7:7">
      <c r="G37" s="1" t="s">
        <v>83</v>
      </c>
    </row>
    <row r="38" spans="7:7">
      <c r="G38" s="1" t="s">
        <v>84</v>
      </c>
    </row>
    <row r="39" spans="7:7">
      <c r="G39" s="1" t="s">
        <v>85</v>
      </c>
    </row>
    <row r="40" spans="7:7">
      <c r="G40" s="1" t="s">
        <v>86</v>
      </c>
    </row>
    <row r="41" spans="7:7">
      <c r="G41" s="1" t="s">
        <v>87</v>
      </c>
    </row>
    <row r="42" spans="7:7">
      <c r="G42" s="1" t="s">
        <v>88</v>
      </c>
    </row>
    <row r="43" spans="7:7">
      <c r="G43" s="1" t="s">
        <v>89</v>
      </c>
    </row>
    <row r="44" spans="7:7">
      <c r="G44" s="1" t="s">
        <v>90</v>
      </c>
    </row>
    <row r="45" spans="7:7">
      <c r="G45" s="1" t="s">
        <v>91</v>
      </c>
    </row>
    <row r="46" spans="7:7">
      <c r="G46" s="1" t="s">
        <v>92</v>
      </c>
    </row>
    <row r="47" spans="7:7">
      <c r="G47" s="1" t="s">
        <v>93</v>
      </c>
    </row>
    <row r="48" spans="7:7">
      <c r="G48" s="1" t="s">
        <v>94</v>
      </c>
    </row>
    <row r="49" spans="7:7">
      <c r="G49" s="1" t="s">
        <v>95</v>
      </c>
    </row>
    <row r="50" spans="7:7">
      <c r="G50" s="1" t="s">
        <v>96</v>
      </c>
    </row>
    <row r="51" spans="7:7">
      <c r="G51" s="1" t="s">
        <v>97</v>
      </c>
    </row>
    <row r="52" spans="7:7">
      <c r="G52" s="1" t="s">
        <v>98</v>
      </c>
    </row>
    <row r="53" spans="7:7">
      <c r="G53" s="1" t="s">
        <v>99</v>
      </c>
    </row>
    <row r="54" spans="7:7">
      <c r="G54" s="1" t="s">
        <v>100</v>
      </c>
    </row>
    <row r="55" spans="7:7">
      <c r="G55" s="1" t="s">
        <v>101</v>
      </c>
    </row>
    <row r="56" spans="7:7">
      <c r="G56" s="1" t="s">
        <v>102</v>
      </c>
    </row>
    <row r="57" spans="7:7">
      <c r="G57" s="1" t="s">
        <v>103</v>
      </c>
    </row>
  </sheetData>
  <pageMargins left="0.7" right="0.7" top="0.75" bottom="0.75" header="0.3" footer="0.3"/>
  <headerFooter>
    <oddHeader>&amp;C&amp;"Calibri"&amp;12&amp;K000000 LGE Internal Use Only&amp;1#_x000D_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13</vt:i4>
      </vt:variant>
    </vt:vector>
  </HeadingPairs>
  <TitlesOfParts>
    <vt:vector size="13" baseType="lpstr">
      <vt:lpstr>1. Introduction</vt:lpstr>
      <vt:lpstr>2. RFI Rules of Engagement</vt:lpstr>
      <vt:lpstr>3. RFI Terms &amp; Conditions</vt:lpstr>
      <vt:lpstr>4. General Company Information</vt:lpstr>
      <vt:lpstr>5. Financial Info</vt:lpstr>
      <vt:lpstr>6. Assembly &amp; Supply Chain</vt:lpstr>
      <vt:lpstr>7. OSS-Onsite Service &amp; Support</vt:lpstr>
      <vt:lpstr>8a. Headcount Summary</vt:lpstr>
      <vt:lpstr>8b. Project Management Process</vt:lpstr>
      <vt:lpstr>9a. Technical Capabilties</vt:lpstr>
      <vt:lpstr>9b. Technical Roadmap</vt:lpstr>
      <vt:lpstr>10. Commercial Expectations</vt:lpstr>
      <vt:lpstr>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엄정은/연구원/PRI DA TAM</cp:lastModifiedBy>
  <cp:lastPrinted>2018-09-13T16:04:18Z</cp:lastPrinted>
  <dcterms:created xsi:type="dcterms:W3CDTF">2018-09-10T17:18:27Z</dcterms:created>
  <dcterms:modified xsi:type="dcterms:W3CDTF">2025-04-28T09:20:23Z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c6ed9fc-fefc-4a0c-a6d6-10cf236c0d4f_Enabled">
    <vt:lpwstr>true</vt:lpwstr>
  </property>
  <property fmtid="{D5CDD505-2E9C-101B-9397-08002B2CF9AE}" pid="3" name="MSIP_Label_cc6ed9fc-fefc-4a0c-a6d6-10cf236c0d4f_SetDate">
    <vt:lpwstr>2025-04-21T07:00:17Z</vt:lpwstr>
  </property>
  <property fmtid="{D5CDD505-2E9C-101B-9397-08002B2CF9AE}" pid="4" name="MSIP_Label_cc6ed9fc-fefc-4a0c-a6d6-10cf236c0d4f_Method">
    <vt:lpwstr>Standard</vt:lpwstr>
  </property>
  <property fmtid="{D5CDD505-2E9C-101B-9397-08002B2CF9AE}" pid="5" name="MSIP_Label_cc6ed9fc-fefc-4a0c-a6d6-10cf236c0d4f_Name">
    <vt:lpwstr>Internal use only</vt:lpwstr>
  </property>
  <property fmtid="{D5CDD505-2E9C-101B-9397-08002B2CF9AE}" pid="6" name="MSIP_Label_cc6ed9fc-fefc-4a0c-a6d6-10cf236c0d4f_SiteId">
    <vt:lpwstr>5069cde4-642a-45c0-8094-d0c2dec10be3</vt:lpwstr>
  </property>
  <property fmtid="{D5CDD505-2E9C-101B-9397-08002B2CF9AE}" pid="7" name="MSIP_Label_cc6ed9fc-fefc-4a0c-a6d6-10cf236c0d4f_ActionId">
    <vt:lpwstr>a33f4c7e-b581-47c6-84cc-342394d142ac</vt:lpwstr>
  </property>
  <property fmtid="{D5CDD505-2E9C-101B-9397-08002B2CF9AE}" pid="8" name="MSIP_Label_cc6ed9fc-fefc-4a0c-a6d6-10cf236c0d4f_ContentBits">
    <vt:lpwstr>1</vt:lpwstr>
  </property>
</Properties>
</file>