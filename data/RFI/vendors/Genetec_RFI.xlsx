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gt8\Mkt General\John Kia\JOHN\RFQs\RFI APPLE\"/>
    </mc:Choice>
  </mc:AlternateContent>
  <xr:revisionPtr revIDLastSave="0" documentId="13_ncr:1_{43B3BBE7-7ABE-41F8-A9BA-A934910359B4}"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108" yWindow="-108" windowWidth="23256" windowHeight="12456" firstSheet="3" activeTab="3"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<sst xmlns="http://schemas.openxmlformats.org/spreadsheetml/2006/main" count="769" uniqueCount="495">
  <si>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</si>
  <si>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</si>
  <si>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</si>
  <si>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</si>
  <si>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</si>
  <si>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</si>
  <si>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</si>
  <si>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</si>
  <si>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July 7th, 2025 by 5:00 PST.</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</si>
  <si>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</si>
  <si>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</si>
  <si>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</si>
  <si>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Laxman Subramanian
Global Sourcing &amp; Supply Management
+1-213-706-5172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</si>
  <si>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</si>
  <si>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</si>
  <si>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</si>
  <si>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</si>
  <si>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</si>
  <si>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</si>
  <si>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 xml:space="preserve">Monday, July 7th, 2025 by 5:00 PST.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</si>
  <si>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</si>
  <si>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</si>
  <si>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</si>
  <si>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</si>
  <si>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</si>
  <si>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</si>
  <si>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</si>
  <si>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</si>
  <si>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</si>
  <si>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</si>
  <si>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</si>
  <si>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</si>
  <si>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</si>
  <si>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</si>
  <si>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</si>
  <si>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</si>
  <si>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</si>
  <si>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</si>
  <si>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</si>
  <si>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</si>
  <si>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</si>
  <si>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</si>
  <si>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</si>
  <si>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</si>
  <si>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</si>
  <si>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Yes</t>
  </si>
  <si>
    <t>Please fill in all fields to complete this section. If there are supplemental compnay overview slides, please attach to RFI response.</t>
  </si>
  <si>
    <t xml:space="preserve">RFI Submission Date </t>
  </si>
  <si>
    <t>7th July 2025</t>
  </si>
  <si>
    <t>Official Legal Name</t>
  </si>
  <si>
    <t>Genetec Technology Berhad</t>
  </si>
  <si>
    <t>Parent Company Official Name</t>
  </si>
  <si>
    <t>HQ Location</t>
  </si>
  <si>
    <t>Malaysia</t>
  </si>
  <si>
    <t>Website</t>
  </si>
  <si>
    <t>www.genetec.net</t>
  </si>
  <si>
    <t>Public/Private</t>
  </si>
  <si>
    <t>Public</t>
  </si>
  <si>
    <t>Ticker Symbol (if Public)</t>
  </si>
  <si>
    <t>0104.KLSE</t>
  </si>
  <si>
    <t>Type</t>
  </si>
  <si>
    <t xml:space="preserve">Main Market </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</si>
  <si>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</si>
  <si>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</si>
  <si>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</si>
  <si>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</si>
  <si>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</si>
  <si>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</si>
  <si>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</si>
  <si>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</si>
  <si>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</si>
  <si>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</si>
  <si>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Chin, Kem Weng</t>
  </si>
  <si>
    <t>Managing Director</t>
  </si>
  <si>
    <t>kwchin@genetec.net</t>
  </si>
  <si>
    <t>+603-8926 6388, ext: 116</t>
  </si>
  <si>
    <t>Commercial DRI / Apple Executive Contact</t>
  </si>
  <si>
    <t>Tan, Chong Kuan</t>
  </si>
  <si>
    <t xml:space="preserve">Vice President </t>
  </si>
  <si>
    <t>cktan@genetec.net</t>
  </si>
  <si>
    <t>+603-8926 6388, ext: 112</t>
  </si>
  <si>
    <t>Operations Leader</t>
  </si>
  <si>
    <t>Sow, Ewe Lee</t>
  </si>
  <si>
    <t>Executive Director / COO</t>
  </si>
  <si>
    <t>elsow@genetec.net</t>
  </si>
  <si>
    <t>+603-8926 6388, ext: 118</t>
  </si>
  <si>
    <t xml:space="preserve">Finance </t>
  </si>
  <si>
    <t>Tan, Kon Hoan</t>
  </si>
  <si>
    <t>Chief Financial Officer</t>
  </si>
  <si>
    <t>khtan@genetec.net</t>
  </si>
  <si>
    <t>+603-8926 6388, ext: 122</t>
  </si>
  <si>
    <t>Engineering</t>
  </si>
  <si>
    <t>Ng, Ee Chee</t>
  </si>
  <si>
    <t>General Manager</t>
  </si>
  <si>
    <t>ec.ng@genetec.net</t>
  </si>
  <si>
    <t>+603-8922 2236</t>
  </si>
  <si>
    <t>Supply chain</t>
  </si>
  <si>
    <t>Goh, Yik Yong</t>
  </si>
  <si>
    <t>Senior Vice President</t>
  </si>
  <si>
    <t>yygoh@genetec.net</t>
  </si>
  <si>
    <t>+603-8922 2236, ext: 128</t>
  </si>
  <si>
    <t>Project Management</t>
  </si>
  <si>
    <t>Chua, Kean Poh</t>
  </si>
  <si>
    <t>keanpoh.chua@genetec.net</t>
  </si>
  <si>
    <t>+603-8926 6388, ext: 120</t>
  </si>
  <si>
    <t>Production</t>
  </si>
  <si>
    <t>If any other, please add …</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</si>
  <si>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</si>
  <si>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</si>
  <si>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</si>
  <si>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</si>
  <si>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</si>
  <si>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</si>
  <si>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</si>
  <si>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</si>
  <si>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</si>
  <si>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</si>
  <si>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</si>
  <si>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</si>
  <si>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</si>
  <si>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</si>
  <si>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</si>
  <si>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</si>
  <si>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</si>
  <si>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</si>
  <si>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</si>
  <si>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</si>
  <si>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</si>
  <si>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Genetec Technology Berhad EPIC Factory</t>
  </si>
  <si>
    <t>Genetec Technology Berhad Selaman</t>
  </si>
  <si>
    <t xml:space="preserve">City and Country </t>
  </si>
  <si>
    <t>Selangor, Malaysia</t>
  </si>
  <si>
    <t>Full Address</t>
  </si>
  <si>
    <t>Lot 7, Jalan P10/11, Seksyen 10, Kawasan Perindustrian Miel, 43650, Bandar Baru Bangi, Selangor, Malaysia</t>
  </si>
  <si>
    <t>Lot 6, Jalan P10/10, Kawasan Perusahaan Miel, 43650, Bandar Baru Bangi, Selangor, Malaysia</t>
  </si>
  <si>
    <t>No. 59, Jalan P/21 Selaman, Industrial Park, Seksyen 10, 43650, Bandar Baru Bangi, Selangor, Malaysia</t>
  </si>
  <si>
    <t>Current Apple Programs Supported
 (List Program Name or N/A)</t>
  </si>
  <si>
    <t>N/A</t>
  </si>
  <si>
    <t>EQ Type manufactured in above location for Apple
(Dispense, Pick and place, Assembly, Die Attach, Wire Bond, Test, etc)</t>
  </si>
  <si>
    <t>EQ Type manufactured in above location for other customers
(Dispense, Pick and place, Assembly, Die Attach, Wire Bond, Test, etc)</t>
  </si>
  <si>
    <t>Robotic, Vision, Heatstake, Laser, Conveyance, Press, Plasma, Dispense &amp; Cure, Tester, Welding, Screw driver &amp; Feeder, Assembly</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</si>
  <si>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</si>
  <si>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</si>
  <si>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</si>
  <si>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</si>
  <si>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</si>
  <si>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</si>
  <si>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No</t>
  </si>
  <si>
    <t>Enviroment &amp; Supply Supply Chain Innovation (ESCI) Facility Readiness Assessment (FRA) Approved?</t>
  </si>
  <si>
    <t>Customer Base served from this location
(City and Country of the customer)</t>
  </si>
  <si>
    <t>United States, Mexico, Germany, Poland, United Kingdom, Brazil, China, Thailand, Malaysia</t>
  </si>
  <si>
    <t>Are there any Global expansion plans in the future for Manufacturing? Please desrcibe in detail.</t>
  </si>
  <si>
    <t>We anticipate that expansion will be strategic and guided by customer demand. In the case of Apple-related projects, growth is expected to occur incrementally and be driven by specific project requirements. This may involve localized assembly, technical support, or joint venture-based models. Genetec will assess each opportunity based on the overall business case, project scope, and regional dynamics before making a final decision and implementation plan.</t>
  </si>
  <si>
    <t>What are all the key subcomponent vendors used and where are they located (city, country)? Please provide rough volume &amp; spend with key subcomponent vendors as well.</t>
  </si>
  <si>
    <t xml:space="preserve">They are mostly based in Malaysia, Europe, and North America. </t>
  </si>
  <si>
    <t>Any previous issues faced in shipping to certain countries?</t>
  </si>
  <si>
    <t>Yes. Examples include port congestion and container shortages at Malaysian ports during COVID-19, global supply chain disruptions such as the Red Sea crisis spillover, and climate-related bottlenecks like the Panama Canal drought.</t>
  </si>
  <si>
    <t>What are the key supply chain tactics being followed?</t>
  </si>
  <si>
    <t>Our supply chain strategy includes working with multiple suppliers to reduce dependency and maintaining buffer stock for critical items. To keep inventory lean without risking delays, we usually partner with vendors who can deliver on short notice. Additionally, we are using the ERP platform to centralize tracking of orders, stock levels, and supply chain activity. Lastly, building strong, long term supplier relationships is a key focus, alongside regular risk reviews and contingency planning.</t>
  </si>
  <si>
    <t>Are there any inhouse machining / job shop capabilities? If so, please explain in detail in terms of machine qty available (CNC, Mill, Lathe, EDM Weld, etc.), volume produced, &amp; available capacity.</t>
  </si>
  <si>
    <t>77x CNC Milling, 29x Milling, 17x CNC Turning, 7x Turning, 6x CNC Wire Cut, 3x EDM, 11x Precision Surface Grinding, 2x Laser Marking, 3x Laser Cutting, 3x Sheet Metal Bending, 10x Welding, 1x Painting (Powder Coat)</t>
  </si>
  <si>
    <t>What are the incoming (IQC), in process (IPQC), and outgoing (OQC) quality control systems and/or processes? Please desrcibe in detail.</t>
  </si>
  <si>
    <t>We follow a clear quality control process at every stage to ensure our products meet the required standards. For incoming inspection (IQC), we check all materials and parts when they arrive. This includes verifying their dimensions and reviewing material certificates if needed. During in-process inspection (IPQC), our team performs checks at key stages of production, such as measuring dimensions, checking weld quality, and carrying out visual inspections to detect any issues early. Before any product leaves our facility, we carry out a final outgoing inspection (OQC) to confirm that everything is in order. This includes checking dimensions, surface finish, labeling, and packaging. All inspection results are documented for traceability and to support continuous improvement.</t>
  </si>
  <si>
    <t>Are there ERP system and processes, including any automation or integration functionality across EQ manufacturing supply chain? Please desrcibe in detail.</t>
  </si>
  <si>
    <t>Yes, we have implemented an ERP system to support and manage our equipment manufacturing supply chain. Our ERP platform plays a vital role in various areas, particularly in warehousing and inventory control. It enables us to keep track of stock level in real time, traceability, seamless flow of information from PO to receiving, and monitoring performance &amp; logistic such as the target lead time.</t>
  </si>
  <si>
    <t>What are the supply chain resiliency plans to ensure no distruption in supply?</t>
  </si>
  <si>
    <t>To ensure supply chain resiliency and minimize the risk of disruption, we keep a certain level of buffer stock for key fabrication materials like steel and aluminum. Besides, we also work closely with our customers on forecasting so that we can share demand visibility with our vendors in advance. In addition, we source from multiple suppliers whenever possible to avoid over-reliance on a single vendor. These practices help us stay prepared and maintain a steady flow of materials for production.</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</si>
  <si>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</si>
  <si>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</si>
  <si>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</si>
  <si>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</si>
  <si>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</si>
  <si>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</si>
  <si>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</si>
  <si>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</si>
  <si>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</si>
  <si>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</si>
  <si>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Asia Pacific</t>
  </si>
  <si>
    <t>North America</t>
  </si>
  <si>
    <t>Europe</t>
  </si>
  <si>
    <t>South America</t>
  </si>
  <si>
    <t>Total Field Service Engineers - L1 (HC)</t>
  </si>
  <si>
    <t>Total Field Service Engineers - L2 (HC)</t>
  </si>
  <si>
    <t>Total Field Service Engineers - L3 (HC)</t>
  </si>
  <si>
    <t>Support Capabilities in Region - Total # of Units (QTY)</t>
  </si>
  <si>
    <t>Hiring Difficulty in Region (High/Medium/Low)</t>
  </si>
  <si>
    <t>Low</t>
  </si>
  <si>
    <t>High</t>
  </si>
  <si>
    <t>Dispatch Difficulty from Region (High/Medium/Low)</t>
  </si>
  <si>
    <t>Regions Served (Countries &amp; QTY)</t>
  </si>
  <si>
    <t>China, Thailand, Malaysia</t>
  </si>
  <si>
    <t>United States, Mexico</t>
  </si>
  <si>
    <t>Poland, Germany, United Kingdom</t>
  </si>
  <si>
    <t>Brazil</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</si>
  <si>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</si>
  <si>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</si>
  <si>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</si>
  <si>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</si>
  <si>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</si>
  <si>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</si>
  <si>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</si>
  <si>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</si>
  <si>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</si>
  <si>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</si>
  <si>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</si>
  <si>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</si>
  <si>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</si>
  <si>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</si>
  <si>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</si>
  <si>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</si>
  <si>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</si>
  <si>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</si>
  <si>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</si>
  <si>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</si>
  <si>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</si>
  <si>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</si>
  <si>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</si>
  <si>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</si>
  <si>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</si>
  <si>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</si>
  <si>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</si>
  <si>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</si>
  <si>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</si>
  <si>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</si>
  <si>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</si>
  <si>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</si>
  <si>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</si>
  <si>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In-house Assembly Team</t>
  </si>
  <si>
    <t>TOTAL</t>
  </si>
  <si>
    <t>Phase 1: Concept Phase</t>
  </si>
  <si>
    <r>
      <t>Objective:</t>
    </r>
    <r>
      <rPr>
        <sz val="10"/>
        <color theme="1"/>
        <rFont val="Verdana"/>
        <family val="2"/>
      </rPr>
      <t xml:space="preserve"> Capturing idea, align on expectation and opportunity, and define initial high-level scope of the project.</t>
    </r>
  </si>
  <si>
    <r>
      <t>Processes:</t>
    </r>
    <r>
      <rPr>
        <sz val="10"/>
        <color theme="1"/>
        <rFont val="Verdana"/>
        <family val="2"/>
      </rPr>
      <t xml:space="preserve"> Project Intake, engagement with key stakeholders, high-level scope identification.</t>
    </r>
  </si>
  <si>
    <t>1) Process Intake</t>
  </si>
  <si>
    <t>Review on request for quotation (RFQ) document package.</t>
  </si>
  <si>
    <t>Preliminary review and screening such as technical fit and capacity readiness.</t>
  </si>
  <si>
    <t>2) Engagement with key stakeholders</t>
  </si>
  <si>
    <t>Genetec and Apple's stakeholder identification.</t>
  </si>
  <si>
    <t>Initial alignment meeting on project expecation such as machine specification, project schedule, and scope delineation.</t>
  </si>
  <si>
    <t>Documentation of initial queries, clarification points, and minutes of meeting.</t>
  </si>
  <si>
    <t>3) High-level scope identification</t>
  </si>
  <si>
    <t>Defining objectives, constraints, and assumptions.</t>
  </si>
  <si>
    <t>Evaluation on potential blockers for concepts or items.</t>
  </si>
  <si>
    <t>Phase 2: Feasibility Phase</t>
  </si>
  <si>
    <r>
      <t>Objective:</t>
    </r>
    <r>
      <rPr>
        <sz val="10"/>
        <color theme="1"/>
        <rFont val="Verdana"/>
        <family val="2"/>
      </rPr>
      <t xml:space="preserve"> Assessing technical, commercial, and operational feasibility. Development of solution and project baseline.</t>
    </r>
  </si>
  <si>
    <r>
      <t>Processes:</t>
    </r>
    <r>
      <rPr>
        <sz val="10"/>
        <color theme="1"/>
        <rFont val="Verdana"/>
        <family val="2"/>
      </rPr>
      <t xml:space="preserve"> Cross-functional feasibility study, preliminary layout concept, risk assessment.</t>
    </r>
  </si>
  <si>
    <t>1) Cross-department feasibility input</t>
  </si>
  <si>
    <t>Involvement of key engineering disciplines (Mechanical, Electrical, Software).</t>
  </si>
  <si>
    <t>Estimation of capacity, takt time, and automation level (To be inline with RFQ specification).</t>
  </si>
  <si>
    <t>Sourcing and cost estimates for key components or sub-assemblies.</t>
  </si>
  <si>
    <t>2) Preliminary layout concept</t>
  </si>
  <si>
    <t>High-level 2D/3D layout proposal to define equipment footprint, flow, and cycle time.</t>
  </si>
  <si>
    <t>Space planning expectation and utility considerations at Apple's facility.</t>
  </si>
  <si>
    <t>Alignment with Apple's facility standards or local site requirements.</t>
  </si>
  <si>
    <t>3) Risk assessment</t>
  </si>
  <si>
    <t>Identification of technical, procurement, schedule, and integration risks.</t>
  </si>
  <si>
    <t>Initial design FMEA or concept risk checklist.</t>
  </si>
  <si>
    <t>Early mitigation strategy and contingency considerations for high-priority risks.</t>
  </si>
  <si>
    <t>Phase 3: Execution Phase</t>
  </si>
  <si>
    <r>
      <t>Objective:</t>
    </r>
    <r>
      <rPr>
        <sz val="10"/>
        <color theme="1"/>
        <rFont val="Verdana"/>
        <family val="2"/>
      </rPr>
      <t xml:space="preserve"> Build, integrate, and deliver system according to designated scope, cost, and schedule.</t>
    </r>
  </si>
  <si>
    <r>
      <t>Processes:</t>
    </r>
    <r>
      <rPr>
        <sz val="10"/>
        <color theme="1"/>
        <rFont val="Verdana"/>
        <family val="2"/>
      </rPr>
      <t xml:space="preserve"> Detailed engineering design, procurement &amp; supply chain, project build, assembly &amp; integration, project &amp;  change request management, and quality management.</t>
    </r>
  </si>
  <si>
    <t>1) Detailed engineering design</t>
  </si>
  <si>
    <t>Finalization of mechanical design, control architecture &amp; planning, and software logic.</t>
  </si>
  <si>
    <t>Release of production drawings and specifications for fabrication.</t>
  </si>
  <si>
    <t>BOM verification and design validation (internal reviews, Apple approvals).</t>
  </si>
  <si>
    <t>2) Procurement and supply chain</t>
  </si>
  <si>
    <t>Identification and ordering of long-lead items.</t>
  </si>
  <si>
    <t>Material readiness planning and supplier follow-up.</t>
  </si>
  <si>
    <t>Tracking and traceability through the ERP system.</t>
  </si>
  <si>
    <t>3) Build, assembly, and integration</t>
  </si>
  <si>
    <t>In-house fabrication and assembly of modules or stations.</t>
  </si>
  <si>
    <t>Integration of third-party subsystems/modules (vision systems, robotics, testers).</t>
  </si>
  <si>
    <t>Readiness for internal Factory Acceptance Test (FAT).</t>
  </si>
  <si>
    <t>4) Project management and change management</t>
  </si>
  <si>
    <t>Project timeline monitoring, milestone tracking, and regular team reviews.</t>
  </si>
  <si>
    <t>Completing checklist of the Apple's Build Milestone Schedule (BMS).</t>
  </si>
  <si>
    <t>Handling of Engineering Change Requests (ECR).</t>
  </si>
  <si>
    <t>Coordination of internal and Apple team communication flow.</t>
  </si>
  <si>
    <t>5) Quality management</t>
  </si>
  <si>
    <t>Implementation of in-process checks, final QC, and verification on specification.</t>
  </si>
  <si>
    <t>FAT execution, deviation handling, and issue log tracking.</t>
  </si>
  <si>
    <t>Preparation of validation documentation (FAT reports, compliance records).</t>
  </si>
  <si>
    <t>Phase 4: Ramp/Bring-Up Phase</t>
  </si>
  <si>
    <r>
      <t>Objective:</t>
    </r>
    <r>
      <rPr>
        <sz val="10"/>
        <color theme="1"/>
        <rFont val="Verdana"/>
        <family val="2"/>
      </rPr>
      <t xml:space="preserve"> Commission of the system, support customer ramp-up.</t>
    </r>
  </si>
  <si>
    <r>
      <t>Processes:</t>
    </r>
    <r>
      <rPr>
        <sz val="10"/>
        <color theme="1"/>
        <rFont val="Verdana"/>
        <family val="2"/>
      </rPr>
      <t xml:space="preserve"> On-site installation &amp; commissioning, training &amp; documentation, support handover.</t>
    </r>
  </si>
  <si>
    <t>1) On-site installation &amp; commissioning</t>
  </si>
  <si>
    <t>Packing, shipping, equipment positioning &amp; setup, installation &amp; connection of modules/stations, commissioning, and production support at customer site.</t>
  </si>
  <si>
    <t>Debug, calibration, and cycle time validation.</t>
  </si>
  <si>
    <t>Execution of Site Acceptance Test (SAT) and buyoff protocols.</t>
  </si>
  <si>
    <t>2) Training &amp; documentation</t>
  </si>
  <si>
    <t>On-site training for Apple's operators, maintenance, and engineering teams.</t>
  </si>
  <si>
    <t>Delivery of documentation: user manuals, maintenance plans, spare parts list.</t>
  </si>
  <si>
    <t>3) Support handover</t>
  </si>
  <si>
    <t>Transition to service or customer support team for post-installation assistance.</t>
  </si>
  <si>
    <t>Monitoring and feedback loop during ramp-up (resident engineer support, ongoing issue/improvement list).</t>
  </si>
  <si>
    <t>Project close-out review and lessons learned documentation.</t>
  </si>
  <si>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</si>
  <si>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</si>
  <si>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</si>
  <si>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</si>
  <si>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</si>
  <si>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</si>
  <si>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</si>
  <si>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</si>
  <si>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</si>
  <si>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</si>
  <si>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</si>
  <si>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</si>
  <si>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</si>
  <si>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</si>
  <si>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</si>
  <si>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</si>
  <si>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</si>
  <si>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</si>
  <si>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</si>
  <si>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</si>
  <si>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</si>
  <si>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</si>
  <si>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</si>
  <si>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</si>
  <si>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</si>
  <si>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</si>
  <si>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</si>
  <si>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</si>
  <si>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</si>
  <si>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Outsourced?</t>
  </si>
  <si>
    <t>Core Competencies</t>
  </si>
  <si>
    <t>Dedicated Resourcing (HC)
(PM, Engineering, Production, OSS, etc.)</t>
  </si>
  <si>
    <t>Equipment Type &amp; Key Technologies</t>
  </si>
  <si>
    <t>Single module, manual jigs &amp; fixtures, semi-auto stations, auto-station, full assembly lines.</t>
  </si>
  <si>
    <t>Single module, semi-auto stations, auto-station, full assembly lines.</t>
  </si>
  <si>
    <t>Key Components &amp; Average Annual Spend ($M)
(Prefernce for off the shelf components)</t>
  </si>
  <si>
    <t>Siemens, $1.493M
Beckhoff, $0.979M
Allen Bradley, $0.479M</t>
  </si>
  <si>
    <t>Fabrication, $4.389M</t>
  </si>
  <si>
    <t>Feinmetall, $4.0M</t>
  </si>
  <si>
    <t>Viscotec, $0.5M</t>
  </si>
  <si>
    <t>Coherent, $0.172M</t>
  </si>
  <si>
    <t>Plasmatreat, $0.168M</t>
  </si>
  <si>
    <t>Staubli, $0.189M
Yaskawa, $0.119M
Schunk, $0.089M
THK, $0.051M
IAI, $0.014M</t>
  </si>
  <si>
    <t>Promess, $0.860M
Weber, $0.368M
Deprag, $0.339M
Kistler, $0.114M</t>
  </si>
  <si>
    <t>Keyence, $1.026M
Cognex, $0.284M</t>
  </si>
  <si>
    <t xml:space="preserve">Typcical Development &amp; Equipment Lead Times
(RFP to DFM, KO to ETA, ETA to SAT, OEE, etc.) </t>
  </si>
  <si>
    <t>4-52 Weeks</t>
  </si>
  <si>
    <t>Competitive Advantage(s)</t>
  </si>
  <si>
    <t>With 28 years of experience across different industries, we offer proven expertise in equipment design and integration. Based in a low-cost country with strong engineering talent, we deliver high-quality, cost-effective solutions with competitive lead times.</t>
  </si>
  <si>
    <t>Applicable Project Experience
(Year, Machine Description &amp; QTY, Spend, Timeline)</t>
  </si>
  <si>
    <t>28 years in HDD industry,
19 years in Automotive industry,
17 years in Healthcare &amp; Home Appliances industry</t>
  </si>
  <si>
    <t>Client / Reference</t>
  </si>
  <si>
    <t>Client / Reference Email</t>
  </si>
  <si>
    <t>Applicable Apple Experience
(Year, Machine Description &amp; QTY, Spend, Timeline)</t>
  </si>
  <si>
    <t>Apple DRI Name</t>
  </si>
  <si>
    <t>Apple DRI Email</t>
  </si>
  <si>
    <t xml:space="preserve">Phase 1: Industry Entry </t>
  </si>
  <si>
    <r>
      <t>Objective:</t>
    </r>
    <r>
      <rPr>
        <sz val="10"/>
        <color theme="1"/>
        <rFont val="Verdana"/>
        <family val="2"/>
      </rPr>
      <t xml:space="preserve"> Establish a foothold in HDD manufacturing by delivering modular, tabletop automation for early HGA workflows.</t>
    </r>
  </si>
  <si>
    <r>
      <t>Genetec’s Role:</t>
    </r>
    <r>
      <rPr>
        <sz val="10"/>
        <color theme="1"/>
        <rFont val="Verdana"/>
        <family val="2"/>
      </rPr>
      <t xml:space="preserve"> Introduce bench‑top automation for Head Gimbal Assembly (HGA) processes, including metrology and flex-circuit handling.</t>
    </r>
  </si>
  <si>
    <t>Key Technologies:</t>
  </si>
  <si>
    <t>1) Manual and semi‑automatic jigs &amp; fixtures</t>
  </si>
  <si>
    <t>2) Semi‑automated HGA handler</t>
  </si>
  <si>
    <t>3) Semi‑automated HGA gram‑load measurement</t>
  </si>
  <si>
    <t>4) Semi‑automated flex‑circuit cut &amp; bend system</t>
  </si>
  <si>
    <t xml:space="preserve">Phase 2: Precision Enhancement </t>
  </si>
  <si>
    <r>
      <t>Objective:</t>
    </r>
    <r>
      <rPr>
        <sz val="10"/>
        <color theme="1"/>
        <rFont val="Verdana"/>
        <family val="2"/>
      </rPr>
      <t xml:space="preserve"> Improve throughput and precision by developing stand‑alone semi‑automatic modules suitable for Class 100 environments.</t>
    </r>
  </si>
  <si>
    <r>
      <t>Genetec’s Role:</t>
    </r>
    <r>
      <rPr>
        <sz val="10"/>
        <color theme="1"/>
        <rFont val="Verdana"/>
        <family val="2"/>
      </rPr>
      <t xml:space="preserve"> Upgrade standalone HGA stations to achieve higher units per hour (UPH) without sacrificing precision.</t>
    </r>
  </si>
  <si>
    <t xml:space="preserve">1) Standalone semi‑automated HGA handler </t>
  </si>
  <si>
    <t xml:space="preserve">2) Standalone gram‑load measurement system </t>
  </si>
  <si>
    <t>3) Standalone static‑attitude measurement system</t>
  </si>
  <si>
    <t>4) Standalone flex‑circuit cut &amp; bend cell</t>
  </si>
  <si>
    <t xml:space="preserve">Phase 3: Component Portfolio Expansion </t>
  </si>
  <si>
    <r>
      <t>Objective:</t>
    </r>
    <r>
      <rPr>
        <sz val="10"/>
        <color theme="1"/>
        <rFont val="Verdana"/>
        <family val="2"/>
      </rPr>
      <t xml:space="preserve"> Broaden service coverage across critical HDD sub‑assemblies: HSA, Media (Disk), and full Hard Drive Assembly (HDA).</t>
    </r>
  </si>
  <si>
    <r>
      <t xml:space="preserve">Genetec’s Role: </t>
    </r>
    <r>
      <rPr>
        <sz val="10"/>
        <color theme="1"/>
        <rFont val="Verdana"/>
        <family val="2"/>
      </rPr>
      <t>Deliver specialized modules for diverse HDD process steps</t>
    </r>
  </si>
  <si>
    <t>1) Semi‑automated HSA loader &amp; swaging station</t>
  </si>
  <si>
    <t>2) Semi‑automated media‑polishing system</t>
  </si>
  <si>
    <t>3) Semi‑automated HDA assembly modules</t>
  </si>
  <si>
    <t>4) Servo Track Writer (STW) for media calibration</t>
  </si>
  <si>
    <t xml:space="preserve">Phase 4: Ultra-Cleanroom Solutions </t>
  </si>
  <si>
    <r>
      <t>Objective:</t>
    </r>
    <r>
      <rPr>
        <sz val="10"/>
        <color theme="1"/>
        <rFont val="Verdana"/>
        <family val="2"/>
      </rPr>
      <t xml:space="preserve"> Address contamination challenges by delivering equipment rated for Class 10 cleanrooms.</t>
    </r>
  </si>
  <si>
    <r>
      <t xml:space="preserve">Genetec’s Role: </t>
    </r>
    <r>
      <rPr>
        <sz val="10"/>
        <color theme="1"/>
        <rFont val="Verdana"/>
        <family val="2"/>
      </rPr>
      <t>Design and build media handlers and STW modules optimized for ultra‑low particulate environments.</t>
    </r>
  </si>
  <si>
    <t>1) Fully automated media‑handling robotics (Class 10)</t>
  </si>
  <si>
    <t>2) Clean‑environment Servo Track Writer (STW) cells</t>
  </si>
  <si>
    <t xml:space="preserve">Phase 5: Fully Automated Lines </t>
  </si>
  <si>
    <r>
      <t>Objective:</t>
    </r>
    <r>
      <rPr>
        <sz val="10"/>
        <color theme="1"/>
        <rFont val="Verdana"/>
        <family val="2"/>
      </rPr>
      <t xml:space="preserve"> Transition from stand‑alone cells to integrated, high‑capacity assembly lines for HSA and HDA to support global, high‑volume production.</t>
    </r>
  </si>
  <si>
    <r>
      <t>Genetec’s Role:</t>
    </r>
    <r>
      <rPr>
        <sz val="10"/>
        <color theme="1"/>
        <rFont val="Verdana"/>
        <family val="2"/>
      </rPr>
      <t xml:space="preserve"> Engineer turnkey, end‑to‑end HDD automation lines in Malaysia, Thailand, and the USA.</t>
    </r>
  </si>
  <si>
    <t>1) High‑speed, fully automated HSA–HDA assembly lines (&gt;300 UPH)</t>
  </si>
  <si>
    <t>2) Automated transfer systems with in‑line metrology</t>
  </si>
  <si>
    <t>Phase 6: Smart Factory &amp; Data Traceability (2023–Present)</t>
  </si>
  <si>
    <r>
      <t>Objective:</t>
    </r>
    <r>
      <rPr>
        <sz val="10"/>
        <color theme="1"/>
        <rFont val="Verdana"/>
        <family val="2"/>
      </rPr>
      <t xml:space="preserve"> Prepare customers for Industry 4.0 by embedding real‑time data, traceability, and yield‑optimization tools across all HDD lines.</t>
    </r>
  </si>
  <si>
    <r>
      <t>Genetec’s Role:</t>
    </r>
    <r>
      <rPr>
        <sz val="10"/>
        <color theme="1"/>
        <rFont val="Verdana"/>
        <family val="2"/>
      </rPr>
      <t xml:space="preserve"> Integrate advanced software and sensing for predictive maintenance and yield monitoring.</t>
    </r>
  </si>
  <si>
    <t>1) MES/PCS interfacing for end‑to‑end production control</t>
  </si>
  <si>
    <t>2) In‑machine metrology</t>
  </si>
  <si>
    <t>3) Dashboard analytics for OEE and SPC</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</si>
  <si>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</si>
  <si>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</si>
  <si>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</si>
  <si>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</si>
  <si>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</si>
  <si>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</si>
  <si>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</si>
  <si>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</si>
  <si>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</si>
  <si>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</si>
  <si>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</si>
  <si>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</si>
  <si>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</si>
  <si>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</si>
  <si>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</si>
  <si>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</si>
  <si>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</si>
  <si>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</si>
  <si>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</si>
  <si>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</si>
  <si>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</si>
  <si>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</si>
  <si>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</si>
  <si>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</si>
  <si>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</si>
  <si>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</si>
  <si>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</si>
  <si>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</si>
  <si>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</si>
  <si>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</si>
  <si>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</si>
  <si>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</si>
  <si>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</si>
  <si>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Motors/Drives</t>
  </si>
  <si>
    <t>Albania</t>
  </si>
  <si>
    <t>Private</t>
  </si>
  <si>
    <t>American Samoa</t>
  </si>
  <si>
    <t>Optics</t>
  </si>
  <si>
    <t>Australia</t>
  </si>
  <si>
    <t>IPC/PLC/Motion Controller</t>
  </si>
  <si>
    <t>Austria</t>
  </si>
  <si>
    <t>Pneumatics</t>
  </si>
  <si>
    <t>Belgium</t>
  </si>
  <si>
    <t>Safety/Electrical/Wiring</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</si>
  <si>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</si>
  <si>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</si>
  <si>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</si>
  <si>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</si>
  <si>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</si>
  <si>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</si>
  <si>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</si>
  <si>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</si>
  <si>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</si>
  <si>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China</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</si>
  <si>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</si>
  <si>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</si>
  <si>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</si>
  <si>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</si>
  <si>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</si>
  <si>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</si>
  <si>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</si>
  <si>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</si>
  <si>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</si>
  <si>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</si>
  <si>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</si>
  <si>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</si>
  <si>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</si>
  <si>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</si>
  <si>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</si>
  <si>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</si>
  <si>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</si>
  <si>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India</t>
  </si>
  <si>
    <t>Indonesia</t>
  </si>
  <si>
    <t>Ireland</t>
  </si>
  <si>
    <t>Israel</t>
  </si>
  <si>
    <t>Italy</t>
  </si>
  <si>
    <t>Japan</t>
  </si>
  <si>
    <t>Korea</t>
  </si>
  <si>
    <t>Latvia</t>
  </si>
  <si>
    <t>Luxembourg</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</si>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</sst>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_-[$$-409]* #,##0_ ;_-[$$-409]* \-#,##0\ ;_-[$$-409]* &quot;-&quot;??_ ;_-@_ "/>
    <numFmt numFmtId="166" formatCode="_-[$$-409]* #,##0.00_ ;_-[$$-409]* \-#,##0.00\ ;_-[$$-409]* &quot;-&quot;_ ;_-@_ "/>
  </numFmts>
  <fonts count="33">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sz val="14"/>
      <name val="Helvetica Neue"/>
      <family val="2"/>
    </font>
    <font>
      <sz val="12"/>
      <name val="Helvetica Neue"/>
      <family val="2"/>
    </font>
    <font>
      <b/>
      <u/>
      <sz val="14"/>
      <color theme="1"/>
      <name val="Helvetica Neue"/>
      <family val="2"/>
    </font>
    <font>
      <b/>
      <sz val="10"/>
      <color theme="1"/>
      <name val="Verdana"/>
      <family val="2"/>
    </font>
    <font>
      <sz val="10"/>
      <color theme="1"/>
      <name val="Verdana"/>
      <family val="2"/>
    </font>
    <font>
      <b/>
      <u/>
      <sz val="14"/>
      <color theme="1"/>
      <name val="Verdana"/>
      <family val="2"/>
    </font>
    <font>
      <sz val="10"/>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4" fontId="1" fillId="0" borderId="0" applyFont="0" applyFill="0" applyBorder="0" applyAlignment="0" applyProtection="0">
      <alignment vertical="center"/>
    </xf>
  </cellStyleXfs>
  <cellXfs count="92">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5"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9" fillId="0" borderId="0" xfId="0" applyFont="1" applyAlignment="1">
      <alignment vertical="center"/>
    </xf>
    <xf numFmtId="0" fontId="30" fillId="0" borderId="0" xfId="0" applyFont="1" applyAlignment="1">
      <alignment horizontal="left" vertical="center" indent="4"/>
    </xf>
    <xf numFmtId="0" fontId="30" fillId="0" borderId="0" xfId="0" applyFont="1" applyAlignment="1">
      <alignment vertical="center"/>
    </xf>
    <xf numFmtId="0" fontId="31" fillId="0" borderId="0" xfId="0" applyFont="1" applyAlignment="1">
      <alignment vertical="center"/>
    </xf>
    <xf numFmtId="0" fontId="29" fillId="0" borderId="0" xfId="0" applyFont="1"/>
    <xf numFmtId="0" fontId="30" fillId="0" borderId="0" xfId="0" applyFont="1"/>
    <xf numFmtId="0" fontId="30" fillId="0" borderId="0" xfId="0" applyFont="1" applyAlignment="1">
      <alignment horizontal="left" vertical="center" indent="2"/>
    </xf>
    <xf numFmtId="0" fontId="32" fillId="0" borderId="0" xfId="0" applyFont="1"/>
    <xf numFmtId="0" fontId="2" fillId="0" borderId="0" xfId="0" applyFont="1" applyAlignment="1" applyProtection="1">
      <alignment horizontal="center" vertical="center" wrapText="1"/>
      <protection locked="0"/>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zoomScale="70" zoomScaleNormal="70" workbookViewId="0">
      <selection activeCell="B13" sqref="B13"/>
    </sheetView>
  </sheetViews>
  <sheetFormatPr defaultColWidth="10.75" defaultRowHeight="20.45"/>
  <cols>
    <col min="1" max="1" width="10.75" style="46"/>
    <col min="2" max="2" width="200.75" style="10" customWidth="1"/>
    <col min="3" max="16384" width="10.75" style="46"/>
  </cols>
  <sheetData>
    <row r="2" spans="2:2" ht="21">
      <c r="B2" s="8" t="s">
        <v>0</v>
      </c>
    </row>
    <row r="3" spans="2:2" ht="21">
      <c r="B3" s="40" t="s">
        <v>1</v>
      </c>
    </row>
    <row r="4" spans="2:2" ht="81.599999999999994">
      <c r="B4" s="9" t="s">
        <v>2</v>
      </c>
    </row>
    <row r="5" spans="2:2" ht="21">
      <c r="B5" s="40" t="s">
        <v>3</v>
      </c>
    </row>
    <row r="6" spans="2:2" ht="40.9">
      <c r="B6" s="9" t="s">
        <v>4</v>
      </c>
    </row>
    <row r="7" spans="2:2" ht="21">
      <c r="B7" s="40" t="s">
        <v>5</v>
      </c>
    </row>
    <row r="8" spans="2:2" ht="285.60000000000002">
      <c r="B8" s="9" t="s">
        <v>6</v>
      </c>
    </row>
    <row r="9" spans="2:2" ht="21">
      <c r="B9" s="40" t="s">
        <v>7</v>
      </c>
    </row>
    <row r="10" spans="2:2" ht="21">
      <c r="B10" s="9" t="s">
        <v>8</v>
      </c>
    </row>
    <row r="11" spans="2:2" ht="21">
      <c r="B11" s="40" t="s">
        <v>9</v>
      </c>
    </row>
    <row r="12" spans="2:2" ht="40.9">
      <c r="B12" s="9" t="s">
        <v>10</v>
      </c>
    </row>
    <row r="13" spans="2:2" ht="21">
      <c r="B13" s="40" t="s">
        <v>11</v>
      </c>
    </row>
    <row r="14" spans="2:2" ht="81.599999999999994">
      <c r="B14" s="66"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zoomScale="70" zoomScaleNormal="70" workbookViewId="0">
      <selection activeCell="B12" sqref="B12"/>
    </sheetView>
  </sheetViews>
  <sheetFormatPr defaultColWidth="10.75" defaultRowHeight="20.45"/>
  <cols>
    <col min="1" max="1" width="10.75" style="46"/>
    <col min="2" max="2" width="200.75" style="10" customWidth="1"/>
    <col min="3" max="16384" width="10.75" style="46"/>
  </cols>
  <sheetData>
    <row r="2" spans="2:2" ht="21">
      <c r="B2" s="8" t="s">
        <v>13</v>
      </c>
    </row>
    <row r="3" spans="2:2" ht="21">
      <c r="B3" s="39" t="s">
        <v>14</v>
      </c>
    </row>
    <row r="4" spans="2:2" ht="61.15">
      <c r="B4" s="9" t="s">
        <v>15</v>
      </c>
    </row>
    <row r="5" spans="2:2" ht="21">
      <c r="B5" s="40" t="s">
        <v>16</v>
      </c>
    </row>
    <row r="6" spans="2:2" ht="40.9">
      <c r="B6" s="9" t="s">
        <v>17</v>
      </c>
    </row>
    <row r="7" spans="2:2" ht="21">
      <c r="B7" s="40" t="s">
        <v>18</v>
      </c>
    </row>
    <row r="8" spans="2:2" ht="61.9">
      <c r="B8" s="9" t="s">
        <v>19</v>
      </c>
    </row>
    <row r="9" spans="2:2" ht="21">
      <c r="B9" s="40" t="s">
        <v>20</v>
      </c>
    </row>
    <row r="10" spans="2:2" ht="40.9">
      <c r="B10" s="9" t="s">
        <v>21</v>
      </c>
    </row>
    <row r="11" spans="2:2" ht="21">
      <c r="B11" s="40" t="s">
        <v>22</v>
      </c>
    </row>
    <row r="12" spans="2:2" ht="122.45">
      <c r="B12" s="9" t="s">
        <v>23</v>
      </c>
    </row>
    <row r="13" spans="2:2" ht="21">
      <c r="B13" s="40" t="s">
        <v>24</v>
      </c>
    </row>
    <row r="14" spans="2:2" ht="81.599999999999994">
      <c r="B14" s="9" t="s">
        <v>25</v>
      </c>
    </row>
    <row r="15" spans="2:2" ht="21">
      <c r="B15" s="40" t="s">
        <v>26</v>
      </c>
    </row>
    <row r="16" spans="2:2" ht="183.6">
      <c r="B16" s="9" t="s">
        <v>27</v>
      </c>
    </row>
    <row r="17" spans="2:2" ht="21">
      <c r="B17" s="40" t="s">
        <v>28</v>
      </c>
    </row>
    <row r="18" spans="2:2" ht="61.15">
      <c r="B18" s="9" t="s">
        <v>29</v>
      </c>
    </row>
    <row r="19" spans="2:2" ht="21">
      <c r="B19" s="40" t="s">
        <v>30</v>
      </c>
    </row>
    <row r="20" spans="2:2" ht="122.45">
      <c r="B20" s="9" t="s">
        <v>31</v>
      </c>
    </row>
    <row r="21" spans="2:2" ht="21">
      <c r="B21" s="40" t="s">
        <v>32</v>
      </c>
    </row>
    <row r="22" spans="2:2" ht="61.15">
      <c r="B22" s="9" t="s">
        <v>33</v>
      </c>
    </row>
    <row r="23" spans="2:2" ht="21">
      <c r="B23" s="40" t="s">
        <v>34</v>
      </c>
    </row>
    <row r="24" spans="2:2" ht="224.45">
      <c r="B24" s="9" t="s">
        <v>35</v>
      </c>
    </row>
    <row r="25" spans="2:2" ht="21">
      <c r="B25" s="40" t="s">
        <v>36</v>
      </c>
    </row>
    <row r="26" spans="2:2" ht="163.15">
      <c r="B26" s="9" t="s">
        <v>37</v>
      </c>
    </row>
    <row r="27" spans="2:2" ht="21">
      <c r="B27" s="40" t="s">
        <v>38</v>
      </c>
    </row>
    <row r="28" spans="2:2" ht="40.9">
      <c r="B28" s="9" t="s">
        <v>39</v>
      </c>
    </row>
    <row r="29" spans="2:2" ht="21">
      <c r="B29" s="40" t="s">
        <v>40</v>
      </c>
    </row>
    <row r="30" spans="2:2" ht="40.9">
      <c r="B30" s="9"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zoomScale="70" zoomScaleNormal="70" workbookViewId="0">
      <selection activeCell="B8" sqref="B8"/>
    </sheetView>
  </sheetViews>
  <sheetFormatPr defaultColWidth="10.75" defaultRowHeight="20.45"/>
  <cols>
    <col min="1" max="1" width="10.75" style="46"/>
    <col min="2" max="2" width="141.5" style="10" customWidth="1"/>
    <col min="3" max="3" width="40.75" style="13" customWidth="1"/>
    <col min="4" max="16384" width="10.75" style="46"/>
  </cols>
  <sheetData>
    <row r="2" spans="2:3" ht="21">
      <c r="B2" s="8" t="s">
        <v>42</v>
      </c>
      <c r="C2" s="11"/>
    </row>
    <row r="3" spans="2:3" ht="21">
      <c r="B3" s="39" t="s">
        <v>43</v>
      </c>
      <c r="C3" s="11"/>
    </row>
    <row r="4" spans="2:3" ht="204">
      <c r="B4" s="12" t="s">
        <v>44</v>
      </c>
      <c r="C4" s="45" t="s">
        <v>45</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abSelected="1" zoomScale="70" zoomScaleNormal="70" workbookViewId="0">
      <selection activeCell="C3" sqref="C3"/>
    </sheetView>
  </sheetViews>
  <sheetFormatPr defaultColWidth="10.75" defaultRowHeight="18"/>
  <cols>
    <col min="1" max="1" width="3.5" style="15" customWidth="1"/>
    <col min="2" max="2" width="74.75" style="15" customWidth="1"/>
    <col min="3" max="4" width="29.25" style="15" customWidth="1"/>
    <col min="5" max="5" width="30.25" style="15" bestFit="1" customWidth="1"/>
    <col min="6" max="6" width="29.25" style="15" customWidth="1"/>
    <col min="7" max="7" width="38.25" style="15" customWidth="1"/>
    <col min="8" max="8" width="10.75" style="3" customWidth="1"/>
    <col min="9" max="16384" width="10.75" style="3"/>
  </cols>
  <sheetData>
    <row r="1" spans="1:7" ht="25.9" customHeight="1">
      <c r="B1" s="14" t="s">
        <v>46</v>
      </c>
    </row>
    <row r="2" spans="1:7" ht="25.9" customHeight="1">
      <c r="A2" s="15">
        <v>1</v>
      </c>
      <c r="B2" s="80" t="s">
        <v>47</v>
      </c>
      <c r="C2" s="16" t="s">
        <v>48</v>
      </c>
    </row>
    <row r="3" spans="1:7" ht="25.9" customHeight="1">
      <c r="A3" s="15">
        <v>2</v>
      </c>
      <c r="B3" s="80" t="s">
        <v>49</v>
      </c>
      <c r="C3" s="17" t="s">
        <v>50</v>
      </c>
    </row>
    <row r="4" spans="1:7" ht="25.9" customHeight="1">
      <c r="A4" s="15">
        <v>3</v>
      </c>
      <c r="B4" s="80" t="s">
        <v>51</v>
      </c>
      <c r="C4" s="17" t="s">
        <v>50</v>
      </c>
      <c r="E4" s="18"/>
    </row>
    <row r="5" spans="1:7" ht="25.9" customHeight="1">
      <c r="A5" s="15">
        <v>4</v>
      </c>
      <c r="B5" s="80" t="s">
        <v>52</v>
      </c>
      <c r="C5" s="17" t="s">
        <v>53</v>
      </c>
      <c r="E5" s="18"/>
    </row>
    <row r="6" spans="1:7" ht="25.9" customHeight="1">
      <c r="A6" s="15">
        <v>5</v>
      </c>
      <c r="B6" s="80" t="s">
        <v>54</v>
      </c>
      <c r="C6" s="19" t="s">
        <v>55</v>
      </c>
      <c r="E6" s="18"/>
    </row>
    <row r="7" spans="1:7" ht="25.9" customHeight="1">
      <c r="A7" s="15">
        <v>6</v>
      </c>
      <c r="B7" s="80" t="s">
        <v>56</v>
      </c>
      <c r="C7" s="17" t="s">
        <v>57</v>
      </c>
      <c r="E7" s="18"/>
    </row>
    <row r="8" spans="1:7" ht="25.9" customHeight="1">
      <c r="A8" s="15">
        <v>7</v>
      </c>
      <c r="B8" s="80" t="s">
        <v>58</v>
      </c>
      <c r="C8" s="17" t="s">
        <v>59</v>
      </c>
    </row>
    <row r="9" spans="1:7" ht="25.9" customHeight="1">
      <c r="A9" s="15">
        <v>8</v>
      </c>
      <c r="B9" s="80" t="s">
        <v>60</v>
      </c>
      <c r="C9" s="17" t="s">
        <v>61</v>
      </c>
    </row>
    <row r="10" spans="1:7" ht="25.9" customHeight="1">
      <c r="A10" s="15">
        <v>9</v>
      </c>
      <c r="B10" s="80" t="s">
        <v>62</v>
      </c>
      <c r="C10" s="17">
        <v>500</v>
      </c>
    </row>
    <row r="11" spans="1:7">
      <c r="A11" s="15">
        <v>10</v>
      </c>
      <c r="B11" s="80" t="s">
        <v>63</v>
      </c>
      <c r="C11" s="17">
        <v>1997</v>
      </c>
    </row>
    <row r="12" spans="1:7">
      <c r="A12" s="15">
        <v>11</v>
      </c>
      <c r="B12" s="80" t="s">
        <v>64</v>
      </c>
      <c r="C12" s="17" t="s">
        <v>45</v>
      </c>
      <c r="F12" s="20"/>
    </row>
    <row r="15" spans="1:7" ht="36">
      <c r="B15" s="23" t="s">
        <v>65</v>
      </c>
      <c r="C15" s="24" t="s">
        <v>66</v>
      </c>
      <c r="D15" s="24" t="s">
        <v>67</v>
      </c>
      <c r="E15" s="24" t="s">
        <v>68</v>
      </c>
      <c r="F15" s="24" t="s">
        <v>69</v>
      </c>
      <c r="G15" s="25" t="s">
        <v>70</v>
      </c>
    </row>
    <row r="16" spans="1:7">
      <c r="B16" s="26" t="s">
        <v>71</v>
      </c>
      <c r="C16" s="17" t="s">
        <v>72</v>
      </c>
      <c r="D16" s="17" t="s">
        <v>73</v>
      </c>
      <c r="E16" s="17" t="s">
        <v>53</v>
      </c>
      <c r="F16" s="19" t="s">
        <v>74</v>
      </c>
      <c r="G16" s="27" t="s">
        <v>75</v>
      </c>
    </row>
    <row r="17" spans="2:7">
      <c r="B17" s="26" t="s">
        <v>76</v>
      </c>
      <c r="C17" s="17" t="s">
        <v>77</v>
      </c>
      <c r="D17" s="17" t="s">
        <v>78</v>
      </c>
      <c r="E17" s="17" t="s">
        <v>53</v>
      </c>
      <c r="F17" s="19" t="s">
        <v>79</v>
      </c>
      <c r="G17" s="27" t="s">
        <v>80</v>
      </c>
    </row>
    <row r="18" spans="2:7">
      <c r="B18" s="26" t="s">
        <v>81</v>
      </c>
      <c r="C18" s="17" t="s">
        <v>82</v>
      </c>
      <c r="D18" s="17" t="s">
        <v>83</v>
      </c>
      <c r="E18" s="17" t="s">
        <v>53</v>
      </c>
      <c r="F18" s="19" t="s">
        <v>84</v>
      </c>
      <c r="G18" s="27" t="s">
        <v>85</v>
      </c>
    </row>
    <row r="19" spans="2:7">
      <c r="B19" s="26" t="s">
        <v>86</v>
      </c>
      <c r="C19" s="17" t="s">
        <v>87</v>
      </c>
      <c r="D19" s="17" t="s">
        <v>88</v>
      </c>
      <c r="E19" s="17" t="s">
        <v>53</v>
      </c>
      <c r="F19" s="19" t="s">
        <v>89</v>
      </c>
      <c r="G19" s="27" t="s">
        <v>90</v>
      </c>
    </row>
    <row r="20" spans="2:7">
      <c r="B20" s="28" t="s">
        <v>91</v>
      </c>
      <c r="C20" s="21" t="s">
        <v>92</v>
      </c>
      <c r="D20" s="21" t="s">
        <v>93</v>
      </c>
      <c r="E20" s="17" t="s">
        <v>53</v>
      </c>
      <c r="F20" s="22" t="s">
        <v>94</v>
      </c>
      <c r="G20" s="27" t="s">
        <v>95</v>
      </c>
    </row>
    <row r="21" spans="2:7">
      <c r="B21" s="26" t="s">
        <v>96</v>
      </c>
      <c r="C21" s="17" t="s">
        <v>97</v>
      </c>
      <c r="D21" s="17" t="s">
        <v>98</v>
      </c>
      <c r="E21" s="17" t="s">
        <v>53</v>
      </c>
      <c r="F21" s="19" t="s">
        <v>99</v>
      </c>
      <c r="G21" s="27" t="s">
        <v>100</v>
      </c>
    </row>
    <row r="22" spans="2:7">
      <c r="B22" s="26" t="s">
        <v>101</v>
      </c>
      <c r="C22" s="17" t="s">
        <v>102</v>
      </c>
      <c r="D22" s="21" t="s">
        <v>93</v>
      </c>
      <c r="E22" s="17" t="s">
        <v>53</v>
      </c>
      <c r="F22" s="19" t="s">
        <v>103</v>
      </c>
      <c r="G22" s="27" t="s">
        <v>104</v>
      </c>
    </row>
    <row r="23" spans="2:7">
      <c r="B23" s="26" t="s">
        <v>105</v>
      </c>
      <c r="C23" s="17" t="s">
        <v>97</v>
      </c>
      <c r="D23" s="21" t="s">
        <v>98</v>
      </c>
      <c r="E23" s="17" t="s">
        <v>53</v>
      </c>
      <c r="F23" s="19" t="s">
        <v>99</v>
      </c>
      <c r="G23" s="27" t="s">
        <v>100</v>
      </c>
    </row>
    <row r="24" spans="2:7">
      <c r="B24" s="26" t="s">
        <v>106</v>
      </c>
      <c r="C24" s="17"/>
      <c r="D24" s="17"/>
      <c r="E24" s="17"/>
      <c r="F24" s="19"/>
      <c r="G24" s="27"/>
    </row>
    <row r="25" spans="2:7">
      <c r="B25" s="26" t="s">
        <v>106</v>
      </c>
      <c r="C25" s="29"/>
      <c r="D25" s="29"/>
      <c r="E25" s="29"/>
      <c r="F25" s="30"/>
      <c r="G25" s="31"/>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70" zoomScaleNormal="70" workbookViewId="0">
      <selection activeCell="C14" sqref="C14"/>
    </sheetView>
  </sheetViews>
  <sheetFormatPr defaultColWidth="10.75" defaultRowHeight="15.6"/>
  <cols>
    <col min="1" max="1" width="4.75" customWidth="1"/>
    <col min="2" max="2" width="53.75" customWidth="1"/>
    <col min="3" max="8" width="28.25" customWidth="1"/>
    <col min="9" max="16384" width="10.75" style="1"/>
  </cols>
  <sheetData>
    <row r="1" spans="2:9" ht="51" customHeight="1">
      <c r="B1" s="14" t="s">
        <v>107</v>
      </c>
    </row>
    <row r="2" spans="2:9" ht="51" customHeight="1">
      <c r="B2" s="80" t="s">
        <v>108</v>
      </c>
      <c r="C2" s="80">
        <v>2022</v>
      </c>
      <c r="D2" s="80">
        <v>2023</v>
      </c>
      <c r="E2" s="80">
        <v>2024</v>
      </c>
      <c r="F2" s="80" t="s">
        <v>109</v>
      </c>
      <c r="G2" s="80" t="s">
        <v>110</v>
      </c>
      <c r="H2" s="80" t="s">
        <v>111</v>
      </c>
    </row>
    <row r="3" spans="2:9" ht="51" customHeight="1">
      <c r="B3" s="32" t="s">
        <v>112</v>
      </c>
      <c r="C3" s="55">
        <v>429636060</v>
      </c>
      <c r="D3" s="55">
        <v>506356650.00000006</v>
      </c>
      <c r="E3" s="55">
        <v>434924560.00000006</v>
      </c>
      <c r="F3" s="55">
        <v>182989739.125</v>
      </c>
      <c r="G3" s="55">
        <v>374763240</v>
      </c>
      <c r="H3" s="55">
        <v>449715888.00000006</v>
      </c>
    </row>
    <row r="4" spans="2:9" ht="51" customHeight="1">
      <c r="B4" s="32" t="s">
        <v>113</v>
      </c>
      <c r="C4" s="55">
        <v>72466000</v>
      </c>
      <c r="D4" s="55">
        <v>60251000</v>
      </c>
      <c r="E4" s="55">
        <v>86750750</v>
      </c>
      <c r="F4" s="55">
        <v>83280720</v>
      </c>
      <c r="G4" s="55">
        <v>144908452.80000001</v>
      </c>
      <c r="H4" s="55">
        <v>173890143.36000001</v>
      </c>
      <c r="I4" s="4"/>
    </row>
    <row r="5" spans="2:9" ht="51" customHeight="1">
      <c r="B5" s="32" t="s">
        <v>114</v>
      </c>
      <c r="C5" s="55"/>
      <c r="D5" s="55"/>
      <c r="E5" s="55"/>
      <c r="F5" s="55"/>
      <c r="G5" s="55">
        <v>44971588.800000004</v>
      </c>
      <c r="H5" s="55">
        <v>53965906.560000002</v>
      </c>
      <c r="I5" s="4" t="s">
        <v>115</v>
      </c>
    </row>
    <row r="6" spans="2:9" ht="51" customHeight="1">
      <c r="B6" s="32" t="s">
        <v>116</v>
      </c>
      <c r="C6" s="55"/>
      <c r="D6" s="55"/>
      <c r="E6" s="55"/>
      <c r="F6" s="55"/>
      <c r="G6" s="55"/>
      <c r="H6" s="55"/>
      <c r="I6" s="2" t="s">
        <v>117</v>
      </c>
    </row>
    <row r="8" spans="2:9" ht="18">
      <c r="B8" s="80" t="s">
        <v>108</v>
      </c>
      <c r="C8" s="80">
        <v>2023</v>
      </c>
      <c r="D8" s="80">
        <v>2023</v>
      </c>
      <c r="E8" s="80">
        <v>2024</v>
      </c>
      <c r="F8" s="80" t="s">
        <v>109</v>
      </c>
      <c r="G8" s="80" t="s">
        <v>110</v>
      </c>
      <c r="H8" s="80" t="s">
        <v>111</v>
      </c>
    </row>
    <row r="9" spans="2:9" ht="18">
      <c r="B9" s="32" t="s">
        <v>118</v>
      </c>
      <c r="C9" s="56">
        <v>25309500</v>
      </c>
      <c r="D9" s="56">
        <v>18581500</v>
      </c>
      <c r="E9" s="56">
        <v>27208000</v>
      </c>
      <c r="F9" s="56">
        <v>24984216</v>
      </c>
      <c r="G9" s="56">
        <v>29981059.199999999</v>
      </c>
      <c r="H9" s="56">
        <v>35977271.039999999</v>
      </c>
    </row>
    <row r="10" spans="2:9" ht="18">
      <c r="B10" s="32" t="s">
        <v>119</v>
      </c>
      <c r="C10" s="56">
        <v>20968000</v>
      </c>
      <c r="D10" s="56">
        <v>14454750</v>
      </c>
      <c r="E10" s="56">
        <v>22597750</v>
      </c>
      <c r="F10" s="56">
        <v>20820180</v>
      </c>
      <c r="G10" s="56">
        <v>24984216</v>
      </c>
      <c r="H10" s="56">
        <v>29981059.199999999</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A9" zoomScale="55" zoomScaleNormal="55" workbookViewId="0">
      <selection activeCell="C14" sqref="C14"/>
    </sheetView>
  </sheetViews>
  <sheetFormatPr defaultColWidth="10.75" defaultRowHeight="25.9" customHeight="1"/>
  <cols>
    <col min="1" max="1" width="6.25" style="60" customWidth="1"/>
    <col min="2" max="2" width="59" style="34" customWidth="1"/>
    <col min="3" max="3" width="38.5" style="3" customWidth="1"/>
    <col min="4" max="8" width="38.5" style="6" customWidth="1"/>
    <col min="9" max="11" width="29.25" style="3" customWidth="1"/>
    <col min="12" max="16384" width="10.75" style="3"/>
  </cols>
  <sheetData>
    <row r="1" spans="1:8" s="15" customFormat="1" ht="51" customHeight="1">
      <c r="A1" s="58"/>
      <c r="B1" s="33" t="s">
        <v>120</v>
      </c>
    </row>
    <row r="2" spans="1:8" s="34" customFormat="1" ht="55.9" customHeight="1">
      <c r="A2" s="59"/>
      <c r="B2" s="80"/>
      <c r="C2" s="80" t="s">
        <v>121</v>
      </c>
      <c r="D2" s="35" t="s">
        <v>122</v>
      </c>
      <c r="E2" s="35" t="s">
        <v>123</v>
      </c>
      <c r="F2" s="35" t="s">
        <v>124</v>
      </c>
      <c r="G2" s="35" t="s">
        <v>125</v>
      </c>
      <c r="H2" s="35" t="s">
        <v>126</v>
      </c>
    </row>
    <row r="3" spans="1:8" ht="60" customHeight="1">
      <c r="A3" s="60">
        <v>1</v>
      </c>
      <c r="B3" s="80" t="s">
        <v>127</v>
      </c>
      <c r="C3" s="36" t="s">
        <v>50</v>
      </c>
      <c r="D3" s="36" t="s">
        <v>128</v>
      </c>
      <c r="E3" s="36" t="s">
        <v>129</v>
      </c>
      <c r="F3" s="17"/>
      <c r="G3" s="17"/>
      <c r="H3" s="17"/>
    </row>
    <row r="4" spans="1:8" ht="60" customHeight="1">
      <c r="A4" s="60">
        <v>2</v>
      </c>
      <c r="B4" s="80" t="s">
        <v>130</v>
      </c>
      <c r="C4" s="17" t="s">
        <v>131</v>
      </c>
      <c r="D4" s="17" t="s">
        <v>131</v>
      </c>
      <c r="E4" s="17" t="s">
        <v>131</v>
      </c>
      <c r="F4" s="17"/>
      <c r="G4" s="48"/>
      <c r="H4" s="17"/>
    </row>
    <row r="5" spans="1:8" ht="60" customHeight="1">
      <c r="A5" s="60">
        <v>3</v>
      </c>
      <c r="B5" s="80" t="s">
        <v>132</v>
      </c>
      <c r="C5" s="17" t="s">
        <v>133</v>
      </c>
      <c r="D5" s="17" t="s">
        <v>134</v>
      </c>
      <c r="E5" s="17" t="s">
        <v>135</v>
      </c>
      <c r="F5" s="17"/>
      <c r="G5" s="17"/>
      <c r="H5" s="17"/>
    </row>
    <row r="6" spans="1:8" ht="60" customHeight="1">
      <c r="A6" s="60">
        <v>4</v>
      </c>
      <c r="B6" s="35" t="s">
        <v>136</v>
      </c>
      <c r="C6" s="17" t="s">
        <v>137</v>
      </c>
      <c r="D6" s="17" t="s">
        <v>137</v>
      </c>
      <c r="E6" s="17" t="s">
        <v>137</v>
      </c>
      <c r="F6" s="17"/>
      <c r="G6" s="17"/>
      <c r="H6" s="17"/>
    </row>
    <row r="7" spans="1:8" ht="85.9" customHeight="1">
      <c r="A7" s="60">
        <v>5</v>
      </c>
      <c r="B7" s="35" t="s">
        <v>138</v>
      </c>
      <c r="C7" s="17" t="s">
        <v>137</v>
      </c>
      <c r="D7" s="17" t="s">
        <v>137</v>
      </c>
      <c r="E7" s="17" t="s">
        <v>137</v>
      </c>
      <c r="F7" s="17"/>
      <c r="G7" s="17"/>
      <c r="H7" s="17"/>
    </row>
    <row r="8" spans="1:8" ht="85.9" customHeight="1">
      <c r="A8" s="60">
        <v>6</v>
      </c>
      <c r="B8" s="35" t="s">
        <v>139</v>
      </c>
      <c r="C8" s="17" t="s">
        <v>140</v>
      </c>
      <c r="D8" s="17" t="s">
        <v>140</v>
      </c>
      <c r="E8" s="17" t="s">
        <v>140</v>
      </c>
      <c r="F8" s="17"/>
      <c r="G8" s="17"/>
      <c r="H8" s="17"/>
    </row>
    <row r="9" spans="1:8" ht="60" customHeight="1">
      <c r="A9" s="60">
        <v>7</v>
      </c>
      <c r="B9" s="80" t="s">
        <v>141</v>
      </c>
      <c r="C9" s="37">
        <v>6500</v>
      </c>
      <c r="D9" s="37">
        <v>40000</v>
      </c>
      <c r="E9" s="38">
        <v>3000</v>
      </c>
      <c r="F9" s="38"/>
      <c r="G9" s="38"/>
      <c r="H9" s="38"/>
    </row>
    <row r="10" spans="1:8" ht="60" customHeight="1">
      <c r="A10" s="60">
        <v>8</v>
      </c>
      <c r="B10" s="35" t="s">
        <v>142</v>
      </c>
      <c r="C10" s="37">
        <v>25</v>
      </c>
      <c r="D10" s="37">
        <v>475</v>
      </c>
      <c r="E10" s="38"/>
      <c r="F10" s="38"/>
      <c r="G10" s="38"/>
      <c r="H10" s="38"/>
    </row>
    <row r="11" spans="1:8" ht="60" customHeight="1">
      <c r="A11" s="60">
        <v>9</v>
      </c>
      <c r="B11" s="35" t="s">
        <v>143</v>
      </c>
      <c r="C11" s="17"/>
      <c r="D11" s="17">
        <v>56</v>
      </c>
      <c r="E11" s="17"/>
      <c r="F11" s="79"/>
      <c r="G11" s="17"/>
      <c r="H11" s="17"/>
    </row>
    <row r="12" spans="1:8" ht="60" customHeight="1">
      <c r="A12" s="60">
        <v>10</v>
      </c>
      <c r="B12" s="35" t="s">
        <v>144</v>
      </c>
      <c r="C12" s="17"/>
      <c r="D12" s="17">
        <v>76</v>
      </c>
      <c r="E12" s="17"/>
      <c r="F12" s="17"/>
      <c r="G12" s="17"/>
      <c r="H12" s="17"/>
    </row>
    <row r="13" spans="1:8" ht="60" customHeight="1">
      <c r="A13" s="60">
        <v>11</v>
      </c>
      <c r="B13" s="35" t="s">
        <v>145</v>
      </c>
      <c r="C13" s="17"/>
      <c r="D13" s="17">
        <v>72000000</v>
      </c>
      <c r="E13" s="17"/>
      <c r="F13" s="17"/>
      <c r="G13" s="17"/>
      <c r="H13" s="17"/>
    </row>
    <row r="14" spans="1:8" ht="60" customHeight="1">
      <c r="A14" s="60">
        <v>12</v>
      </c>
      <c r="B14" s="35" t="s">
        <v>146</v>
      </c>
      <c r="C14" s="17" t="s">
        <v>147</v>
      </c>
      <c r="D14" s="17" t="s">
        <v>147</v>
      </c>
      <c r="E14" s="17" t="s">
        <v>147</v>
      </c>
      <c r="F14" s="17"/>
      <c r="G14" s="17"/>
      <c r="H14" s="17"/>
    </row>
    <row r="15" spans="1:8" ht="60" customHeight="1">
      <c r="A15" s="60">
        <v>13</v>
      </c>
      <c r="B15" s="35" t="s">
        <v>148</v>
      </c>
      <c r="C15" s="17" t="s">
        <v>147</v>
      </c>
      <c r="D15" s="17" t="s">
        <v>147</v>
      </c>
      <c r="E15" s="17" t="s">
        <v>147</v>
      </c>
      <c r="F15" s="17"/>
      <c r="G15" s="17"/>
      <c r="H15" s="17"/>
    </row>
    <row r="16" spans="1:8" ht="60" customHeight="1">
      <c r="A16" s="60">
        <v>14</v>
      </c>
      <c r="B16" s="35" t="s">
        <v>149</v>
      </c>
      <c r="C16" s="17" t="s">
        <v>150</v>
      </c>
      <c r="D16" s="17" t="s">
        <v>150</v>
      </c>
      <c r="E16" s="17" t="s">
        <v>150</v>
      </c>
      <c r="F16" s="17"/>
      <c r="G16" s="17"/>
      <c r="H16" s="17"/>
    </row>
    <row r="18" spans="1:8" ht="61.15" customHeight="1">
      <c r="A18" s="60">
        <v>15</v>
      </c>
      <c r="B18" s="82" t="s">
        <v>151</v>
      </c>
      <c r="C18" s="82"/>
      <c r="D18" s="83" t="s">
        <v>152</v>
      </c>
      <c r="E18" s="84"/>
      <c r="F18" s="84"/>
      <c r="G18" s="84"/>
      <c r="H18" s="85"/>
    </row>
    <row r="19" spans="1:8" ht="61.15" customHeight="1">
      <c r="A19" s="60">
        <v>16</v>
      </c>
      <c r="B19" s="82" t="s">
        <v>153</v>
      </c>
      <c r="C19" s="82"/>
      <c r="D19" s="83" t="s">
        <v>154</v>
      </c>
      <c r="E19" s="84"/>
      <c r="F19" s="84"/>
      <c r="G19" s="84"/>
      <c r="H19" s="85"/>
    </row>
    <row r="20" spans="1:8" ht="61.15" customHeight="1">
      <c r="A20" s="60">
        <v>17</v>
      </c>
      <c r="B20" s="82" t="s">
        <v>155</v>
      </c>
      <c r="C20" s="82"/>
      <c r="D20" s="83" t="s">
        <v>156</v>
      </c>
      <c r="E20" s="84"/>
      <c r="F20" s="84"/>
      <c r="G20" s="84"/>
      <c r="H20" s="85"/>
    </row>
    <row r="21" spans="1:8" ht="61.15" customHeight="1">
      <c r="A21" s="60">
        <v>18</v>
      </c>
      <c r="B21" s="82" t="s">
        <v>157</v>
      </c>
      <c r="C21" s="82"/>
      <c r="D21" s="83" t="s">
        <v>158</v>
      </c>
      <c r="E21" s="84"/>
      <c r="F21" s="84"/>
      <c r="G21" s="84"/>
      <c r="H21" s="85"/>
    </row>
    <row r="22" spans="1:8" ht="61.15" customHeight="1">
      <c r="A22" s="60">
        <v>19</v>
      </c>
      <c r="B22" s="82" t="s">
        <v>159</v>
      </c>
      <c r="C22" s="82"/>
      <c r="D22" s="83" t="s">
        <v>160</v>
      </c>
      <c r="E22" s="84"/>
      <c r="F22" s="84"/>
      <c r="G22" s="84"/>
      <c r="H22" s="85"/>
    </row>
    <row r="23" spans="1:8" ht="61.15" customHeight="1">
      <c r="A23" s="60">
        <v>20</v>
      </c>
      <c r="B23" s="86" t="s">
        <v>161</v>
      </c>
      <c r="C23" s="87"/>
      <c r="D23" s="83" t="s">
        <v>162</v>
      </c>
      <c r="E23" s="84"/>
      <c r="F23" s="84"/>
      <c r="G23" s="84"/>
      <c r="H23" s="85"/>
    </row>
    <row r="24" spans="1:8" ht="61.15" customHeight="1">
      <c r="A24" s="60">
        <v>21</v>
      </c>
      <c r="B24" s="86" t="s">
        <v>163</v>
      </c>
      <c r="C24" s="87"/>
      <c r="D24" s="83" t="s">
        <v>164</v>
      </c>
      <c r="E24" s="84"/>
      <c r="F24" s="84"/>
      <c r="G24" s="84"/>
      <c r="H24" s="85"/>
    </row>
    <row r="25" spans="1:8" ht="187.9" customHeight="1">
      <c r="A25" s="60">
        <v>22</v>
      </c>
      <c r="B25" s="82" t="s">
        <v>165</v>
      </c>
      <c r="C25" s="82"/>
      <c r="D25" s="83" t="s">
        <v>166</v>
      </c>
      <c r="E25" s="84"/>
      <c r="F25" s="84"/>
      <c r="G25" s="84"/>
      <c r="H25" s="85"/>
    </row>
    <row r="26" spans="1:8" ht="61.15" customHeight="1"/>
    <row r="27" spans="1:8" ht="61.15" customHeight="1"/>
    <row r="28" spans="1:8" ht="61.15" customHeight="1"/>
    <row r="29" spans="1:8" ht="61.15" customHeight="1"/>
  </sheetData>
  <sheetProtection algorithmName="SHA-512" hashValue="zQUmRTblo7NwmNDoVbXM0yjst7rVPj5/m4axI2ivAgmUPwHZYj2vbWzF/lmehodxi4GZXwtagu0UzxPO76uzxg==" saltValue="p9e4rdm25WVOlVQ/gvBS1w==" spinCount="100000" sheet="1" selectLockedCells="1"/>
  <mergeCells count="16">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 ref="D23:H23"/>
    <mergeCell ref="D24:H24"/>
  </mergeCells>
  <conditionalFormatting sqref="C3:H10 C11:E11 G11:H11 C12: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E11 G11:H11 C12: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70" zoomScaleNormal="70" workbookViewId="0">
      <selection activeCell="C7" sqref="C7"/>
    </sheetView>
  </sheetViews>
  <sheetFormatPr defaultColWidth="10.75" defaultRowHeight="49.9" customHeight="1"/>
  <cols>
    <col min="1" max="1" width="5.25" style="3" customWidth="1"/>
    <col min="2" max="2" width="53.25" style="3" customWidth="1"/>
    <col min="3" max="10" width="32.75" style="3" customWidth="1"/>
    <col min="11" max="16384" width="10.75" style="3"/>
  </cols>
  <sheetData>
    <row r="1" spans="2:10" ht="49.9" customHeight="1">
      <c r="B1" s="41" t="s">
        <v>167</v>
      </c>
    </row>
    <row r="2" spans="2:10" ht="49.9" customHeight="1">
      <c r="B2" s="42"/>
      <c r="C2" s="43" t="s">
        <v>168</v>
      </c>
      <c r="D2" s="43" t="s">
        <v>169</v>
      </c>
      <c r="E2" s="43" t="s">
        <v>170</v>
      </c>
      <c r="F2" s="43" t="s">
        <v>171</v>
      </c>
      <c r="G2" s="43" t="s">
        <v>172</v>
      </c>
      <c r="H2" s="43" t="s">
        <v>173</v>
      </c>
      <c r="I2" s="43" t="s">
        <v>174</v>
      </c>
      <c r="J2" s="43" t="s">
        <v>175</v>
      </c>
    </row>
    <row r="3" spans="2:10" ht="49.9" customHeight="1">
      <c r="B3" s="43" t="s">
        <v>176</v>
      </c>
      <c r="C3" s="67" t="s">
        <v>177</v>
      </c>
      <c r="D3" s="67" t="s">
        <v>178</v>
      </c>
      <c r="E3" s="67" t="s">
        <v>179</v>
      </c>
      <c r="F3" s="67" t="s">
        <v>180</v>
      </c>
      <c r="G3" s="67"/>
      <c r="H3" s="67"/>
      <c r="I3" s="67"/>
      <c r="J3" s="67"/>
    </row>
    <row r="4" spans="2:10" ht="49.9" customHeight="1">
      <c r="B4" s="44" t="s">
        <v>181</v>
      </c>
      <c r="C4" s="67"/>
      <c r="D4" s="67"/>
      <c r="E4" s="67"/>
      <c r="F4" s="67"/>
      <c r="G4" s="67"/>
      <c r="H4" s="67"/>
      <c r="I4" s="67"/>
      <c r="J4" s="67"/>
    </row>
    <row r="5" spans="2:10" ht="49.9" customHeight="1">
      <c r="B5" s="44" t="s">
        <v>182</v>
      </c>
      <c r="C5" s="67"/>
      <c r="D5" s="67"/>
      <c r="E5" s="67"/>
      <c r="F5" s="67"/>
      <c r="G5" s="67"/>
      <c r="H5" s="67"/>
      <c r="I5" s="67"/>
      <c r="J5" s="67"/>
    </row>
    <row r="6" spans="2:10" ht="49.9" customHeight="1">
      <c r="B6" s="44" t="s">
        <v>183</v>
      </c>
      <c r="C6" s="67">
        <v>8</v>
      </c>
      <c r="D6" s="67">
        <v>20</v>
      </c>
      <c r="E6" s="67">
        <v>12</v>
      </c>
      <c r="F6" s="67"/>
      <c r="G6" s="67"/>
      <c r="H6" s="67"/>
      <c r="I6" s="67"/>
      <c r="J6" s="67"/>
    </row>
    <row r="7" spans="2:10" ht="49.9" customHeight="1">
      <c r="B7" s="44" t="s">
        <v>184</v>
      </c>
      <c r="C7" s="67"/>
      <c r="D7" s="67"/>
      <c r="E7" s="67"/>
      <c r="F7" s="67"/>
      <c r="G7" s="67"/>
      <c r="H7" s="67"/>
      <c r="I7" s="67"/>
      <c r="J7" s="67"/>
    </row>
    <row r="8" spans="2:10" ht="49.9" customHeight="1">
      <c r="B8" s="44" t="s">
        <v>185</v>
      </c>
      <c r="C8" s="67" t="s">
        <v>186</v>
      </c>
      <c r="D8" s="67" t="s">
        <v>187</v>
      </c>
      <c r="E8" s="67" t="s">
        <v>187</v>
      </c>
      <c r="F8" s="67" t="s">
        <v>187</v>
      </c>
      <c r="G8" s="67"/>
      <c r="H8" s="67"/>
      <c r="I8" s="67"/>
      <c r="J8" s="67"/>
    </row>
    <row r="9" spans="2:10" ht="49.9" customHeight="1">
      <c r="B9" s="44" t="s">
        <v>188</v>
      </c>
      <c r="C9" s="67" t="s">
        <v>186</v>
      </c>
      <c r="D9" s="67" t="s">
        <v>186</v>
      </c>
      <c r="E9" s="67" t="s">
        <v>186</v>
      </c>
      <c r="F9" s="67" t="s">
        <v>186</v>
      </c>
      <c r="G9" s="67"/>
      <c r="H9" s="67"/>
      <c r="I9" s="67"/>
      <c r="J9" s="67"/>
    </row>
    <row r="10" spans="2:10" ht="49.9" customHeight="1">
      <c r="B10" s="61" t="s">
        <v>189</v>
      </c>
      <c r="C10" s="67" t="s">
        <v>190</v>
      </c>
      <c r="D10" s="67" t="s">
        <v>191</v>
      </c>
      <c r="E10" s="67" t="s">
        <v>192</v>
      </c>
      <c r="F10" s="67" t="s">
        <v>193</v>
      </c>
      <c r="G10" s="67"/>
      <c r="H10" s="67"/>
      <c r="I10" s="67"/>
      <c r="J10" s="67"/>
    </row>
    <row r="11" spans="2:10" ht="49.9" customHeight="1">
      <c r="B11" s="44" t="s">
        <v>194</v>
      </c>
      <c r="C11" s="68">
        <v>12</v>
      </c>
      <c r="D11" s="68">
        <v>12</v>
      </c>
      <c r="E11" s="68">
        <v>12</v>
      </c>
      <c r="F11" s="67">
        <v>12</v>
      </c>
      <c r="G11" s="67"/>
      <c r="H11" s="67"/>
      <c r="I11" s="67"/>
      <c r="J11" s="67"/>
    </row>
    <row r="12" spans="2:10" ht="49.9" customHeight="1">
      <c r="B12" s="44" t="s">
        <v>195</v>
      </c>
      <c r="C12" s="69">
        <v>0.03</v>
      </c>
      <c r="D12" s="70">
        <v>0.03</v>
      </c>
      <c r="E12" s="70">
        <v>0.03</v>
      </c>
      <c r="F12" s="70"/>
      <c r="G12" s="70"/>
      <c r="H12" s="70"/>
      <c r="I12" s="70"/>
      <c r="J12" s="70"/>
    </row>
    <row r="14" spans="2:10" ht="49.9" customHeight="1">
      <c r="B14" s="89" t="s">
        <v>196</v>
      </c>
      <c r="C14" s="89"/>
      <c r="D14" s="89"/>
    </row>
    <row r="15" spans="2:10" ht="49.9" customHeight="1">
      <c r="B15" s="80" t="s">
        <v>197</v>
      </c>
      <c r="C15" s="89" t="s">
        <v>198</v>
      </c>
      <c r="D15" s="89"/>
    </row>
    <row r="16" spans="2:10" ht="49.9" customHeight="1">
      <c r="B16" s="81" t="s">
        <v>199</v>
      </c>
      <c r="C16" s="90" t="s">
        <v>200</v>
      </c>
      <c r="D16" s="90"/>
    </row>
    <row r="17" spans="2:4" ht="49.9" customHeight="1">
      <c r="B17" s="88" t="s">
        <v>201</v>
      </c>
      <c r="C17" s="88" t="s">
        <v>202</v>
      </c>
      <c r="D17" s="88"/>
    </row>
    <row r="18" spans="2:4" ht="49.9" customHeight="1">
      <c r="B18" s="88"/>
      <c r="C18" s="88" t="s">
        <v>203</v>
      </c>
      <c r="D18" s="88"/>
    </row>
    <row r="19" spans="2:4" ht="49.9" customHeight="1">
      <c r="B19" s="88"/>
      <c r="C19" s="88" t="s">
        <v>204</v>
      </c>
      <c r="D19" s="88"/>
    </row>
    <row r="20" spans="2:4" ht="49.9" customHeight="1">
      <c r="B20" s="88"/>
      <c r="C20" s="88" t="s">
        <v>205</v>
      </c>
      <c r="D20" s="88"/>
    </row>
    <row r="21" spans="2:4" ht="49.9" customHeight="1">
      <c r="B21" s="88" t="s">
        <v>206</v>
      </c>
      <c r="C21" s="88" t="s">
        <v>207</v>
      </c>
      <c r="D21" s="88"/>
    </row>
    <row r="22" spans="2:4" ht="49.9" customHeight="1">
      <c r="B22" s="88"/>
      <c r="C22" s="88" t="s">
        <v>208</v>
      </c>
      <c r="D22" s="88"/>
    </row>
    <row r="23" spans="2:4" ht="49.9" customHeight="1">
      <c r="B23" s="88"/>
      <c r="C23" s="88" t="s">
        <v>209</v>
      </c>
      <c r="D23" s="88"/>
    </row>
    <row r="24" spans="2:4" ht="49.9" customHeight="1">
      <c r="B24" s="88" t="s">
        <v>210</v>
      </c>
      <c r="C24" s="88" t="s">
        <v>211</v>
      </c>
      <c r="D24" s="88"/>
    </row>
    <row r="25" spans="2:4" ht="49.9" customHeight="1">
      <c r="B25" s="88"/>
      <c r="C25" s="88" t="s">
        <v>212</v>
      </c>
      <c r="D25" s="88"/>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zoomScale="55" zoomScaleNormal="55" workbookViewId="0">
      <selection activeCell="I8" sqref="I8"/>
    </sheetView>
  </sheetViews>
  <sheetFormatPr defaultColWidth="10.75" defaultRowHeight="15"/>
  <cols>
    <col min="1" max="1" width="4.25" style="1" customWidth="1"/>
    <col min="2" max="2" width="51.5" style="1" customWidth="1"/>
    <col min="3" max="9" width="29.25" style="1" customWidth="1"/>
    <col min="10" max="10" width="57.75" style="1" customWidth="1"/>
    <col min="11" max="11" width="31.25" style="1" bestFit="1" customWidth="1"/>
    <col min="12" max="15" width="29.25" style="1" customWidth="1"/>
    <col min="16" max="16384" width="10.75" style="1"/>
  </cols>
  <sheetData>
    <row r="1" spans="2:11" ht="67.150000000000006" customHeight="1">
      <c r="B1" s="33" t="s">
        <v>213</v>
      </c>
    </row>
    <row r="2" spans="2:11" ht="67.150000000000006" customHeight="1">
      <c r="B2" s="32"/>
      <c r="C2" s="80">
        <v>2022</v>
      </c>
      <c r="D2" s="80">
        <v>2023</v>
      </c>
      <c r="E2" s="80">
        <v>2024</v>
      </c>
      <c r="F2" s="80" t="s">
        <v>109</v>
      </c>
      <c r="G2" s="80" t="s">
        <v>110</v>
      </c>
      <c r="H2" s="80" t="s">
        <v>111</v>
      </c>
      <c r="I2" s="80" t="s">
        <v>214</v>
      </c>
      <c r="J2" s="80" t="s">
        <v>215</v>
      </c>
    </row>
    <row r="3" spans="2:11" ht="67.150000000000006" customHeight="1">
      <c r="B3" s="80" t="s">
        <v>216</v>
      </c>
      <c r="C3" s="38">
        <v>20</v>
      </c>
      <c r="D3" s="38">
        <v>20</v>
      </c>
      <c r="E3" s="38">
        <v>20</v>
      </c>
      <c r="F3" s="38">
        <v>20</v>
      </c>
      <c r="G3" s="38">
        <v>29</v>
      </c>
      <c r="H3" s="38">
        <v>32</v>
      </c>
      <c r="I3" s="38">
        <v>35</v>
      </c>
      <c r="J3" s="57"/>
    </row>
    <row r="4" spans="2:11" ht="67.150000000000006" customHeight="1">
      <c r="B4" s="35" t="s">
        <v>217</v>
      </c>
      <c r="C4" s="38">
        <v>61</v>
      </c>
      <c r="D4" s="38">
        <v>61</v>
      </c>
      <c r="E4" s="38">
        <v>61</v>
      </c>
      <c r="F4" s="38">
        <v>61</v>
      </c>
      <c r="G4" s="38">
        <v>86</v>
      </c>
      <c r="H4" s="38">
        <v>92</v>
      </c>
      <c r="I4" s="38">
        <v>98</v>
      </c>
      <c r="J4" s="57"/>
    </row>
    <row r="5" spans="2:11" ht="67.150000000000006" customHeight="1">
      <c r="B5" s="80" t="s">
        <v>218</v>
      </c>
      <c r="C5" s="38">
        <v>113</v>
      </c>
      <c r="D5" s="38">
        <v>113</v>
      </c>
      <c r="E5" s="38">
        <v>113</v>
      </c>
      <c r="F5" s="38">
        <v>113</v>
      </c>
      <c r="G5" s="38">
        <v>159</v>
      </c>
      <c r="H5" s="38">
        <v>171</v>
      </c>
      <c r="I5" s="38">
        <v>183</v>
      </c>
      <c r="J5" s="57"/>
    </row>
    <row r="6" spans="2:11" ht="67.150000000000006" customHeight="1">
      <c r="B6" s="80" t="s">
        <v>219</v>
      </c>
      <c r="C6" s="38">
        <v>40</v>
      </c>
      <c r="D6" s="38">
        <v>40</v>
      </c>
      <c r="E6" s="38">
        <v>40</v>
      </c>
      <c r="F6" s="38">
        <v>40</v>
      </c>
      <c r="G6" s="38">
        <v>57</v>
      </c>
      <c r="H6" s="38">
        <v>61</v>
      </c>
      <c r="I6" s="38">
        <v>65</v>
      </c>
      <c r="J6" s="57"/>
      <c r="K6" s="4" t="s">
        <v>220</v>
      </c>
    </row>
    <row r="7" spans="2:11" ht="67.150000000000006" customHeight="1">
      <c r="B7" s="80" t="s">
        <v>221</v>
      </c>
      <c r="C7" s="38">
        <v>15</v>
      </c>
      <c r="D7" s="38">
        <v>15</v>
      </c>
      <c r="E7" s="38">
        <v>15</v>
      </c>
      <c r="F7" s="38">
        <v>15</v>
      </c>
      <c r="G7" s="38">
        <v>22</v>
      </c>
      <c r="H7" s="38">
        <v>24</v>
      </c>
      <c r="I7" s="38">
        <v>26</v>
      </c>
      <c r="J7" s="57"/>
    </row>
    <row r="8" spans="2:11" ht="67.150000000000006" customHeight="1">
      <c r="B8" s="80" t="s">
        <v>222</v>
      </c>
      <c r="C8" s="38">
        <v>13</v>
      </c>
      <c r="D8" s="38">
        <v>13</v>
      </c>
      <c r="E8" s="38">
        <v>13</v>
      </c>
      <c r="F8" s="38">
        <v>13</v>
      </c>
      <c r="G8" s="38">
        <v>19</v>
      </c>
      <c r="H8" s="38">
        <v>21</v>
      </c>
      <c r="I8" s="38">
        <v>23</v>
      </c>
      <c r="J8" s="57"/>
    </row>
    <row r="9" spans="2:11" ht="67.150000000000006" customHeight="1">
      <c r="B9" s="80" t="s">
        <v>223</v>
      </c>
      <c r="C9" s="38">
        <v>7</v>
      </c>
      <c r="D9" s="38">
        <v>7</v>
      </c>
      <c r="E9" s="38">
        <v>7</v>
      </c>
      <c r="F9" s="38">
        <v>7</v>
      </c>
      <c r="G9" s="38">
        <v>10</v>
      </c>
      <c r="H9" s="38">
        <v>11</v>
      </c>
      <c r="I9" s="38">
        <v>12</v>
      </c>
      <c r="J9" s="57"/>
    </row>
    <row r="10" spans="2:11" ht="67.150000000000006" customHeight="1">
      <c r="B10" s="35" t="s">
        <v>224</v>
      </c>
      <c r="C10" s="38">
        <v>14</v>
      </c>
      <c r="D10" s="38">
        <v>14</v>
      </c>
      <c r="E10" s="38">
        <v>14</v>
      </c>
      <c r="F10" s="38">
        <v>14</v>
      </c>
      <c r="G10" s="38">
        <v>20</v>
      </c>
      <c r="H10" s="38">
        <v>22</v>
      </c>
      <c r="I10" s="38">
        <v>24</v>
      </c>
      <c r="J10" s="57"/>
    </row>
    <row r="11" spans="2:11" ht="67.150000000000006" customHeight="1">
      <c r="B11" s="80" t="s">
        <v>225</v>
      </c>
      <c r="C11" s="38">
        <v>16</v>
      </c>
      <c r="D11" s="38">
        <v>16</v>
      </c>
      <c r="E11" s="38">
        <v>16</v>
      </c>
      <c r="F11" s="38">
        <v>16</v>
      </c>
      <c r="G11" s="38">
        <v>23</v>
      </c>
      <c r="H11" s="38">
        <v>25</v>
      </c>
      <c r="I11" s="38">
        <v>27</v>
      </c>
      <c r="J11" s="57"/>
    </row>
    <row r="12" spans="2:11" ht="67.150000000000006" customHeight="1">
      <c r="B12" s="80" t="s">
        <v>226</v>
      </c>
      <c r="C12" s="38">
        <v>8</v>
      </c>
      <c r="D12" s="38">
        <v>8</v>
      </c>
      <c r="E12" s="38">
        <v>8</v>
      </c>
      <c r="F12" s="38">
        <v>8</v>
      </c>
      <c r="G12" s="38">
        <v>12</v>
      </c>
      <c r="H12" s="38">
        <v>13</v>
      </c>
      <c r="I12" s="38">
        <v>14</v>
      </c>
      <c r="J12" s="57"/>
    </row>
    <row r="13" spans="2:11" ht="67.150000000000006" customHeight="1">
      <c r="B13" s="80" t="s">
        <v>106</v>
      </c>
      <c r="C13" s="38">
        <v>242</v>
      </c>
      <c r="D13" s="38">
        <v>242</v>
      </c>
      <c r="E13" s="38">
        <v>242</v>
      </c>
      <c r="F13" s="38">
        <v>242</v>
      </c>
      <c r="G13" s="38">
        <v>339</v>
      </c>
      <c r="H13" s="38">
        <v>363</v>
      </c>
      <c r="I13" s="38">
        <v>387</v>
      </c>
      <c r="J13" s="57" t="s">
        <v>227</v>
      </c>
    </row>
    <row r="14" spans="2:11" ht="67.150000000000006" customHeight="1">
      <c r="B14" s="80" t="s">
        <v>106</v>
      </c>
      <c r="C14" s="38"/>
      <c r="D14" s="38"/>
      <c r="E14" s="38"/>
      <c r="F14" s="38"/>
      <c r="G14" s="38"/>
      <c r="H14" s="38"/>
      <c r="I14" s="38"/>
      <c r="J14" s="57"/>
    </row>
    <row r="15" spans="2:11" ht="67.150000000000006" customHeight="1">
      <c r="B15" s="80" t="s">
        <v>106</v>
      </c>
      <c r="C15" s="38"/>
      <c r="D15" s="38"/>
      <c r="E15" s="38"/>
      <c r="F15" s="38"/>
      <c r="G15" s="38"/>
      <c r="H15" s="38"/>
      <c r="I15" s="38"/>
      <c r="J15" s="57"/>
    </row>
    <row r="16" spans="2:11" ht="18">
      <c r="B16" s="49" t="s">
        <v>228</v>
      </c>
      <c r="C16" s="50">
        <f t="shared" ref="C16:I16" si="0">SUM(C3:C15)</f>
        <v>549</v>
      </c>
      <c r="D16" s="50">
        <f t="shared" si="0"/>
        <v>549</v>
      </c>
      <c r="E16" s="50">
        <f t="shared" si="0"/>
        <v>549</v>
      </c>
      <c r="F16" s="50">
        <f t="shared" si="0"/>
        <v>549</v>
      </c>
      <c r="G16" s="50">
        <f t="shared" si="0"/>
        <v>776</v>
      </c>
      <c r="H16" s="50">
        <f t="shared" si="0"/>
        <v>835</v>
      </c>
      <c r="I16" s="50">
        <f t="shared" si="0"/>
        <v>894</v>
      </c>
    </row>
  </sheetData>
  <sheetProtection algorithmName="SHA-512" hashValue="pWayqKTpOx63s3zLc4m4aGPKKuSb8adOhevZ0wWthyhvYTVCTEnq7bLF8p8dczIv/WCghbt4WhCQ3pUquMCdFw==" saltValue="HjGdSZStmrB5yzaiPfgXtw=="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B93"/>
  <sheetViews>
    <sheetView showGridLines="0" zoomScale="85" zoomScaleNormal="85" workbookViewId="0">
      <selection activeCell="M14" sqref="M14"/>
    </sheetView>
  </sheetViews>
  <sheetFormatPr defaultColWidth="10.75" defaultRowHeight="15.6"/>
  <cols>
    <col min="1" max="1" width="5.25" customWidth="1"/>
    <col min="2" max="2" width="34.5" customWidth="1"/>
  </cols>
  <sheetData>
    <row r="2" spans="2:2" ht="17.45">
      <c r="B2" s="74" t="s">
        <v>229</v>
      </c>
    </row>
    <row r="3" spans="2:2">
      <c r="B3" s="71" t="s">
        <v>230</v>
      </c>
    </row>
    <row r="4" spans="2:2">
      <c r="B4" s="75" t="s">
        <v>231</v>
      </c>
    </row>
    <row r="5" spans="2:2">
      <c r="B5" s="76"/>
    </row>
    <row r="6" spans="2:2">
      <c r="B6" s="75" t="s">
        <v>232</v>
      </c>
    </row>
    <row r="7" spans="2:2">
      <c r="B7" s="76" t="s">
        <v>233</v>
      </c>
    </row>
    <row r="8" spans="2:2">
      <c r="B8" s="76" t="s">
        <v>234</v>
      </c>
    </row>
    <row r="9" spans="2:2">
      <c r="B9" s="76"/>
    </row>
    <row r="10" spans="2:2">
      <c r="B10" s="75" t="s">
        <v>235</v>
      </c>
    </row>
    <row r="11" spans="2:2">
      <c r="B11" s="76" t="s">
        <v>236</v>
      </c>
    </row>
    <row r="12" spans="2:2">
      <c r="B12" s="76" t="s">
        <v>237</v>
      </c>
    </row>
    <row r="13" spans="2:2">
      <c r="B13" s="76" t="s">
        <v>238</v>
      </c>
    </row>
    <row r="14" spans="2:2">
      <c r="B14" s="76"/>
    </row>
    <row r="15" spans="2:2">
      <c r="B15" s="75" t="s">
        <v>239</v>
      </c>
    </row>
    <row r="16" spans="2:2">
      <c r="B16" s="76" t="s">
        <v>240</v>
      </c>
    </row>
    <row r="17" spans="2:2">
      <c r="B17" s="76" t="s">
        <v>241</v>
      </c>
    </row>
    <row r="18" spans="2:2">
      <c r="B18" s="77"/>
    </row>
    <row r="19" spans="2:2">
      <c r="B19" s="77"/>
    </row>
    <row r="20" spans="2:2" ht="17.45">
      <c r="B20" s="74" t="s">
        <v>242</v>
      </c>
    </row>
    <row r="21" spans="2:2">
      <c r="B21" s="71" t="s">
        <v>243</v>
      </c>
    </row>
    <row r="22" spans="2:2">
      <c r="B22" s="75" t="s">
        <v>244</v>
      </c>
    </row>
    <row r="23" spans="2:2">
      <c r="B23" s="77"/>
    </row>
    <row r="24" spans="2:2">
      <c r="B24" s="75" t="s">
        <v>245</v>
      </c>
    </row>
    <row r="25" spans="2:2">
      <c r="B25" s="76" t="s">
        <v>246</v>
      </c>
    </row>
    <row r="26" spans="2:2">
      <c r="B26" s="76" t="s">
        <v>247</v>
      </c>
    </row>
    <row r="27" spans="2:2">
      <c r="B27" s="76" t="s">
        <v>248</v>
      </c>
    </row>
    <row r="28" spans="2:2">
      <c r="B28" s="76"/>
    </row>
    <row r="29" spans="2:2">
      <c r="B29" s="75" t="s">
        <v>249</v>
      </c>
    </row>
    <row r="30" spans="2:2">
      <c r="B30" s="76" t="s">
        <v>250</v>
      </c>
    </row>
    <row r="31" spans="2:2">
      <c r="B31" s="76" t="s">
        <v>251</v>
      </c>
    </row>
    <row r="32" spans="2:2">
      <c r="B32" s="76" t="s">
        <v>252</v>
      </c>
    </row>
    <row r="33" spans="2:2">
      <c r="B33" s="76"/>
    </row>
    <row r="34" spans="2:2">
      <c r="B34" s="75" t="s">
        <v>253</v>
      </c>
    </row>
    <row r="35" spans="2:2">
      <c r="B35" s="76" t="s">
        <v>254</v>
      </c>
    </row>
    <row r="36" spans="2:2">
      <c r="B36" s="76" t="s">
        <v>255</v>
      </c>
    </row>
    <row r="37" spans="2:2">
      <c r="B37" s="76" t="s">
        <v>256</v>
      </c>
    </row>
    <row r="38" spans="2:2">
      <c r="B38" s="76"/>
    </row>
    <row r="39" spans="2:2">
      <c r="B39" s="76"/>
    </row>
    <row r="40" spans="2:2" ht="17.45">
      <c r="B40" s="74" t="s">
        <v>257</v>
      </c>
    </row>
    <row r="41" spans="2:2">
      <c r="B41" s="71" t="s">
        <v>258</v>
      </c>
    </row>
    <row r="42" spans="2:2">
      <c r="B42" s="75" t="s">
        <v>259</v>
      </c>
    </row>
    <row r="43" spans="2:2">
      <c r="B43" s="77"/>
    </row>
    <row r="44" spans="2:2">
      <c r="B44" s="75" t="s">
        <v>260</v>
      </c>
    </row>
    <row r="45" spans="2:2">
      <c r="B45" s="76" t="s">
        <v>261</v>
      </c>
    </row>
    <row r="46" spans="2:2">
      <c r="B46" s="76" t="s">
        <v>262</v>
      </c>
    </row>
    <row r="47" spans="2:2">
      <c r="B47" s="76" t="s">
        <v>263</v>
      </c>
    </row>
    <row r="48" spans="2:2">
      <c r="B48" s="76"/>
    </row>
    <row r="49" spans="2:2">
      <c r="B49" s="75" t="s">
        <v>264</v>
      </c>
    </row>
    <row r="50" spans="2:2">
      <c r="B50" s="76" t="s">
        <v>265</v>
      </c>
    </row>
    <row r="51" spans="2:2">
      <c r="B51" s="76" t="s">
        <v>266</v>
      </c>
    </row>
    <row r="52" spans="2:2">
      <c r="B52" s="76" t="s">
        <v>267</v>
      </c>
    </row>
    <row r="53" spans="2:2">
      <c r="B53" s="76"/>
    </row>
    <row r="54" spans="2:2">
      <c r="B54" s="75" t="s">
        <v>268</v>
      </c>
    </row>
    <row r="55" spans="2:2">
      <c r="B55" s="76" t="s">
        <v>269</v>
      </c>
    </row>
    <row r="56" spans="2:2">
      <c r="B56" s="76" t="s">
        <v>270</v>
      </c>
    </row>
    <row r="57" spans="2:2">
      <c r="B57" s="76" t="s">
        <v>271</v>
      </c>
    </row>
    <row r="58" spans="2:2">
      <c r="B58" s="76"/>
    </row>
    <row r="59" spans="2:2">
      <c r="B59" s="75" t="s">
        <v>272</v>
      </c>
    </row>
    <row r="60" spans="2:2">
      <c r="B60" s="76" t="s">
        <v>273</v>
      </c>
    </row>
    <row r="61" spans="2:2">
      <c r="B61" s="76" t="s">
        <v>274</v>
      </c>
    </row>
    <row r="62" spans="2:2">
      <c r="B62" s="76" t="s">
        <v>275</v>
      </c>
    </row>
    <row r="63" spans="2:2">
      <c r="B63" s="76" t="s">
        <v>276</v>
      </c>
    </row>
    <row r="64" spans="2:2">
      <c r="B64" s="76"/>
    </row>
    <row r="65" spans="2:2">
      <c r="B65" s="75" t="s">
        <v>277</v>
      </c>
    </row>
    <row r="66" spans="2:2">
      <c r="B66" s="76" t="s">
        <v>278</v>
      </c>
    </row>
    <row r="67" spans="2:2">
      <c r="B67" s="76" t="s">
        <v>279</v>
      </c>
    </row>
    <row r="68" spans="2:2">
      <c r="B68" s="76" t="s">
        <v>280</v>
      </c>
    </row>
    <row r="69" spans="2:2">
      <c r="B69" s="76"/>
    </row>
    <row r="70" spans="2:2">
      <c r="B70" s="76"/>
    </row>
    <row r="71" spans="2:2" ht="17.45">
      <c r="B71" s="74" t="s">
        <v>281</v>
      </c>
    </row>
    <row r="72" spans="2:2">
      <c r="B72" s="71" t="s">
        <v>282</v>
      </c>
    </row>
    <row r="73" spans="2:2">
      <c r="B73" s="75" t="s">
        <v>283</v>
      </c>
    </row>
    <row r="74" spans="2:2">
      <c r="B74" s="77"/>
    </row>
    <row r="75" spans="2:2">
      <c r="B75" s="75" t="s">
        <v>284</v>
      </c>
    </row>
    <row r="76" spans="2:2">
      <c r="B76" s="76" t="s">
        <v>285</v>
      </c>
    </row>
    <row r="77" spans="2:2">
      <c r="B77" s="76" t="s">
        <v>286</v>
      </c>
    </row>
    <row r="78" spans="2:2">
      <c r="B78" s="76" t="s">
        <v>287</v>
      </c>
    </row>
    <row r="79" spans="2:2">
      <c r="B79" s="76"/>
    </row>
    <row r="80" spans="2:2">
      <c r="B80" s="75" t="s">
        <v>288</v>
      </c>
    </row>
    <row r="81" spans="2:2">
      <c r="B81" s="76" t="s">
        <v>289</v>
      </c>
    </row>
    <row r="82" spans="2:2">
      <c r="B82" s="76" t="s">
        <v>290</v>
      </c>
    </row>
    <row r="83" spans="2:2">
      <c r="B83" s="76"/>
    </row>
    <row r="84" spans="2:2">
      <c r="B84" s="75" t="s">
        <v>291</v>
      </c>
    </row>
    <row r="85" spans="2:2">
      <c r="B85" s="76" t="s">
        <v>292</v>
      </c>
    </row>
    <row r="86" spans="2:2">
      <c r="B86" s="76" t="s">
        <v>293</v>
      </c>
    </row>
    <row r="87" spans="2:2">
      <c r="B87" s="76" t="s">
        <v>294</v>
      </c>
    </row>
    <row r="88" spans="2:2">
      <c r="B88" s="78"/>
    </row>
    <row r="89" spans="2:2">
      <c r="B89" s="78"/>
    </row>
    <row r="90" spans="2:2">
      <c r="B90" s="78"/>
    </row>
    <row r="91" spans="2:2">
      <c r="B91" s="78"/>
    </row>
    <row r="92" spans="2:2">
      <c r="B92" s="78"/>
    </row>
    <row r="93" spans="2:2">
      <c r="B93" s="7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zoomScale="55" zoomScaleNormal="55" workbookViewId="0">
      <selection activeCell="C8" sqref="C8"/>
    </sheetView>
  </sheetViews>
  <sheetFormatPr defaultColWidth="11.25" defaultRowHeight="15.6"/>
  <cols>
    <col min="1" max="1" width="4.25" style="1" customWidth="1"/>
    <col min="2" max="2" width="51.5" style="1" customWidth="1"/>
    <col min="3" max="22" width="29.25" style="1" customWidth="1"/>
    <col min="23" max="23" width="57.75" style="1" customWidth="1"/>
  </cols>
  <sheetData>
    <row r="1" spans="2:23" ht="60" customHeight="1">
      <c r="B1" s="33" t="s">
        <v>295</v>
      </c>
    </row>
    <row r="2" spans="2:23" ht="60" customHeight="1">
      <c r="B2" s="62" t="s">
        <v>296</v>
      </c>
      <c r="C2" s="91" t="s">
        <v>297</v>
      </c>
      <c r="D2" s="91"/>
      <c r="E2" s="91"/>
      <c r="F2" s="91"/>
      <c r="G2" s="91" t="s">
        <v>298</v>
      </c>
      <c r="H2" s="91"/>
      <c r="I2" s="91"/>
      <c r="J2" s="91"/>
      <c r="K2" s="91"/>
      <c r="L2" s="91" t="s">
        <v>299</v>
      </c>
      <c r="M2" s="91"/>
      <c r="N2" s="91"/>
      <c r="O2" s="91"/>
      <c r="P2" s="91"/>
      <c r="Q2" s="91"/>
      <c r="R2" s="91"/>
      <c r="S2" s="91" t="s">
        <v>300</v>
      </c>
      <c r="T2" s="91"/>
      <c r="U2" s="91"/>
      <c r="V2" s="91"/>
    </row>
    <row r="3" spans="2:23" ht="60" customHeight="1">
      <c r="B3" s="80" t="s">
        <v>301</v>
      </c>
      <c r="C3" s="63" t="s">
        <v>302</v>
      </c>
      <c r="D3" s="63" t="s">
        <v>303</v>
      </c>
      <c r="E3" s="63" t="s">
        <v>304</v>
      </c>
      <c r="F3" s="63" t="s">
        <v>305</v>
      </c>
      <c r="G3" s="63" t="s">
        <v>306</v>
      </c>
      <c r="H3" s="63" t="s">
        <v>307</v>
      </c>
      <c r="I3" s="63" t="s">
        <v>308</v>
      </c>
      <c r="J3" s="63" t="s">
        <v>309</v>
      </c>
      <c r="K3" s="63" t="s">
        <v>310</v>
      </c>
      <c r="L3" s="63" t="s">
        <v>311</v>
      </c>
      <c r="M3" s="64" t="s">
        <v>312</v>
      </c>
      <c r="N3" s="63" t="s">
        <v>313</v>
      </c>
      <c r="O3" s="63" t="s">
        <v>314</v>
      </c>
      <c r="P3" s="63" t="s">
        <v>315</v>
      </c>
      <c r="Q3" s="63" t="s">
        <v>316</v>
      </c>
      <c r="R3" s="63" t="s">
        <v>317</v>
      </c>
      <c r="S3" s="63" t="s">
        <v>318</v>
      </c>
      <c r="T3" s="63" t="s">
        <v>319</v>
      </c>
      <c r="U3" s="63" t="s">
        <v>320</v>
      </c>
      <c r="V3" s="63" t="s">
        <v>321</v>
      </c>
      <c r="W3" s="80" t="s">
        <v>215</v>
      </c>
    </row>
    <row r="4" spans="2:23" ht="60" customHeight="1">
      <c r="B4" s="80" t="s">
        <v>322</v>
      </c>
      <c r="C4" s="38" t="s">
        <v>45</v>
      </c>
      <c r="D4" s="38" t="s">
        <v>45</v>
      </c>
      <c r="E4" s="38" t="s">
        <v>45</v>
      </c>
      <c r="F4" s="38" t="s">
        <v>45</v>
      </c>
      <c r="G4" s="38" t="s">
        <v>45</v>
      </c>
      <c r="H4" s="38" t="s">
        <v>45</v>
      </c>
      <c r="I4" s="38" t="s">
        <v>45</v>
      </c>
      <c r="J4" s="38" t="s">
        <v>45</v>
      </c>
      <c r="K4" s="38" t="s">
        <v>45</v>
      </c>
      <c r="L4" s="38"/>
      <c r="M4" s="38"/>
      <c r="N4" s="38"/>
      <c r="O4" s="38"/>
      <c r="P4" s="38"/>
      <c r="Q4" s="38"/>
      <c r="R4" s="38"/>
      <c r="S4" s="38" t="s">
        <v>45</v>
      </c>
      <c r="T4" s="38" t="s">
        <v>45</v>
      </c>
      <c r="U4" s="38" t="s">
        <v>45</v>
      </c>
      <c r="V4" s="38" t="s">
        <v>147</v>
      </c>
      <c r="W4" s="57"/>
    </row>
    <row r="5" spans="2:23" ht="60" customHeight="1">
      <c r="B5" s="35" t="s">
        <v>323</v>
      </c>
      <c r="C5" s="38" t="s">
        <v>187</v>
      </c>
      <c r="D5" s="38" t="s">
        <v>187</v>
      </c>
      <c r="E5" s="38" t="s">
        <v>187</v>
      </c>
      <c r="F5" s="38" t="s">
        <v>187</v>
      </c>
      <c r="G5" s="38" t="s">
        <v>187</v>
      </c>
      <c r="H5" s="38" t="s">
        <v>187</v>
      </c>
      <c r="I5" s="38" t="s">
        <v>187</v>
      </c>
      <c r="J5" s="38" t="s">
        <v>187</v>
      </c>
      <c r="K5" s="38" t="s">
        <v>187</v>
      </c>
      <c r="L5" s="38"/>
      <c r="M5" s="38"/>
      <c r="N5" s="38"/>
      <c r="O5" s="38"/>
      <c r="P5" s="38"/>
      <c r="Q5" s="38"/>
      <c r="R5" s="38"/>
      <c r="S5" s="38" t="s">
        <v>187</v>
      </c>
      <c r="T5" s="38" t="s">
        <v>187</v>
      </c>
      <c r="U5" s="38" t="s">
        <v>187</v>
      </c>
      <c r="V5" s="38" t="s">
        <v>137</v>
      </c>
      <c r="W5" s="57"/>
    </row>
    <row r="6" spans="2:23" ht="60" customHeight="1">
      <c r="B6" s="35" t="s">
        <v>324</v>
      </c>
      <c r="C6" s="38" t="s">
        <v>147</v>
      </c>
      <c r="D6" s="38" t="s">
        <v>147</v>
      </c>
      <c r="E6" s="38" t="s">
        <v>147</v>
      </c>
      <c r="F6" s="38" t="s">
        <v>147</v>
      </c>
      <c r="G6" s="38" t="s">
        <v>45</v>
      </c>
      <c r="H6" s="38" t="s">
        <v>45</v>
      </c>
      <c r="I6" s="38" t="s">
        <v>45</v>
      </c>
      <c r="J6" s="38" t="s">
        <v>45</v>
      </c>
      <c r="K6" s="38" t="s">
        <v>147</v>
      </c>
      <c r="L6" s="38"/>
      <c r="M6" s="38"/>
      <c r="N6" s="38"/>
      <c r="O6" s="38"/>
      <c r="P6" s="38"/>
      <c r="Q6" s="38"/>
      <c r="R6" s="38"/>
      <c r="S6" s="38" t="s">
        <v>45</v>
      </c>
      <c r="T6" s="38" t="s">
        <v>45</v>
      </c>
      <c r="U6" s="38" t="s">
        <v>45</v>
      </c>
      <c r="V6" s="38" t="s">
        <v>137</v>
      </c>
      <c r="W6" s="57"/>
    </row>
    <row r="7" spans="2:23" ht="60" customHeight="1">
      <c r="B7" s="35" t="s">
        <v>325</v>
      </c>
      <c r="C7" s="38" t="s">
        <v>45</v>
      </c>
      <c r="D7" s="38" t="s">
        <v>45</v>
      </c>
      <c r="E7" s="38" t="s">
        <v>45</v>
      </c>
      <c r="F7" s="38" t="s">
        <v>45</v>
      </c>
      <c r="G7" s="38" t="s">
        <v>45</v>
      </c>
      <c r="H7" s="38" t="s">
        <v>45</v>
      </c>
      <c r="I7" s="38" t="s">
        <v>45</v>
      </c>
      <c r="J7" s="38" t="s">
        <v>45</v>
      </c>
      <c r="K7" s="38" t="s">
        <v>45</v>
      </c>
      <c r="L7" s="38"/>
      <c r="M7" s="38"/>
      <c r="N7" s="38"/>
      <c r="O7" s="38"/>
      <c r="P7" s="38"/>
      <c r="Q7" s="38"/>
      <c r="R7" s="38"/>
      <c r="S7" s="38" t="s">
        <v>45</v>
      </c>
      <c r="T7" s="38" t="s">
        <v>45</v>
      </c>
      <c r="U7" s="38" t="s">
        <v>45</v>
      </c>
      <c r="V7" s="38" t="s">
        <v>147</v>
      </c>
      <c r="W7" s="57"/>
    </row>
    <row r="8" spans="2:23" ht="60" customHeight="1">
      <c r="B8" s="35" t="s">
        <v>326</v>
      </c>
      <c r="C8" s="38"/>
      <c r="D8" s="38"/>
      <c r="E8" s="38"/>
      <c r="F8" s="38"/>
      <c r="G8" s="38"/>
      <c r="H8" s="38"/>
      <c r="I8" s="38"/>
      <c r="J8" s="38"/>
      <c r="K8" s="38"/>
      <c r="L8" s="38"/>
      <c r="M8" s="38"/>
      <c r="N8" s="38"/>
      <c r="O8" s="38"/>
      <c r="P8" s="38"/>
      <c r="Q8" s="38"/>
      <c r="R8" s="38"/>
      <c r="S8" s="38"/>
      <c r="T8" s="38"/>
      <c r="U8" s="38"/>
      <c r="V8" s="38"/>
      <c r="W8" s="57"/>
    </row>
    <row r="9" spans="2:23" ht="60" customHeight="1">
      <c r="B9" s="35" t="s">
        <v>327</v>
      </c>
      <c r="C9" s="38" t="s">
        <v>328</v>
      </c>
      <c r="D9" s="38" t="s">
        <v>329</v>
      </c>
      <c r="E9" s="38" t="s">
        <v>328</v>
      </c>
      <c r="F9" s="38" t="s">
        <v>328</v>
      </c>
      <c r="G9" s="38" t="s">
        <v>329</v>
      </c>
      <c r="H9" s="38" t="s">
        <v>329</v>
      </c>
      <c r="I9" s="38" t="s">
        <v>329</v>
      </c>
      <c r="J9" s="38" t="s">
        <v>328</v>
      </c>
      <c r="K9" s="38" t="s">
        <v>328</v>
      </c>
      <c r="L9" s="38"/>
      <c r="M9" s="38"/>
      <c r="N9" s="38"/>
      <c r="O9" s="38"/>
      <c r="P9" s="38"/>
      <c r="Q9" s="38"/>
      <c r="R9" s="38"/>
      <c r="S9" s="38" t="s">
        <v>329</v>
      </c>
      <c r="T9" s="38" t="s">
        <v>329</v>
      </c>
      <c r="U9" s="38" t="s">
        <v>329</v>
      </c>
      <c r="V9" s="38" t="s">
        <v>137</v>
      </c>
      <c r="W9" s="57"/>
    </row>
    <row r="10" spans="2:23" ht="60" customHeight="1">
      <c r="B10" s="35" t="s">
        <v>330</v>
      </c>
      <c r="C10" s="38"/>
      <c r="D10" s="38" t="s">
        <v>331</v>
      </c>
      <c r="E10" s="38" t="s">
        <v>332</v>
      </c>
      <c r="F10" s="38" t="s">
        <v>333</v>
      </c>
      <c r="G10" s="38" t="s">
        <v>334</v>
      </c>
      <c r="H10" s="38" t="s">
        <v>335</v>
      </c>
      <c r="I10" s="38" t="s">
        <v>336</v>
      </c>
      <c r="J10" s="38" t="s">
        <v>337</v>
      </c>
      <c r="K10" s="38" t="s">
        <v>338</v>
      </c>
      <c r="L10" s="38"/>
      <c r="M10" s="38"/>
      <c r="N10" s="38"/>
      <c r="O10" s="38"/>
      <c r="P10" s="38"/>
      <c r="Q10" s="38"/>
      <c r="R10" s="38"/>
      <c r="S10" s="38" t="s">
        <v>339</v>
      </c>
      <c r="T10" s="38" t="s">
        <v>339</v>
      </c>
      <c r="U10" s="38"/>
      <c r="V10" s="38"/>
      <c r="W10" s="57"/>
    </row>
    <row r="11" spans="2:23" ht="60" customHeight="1">
      <c r="B11" s="35" t="s">
        <v>340</v>
      </c>
      <c r="C11" s="38" t="s">
        <v>341</v>
      </c>
      <c r="D11" s="38" t="s">
        <v>341</v>
      </c>
      <c r="E11" s="38" t="s">
        <v>341</v>
      </c>
      <c r="F11" s="38" t="s">
        <v>341</v>
      </c>
      <c r="G11" s="65" t="s">
        <v>341</v>
      </c>
      <c r="H11" s="38" t="s">
        <v>341</v>
      </c>
      <c r="I11" s="38" t="s">
        <v>341</v>
      </c>
      <c r="J11" s="38" t="s">
        <v>341</v>
      </c>
      <c r="K11" s="38" t="s">
        <v>341</v>
      </c>
      <c r="L11" s="38"/>
      <c r="M11" s="38"/>
      <c r="N11" s="38"/>
      <c r="O11" s="38"/>
      <c r="P11" s="38"/>
      <c r="Q11" s="38"/>
      <c r="R11" s="38"/>
      <c r="S11" s="38" t="s">
        <v>341</v>
      </c>
      <c r="T11" s="38" t="s">
        <v>341</v>
      </c>
      <c r="U11" s="38" t="s">
        <v>341</v>
      </c>
      <c r="V11" s="38" t="s">
        <v>137</v>
      </c>
      <c r="W11" s="57"/>
    </row>
    <row r="12" spans="2:23" ht="60" customHeight="1">
      <c r="B12" s="80" t="s">
        <v>342</v>
      </c>
      <c r="C12" s="38" t="s">
        <v>343</v>
      </c>
      <c r="D12" s="38" t="s">
        <v>343</v>
      </c>
      <c r="E12" s="38" t="s">
        <v>343</v>
      </c>
      <c r="F12" s="38" t="s">
        <v>343</v>
      </c>
      <c r="G12" s="38" t="s">
        <v>343</v>
      </c>
      <c r="H12" s="38" t="s">
        <v>343</v>
      </c>
      <c r="I12" s="38" t="s">
        <v>343</v>
      </c>
      <c r="J12" s="38" t="s">
        <v>343</v>
      </c>
      <c r="K12" s="38" t="s">
        <v>343</v>
      </c>
      <c r="L12" s="38"/>
      <c r="M12" s="38"/>
      <c r="N12" s="38"/>
      <c r="O12" s="38"/>
      <c r="P12" s="38"/>
      <c r="Q12" s="38"/>
      <c r="R12" s="38"/>
      <c r="S12" s="38" t="s">
        <v>343</v>
      </c>
      <c r="T12" s="38" t="s">
        <v>343</v>
      </c>
      <c r="U12" s="38" t="s">
        <v>343</v>
      </c>
      <c r="V12" s="38" t="s">
        <v>137</v>
      </c>
      <c r="W12" s="57"/>
    </row>
    <row r="13" spans="2:23" ht="60" customHeight="1">
      <c r="B13" s="35" t="s">
        <v>344</v>
      </c>
      <c r="C13" s="38" t="s">
        <v>345</v>
      </c>
      <c r="D13" s="38" t="s">
        <v>345</v>
      </c>
      <c r="E13" s="38" t="s">
        <v>345</v>
      </c>
      <c r="F13" s="38" t="s">
        <v>345</v>
      </c>
      <c r="G13" s="38" t="s">
        <v>345</v>
      </c>
      <c r="H13" s="38" t="s">
        <v>345</v>
      </c>
      <c r="I13" s="38" t="s">
        <v>345</v>
      </c>
      <c r="J13" s="38" t="s">
        <v>345</v>
      </c>
      <c r="K13" s="38" t="s">
        <v>345</v>
      </c>
      <c r="L13" s="38"/>
      <c r="M13" s="38"/>
      <c r="N13" s="38"/>
      <c r="O13" s="38"/>
      <c r="P13" s="38"/>
      <c r="Q13" s="38"/>
      <c r="R13" s="38"/>
      <c r="S13" s="38" t="s">
        <v>345</v>
      </c>
      <c r="T13" s="38" t="s">
        <v>345</v>
      </c>
      <c r="U13" s="38" t="s">
        <v>345</v>
      </c>
      <c r="V13" s="38" t="s">
        <v>137</v>
      </c>
      <c r="W13" s="57"/>
    </row>
    <row r="14" spans="2:23" ht="60" customHeight="1">
      <c r="B14" s="80" t="s">
        <v>346</v>
      </c>
      <c r="C14" s="38" t="s">
        <v>137</v>
      </c>
      <c r="D14" s="38" t="s">
        <v>137</v>
      </c>
      <c r="E14" s="38" t="s">
        <v>137</v>
      </c>
      <c r="F14" s="38" t="s">
        <v>137</v>
      </c>
      <c r="G14" s="38" t="s">
        <v>137</v>
      </c>
      <c r="H14" s="38" t="s">
        <v>137</v>
      </c>
      <c r="I14" s="38" t="s">
        <v>137</v>
      </c>
      <c r="J14" s="38" t="s">
        <v>137</v>
      </c>
      <c r="K14" s="38" t="s">
        <v>137</v>
      </c>
      <c r="L14" s="38" t="s">
        <v>137</v>
      </c>
      <c r="M14" s="38" t="s">
        <v>137</v>
      </c>
      <c r="N14" s="38" t="s">
        <v>137</v>
      </c>
      <c r="O14" s="38" t="s">
        <v>137</v>
      </c>
      <c r="P14" s="38" t="s">
        <v>137</v>
      </c>
      <c r="Q14" s="38" t="s">
        <v>137</v>
      </c>
      <c r="R14" s="38" t="s">
        <v>137</v>
      </c>
      <c r="S14" s="38" t="s">
        <v>137</v>
      </c>
      <c r="T14" s="38" t="s">
        <v>137</v>
      </c>
      <c r="U14" s="38" t="s">
        <v>137</v>
      </c>
      <c r="V14" s="38" t="s">
        <v>137</v>
      </c>
      <c r="W14" s="57"/>
    </row>
    <row r="15" spans="2:23" ht="60" customHeight="1">
      <c r="B15" s="80" t="s">
        <v>347</v>
      </c>
      <c r="C15" s="38" t="s">
        <v>137</v>
      </c>
      <c r="D15" s="38" t="s">
        <v>137</v>
      </c>
      <c r="E15" s="38" t="s">
        <v>137</v>
      </c>
      <c r="F15" s="38" t="s">
        <v>137</v>
      </c>
      <c r="G15" s="38" t="s">
        <v>137</v>
      </c>
      <c r="H15" s="38" t="s">
        <v>137</v>
      </c>
      <c r="I15" s="38" t="s">
        <v>137</v>
      </c>
      <c r="J15" s="38" t="s">
        <v>137</v>
      </c>
      <c r="K15" s="38" t="s">
        <v>137</v>
      </c>
      <c r="L15" s="38" t="s">
        <v>137</v>
      </c>
      <c r="M15" s="38" t="s">
        <v>137</v>
      </c>
      <c r="N15" s="38" t="s">
        <v>137</v>
      </c>
      <c r="O15" s="38" t="s">
        <v>137</v>
      </c>
      <c r="P15" s="38" t="s">
        <v>137</v>
      </c>
      <c r="Q15" s="38" t="s">
        <v>137</v>
      </c>
      <c r="R15" s="38" t="s">
        <v>137</v>
      </c>
      <c r="S15" s="38" t="s">
        <v>137</v>
      </c>
      <c r="T15" s="38" t="s">
        <v>137</v>
      </c>
      <c r="U15" s="38" t="s">
        <v>137</v>
      </c>
      <c r="V15" s="38" t="s">
        <v>137</v>
      </c>
      <c r="W15" s="57"/>
    </row>
    <row r="16" spans="2:23" ht="60" customHeight="1">
      <c r="B16" s="35" t="s">
        <v>348</v>
      </c>
      <c r="C16" s="38" t="s">
        <v>137</v>
      </c>
      <c r="D16" s="38" t="s">
        <v>137</v>
      </c>
      <c r="E16" s="38" t="s">
        <v>137</v>
      </c>
      <c r="F16" s="38" t="s">
        <v>137</v>
      </c>
      <c r="G16" s="38" t="s">
        <v>137</v>
      </c>
      <c r="H16" s="38" t="s">
        <v>137</v>
      </c>
      <c r="I16" s="38" t="s">
        <v>137</v>
      </c>
      <c r="J16" s="38" t="s">
        <v>137</v>
      </c>
      <c r="K16" s="38" t="s">
        <v>137</v>
      </c>
      <c r="L16" s="38" t="s">
        <v>137</v>
      </c>
      <c r="M16" s="38" t="s">
        <v>137</v>
      </c>
      <c r="N16" s="38" t="s">
        <v>137</v>
      </c>
      <c r="O16" s="38" t="s">
        <v>137</v>
      </c>
      <c r="P16" s="38" t="s">
        <v>137</v>
      </c>
      <c r="Q16" s="38" t="s">
        <v>137</v>
      </c>
      <c r="R16" s="38" t="s">
        <v>137</v>
      </c>
      <c r="S16" s="38" t="s">
        <v>137</v>
      </c>
      <c r="T16" s="38" t="s">
        <v>137</v>
      </c>
      <c r="U16" s="38" t="s">
        <v>137</v>
      </c>
      <c r="V16" s="38" t="s">
        <v>137</v>
      </c>
      <c r="W16" s="57"/>
    </row>
    <row r="17" spans="2:23" ht="60" customHeight="1">
      <c r="B17" s="80" t="s">
        <v>349</v>
      </c>
      <c r="C17" s="38" t="s">
        <v>137</v>
      </c>
      <c r="D17" s="38" t="s">
        <v>137</v>
      </c>
      <c r="E17" s="38" t="s">
        <v>137</v>
      </c>
      <c r="F17" s="38" t="s">
        <v>137</v>
      </c>
      <c r="G17" s="38" t="s">
        <v>137</v>
      </c>
      <c r="H17" s="38" t="s">
        <v>137</v>
      </c>
      <c r="I17" s="38" t="s">
        <v>137</v>
      </c>
      <c r="J17" s="38" t="s">
        <v>137</v>
      </c>
      <c r="K17" s="38" t="s">
        <v>137</v>
      </c>
      <c r="L17" s="38" t="s">
        <v>137</v>
      </c>
      <c r="M17" s="38" t="s">
        <v>137</v>
      </c>
      <c r="N17" s="38" t="s">
        <v>137</v>
      </c>
      <c r="O17" s="38" t="s">
        <v>137</v>
      </c>
      <c r="P17" s="38" t="s">
        <v>137</v>
      </c>
      <c r="Q17" s="38" t="s">
        <v>137</v>
      </c>
      <c r="R17" s="38" t="s">
        <v>137</v>
      </c>
      <c r="S17" s="38" t="s">
        <v>137</v>
      </c>
      <c r="T17" s="38" t="s">
        <v>137</v>
      </c>
      <c r="U17" s="38" t="s">
        <v>137</v>
      </c>
      <c r="V17" s="38" t="s">
        <v>137</v>
      </c>
      <c r="W17" s="57"/>
    </row>
    <row r="18" spans="2:23" ht="60" customHeight="1">
      <c r="B18" s="80" t="s">
        <v>350</v>
      </c>
      <c r="C18" s="38" t="s">
        <v>137</v>
      </c>
      <c r="D18" s="38" t="s">
        <v>137</v>
      </c>
      <c r="E18" s="38" t="s">
        <v>137</v>
      </c>
      <c r="F18" s="38" t="s">
        <v>137</v>
      </c>
      <c r="G18" s="38" t="s">
        <v>137</v>
      </c>
      <c r="H18" s="38" t="s">
        <v>137</v>
      </c>
      <c r="I18" s="38" t="s">
        <v>137</v>
      </c>
      <c r="J18" s="38" t="s">
        <v>137</v>
      </c>
      <c r="K18" s="38" t="s">
        <v>137</v>
      </c>
      <c r="L18" s="38" t="s">
        <v>137</v>
      </c>
      <c r="M18" s="38" t="s">
        <v>137</v>
      </c>
      <c r="N18" s="38" t="s">
        <v>137</v>
      </c>
      <c r="O18" s="38" t="s">
        <v>137</v>
      </c>
      <c r="P18" s="38" t="s">
        <v>137</v>
      </c>
      <c r="Q18" s="38" t="s">
        <v>137</v>
      </c>
      <c r="R18" s="38" t="s">
        <v>137</v>
      </c>
      <c r="S18" s="38" t="s">
        <v>137</v>
      </c>
      <c r="T18" s="38" t="s">
        <v>137</v>
      </c>
      <c r="U18" s="38" t="s">
        <v>137</v>
      </c>
      <c r="V18" s="38" t="s">
        <v>137</v>
      </c>
      <c r="W18" s="57"/>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2:B49"/>
  <sheetViews>
    <sheetView showGridLines="0" zoomScale="85" zoomScaleNormal="85" workbookViewId="0">
      <selection activeCell="J17" sqref="J17"/>
    </sheetView>
  </sheetViews>
  <sheetFormatPr defaultColWidth="10.75" defaultRowHeight="15.6"/>
  <cols>
    <col min="1" max="1" width="5.5" customWidth="1"/>
  </cols>
  <sheetData>
    <row r="2" spans="2:2" ht="17.45">
      <c r="B2" s="74" t="s">
        <v>351</v>
      </c>
    </row>
    <row r="3" spans="2:2">
      <c r="B3" s="71" t="s">
        <v>352</v>
      </c>
    </row>
    <row r="4" spans="2:2">
      <c r="B4" s="71" t="s">
        <v>353</v>
      </c>
    </row>
    <row r="5" spans="2:2">
      <c r="B5" s="71" t="s">
        <v>354</v>
      </c>
    </row>
    <row r="6" spans="2:2">
      <c r="B6" s="73" t="s">
        <v>355</v>
      </c>
    </row>
    <row r="7" spans="2:2">
      <c r="B7" s="73" t="s">
        <v>356</v>
      </c>
    </row>
    <row r="8" spans="2:2">
      <c r="B8" s="73" t="s">
        <v>357</v>
      </c>
    </row>
    <row r="9" spans="2:2">
      <c r="B9" s="73" t="s">
        <v>358</v>
      </c>
    </row>
    <row r="10" spans="2:2">
      <c r="B10" s="72"/>
    </row>
    <row r="11" spans="2:2" ht="17.45">
      <c r="B11" s="74" t="s">
        <v>359</v>
      </c>
    </row>
    <row r="12" spans="2:2">
      <c r="B12" s="71" t="s">
        <v>360</v>
      </c>
    </row>
    <row r="13" spans="2:2">
      <c r="B13" s="71" t="s">
        <v>361</v>
      </c>
    </row>
    <row r="14" spans="2:2">
      <c r="B14" s="71" t="s">
        <v>354</v>
      </c>
    </row>
    <row r="15" spans="2:2">
      <c r="B15" s="73" t="s">
        <v>362</v>
      </c>
    </row>
    <row r="16" spans="2:2">
      <c r="B16" s="73" t="s">
        <v>363</v>
      </c>
    </row>
    <row r="17" spans="2:2">
      <c r="B17" s="73" t="s">
        <v>364</v>
      </c>
    </row>
    <row r="18" spans="2:2">
      <c r="B18" s="73" t="s">
        <v>365</v>
      </c>
    </row>
    <row r="19" spans="2:2">
      <c r="B19" s="73"/>
    </row>
    <row r="20" spans="2:2" ht="17.45">
      <c r="B20" s="74" t="s">
        <v>366</v>
      </c>
    </row>
    <row r="21" spans="2:2">
      <c r="B21" s="71" t="s">
        <v>367</v>
      </c>
    </row>
    <row r="22" spans="2:2">
      <c r="B22" s="71" t="s">
        <v>368</v>
      </c>
    </row>
    <row r="23" spans="2:2">
      <c r="B23" s="71" t="s">
        <v>354</v>
      </c>
    </row>
    <row r="24" spans="2:2">
      <c r="B24" s="73" t="s">
        <v>369</v>
      </c>
    </row>
    <row r="25" spans="2:2">
      <c r="B25" s="73" t="s">
        <v>370</v>
      </c>
    </row>
    <row r="26" spans="2:2">
      <c r="B26" s="73" t="s">
        <v>371</v>
      </c>
    </row>
    <row r="27" spans="2:2">
      <c r="B27" s="73" t="s">
        <v>372</v>
      </c>
    </row>
    <row r="28" spans="2:2">
      <c r="B28" s="73"/>
    </row>
    <row r="29" spans="2:2" ht="17.45">
      <c r="B29" s="74" t="s">
        <v>373</v>
      </c>
    </row>
    <row r="30" spans="2:2">
      <c r="B30" s="71" t="s">
        <v>374</v>
      </c>
    </row>
    <row r="31" spans="2:2">
      <c r="B31" s="71" t="s">
        <v>375</v>
      </c>
    </row>
    <row r="32" spans="2:2">
      <c r="B32" s="71" t="s">
        <v>354</v>
      </c>
    </row>
    <row r="33" spans="2:2">
      <c r="B33" s="73" t="s">
        <v>376</v>
      </c>
    </row>
    <row r="34" spans="2:2">
      <c r="B34" s="73" t="s">
        <v>377</v>
      </c>
    </row>
    <row r="35" spans="2:2">
      <c r="B35" s="73"/>
    </row>
    <row r="36" spans="2:2" ht="17.45">
      <c r="B36" s="74" t="s">
        <v>378</v>
      </c>
    </row>
    <row r="37" spans="2:2">
      <c r="B37" s="71" t="s">
        <v>379</v>
      </c>
    </row>
    <row r="38" spans="2:2">
      <c r="B38" s="71" t="s">
        <v>380</v>
      </c>
    </row>
    <row r="39" spans="2:2">
      <c r="B39" s="71" t="s">
        <v>354</v>
      </c>
    </row>
    <row r="40" spans="2:2">
      <c r="B40" s="73" t="s">
        <v>381</v>
      </c>
    </row>
    <row r="41" spans="2:2">
      <c r="B41" s="73" t="s">
        <v>382</v>
      </c>
    </row>
    <row r="42" spans="2:2">
      <c r="B42" s="73"/>
    </row>
    <row r="43" spans="2:2" ht="17.45">
      <c r="B43" s="74" t="s">
        <v>383</v>
      </c>
    </row>
    <row r="44" spans="2:2">
      <c r="B44" s="71" t="s">
        <v>384</v>
      </c>
    </row>
    <row r="45" spans="2:2">
      <c r="B45" s="71" t="s">
        <v>385</v>
      </c>
    </row>
    <row r="46" spans="2:2">
      <c r="B46" s="71" t="s">
        <v>354</v>
      </c>
    </row>
    <row r="47" spans="2:2">
      <c r="B47" s="73" t="s">
        <v>386</v>
      </c>
    </row>
    <row r="48" spans="2:2">
      <c r="B48" s="73" t="s">
        <v>387</v>
      </c>
    </row>
    <row r="49" spans="2:2">
      <c r="B49" s="73" t="s">
        <v>388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55" zoomScaleNormal="55" workbookViewId="0">
      <selection activeCell="B11" sqref="B11"/>
    </sheetView>
  </sheetViews>
  <sheetFormatPr defaultColWidth="10.75" defaultRowHeight="20.45"/>
  <cols>
    <col min="1" max="1" width="4.25" style="52" customWidth="1"/>
    <col min="2" max="2" width="200.75" style="10" customWidth="1"/>
    <col min="3" max="3" width="67.5" style="13" customWidth="1"/>
    <col min="4" max="16384" width="10.75" style="46"/>
  </cols>
  <sheetData>
    <row r="2" spans="2:4" ht="21">
      <c r="B2" s="8" t="s">
        <v>389</v>
      </c>
      <c r="C2" s="11"/>
    </row>
    <row r="3" spans="2:4" ht="21">
      <c r="B3" s="40" t="s">
        <v>390</v>
      </c>
      <c r="C3" s="54"/>
    </row>
    <row r="4" spans="2:4" ht="21">
      <c r="B4" s="53" t="s">
        <v>391</v>
      </c>
      <c r="C4" s="54"/>
    </row>
    <row r="5" spans="2:4" ht="81.599999999999994">
      <c r="B5" s="51" t="s">
        <v>392</v>
      </c>
      <c r="C5" s="45" t="s">
        <v>45</v>
      </c>
      <c r="D5" s="47" t="s">
        <v>393</v>
      </c>
    </row>
    <row r="6" spans="2:4" ht="21">
      <c r="B6" s="53" t="s">
        <v>394</v>
      </c>
      <c r="C6" s="54"/>
      <c r="D6" s="47"/>
    </row>
    <row r="7" spans="2:4" ht="61.15">
      <c r="B7" s="51" t="s">
        <v>395</v>
      </c>
      <c r="C7" s="45" t="s">
        <v>45</v>
      </c>
      <c r="D7" s="47" t="s">
        <v>396</v>
      </c>
    </row>
    <row r="8" spans="2:4" ht="21">
      <c r="B8" s="53" t="s">
        <v>397</v>
      </c>
      <c r="C8" s="54"/>
    </row>
    <row r="9" spans="2:4" ht="61.15">
      <c r="B9" s="51" t="s">
        <v>398</v>
      </c>
      <c r="C9" s="45" t="s">
        <v>45</v>
      </c>
    </row>
    <row r="10" spans="2:4" ht="21">
      <c r="B10" s="53" t="s">
        <v>399</v>
      </c>
      <c r="C10" s="54"/>
    </row>
    <row r="11" spans="2:4" ht="61.15">
      <c r="B11" s="51" t="s">
        <v>400</v>
      </c>
      <c r="C11" s="45" t="s">
        <v>45</v>
      </c>
    </row>
    <row r="12" spans="2:4" ht="21">
      <c r="B12" s="40" t="s">
        <v>401</v>
      </c>
      <c r="C12" s="54"/>
    </row>
    <row r="13" spans="2:4" ht="21">
      <c r="B13" s="53" t="s">
        <v>402</v>
      </c>
      <c r="C13" s="54"/>
    </row>
    <row r="14" spans="2:4" ht="61.15">
      <c r="B14" s="51" t="s">
        <v>403</v>
      </c>
      <c r="C14" s="45" t="s">
        <v>45</v>
      </c>
    </row>
    <row r="15" spans="2:4" ht="21">
      <c r="B15" s="53" t="s">
        <v>404</v>
      </c>
      <c r="C15" s="54"/>
    </row>
    <row r="16" spans="2:4" ht="61.15">
      <c r="B16" s="51" t="s">
        <v>405</v>
      </c>
      <c r="C16" s="45" t="s">
        <v>45</v>
      </c>
    </row>
    <row r="17" spans="2:3" ht="21">
      <c r="B17" s="53" t="s">
        <v>406</v>
      </c>
      <c r="C17" s="54"/>
    </row>
    <row r="18" spans="2:3" ht="61.15">
      <c r="B18" s="51" t="s">
        <v>407</v>
      </c>
      <c r="C18" s="45" t="s">
        <v>45</v>
      </c>
    </row>
    <row r="19" spans="2:3" ht="21">
      <c r="B19" s="53" t="s">
        <v>408</v>
      </c>
      <c r="C19" s="54"/>
    </row>
    <row r="20" spans="2:3" ht="61.15">
      <c r="B20" s="51" t="s">
        <v>409</v>
      </c>
      <c r="C20" s="45" t="s">
        <v>45</v>
      </c>
    </row>
    <row r="21" spans="2:3" ht="21">
      <c r="B21" s="53" t="s">
        <v>410</v>
      </c>
      <c r="C21" s="54"/>
    </row>
    <row r="22" spans="2:3" ht="81.599999999999994">
      <c r="B22" s="51" t="s">
        <v>411</v>
      </c>
      <c r="C22" s="45" t="s">
        <v>45</v>
      </c>
    </row>
    <row r="23" spans="2:3" ht="21">
      <c r="B23" s="53" t="s">
        <v>412</v>
      </c>
      <c r="C23" s="54"/>
    </row>
    <row r="24" spans="2:3" ht="102">
      <c r="B24" s="51" t="s">
        <v>413</v>
      </c>
      <c r="C24" s="45" t="s">
        <v>45</v>
      </c>
    </row>
    <row r="25" spans="2:3" ht="21">
      <c r="B25" s="53" t="s">
        <v>414</v>
      </c>
      <c r="C25" s="54"/>
    </row>
    <row r="26" spans="2:3" ht="81.599999999999994">
      <c r="B26" s="51" t="s">
        <v>415</v>
      </c>
      <c r="C26" s="45" t="s">
        <v>45</v>
      </c>
    </row>
    <row r="27" spans="2:3" ht="21">
      <c r="B27" s="53" t="s">
        <v>416</v>
      </c>
      <c r="C27" s="54"/>
    </row>
    <row r="28" spans="2:3" ht="81.599999999999994">
      <c r="B28" s="51" t="s">
        <v>417</v>
      </c>
      <c r="C28" s="45" t="s">
        <v>45</v>
      </c>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75" defaultRowHeight="15"/>
  <cols>
    <col min="1" max="1" width="14.75" style="1" bestFit="1" customWidth="1"/>
    <col min="2" max="2" width="10.75" style="1"/>
    <col min="3" max="3" width="60" style="1" bestFit="1" customWidth="1"/>
    <col min="4" max="4" width="10.75" style="1"/>
    <col min="5" max="5" width="7.25" style="1" bestFit="1" customWidth="1"/>
    <col min="6" max="6" width="10.75" style="1"/>
    <col min="7" max="7" width="17" style="1" bestFit="1" customWidth="1"/>
    <col min="8" max="8" width="21" style="1" customWidth="1"/>
    <col min="9" max="10" width="10.75" style="1"/>
    <col min="11" max="11" width="12" style="1" customWidth="1"/>
    <col min="12" max="16384" width="10.75" style="1"/>
  </cols>
  <sheetData>
    <row r="1" spans="1:7" ht="15.6">
      <c r="A1" s="1" t="s">
        <v>418</v>
      </c>
      <c r="C1" s="7" t="s">
        <v>419</v>
      </c>
      <c r="E1" s="5" t="s">
        <v>420</v>
      </c>
      <c r="G1" s="5" t="s">
        <v>421</v>
      </c>
    </row>
    <row r="2" spans="1:7">
      <c r="A2" s="1" t="s">
        <v>57</v>
      </c>
      <c r="C2" s="1" t="s">
        <v>422</v>
      </c>
      <c r="E2" s="1" t="s">
        <v>45</v>
      </c>
      <c r="G2" s="1" t="s">
        <v>423</v>
      </c>
    </row>
    <row r="3" spans="1:7">
      <c r="A3" s="1" t="s">
        <v>424</v>
      </c>
      <c r="C3" s="1" t="s">
        <v>318</v>
      </c>
      <c r="E3" s="1" t="s">
        <v>147</v>
      </c>
      <c r="G3" s="1" t="s">
        <v>425</v>
      </c>
    </row>
    <row r="4" spans="1:7">
      <c r="C4" s="1" t="s">
        <v>426</v>
      </c>
      <c r="G4" s="1" t="s">
        <v>427</v>
      </c>
    </row>
    <row r="5" spans="1:7">
      <c r="C5" s="1" t="s">
        <v>428</v>
      </c>
      <c r="G5" s="1" t="s">
        <v>429</v>
      </c>
    </row>
    <row r="6" spans="1:7">
      <c r="C6" s="1" t="s">
        <v>430</v>
      </c>
      <c r="G6" s="1" t="s">
        <v>431</v>
      </c>
    </row>
    <row r="7" spans="1:7">
      <c r="C7" s="1" t="s">
        <v>432</v>
      </c>
      <c r="G7" s="1" t="s">
        <v>193</v>
      </c>
    </row>
    <row r="8" spans="1:7">
      <c r="C8" s="1" t="s">
        <v>433</v>
      </c>
      <c r="G8" s="1" t="s">
        <v>434</v>
      </c>
    </row>
    <row r="9" spans="1:7">
      <c r="C9" s="1" t="s">
        <v>435</v>
      </c>
      <c r="G9" s="1" t="s">
        <v>436</v>
      </c>
    </row>
    <row r="10" spans="1:7">
      <c r="C10" s="1" t="s">
        <v>437</v>
      </c>
      <c r="G10" s="1" t="s">
        <v>438</v>
      </c>
    </row>
    <row r="11" spans="1:7">
      <c r="C11" s="1" t="s">
        <v>439</v>
      </c>
      <c r="G11" s="1" t="s">
        <v>440</v>
      </c>
    </row>
    <row r="12" spans="1:7">
      <c r="C12" s="1" t="s">
        <v>441</v>
      </c>
      <c r="G12" s="1" t="s">
        <v>442</v>
      </c>
    </row>
    <row r="13" spans="1:7">
      <c r="C13" s="1" t="s">
        <v>306</v>
      </c>
      <c r="G13" s="1" t="s">
        <v>443</v>
      </c>
    </row>
    <row r="14" spans="1:7">
      <c r="C14" s="1" t="s">
        <v>444</v>
      </c>
      <c r="G14" s="1" t="s">
        <v>445</v>
      </c>
    </row>
    <row r="15" spans="1:7">
      <c r="C15" s="1" t="s">
        <v>446</v>
      </c>
      <c r="G15" s="1" t="s">
        <v>447</v>
      </c>
    </row>
    <row r="16" spans="1:7">
      <c r="C16" s="1" t="s">
        <v>448</v>
      </c>
      <c r="G16" s="1" t="s">
        <v>449</v>
      </c>
    </row>
    <row r="17" spans="3:7">
      <c r="C17" s="1" t="s">
        <v>450</v>
      </c>
      <c r="G17" s="1" t="s">
        <v>451</v>
      </c>
    </row>
    <row r="18" spans="3:7">
      <c r="C18" s="1" t="s">
        <v>452</v>
      </c>
      <c r="G18" s="1" t="s">
        <v>453</v>
      </c>
    </row>
    <row r="19" spans="3:7">
      <c r="C19" s="1" t="s">
        <v>454</v>
      </c>
      <c r="G19" s="1" t="s">
        <v>455</v>
      </c>
    </row>
    <row r="20" spans="3:7">
      <c r="C20" s="1" t="s">
        <v>456</v>
      </c>
      <c r="G20" s="1" t="s">
        <v>457</v>
      </c>
    </row>
    <row r="21" spans="3:7">
      <c r="C21" s="1" t="s">
        <v>458</v>
      </c>
      <c r="G21" s="1" t="s">
        <v>459</v>
      </c>
    </row>
    <row r="22" spans="3:7">
      <c r="G22" s="1" t="s">
        <v>460</v>
      </c>
    </row>
    <row r="23" spans="3:7">
      <c r="G23" s="1" t="s">
        <v>461</v>
      </c>
    </row>
    <row r="24" spans="3:7">
      <c r="G24" s="1" t="s">
        <v>462</v>
      </c>
    </row>
    <row r="25" spans="3:7">
      <c r="G25" s="1" t="s">
        <v>463</v>
      </c>
    </row>
    <row r="26" spans="3:7">
      <c r="G26" s="1" t="s">
        <v>464</v>
      </c>
    </row>
    <row r="27" spans="3:7">
      <c r="G27" s="1" t="s">
        <v>465</v>
      </c>
    </row>
    <row r="28" spans="3:7">
      <c r="G28" s="1" t="s">
        <v>466</v>
      </c>
    </row>
    <row r="29" spans="3:7">
      <c r="G29" s="1" t="s">
        <v>467</v>
      </c>
    </row>
    <row r="30" spans="3:7">
      <c r="G30" s="1" t="s">
        <v>468</v>
      </c>
    </row>
    <row r="31" spans="3:7">
      <c r="G31" s="1" t="s">
        <v>53</v>
      </c>
    </row>
    <row r="32" spans="3:7">
      <c r="G32" s="1" t="s">
        <v>469</v>
      </c>
    </row>
    <row r="33" spans="7:7">
      <c r="G33" s="1" t="s">
        <v>470</v>
      </c>
    </row>
    <row r="34" spans="7:7">
      <c r="G34" s="1" t="s">
        <v>471</v>
      </c>
    </row>
    <row r="35" spans="7:7">
      <c r="G35" s="1" t="s">
        <v>472</v>
      </c>
    </row>
    <row r="36" spans="7:7">
      <c r="G36" s="1" t="s">
        <v>473</v>
      </c>
    </row>
    <row r="37" spans="7:7">
      <c r="G37" s="1" t="s">
        <v>474</v>
      </c>
    </row>
    <row r="38" spans="7:7">
      <c r="G38" s="1" t="s">
        <v>475</v>
      </c>
    </row>
    <row r="39" spans="7:7">
      <c r="G39" s="1" t="s">
        <v>476</v>
      </c>
    </row>
    <row r="40" spans="7:7">
      <c r="G40" s="1" t="s">
        <v>477</v>
      </c>
    </row>
    <row r="41" spans="7:7">
      <c r="G41" s="1" t="s">
        <v>478</v>
      </c>
    </row>
    <row r="42" spans="7:7">
      <c r="G42" s="1" t="s">
        <v>479</v>
      </c>
    </row>
    <row r="43" spans="7:7">
      <c r="G43" s="1" t="s">
        <v>480</v>
      </c>
    </row>
    <row r="44" spans="7:7">
      <c r="G44" s="1" t="s">
        <v>481</v>
      </c>
    </row>
    <row r="45" spans="7:7">
      <c r="G45" s="1" t="s">
        <v>482</v>
      </c>
    </row>
    <row r="46" spans="7:7">
      <c r="G46" s="1" t="s">
        <v>483</v>
      </c>
    </row>
    <row r="47" spans="7:7">
      <c r="G47" s="1" t="s">
        <v>484</v>
      </c>
    </row>
    <row r="48" spans="7:7">
      <c r="G48" s="1" t="s">
        <v>485</v>
      </c>
    </row>
    <row r="49" spans="7:7">
      <c r="G49" s="1" t="s">
        <v>486</v>
      </c>
    </row>
    <row r="50" spans="7:7">
      <c r="G50" s="1" t="s">
        <v>487</v>
      </c>
    </row>
    <row r="51" spans="7:7">
      <c r="G51" s="1" t="s">
        <v>488</v>
      </c>
    </row>
    <row r="52" spans="7:7">
      <c r="G52" s="1" t="s">
        <v>489</v>
      </c>
    </row>
    <row r="53" spans="7:7">
      <c r="G53" s="1" t="s">
        <v>490</v>
      </c>
    </row>
    <row r="54" spans="7:7">
      <c r="G54" s="1" t="s">
        <v>491</v>
      </c>
    </row>
    <row r="55" spans="7:7">
      <c r="G55" s="1" t="s">
        <v>492</v>
      </c>
    </row>
    <row r="56" spans="7:7">
      <c r="G56" s="1" t="s">
        <v>493</v>
      </c>
    </row>
    <row r="57" spans="7:7">
      <c r="G57" s="1" t="s">
        <v>494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Ayush Sisodia</cp:lastModifiedBy>
  <cp:revision/>
  <dcterms:created xsi:type="dcterms:W3CDTF">2018-09-10T17:18:27Z</dcterms:created>
  <dcterms:modified xsi:type="dcterms:W3CDTF">2025-11-06T14:52:50Z</dcterms:modified>
  <cp:category/>
  <cp:contentStatus/>
</cp:coreProperties>
</file>