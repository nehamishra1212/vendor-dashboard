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https://mycronic-my.sharepoint.com/personal/jeff_leal_mycronic_com/Documents/BD and KA/Apple/"/>
    </mc:Choice>
  </mc:AlternateContent>
  <xr:revisionPtr revIDLastSave="0" documentId="8_{0022EA03-98F7-49EB-AF9A-A897FD230C75}"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110" yWindow="-110" windowWidth="19420" windowHeight="10420" firstSheet="2" activeTab="4" xr2:uid="{00000000-000D-0000-FFFF-FFFF000000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1" l="1"/>
  <c r="G12" i="20" l="1"/>
  <c r="G11" i="20"/>
  <c r="G10" i="20"/>
  <c r="G7" i="20"/>
  <c r="F12" i="20"/>
  <c r="F11" i="20"/>
  <c r="F10" i="20"/>
  <c r="F7" i="20"/>
  <c r="E12" i="20" l="1"/>
  <c r="D12" i="20"/>
  <c r="C12" i="20"/>
  <c r="E11" i="20"/>
  <c r="D11" i="20"/>
  <c r="E10" i="20"/>
  <c r="D10" i="20"/>
  <c r="C10" i="20"/>
  <c r="E7" i="20"/>
  <c r="D7" i="20"/>
  <c r="C7" i="20"/>
  <c r="I16" i="20" l="1"/>
  <c r="H16" i="20"/>
  <c r="G16" i="20"/>
  <c r="F16" i="20"/>
  <c r="E16" i="20"/>
  <c r="D16" i="20"/>
  <c r="C16" i="20"/>
</calcChain>
</file>

<file path=xl/sharedStrings.xml><?xml version="1.0" encoding="utf-8"?>
<sst xmlns="http://schemas.openxmlformats.org/spreadsheetml/2006/main" count="647" uniqueCount="522">
  <si>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</si>
  <si>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</si>
  <si>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</si>
  <si>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</si>
  <si>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</si>
  <si>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</si>
  <si>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</si>
  <si>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</si>
  <si>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</si>
  <si>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</si>
  <si>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</si>
  <si>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</si>
  <si>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</si>
  <si>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</si>
  <si>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</si>
  <si>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</si>
  <si>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</si>
  <si>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</si>
  <si>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</si>
  <si>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</si>
  <si>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</si>
  <si>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</si>
  <si>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</si>
  <si>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</si>
  <si>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</si>
  <si>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</si>
  <si>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</si>
  <si>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</si>
  <si>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</si>
  <si>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</si>
  <si>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</si>
  <si>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</si>
  <si>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</si>
  <si>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</si>
  <si>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</si>
  <si>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</si>
  <si>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</si>
  <si>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</si>
  <si>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</si>
  <si>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</si>
  <si>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</si>
  <si>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</si>
  <si>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</si>
  <si>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</si>
  <si>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</si>
  <si>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</si>
  <si>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</si>
  <si>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</si>
  <si>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</si>
  <si>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</si>
  <si>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</si>
  <si>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</si>
  <si>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</si>
  <si>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</si>
  <si>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</si>
  <si>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</si>
  <si>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</si>
  <si>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</si>
  <si>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</si>
  <si>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</si>
  <si>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</si>
  <si>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</si>
  <si>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</si>
  <si>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</si>
  <si>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</si>
  <si>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</si>
  <si>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</si>
  <si>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</si>
  <si>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</si>
  <si>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</si>
  <si>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</si>
  <si>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</si>
  <si>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</si>
  <si>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</si>
  <si>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</si>
  <si>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</si>
  <si>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</si>
  <si>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</si>
  <si>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</si>
  <si>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</si>
  <si>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</si>
  <si>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</si>
  <si>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</si>
  <si>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</si>
  <si>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</si>
  <si>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</si>
  <si>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</si>
  <si>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</si>
  <si>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</si>
  <si>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</si>
  <si>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</si>
  <si>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</si>
  <si>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</si>
  <si>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</si>
  <si>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</si>
  <si>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</si>
  <si>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</si>
  <si>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</si>
  <si>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</si>
  <si>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</si>
  <si>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</si>
  <si>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</si>
  <si>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</si>
  <si>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</si>
  <si>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</si>
  <si>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</si>
  <si>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</si>
  <si>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</si>
  <si>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</si>
  <si>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</si>
  <si>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</si>
  <si>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</si>
  <si>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</si>
  <si>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</si>
  <si>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</si>
  <si>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</si>
  <si>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</si>
  <si>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</si>
  <si>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</si>
  <si>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</si>
  <si>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</si>
  <si>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</si>
  <si>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</si>
  <si>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</si>
  <si>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</si>
  <si>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</si>
  <si>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</si>
  <si>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</si>
  <si>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</si>
  <si>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</si>
  <si>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</si>
  <si>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</si>
  <si>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</si>
  <si>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</si>
  <si>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</si>
  <si>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</si>
  <si>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</si>
  <si>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</si>
  <si>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</si>
  <si>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</si>
  <si>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</si>
  <si>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</si>
  <si>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</si>
  <si>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</si>
  <si>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</si>
  <si>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</si>
  <si>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</si>
  <si>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</si>
  <si>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</si>
  <si>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</si>
  <si>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</si>
  <si>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</si>
  <si>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</si>
  <si>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</si>
  <si>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</si>
  <si>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</si>
  <si>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</si>
  <si>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</si>
  <si>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</si>
  <si>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</si>
  <si>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</si>
  <si>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</si>
  <si>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</si>
  <si>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</si>
  <si>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</si>
  <si>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</si>
  <si>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</si>
  <si>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</si>
  <si>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</si>
  <si>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</si>
  <si>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</si>
  <si>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</si>
  <si>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</si>
  <si>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</si>
  <si>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</si>
  <si>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</si>
  <si>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</si>
  <si>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</si>
  <si>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</si>
  <si>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</si>
  <si>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</si>
  <si>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</si>
  <si>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</si>
  <si>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</si>
  <si>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</si>
  <si>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</si>
  <si>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</si>
  <si>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</si>
  <si>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</si>
  <si>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</si>
  <si>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</si>
  <si>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</si>
  <si>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</si>
  <si>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</si>
  <si>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</si>
  <si>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</si>
  <si>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</si>
  <si>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</si>
  <si>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</si>
  <si>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</si>
  <si>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</si>
  <si>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</si>
  <si>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</si>
  <si>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</si>
  <si>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</si>
  <si>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</si>
  <si>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</si>
  <si>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</si>
  <si>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</si>
  <si>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</si>
  <si>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</si>
  <si>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</si>
  <si>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</si>
  <si>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</si>
  <si>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</si>
  <si>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</si>
  <si>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</si>
  <si>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</si>
  <si>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</si>
  <si>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</si>
  <si>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</si>
  <si>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</si>
  <si>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</si>
  <si>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</si>
  <si>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</si>
  <si>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</si>
  <si>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</si>
  <si>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</si>
  <si>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</si>
  <si>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</si>
  <si>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</si>
  <si>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</si>
  <si>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</si>
  <si>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</si>
  <si>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</si>
  <si>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</si>
  <si>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</si>
  <si>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</si>
  <si>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</si>
  <si>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</si>
  <si>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</si>
  <si>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</si>
  <si>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</si>
  <si>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</si>
  <si>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</si>
  <si>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</si>
  <si>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</si>
  <si>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</si>
  <si>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</si>
  <si>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</si>
  <si>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</si>
  <si>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</si>
  <si>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</si>
  <si>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</si>
  <si>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</si>
  <si>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</si>
  <si>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</si>
  <si>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</si>
  <si>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</si>
  <si>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</si>
  <si>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</si>
  <si>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</si>
  <si>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</si>
  <si>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</si>
  <si>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</si>
  <si>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</si>
  <si>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</si>
  <si>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</si>
  <si>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</si>
  <si>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</si>
  <si>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</si>
  <si>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</si>
  <si>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</si>
  <si>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</si>
  <si>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</si>
  <si>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</si>
  <si>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</si>
  <si>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</si>
  <si>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</si>
  <si>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</si>
  <si>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</si>
  <si>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</si>
  <si>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</si>
  <si>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</si>
  <si>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</si>
  <si>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</si>
  <si>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</si>
  <si>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</si>
  <si>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</si>
  <si>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</si>
  <si>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</si>
  <si>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</si>
  <si>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</si>
  <si>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</si>
  <si>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</si>
  <si>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</si>
  <si>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</si>
  <si>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</si>
  <si>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</si>
  <si>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</si>
  <si>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</si>
  <si>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</si>
  <si>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</si>
  <si>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</si>
  <si>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</si>
  <si>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</si>
  <si>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</si>
  <si>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</si>
  <si>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</si>
  <si>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</si>
  <si>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</si>
  <si>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</si>
  <si>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</si>
  <si>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</si>
  <si>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</si>
  <si>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</si>
  <si>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</si>
  <si>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</si>
  <si>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</si>
  <si>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High</t>
  </si>
  <si>
    <t>N/A</t>
  </si>
  <si>
    <t>Medium</t>
  </si>
  <si>
    <t>moiz jafferji</t>
    <phoneticPr fontId="30" type="noConversion"/>
  </si>
  <si>
    <t>mjafferji@apple.com</t>
    <phoneticPr fontId="30" type="noConversion"/>
  </si>
  <si>
    <t>Matt zhang</t>
    <phoneticPr fontId="30" type="noConversion"/>
  </si>
  <si>
    <t>zhang_l@apple.com</t>
    <phoneticPr fontId="30" type="noConversion"/>
  </si>
  <si>
    <t>chenfan_zhang@apple.com</t>
    <phoneticPr fontId="30" type="noConversion"/>
  </si>
  <si>
    <t>chenfan zhang</t>
    <phoneticPr fontId="30" type="noConversion"/>
  </si>
  <si>
    <t xml:space="preserve"> Evan Yu </t>
    <phoneticPr fontId="30" type="noConversion"/>
  </si>
  <si>
    <t>yu_evan@apple.com</t>
    <phoneticPr fontId="30" type="noConversion"/>
  </si>
  <si>
    <t>Susan Wang</t>
    <phoneticPr fontId="30" type="noConversion"/>
  </si>
  <si>
    <t>wang_susan@apple.com</t>
    <phoneticPr fontId="30" type="noConversion"/>
  </si>
  <si>
    <t xml:space="preserve">Axxon has been focusing on the field of fluid automation,  providing precision dispensing, coating, industrial dispensing equipment  and professional total assembly solutions for dispensing detection, plasma cleaning, pick&amp; place and other related processes.  Axxon has been insisting  in product technology innovation, rapid response to meet the market demand, and  continuing to create value for customers.
Based on simple &amp; smart's product development philosophy, the application industries cover, consumer electronics, communication electronics, SMT/EMS, home appliances, solar energy, automotive electronics, semiconductors, medical devices, etc.
Global setup has enpowered Axxon to grow fast in overseas countries, now Axxon machines has been delivered to more than 40 countries. </t>
    <phoneticPr fontId="30" type="noConversion"/>
  </si>
  <si>
    <t xml:space="preserve">Consumer electronics: Apple, Huawei, Vivo , Samsung , Google, Meta, 
Automotive: Nio, BYD , Tesla , Ford , BMW 
EMS/ CM: Jabil, Foxccon, Flex , Continental, Amphenol, Luxshare, Lens etc.
Aerospace: Space X , Amazon, MDA, Blue Origins 
Home appliance: Samsung, LG ,Whirlppol, 
Medical : Novacure, Dexcom
Display: Samsung , LG, BOE etc.
Communication: 5G station: Nokia, Ericssion 
Power module: Google , Microsoft etc.
Semiconductor: Micron, NXP, Samsung , SKhynix, LG innotek, </t>
    <phoneticPr fontId="30" type="noConversion"/>
  </si>
  <si>
    <t>From 2021 to 2022, 12x LIPO machine used for watch display LIPO application,QTY is 60 units, spend 17million,CM wuxi Jabil and ICT</t>
    <phoneticPr fontId="30" type="noConversion"/>
  </si>
  <si>
    <t>From 2022 to 2023,  5x axis vaccume dispensing machine is used for Ultra HSG dispensing, QTY is 14 units, spend is 3million, CM are LF and Casetek as well as Aques(india)</t>
    <phoneticPr fontId="30" type="noConversion"/>
  </si>
  <si>
    <t xml:space="preserve">From 2024 to 2025,16x 1k valve vacume machine is used for S serial watch HSG dispensing, QTY is about 17 units,the spend is about 5million. CM are LF and Casetek as well as Lens
</t>
    <phoneticPr fontId="30" type="noConversion"/>
  </si>
  <si>
    <t>bpatel7@apple.com</t>
    <phoneticPr fontId="30" type="noConversion"/>
  </si>
  <si>
    <t>Bhavin Patel</t>
    <phoneticPr fontId="30" type="noConversion"/>
  </si>
  <si>
    <t>We place great emphasis on the rigor and efficiency of project management to ensure that we can meet Apple's high standards and expectations. Below is a detailed overview of our project management process:</t>
  </si>
  <si>
    <t>China</t>
    <phoneticPr fontId="30" type="noConversion"/>
  </si>
  <si>
    <t>Vietnam</t>
    <phoneticPr fontId="30" type="noConversion"/>
  </si>
  <si>
    <t>Thailand</t>
    <phoneticPr fontId="30" type="noConversion"/>
  </si>
  <si>
    <t>Mexico</t>
    <phoneticPr fontId="30" type="noConversion"/>
  </si>
  <si>
    <t>Low</t>
  </si>
  <si>
    <t>South Korea</t>
    <phoneticPr fontId="30" type="noConversion"/>
  </si>
  <si>
    <t>Malaysia</t>
    <phoneticPr fontId="30" type="noConversion"/>
  </si>
  <si>
    <t xml:space="preserve">Axxon Automation Co.ltd </t>
    <phoneticPr fontId="30" type="noConversion"/>
  </si>
  <si>
    <t>www.axxonauto.com</t>
    <phoneticPr fontId="30" type="noConversion"/>
  </si>
  <si>
    <t>A15 Building 101,201 and A14 Building, Silicon Valley Power Automotive electronic Pioneer Park,  No.334 Guiyue Road,Dafu community,Guanlan street, LongHua District, Shenzhen, China  518110</t>
    <phoneticPr fontId="30" type="noConversion"/>
  </si>
  <si>
    <t xml:space="preserve">Li Gao Yong </t>
    <phoneticPr fontId="30" type="noConversion"/>
  </si>
  <si>
    <t>gaoyong.li@axxonauto.com</t>
    <phoneticPr fontId="30" type="noConversion"/>
  </si>
  <si>
    <t xml:space="preserve">Serena Li </t>
    <phoneticPr fontId="30" type="noConversion"/>
  </si>
  <si>
    <t xml:space="preserve">Sales Director </t>
    <phoneticPr fontId="30" type="noConversion"/>
  </si>
  <si>
    <t>wei.li@axxonauto.com</t>
    <phoneticPr fontId="30" type="noConversion"/>
  </si>
  <si>
    <t>86 18675529952</t>
  </si>
  <si>
    <t>86 13530293031</t>
    <phoneticPr fontId="30" type="noConversion"/>
  </si>
  <si>
    <t>wang benzheng</t>
    <phoneticPr fontId="30" type="noConversion"/>
  </si>
  <si>
    <t>Nancy zheng</t>
    <phoneticPr fontId="30" type="noConversion"/>
  </si>
  <si>
    <t>zhang Ling</t>
    <phoneticPr fontId="30" type="noConversion"/>
  </si>
  <si>
    <t>Tang Biao</t>
    <phoneticPr fontId="30" type="noConversion"/>
  </si>
  <si>
    <t>Huang jie shu</t>
    <phoneticPr fontId="30" type="noConversion"/>
  </si>
  <si>
    <t>Yuan qidie</t>
    <phoneticPr fontId="30" type="noConversion"/>
  </si>
  <si>
    <t>PM manager</t>
    <phoneticPr fontId="30" type="noConversion"/>
  </si>
  <si>
    <t>Operation Director</t>
    <phoneticPr fontId="30" type="noConversion"/>
  </si>
  <si>
    <t>Supply Director</t>
    <phoneticPr fontId="30" type="noConversion"/>
  </si>
  <si>
    <t>R&amp;D Director</t>
    <phoneticPr fontId="30" type="noConversion"/>
  </si>
  <si>
    <t>Production Diretor</t>
    <phoneticPr fontId="30" type="noConversion"/>
  </si>
  <si>
    <t>Jeff Leal</t>
    <phoneticPr fontId="30" type="noConversion"/>
  </si>
  <si>
    <t>Business Development and Strategy Director</t>
    <phoneticPr fontId="30" type="noConversion"/>
  </si>
  <si>
    <t>US</t>
    <phoneticPr fontId="30" type="noConversion"/>
  </si>
  <si>
    <t>jeff.leal@mycronic.com</t>
    <phoneticPr fontId="30" type="noConversion"/>
  </si>
  <si>
    <t>jieshu.huang@axxonauto.com</t>
    <phoneticPr fontId="30" type="noConversion"/>
  </si>
  <si>
    <t>benzheng.wang@axxonauto.com</t>
    <phoneticPr fontId="30" type="noConversion"/>
  </si>
  <si>
    <t>Nancy.zheng@axxonauto.com</t>
    <phoneticPr fontId="30" type="noConversion"/>
  </si>
  <si>
    <t>Tang.Biao@axxonauto,com</t>
    <phoneticPr fontId="30" type="noConversion"/>
  </si>
  <si>
    <t>Ling.zhang@axxonauto.com</t>
    <phoneticPr fontId="30" type="noConversion"/>
  </si>
  <si>
    <t>Qidie.Yuan@axxonauto.com</t>
    <phoneticPr fontId="30" type="noConversion"/>
  </si>
  <si>
    <t>86 13510385206</t>
    <phoneticPr fontId="30" type="noConversion"/>
  </si>
  <si>
    <t>86 13538211687</t>
    <phoneticPr fontId="30" type="noConversion"/>
  </si>
  <si>
    <t>86 13530296916</t>
    <phoneticPr fontId="30" type="noConversion"/>
  </si>
  <si>
    <t>86 13823618275</t>
    <phoneticPr fontId="30" type="noConversion"/>
  </si>
  <si>
    <t>86 18820212898</t>
    <phoneticPr fontId="30" type="noConversion"/>
  </si>
  <si>
    <t>86 13480757936</t>
    <phoneticPr fontId="30" type="noConversion"/>
  </si>
  <si>
    <t>+18312781995</t>
    <phoneticPr fontId="30" type="noConversion"/>
  </si>
  <si>
    <t>Shenzhen and China</t>
    <phoneticPr fontId="30" type="noConversion"/>
  </si>
  <si>
    <t xml:space="preserve">A15 Building 101,201 and A14 Building, Silicon Valley Power Automotive electronic Pioneer Park,  No.334 Guiyue Road,Dafu community,Guanlan street, </t>
    <phoneticPr fontId="30" type="noConversion"/>
  </si>
  <si>
    <t>N/A</t>
    <phoneticPr fontId="30" type="noConversion"/>
  </si>
  <si>
    <t>watch N22x</t>
    <phoneticPr fontId="30" type="noConversion"/>
  </si>
  <si>
    <t>Dispensing</t>
    <phoneticPr fontId="30" type="noConversion"/>
  </si>
  <si>
    <t>Dispense, Pick and place, Assembly</t>
    <phoneticPr fontId="30" type="noConversion"/>
  </si>
  <si>
    <t>Dispense</t>
    <phoneticPr fontId="30" type="noConversion"/>
  </si>
  <si>
    <t xml:space="preserve">Consumer electronics: Apple, Huawei, Vivo , Samsung , Google, Meta, 
Automotive: Nio, BYD , Tesla , Ford , BMW 
EMS/ CM: Jabil, Foxccon, Flex , Continental, Amphenol, Luxshare, Lens </t>
    <phoneticPr fontId="30" type="noConversion"/>
  </si>
  <si>
    <t xml:space="preserve">Automotive: Tesla
EMS/ CM: Jabil, Foxccon, Flex , </t>
    <phoneticPr fontId="30" type="noConversion"/>
  </si>
  <si>
    <t>NO</t>
    <phoneticPr fontId="30" type="noConversion"/>
  </si>
  <si>
    <t xml:space="preserve">From 2020 to 2024, there were more than 400 sets of AXXON Au 77s used for Mflex type C dock, side button chip sim etc.. of the phone,the spend is about 14million.
 </t>
    <phoneticPr fontId="30" type="noConversion"/>
  </si>
  <si>
    <t>From 2019 to 2021, AXXON privided moren than 300 sets of dipensing machine to Iphone flux application at Foxconn.,the spend is about 10million.</t>
    <phoneticPr fontId="30" type="noConversion"/>
  </si>
  <si>
    <t>From 2019 to 2023, AXXON privided more than 43sets of Au99M for Luxshare Virtual bottom dispensing machine at Lusxshare changhsu.the spend is about 1.8million.</t>
    <phoneticPr fontId="30" type="noConversion"/>
  </si>
  <si>
    <t>From 2020 to 2023, AXXON privided more than70sets of Au99M for iPad antennas dispensing machine at Luxshare VN and kunshan. the spend is about 3million.</t>
    <phoneticPr fontId="30" type="noConversion"/>
  </si>
  <si>
    <t>From 2020 to 2023, AXXON privided more than 77sets of Au77s for Mackbook antennas dispensing machine at Luxshare kunshan. the spend is about 2million.</t>
    <phoneticPr fontId="30" type="noConversion"/>
  </si>
  <si>
    <t>CARR Guadalajara Tepic No. 7355 MaxiLocal 308 Col. San Juan Ocotan Zapopan, JL 45019 Mexico</t>
    <phoneticPr fontId="30" type="noConversion"/>
  </si>
  <si>
    <t>Frasers Property Logistics Park (Bangna), Chachoengsao Provinc</t>
    <phoneticPr fontId="30" type="noConversion"/>
  </si>
  <si>
    <t>start from Q2 2025</t>
    <phoneticPr fontId="30" type="noConversion"/>
  </si>
  <si>
    <t>1. Shenzhen China is the core manufacuring base
2. Thailand is the secod manufacturing center for  demand from western countries and global CM
3. Long time Partner in Korea can also OEM upon request in case any further changes happen. 
4. Mexico facility will keep to be small-mid volume manufaturing certer for certain customer in US.</t>
    <phoneticPr fontId="30" type="noConversion"/>
  </si>
  <si>
    <t>SW: Axxon has a development team proficient in programming languages such as C/C++, C#, and LabVIEW, specializing in multi-axis precision motion control, visual positioning/detection, human-machine interfaces, and other functional developments.
PLC: Supports multiple brands, familiar with programming mainstream PLC platforms like Siemens, Mitsubishi, and Omron. Capable of designing efficient and stable PLC programs, multi-axis servo control, PID tuning, MODBUS communication, etc.</t>
    <phoneticPr fontId="30" type="noConversion"/>
  </si>
  <si>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phoneticPr fontId="30" type="noConversion"/>
  </si>
  <si>
    <t>NO.</t>
    <phoneticPr fontId="30" type="noConversion"/>
  </si>
  <si>
    <t xml:space="preserve">  Project Stages</t>
    <phoneticPr fontId="30" type="noConversion"/>
  </si>
  <si>
    <t xml:space="preserve">  Output content to client</t>
    <phoneticPr fontId="30" type="noConversion"/>
  </si>
  <si>
    <t>Detailed description</t>
    <phoneticPr fontId="30" type="noConversion"/>
  </si>
  <si>
    <t>DRI department</t>
    <phoneticPr fontId="30" type="noConversion"/>
  </si>
  <si>
    <t>Internal support department</t>
    <phoneticPr fontId="30" type="noConversion"/>
  </si>
  <si>
    <t>Customer side</t>
    <phoneticPr fontId="30" type="noConversion"/>
  </si>
  <si>
    <t>Concept Phase</t>
    <phoneticPr fontId="30" type="noConversion"/>
  </si>
  <si>
    <t>DFM</t>
    <phoneticPr fontId="30" type="noConversion"/>
  </si>
  <si>
    <t>1, Requirement Gathering: Conduct initial meetings with the client to clarify project requirements and objectives.
2, Feasibility Study: Assess technical feasibility, cost-benefit analysis, and timelines.
3, Project Proposal locked with client team: Develop a project proposal（retrofitting or simple demo machine）, including a preliminary timeline ,  resource allocation.</t>
    <phoneticPr fontId="30" type="noConversion"/>
  </si>
  <si>
    <t>PM</t>
  </si>
  <si>
    <t>Engineer Manager</t>
    <phoneticPr fontId="30" type="noConversion"/>
  </si>
  <si>
    <t>MDE&amp;GSM</t>
    <phoneticPr fontId="30" type="noConversion"/>
  </si>
  <si>
    <t>Quotation</t>
    <phoneticPr fontId="30" type="noConversion"/>
  </si>
  <si>
    <t>CBD if needs</t>
    <phoneticPr fontId="30" type="noConversion"/>
  </si>
  <si>
    <t>Engineer Manager&amp;Fiancial</t>
    <phoneticPr fontId="30" type="noConversion"/>
  </si>
  <si>
    <t>GSM</t>
    <phoneticPr fontId="30" type="noConversion"/>
  </si>
  <si>
    <t>Feasibility and Engineering Phase</t>
    <phoneticPr fontId="30" type="noConversion"/>
  </si>
  <si>
    <t>Detailed design</t>
    <phoneticPr fontId="30" type="noConversion"/>
  </si>
  <si>
    <t>Engineer Manager</t>
    <phoneticPr fontId="30" type="noConversion"/>
  </si>
  <si>
    <t>Engineer team</t>
    <phoneticPr fontId="30" type="noConversion"/>
  </si>
  <si>
    <t>MDE</t>
  </si>
  <si>
    <t>Machine manufacturing stage</t>
    <phoneticPr fontId="30" type="noConversion"/>
  </si>
  <si>
    <t>Assemble the project team and initiate the project and make the manufacturing plan</t>
    <phoneticPr fontId="30" type="noConversion"/>
  </si>
  <si>
    <t>PMO</t>
    <phoneticPr fontId="30" type="noConversion"/>
  </si>
  <si>
    <t>Confirmation of machine facility information with the customer is required during the engineer ordering process.</t>
    <phoneticPr fontId="30" type="noConversion"/>
  </si>
  <si>
    <t>Engineer DRI</t>
    <phoneticPr fontId="30" type="noConversion"/>
  </si>
  <si>
    <t>MDE&amp;CM</t>
    <phoneticPr fontId="30" type="noConversion"/>
  </si>
  <si>
    <t>Self-test and customer FAT</t>
    <phoneticPr fontId="30" type="noConversion"/>
  </si>
  <si>
    <t>FAT conducting：make a FAT schedule with daily FAT item, send it to the customer in advance to confirm the agenda.”</t>
    <phoneticPr fontId="30" type="noConversion"/>
  </si>
  <si>
    <t>PMO,,Engineer DRI, FSE etc. All team</t>
    <phoneticPr fontId="30" type="noConversion"/>
  </si>
  <si>
    <t>Onsite staffing arrival schedule</t>
    <phoneticPr fontId="30" type="noConversion"/>
  </si>
  <si>
    <t>Before shipment, according to the equipment arrival time and the customer's commissioning plan coordinate onsite support manpower.</t>
    <phoneticPr fontId="30" type="noConversion"/>
  </si>
  <si>
    <t>Technical Support and Engineer team</t>
    <phoneticPr fontId="30" type="noConversion"/>
  </si>
  <si>
    <t>GSM&amp;CM</t>
    <phoneticPr fontId="30" type="noConversion"/>
  </si>
  <si>
    <t>In transit</t>
    <phoneticPr fontId="30" type="noConversion"/>
  </si>
  <si>
    <t>Delivery of machines to the factory.</t>
    <phoneticPr fontId="30" type="noConversion"/>
  </si>
  <si>
    <t>Customer service</t>
    <phoneticPr fontId="30" type="noConversion"/>
  </si>
  <si>
    <t>Machine onsite Ramp/Bring Up Phase</t>
    <phoneticPr fontId="30" type="noConversion"/>
  </si>
  <si>
    <t>Machine bring up schedule&amp;SAT report&amp;MIL&amp;production data</t>
    <phoneticPr fontId="30" type="noConversion"/>
  </si>
  <si>
    <t>Pilot Production: Conduct pilot production to verify production processes and product quality.
Make the SAT schedule and regular update the setting schedule and MIL to customer.
Performance Optimization: Make necessary adjustments and optimizations based on pilot production results.</t>
    <phoneticPr fontId="30" type="noConversion"/>
  </si>
  <si>
    <t>SOP and machine troubleshooting file and Customer training file</t>
    <phoneticPr fontId="30" type="noConversion"/>
  </si>
  <si>
    <t>1，Communicate with the customer about the training content and training time and training object;
2, training personnel sign-in and assessment;
3, Machine handover</t>
    <phoneticPr fontId="30" type="noConversion"/>
  </si>
  <si>
    <t>Engineers</t>
    <phoneticPr fontId="30" type="noConversion"/>
  </si>
  <si>
    <t>Consumable parts and spare parts list</t>
    <phoneticPr fontId="30" type="noConversion"/>
  </si>
  <si>
    <t>1, List of wearable and consumable parts and quotation to customers--Sales
2, SOP--PM</t>
    <phoneticPr fontId="30" type="noConversion"/>
  </si>
  <si>
    <t>PM</t>
    <phoneticPr fontId="30" type="noConversion"/>
  </si>
  <si>
    <t>Engineers &amp;  MYSmart</t>
    <phoneticPr fontId="30" type="noConversion"/>
  </si>
  <si>
    <t>Project Review</t>
  </si>
  <si>
    <t>Review documentation</t>
  </si>
  <si>
    <t>All</t>
    <phoneticPr fontId="30" type="noConversion"/>
  </si>
  <si>
    <t>.</t>
    <phoneticPr fontId="30" type="noConversion"/>
  </si>
  <si>
    <t>Project Management Structure Single PM: Each project is assigned a dedicated project manager responsible for overall coordination and execution. Decision-Making Process: Establish a clear decision-making process to ensure rapid response and problem-solving. Communication Plan: Develop a detailed communication plan to ensure all stakeholders receive timely project updates Other Process Map: Create a detailed process map for each project to visualize the project flow and key milestones.Considerations.Compliance: Ensure all project activities comply with Apple's compliance requirements and industry standards. Continuous Improvement: Continuously improve our project management processes through regular reviews and feedback loops. We are committed to ensuring that our collaboration proceeds smoothly through these rigorous project management processes.</t>
    <phoneticPr fontId="30" type="noConversion"/>
  </si>
  <si>
    <t>It is necessary to look back on the entire project process, including the stages of project initiation, design, manufacturing, debugging, and delivery. Analyze the execution situation and existing problems in each stage.</t>
    <phoneticPr fontId="30" type="noConversion"/>
  </si>
  <si>
    <t>From 2024 to 2025, 5axis machine used for IPhone camera side filling,QTY is 43 units, spend 7.31million,CM Foxconn Rayprus</t>
    <phoneticPr fontId="30" type="noConversion"/>
  </si>
  <si>
    <t>From 2019 to present, 280 units of Au99M machine used for Smartphone frame hot-melt adhesive bonding,client is HW</t>
    <phoneticPr fontId="30" type="noConversion"/>
  </si>
  <si>
    <t>From 2022 to present, 30 units of Ai700 machine used for Solder paste spraying for smartphone mainboards/laptop daughterboards,client is HW</t>
    <phoneticPr fontId="30" type="noConversion"/>
  </si>
  <si>
    <t>From 2016 to present, 1200 units of Au77s machine used for Mainboard adhesive dispensing: underfill, potting, TIM application,client is OPPO</t>
    <phoneticPr fontId="30" type="noConversion"/>
  </si>
  <si>
    <t>From 2016 to present, 1100 units of Au77s machine used for ainboard dispensing (underfill/potting/TIM) &amp; frame hot-melt bonding,client is VIVO</t>
    <phoneticPr fontId="30" type="noConversion"/>
  </si>
  <si>
    <t>From 2018 to present, 55 units of AM (5 axis machine) used for Display edge adhesive dispensing / frame hot-melt application,client is HW</t>
    <phoneticPr fontId="30" type="noConversion"/>
  </si>
  <si>
    <t>From 2018 to present, 45 units of AD Glue Wiping Machine used for Post-attach adhesive cleaning (display &amp; frame), client is HW</t>
    <phoneticPr fontId="30" type="noConversion"/>
  </si>
  <si>
    <t>From 2019 to present, 125 units of AM (5 axis machine) usd for display edge dispensing / frame hot-melt application, client is OPPO</t>
    <phoneticPr fontId="30" type="noConversion"/>
  </si>
  <si>
    <t>From 2020 to present, 120 units of AD Glue Wiping Machine usd for Post-assembly adhesive cleaning, client is OPPO</t>
    <phoneticPr fontId="30" type="noConversion"/>
  </si>
  <si>
    <t>From 2020 to present, 80 units of AM (5 axis machine) usd for Edge adhesive dispensing / frame hot-melt bonding, client is Guanghong Electron</t>
    <phoneticPr fontId="30" type="noConversion"/>
  </si>
  <si>
    <t>From 2021 to present, 140 units of AD Glue Wiping Machine usd for Post-bonding adhesive residue cleaning, client is Lenovo</t>
    <phoneticPr fontId="30" type="noConversion"/>
  </si>
  <si>
    <t>From 2021 to present, 45 units of AD Glue Wiping Machine usd for Post-bonding adhesive residue cleaning, client is Lenovo</t>
    <phoneticPr fontId="30" type="noConversion"/>
  </si>
  <si>
    <t>From 2021 to present, 80 units of AD Glue Wiping Machine usd for Display-frame adhesive cleaning, client is longcheer</t>
    <phoneticPr fontId="30" type="noConversion"/>
  </si>
  <si>
    <t>So far Thailand would be the main center to transfer manufacturing capability outside of China;
We will closely monitor if any other site needs to establish manufacturing according to business growth.</t>
  </si>
  <si>
    <t>Supplier Selection and Management: We establish long-term cooperative relationships with suppliers who have passed rigorous screening to ensure they can provide high-quality raw materials and components. We regularly evaluate the performance of our suppliers, including aspects such as quality, delivery time, cost, and sustainability.
Inventory Management: We adopt lean inventory management methods to reduce inventory costs and improve response speed. We utilize advanced inventory management systems to monitor stock levels and automatically adjust inventory based on demand forecasts.
Risk Management: We identify potential risks in the supply chain and develop corresponding mitigation strategies. This includes diversifying suppliers, establishing backup supply chains, and conducting regular risk assessments.
Quality Control: We implement strict quality control measures at every stage of the supply chain, from raw material procurement to the delivery of the final product. We ensure that all products meet our and our customers' quality standards.
Sustainability and Social Responsibility: We are committed to working with suppliers who adhere to environmental and social responsibility standards. We encourage suppliers to adopt sustainable production practices and promote these practices within our supply chain.
Technology Integration: We use information technology and automation tools to optimize supply chain processes and improve transparency and efficiency. This includes the use of ERP systems, supply chain management software, and Internet of Things (IoT) technology.
Customer Relationship Management: We maintain close communication with our customers to understand their needs and expectations, ensuring that our supply chain strategy can meet these demands.
Flexibility and Adaptability: We continuously adjust and optimize our supply chain strategy to adapt to changes in the market and customer needs.</t>
  </si>
  <si>
    <t>16 sets of CNC machines which can produce about 16k parts per month,  4 sets of Mills which can produce about 5k parts per month, 1 Lathe which can produce about 1k parts, 2 sets of EDM welders which can produce about  1k parts, 1 laser cutting machine which can produce about  1k parts, 1 Grinder which can produce about  1k parts</t>
  </si>
  <si>
    <t>Incoming Quality Control (IQC) process:
Supplier Auditing: Based on our quality and environmental policies, we select suppliers that meet national standards and environmental requirements.
Sample Inspection: We inspect samples provided by suppliers to ensure compliance with standards such as GB/T26799-2011.
Batch Inspection: We conduct random inspections of incoming batches using equipment like the coordinate measuring machine and image dimension measuring instruments for size verification, and RoHS testing instruments for hazardous substance detection.
Acceptance and Rejection Handling: Qualified materials are stored, and non-conforming materials are returned or processed according to procedures.
Supplier Feedback: Inspection results are fed back to suppliers to promote continuous improvement.
Certification Support:
Quality Management System Certificate ISO9001:2015, certified by BSI and DCI, ensuring that our IQC processes meet international quality standards.</t>
  </si>
  <si>
    <t>In-Process Quality Control (IPQC)
Purpose: To monitor and control product quality during the production process to prevent defects.
Process:
Process Parameter Monitoring: Key process parameters are monitored to ensure stability.
Intermediate Product Inspection: Intermediate products are inspected during production using tools like dial calipers and height gauges for size verification.
First Article Inspection (FAI): Detailed inspection of the first product to ensure correct production setup.
Process Audits: Regular audits are conducted to ensure adherence to production processes and maintenance of quality records.
Corrective Actions: Any deviations from processes or quality standards are investigated, and corrective actions are taken.
Certification Support:
Environmental Management System Certificate ISO14001:2015, certified by BSI and DCI, ensuring that our IPQC processes meet international environmental standards.</t>
  </si>
  <si>
    <t>Outgoing Quality Control (OQC)
Purpose: To ensure that finished products meet all quality requirements before shipment.
Process:
Final Inspection: Comprehensive inspection of finished products to ensure compliance with GB/T26799-2011 and customer requirements.
Packaging Inspection: Verification that packaging is correct, undamaged, and suitable for product protection during transit.
Conformity Documentation: Preparation of conformity certificates, test reports, and other necessary documents.
Customer Requirement Review: Review of specific customer requirements to ensure any additional or unique specifications are met.
Pre-Shipment Inspection (PSI): For export products, PSI is conducted to ensure compliance with international standards such as RoHS, CE, and REACH.
Certification Support:
Product Certifications CE, UL, certified by TUV and UL, ensuring that our OQC processes meet international safety and environmental standards.
Laboratory Accreditation Certificate CNAS-R01, certified by CNAS, ensuring the accuracy and reliability of our inspection equipment.
Information Security Management System ISO27001:2013, certified by CCE-HK, ensuring the security of customer information and data.</t>
  </si>
  <si>
    <t xml:space="preserve">YES, the system could integrate the fuction like Procurement Automation,the system can automatically generate purchase orders and automate the approval process and Inventory Management Automation. Odoo and SAP support advanced inventory management systems. For example, Odoo’s inventory module can track inventory in real-time and update it automatically through barcode scanning </t>
  </si>
  <si>
    <t>Resource Allocation: Allocate resources according to project needs, including manpower, equipment, and materials.Progress Tracking: Use project management tools to track progress and ensure timely completion.
1, After get the PO，inform customer delivery schedule after aglined with internal team.
2, Regularly update the installation schedule to customer, if there is a risk, timely feedback to the customer with a solution .</t>
  </si>
  <si>
    <t>1,Detailed Design: Based on the output of the Concept Phase, conduct detailed design and engineering planning.
2,Risk Assessment: Identify potential risks and develop mitigation strategies.
3,Prototype Development: Develop initial prototypes.</t>
  </si>
  <si>
    <t>Quality Control: Implement strict quality control processes to ensure products meet specifications. 
1,Check machine facility information with customer;
2, Check FAT list and products/tray/glue QTY. for FAT with customer.</t>
  </si>
  <si>
    <t>1. Automated dispensing machines : Underfill, TIM , RTV, 2K dispensing , 2K Potting 
2. Automated coating machines 
3. Automated inspection machines : Inspect dispensing results 
4. Automated 5/6 axis dispensing machines 
5. Automated Final assembly machines : Pick  &amp; place, air leakage test, loading/ unloading, AOI, Cleaner,
6. Automated Curing machines : UV curing , IR curing 
7. Automated plasma cleaning 
8. Dispensing valves : pneumatic jetting , piezo jetting , Auger valve, 2K Progressive cavity pump
9. Material supplu modules : piston pumps, PCP pumps, other air pressure pump.</t>
  </si>
  <si>
    <t>Motion controller/ Googoltech/located at shenzhen China, the spend is $1.42 million in 2024
Sensor detection module/ KEYENCE /located at shanghai China, the spend is $1.143 million in 2024
Line/ IGUS/located at shanghai China, the spend is $0.37 million in 2024
Pneumatic components / SMC&amp; Festo/located at shenzhen China, the spend is $0.90million in 2024
Motor/Panasonic/Fuji/located at shenzhen China, the spend is $1.71 million in 2024
Weight scale/Mettler/located at shenzhen China, the spend is $2.14 million in 2024
Camera/BASLER/located at Beijing China, the spend is $0.43 million in 2024</t>
  </si>
  <si>
    <t>Anders Lindqvist</t>
  </si>
  <si>
    <t>Corporate CEO</t>
  </si>
  <si>
    <t>CEO</t>
  </si>
  <si>
    <t>Divisional CFO</t>
  </si>
  <si>
    <t>anders.lindqvist@mycronic.com</t>
  </si>
  <si>
    <t>+46729694796</t>
  </si>
  <si>
    <t>Brazil (Support through Mexico)</t>
  </si>
  <si>
    <t>India (Support through SEA and EMEA)</t>
  </si>
  <si>
    <t>Global support as needed</t>
  </si>
  <si>
    <t>Also servicing Japan</t>
  </si>
  <si>
    <t>Mycronic AB</t>
  </si>
  <si>
    <t>Private (wholly owned by Mycronic AB)</t>
  </si>
  <si>
    <t>Thailand (support through Malaysia/China)</t>
  </si>
  <si>
    <t>LATAM, Brazil, USA, Rest of World as needed</t>
  </si>
  <si>
    <t>India, SEA</t>
  </si>
  <si>
    <t>1. Solder paste dispensing (contacted valve AMD6500), 80um diameter, 25 Q4</t>
  </si>
  <si>
    <t>2. Solder paste dispensing (Piezo Jetting valve APJ5000) 200um diameter, 25 Q3</t>
  </si>
  <si>
    <t>3. Solder ball laser welding, ball diameter 100um (AMD7000), 25 Q3</t>
  </si>
  <si>
    <t>4. CAD import together with 2D/3D path guidance for five axis dispensing, 25 Q2</t>
  </si>
  <si>
    <t>5. High precision programming copy 25 Q2</t>
  </si>
  <si>
    <t>6. Dispensing compensation based on gap volume change 25 Q4</t>
  </si>
  <si>
    <t>7. Offline programming for high precision dispensing 25 Q4</t>
  </si>
  <si>
    <t>8. Future factory---Automatically change the glue, valve and calibrate 25 Q4</t>
  </si>
  <si>
    <t>9. Close-loop control, based on the AOI feedback, dispenser self-adjusting techology 25 Q4</t>
  </si>
  <si>
    <t>Swedish Parent Company, Global set up, China speed and innovation, Comptetive Pricing Strategy</t>
  </si>
  <si>
    <t>APJ2000, the world's most powerful piezoelectric valve in terms of jetting force.
Ai700 ultra-high-speed dispensing/soldering machine, with an acceleration of 3g, the fastest dispensing machine.
Wafer dispensing machine + wafer loading/unloading, applied to the CoW underfill process.
Laser solder ball welding, capable of mass production of 150um solder balls.
Dynamic dual-head dispensing machine: a domestic first, with dynamic dual-head adjustment and frequency-variable dispensing.
Four-valve synchronized dispensing: for regular quad panels, four valves dispensing simultaneously.
Semiconductor-grade Plasma, no ESD damage, no particle contamination, no high-temperature impact.
2D&amp;3D technology: dispensing path guidance, dispensing effect inspection.
Intelligent: centralized control of the entire line, SPC, self-closed-loop control of adhesive volume.</t>
  </si>
  <si>
    <t>Cell C7 covers overall explanation for all Sub-categories.</t>
  </si>
  <si>
    <t>Cell C9 covers overall explanation for all Sub-categories.</t>
  </si>
  <si>
    <t>Cell C11 covers overall explanation for all Sub-categories.</t>
  </si>
  <si>
    <t>Cell C14 covers overall explanation for all Sub-categories.</t>
  </si>
  <si>
    <t>Cells occupied in Row 13 used to outline details of the different projects where Axxon machines have been used in production.</t>
  </si>
  <si>
    <t>Cells occupied in Row 16 used to outline details of the different Apple projects where Axxon machines have been used in production.</t>
  </si>
  <si>
    <t>All Apple DRIs outlined in row 17, not tied to specific sub-category.</t>
  </si>
  <si>
    <t>All Apple DRI emails outlined in row 18, not tied to specific sub-category.</t>
  </si>
  <si>
    <t>RFP to DFM LT is about 1weeks;
KO to ETA is about 7weeks, ETA to SAT 2weeks, OEE 2weeks, which may verify with different delivery location and different project .</t>
    <phoneticPr fontId="30" type="noConversion"/>
  </si>
  <si>
    <t xml:space="preserve">Key comoponets  average  Annual Spend  of Au 3 axis dispensing machine  is $40milion
Key comoponets  average  Annual Spend  of AM 5 axis dispensing machine  is $11milion
Key comoponets  average  Annual Spend  of tabletop 3axis dispensing machine  is $1milion </t>
  </si>
  <si>
    <t>10. High efficiency &amp; high accuracy Placement platform (±10um / ±5um) 25 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</si>
</sst>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_);[Red]\(\$#,##0\)"/>
    <numFmt numFmtId="165" formatCode="_-[$$-409]* #,##0_ ;_-[$$-409]* \-#,##0\ ;_-[$$-409]* &quot;-&quot;??_ ;_-@_ "/>
    <numFmt numFmtId="166" formatCode="_-* #,##0_-;\-* #,##0_-;_-* &quot;-&quot;_-;_-@_-"/>
    <numFmt numFmtId="167" formatCode="_-[$$-409]* #,##0.00_ ;_-[$$-409]* \-#,##0.00\ ;_-[$$-409]* &quot;-&quot;_ ;_-@_ "/>
  </numFmts>
  <fonts count="38">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9"/>
      <name val="Calibri"/>
      <family val="3"/>
      <charset val="134"/>
      <scheme val="minor"/>
    </font>
    <font>
      <sz val="8"/>
      <color theme="1"/>
      <name val="Segoe UI"/>
      <family val="2"/>
    </font>
    <font>
      <sz val="8"/>
      <color theme="1"/>
      <name val="Segoe UI"/>
      <family val="2"/>
    </font>
    <font>
      <sz val="8"/>
      <color theme="1"/>
      <name val="Inherit"/>
      <family val="2"/>
    </font>
    <font>
      <sz val="8"/>
      <color theme="1"/>
      <name val="Inherit"/>
      <family val="2"/>
    </font>
    <font>
      <sz val="8"/>
      <color theme="1"/>
      <name val="Calibri"/>
      <family val="2"/>
      <scheme val="minor"/>
    </font>
    <font>
      <sz val="8"/>
      <color theme="1"/>
      <name val="Calibri"/>
      <family val="3"/>
      <charset val="134"/>
      <scheme val="minor"/>
    </font>
    <font>
      <sz val="14"/>
      <color rgb="FF000000"/>
      <name val="Calibri"/>
      <family val="2"/>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D9E1F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style="thin">
        <color rgb="FF000000"/>
      </right>
      <top/>
      <bottom style="thin">
        <color rgb="FF000000"/>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6" fontId="1" fillId="0" borderId="0" applyFont="0" applyFill="0" applyBorder="0" applyAlignment="0" applyProtection="0">
      <alignment vertical="center"/>
    </xf>
  </cellStyleXfs>
  <cellXfs count="112">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5"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7" fontId="12" fillId="5" borderId="1" xfId="0" applyNumberFormat="1" applyFont="1" applyFill="1" applyBorder="1" applyAlignment="1" applyProtection="1">
      <alignment horizontal="center" vertical="center" wrapText="1"/>
      <protection locked="0"/>
    </xf>
    <xf numFmtId="167"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31" fillId="0" borderId="0" xfId="0" applyFont="1" applyAlignment="1">
      <alignment vertical="center"/>
    </xf>
    <xf numFmtId="0" fontId="32" fillId="0" borderId="0" xfId="0" applyFont="1" applyAlignment="1">
      <alignment vertical="center" wrapText="1"/>
    </xf>
    <xf numFmtId="0" fontId="34" fillId="0" borderId="0" xfId="0" applyFont="1" applyAlignment="1">
      <alignment horizontal="left" vertical="center" wrapText="1" indent="1"/>
    </xf>
    <xf numFmtId="0" fontId="34" fillId="0" borderId="0" xfId="0" applyFont="1" applyAlignment="1">
      <alignment horizontal="left" vertical="center" wrapText="1" indent="2"/>
    </xf>
    <xf numFmtId="0" fontId="10" fillId="0" borderId="0" xfId="0" applyFont="1" applyAlignment="1" applyProtection="1">
      <alignment horizontal="center" vertical="center"/>
      <protection locked="0"/>
    </xf>
    <xf numFmtId="0" fontId="8" fillId="0" borderId="16" xfId="3" applyBorder="1" applyAlignment="1" applyProtection="1">
      <alignment horizontal="center" vertical="center"/>
      <protection locked="0"/>
    </xf>
    <xf numFmtId="164" fontId="12" fillId="5" borderId="1" xfId="0" applyNumberFormat="1" applyFont="1" applyFill="1" applyBorder="1" applyAlignment="1" applyProtection="1">
      <alignment horizontal="center" vertical="center" wrapText="1"/>
      <protection locked="0"/>
    </xf>
    <xf numFmtId="0" fontId="33" fillId="0" borderId="0" xfId="0" applyFont="1" applyAlignment="1">
      <alignment horizontal="left" vertical="center" wrapText="1" indent="1"/>
    </xf>
    <xf numFmtId="0" fontId="35" fillId="9" borderId="1" xfId="0" applyFont="1" applyFill="1" applyBorder="1" applyAlignment="1">
      <alignment horizontal="center" vertical="center"/>
    </xf>
    <xf numFmtId="0" fontId="36" fillId="9" borderId="1" xfId="0" applyFont="1" applyFill="1" applyBorder="1" applyAlignment="1">
      <alignment horizontal="center" vertical="center" wrapText="1"/>
    </xf>
    <xf numFmtId="0" fontId="36" fillId="9" borderId="1" xfId="0" applyFont="1" applyFill="1" applyBorder="1" applyAlignment="1">
      <alignment horizontal="center" vertical="center"/>
    </xf>
    <xf numFmtId="0" fontId="36" fillId="0" borderId="1" xfId="0" applyFont="1" applyBorder="1" applyAlignment="1">
      <alignment horizontal="center" vertical="center"/>
    </xf>
    <xf numFmtId="0" fontId="36" fillId="0" borderId="1" xfId="0" applyFont="1" applyBorder="1" applyAlignment="1">
      <alignment horizontal="center" vertical="center" wrapText="1"/>
    </xf>
    <xf numFmtId="0" fontId="36" fillId="2" borderId="1" xfId="0" applyFont="1" applyFill="1" applyBorder="1" applyAlignment="1">
      <alignment vertical="center" wrapText="1"/>
    </xf>
    <xf numFmtId="0" fontId="36" fillId="0" borderId="17" xfId="0" applyFont="1" applyBorder="1" applyAlignment="1">
      <alignment horizontal="center" vertical="center" wrapText="1"/>
    </xf>
    <xf numFmtId="0" fontId="36" fillId="0" borderId="1" xfId="0" applyFont="1" applyBorder="1" applyAlignment="1">
      <alignment vertical="center" wrapText="1"/>
    </xf>
    <xf numFmtId="0" fontId="36" fillId="2" borderId="1" xfId="0" applyFont="1" applyFill="1" applyBorder="1" applyAlignment="1">
      <alignment horizontal="center" vertical="center" wrapText="1"/>
    </xf>
    <xf numFmtId="0" fontId="36" fillId="2" borderId="3" xfId="0" applyFont="1" applyFill="1" applyBorder="1" applyAlignment="1">
      <alignment horizontal="center" vertical="center" wrapText="1"/>
    </xf>
    <xf numFmtId="0" fontId="36" fillId="2" borderId="4" xfId="0" applyFont="1" applyFill="1" applyBorder="1" applyAlignment="1">
      <alignment vertical="center" wrapText="1"/>
    </xf>
    <xf numFmtId="0" fontId="36" fillId="2" borderId="1" xfId="0" applyFont="1" applyFill="1" applyBorder="1" applyAlignment="1">
      <alignment horizontal="center" vertical="center"/>
    </xf>
    <xf numFmtId="1" fontId="37" fillId="10" borderId="18" xfId="0" applyNumberFormat="1"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31" fillId="0" borderId="0" xfId="0" applyFont="1" applyAlignment="1">
      <alignment horizontal="left" vertical="center" wrapText="1"/>
    </xf>
    <xf numFmtId="0" fontId="14" fillId="4" borderId="1" xfId="0" applyFont="1" applyFill="1" applyBorder="1" applyAlignment="1">
      <alignment horizontal="center" vertical="center" wrapText="1"/>
    </xf>
    <xf numFmtId="0" fontId="36" fillId="0" borderId="2" xfId="0" applyFont="1" applyBorder="1" applyAlignment="1">
      <alignment horizontal="center" vertical="center" wrapText="1"/>
    </xf>
    <xf numFmtId="0" fontId="36" fillId="0" borderId="15" xfId="0" applyFont="1" applyBorder="1" applyAlignment="1">
      <alignment horizontal="center" vertical="center" wrapText="1"/>
    </xf>
    <xf numFmtId="0" fontId="36" fillId="0" borderId="17" xfId="0" applyFont="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00000000-0005-0000-0000-000000000000}"/>
    <cellStyle name="Hyperlink" xfId="3" builtinId="8"/>
    <cellStyle name="Normal" xfId="0" builtinId="0"/>
    <cellStyle name="Normal 2" xfId="2" xr:uid="{00000000-0005-0000-0000-000001000000}"/>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hyperlink" Target="mailto:benzheng.wang@axxonauto.com" TargetMode="External"/><Relationship Id="rId1" Type="http://schemas.openxmlformats.org/officeDocument/2006/relationships/hyperlink" Target="mailto:benzheng.wang@axxonauto.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2:B14"/>
  <sheetViews>
    <sheetView showGridLines="0" topLeftCell="A8" zoomScale="50" zoomScaleNormal="50" workbookViewId="0">
      <selection activeCell="B8" sqref="B8"/>
    </sheetView>
  </sheetViews>
  <sheetFormatPr defaultColWidth="10.83203125" defaultRowHeight="20"/>
  <cols>
    <col min="1" max="1" width="10.83203125" style="50"/>
    <col min="2" max="2" width="200.83203125" style="10" customWidth="1"/>
    <col min="3" max="16384" width="10.83203125" style="50"/>
  </cols>
  <sheetData>
    <row r="2" spans="2:2">
      <c r="B2" s="8" t="s">
        <v>214</v>
      </c>
    </row>
    <row r="3" spans="2:2">
      <c r="B3" s="43" t="s">
        <v>174</v>
      </c>
    </row>
    <row r="4" spans="2:2" ht="80">
      <c r="B4" s="9" t="s">
        <v>113</v>
      </c>
    </row>
    <row r="5" spans="2:2">
      <c r="B5" s="43" t="s">
        <v>175</v>
      </c>
    </row>
    <row r="6" spans="2:2" ht="40">
      <c r="B6" s="9" t="s">
        <v>114</v>
      </c>
    </row>
    <row r="7" spans="2:2">
      <c r="B7" s="43" t="s">
        <v>176</v>
      </c>
    </row>
    <row r="8" spans="2:2" ht="280">
      <c r="B8" s="9" t="s">
        <v>294</v>
      </c>
    </row>
    <row r="9" spans="2:2">
      <c r="B9" s="43" t="s">
        <v>177</v>
      </c>
    </row>
    <row r="10" spans="2:2">
      <c r="B10" s="9" t="s">
        <v>180</v>
      </c>
    </row>
    <row r="11" spans="2:2">
      <c r="B11" s="43" t="s">
        <v>178</v>
      </c>
    </row>
    <row r="12" spans="2:2" ht="40">
      <c r="B12" s="9" t="s">
        <v>115</v>
      </c>
    </row>
    <row r="13" spans="2:2">
      <c r="B13" s="43" t="s">
        <v>179</v>
      </c>
    </row>
    <row r="14" spans="2:2" ht="80">
      <c r="B14" s="71" t="s">
        <v>317</v>
      </c>
    </row>
  </sheetData>
  <sheetProtection algorithmName="SHA-512" hashValue="oqQmTTL1TGDehFTcAOr2PQzV2AF19eG2fsUcc8MPwK3DeUGnHmuByNhhMgg5CE2BrggHILzN+R4S0gsFxK+kfw==" saltValue="b/vDCHd/sP/Ufj+9MTyigg==" spinCount="100000" sheet="1" objects="1" scenarios="1"/>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2:B30"/>
  <sheetViews>
    <sheetView showGridLines="0" topLeftCell="A24" zoomScale="50" zoomScaleNormal="50" workbookViewId="0">
      <selection activeCell="B8" sqref="B8"/>
    </sheetView>
  </sheetViews>
  <sheetFormatPr defaultColWidth="10.83203125" defaultRowHeight="20"/>
  <cols>
    <col min="1" max="1" width="10.83203125" style="50"/>
    <col min="2" max="2" width="200.83203125" style="10" customWidth="1"/>
    <col min="3" max="16384" width="10.83203125" style="50"/>
  </cols>
  <sheetData>
    <row r="2" spans="2:2">
      <c r="B2" s="8" t="s">
        <v>116</v>
      </c>
    </row>
    <row r="3" spans="2:2">
      <c r="B3" s="42" t="s">
        <v>160</v>
      </c>
    </row>
    <row r="4" spans="2:2" ht="60">
      <c r="B4" s="9" t="s">
        <v>117</v>
      </c>
    </row>
    <row r="5" spans="2:2">
      <c r="B5" s="43" t="s">
        <v>161</v>
      </c>
    </row>
    <row r="6" spans="2:2" ht="40">
      <c r="B6" s="9" t="s">
        <v>118</v>
      </c>
    </row>
    <row r="7" spans="2:2">
      <c r="B7" s="43" t="s">
        <v>162</v>
      </c>
    </row>
    <row r="8" spans="2:2" ht="60">
      <c r="B8" s="9" t="s">
        <v>181</v>
      </c>
    </row>
    <row r="9" spans="2:2">
      <c r="B9" s="43" t="s">
        <v>163</v>
      </c>
    </row>
    <row r="10" spans="2:2" ht="40">
      <c r="B10" s="9" t="s">
        <v>119</v>
      </c>
    </row>
    <row r="11" spans="2:2">
      <c r="B11" s="43" t="s">
        <v>164</v>
      </c>
    </row>
    <row r="12" spans="2:2" ht="120">
      <c r="B12" s="9" t="s">
        <v>120</v>
      </c>
    </row>
    <row r="13" spans="2:2">
      <c r="B13" s="43" t="s">
        <v>165</v>
      </c>
    </row>
    <row r="14" spans="2:2" ht="80">
      <c r="B14" s="9" t="s">
        <v>121</v>
      </c>
    </row>
    <row r="15" spans="2:2">
      <c r="B15" s="43" t="s">
        <v>166</v>
      </c>
    </row>
    <row r="16" spans="2:2" ht="160">
      <c r="B16" s="9" t="s">
        <v>122</v>
      </c>
    </row>
    <row r="17" spans="2:2">
      <c r="B17" s="43" t="s">
        <v>167</v>
      </c>
    </row>
    <row r="18" spans="2:2" ht="60">
      <c r="B18" s="9" t="s">
        <v>123</v>
      </c>
    </row>
    <row r="19" spans="2:2">
      <c r="B19" s="43" t="s">
        <v>168</v>
      </c>
    </row>
    <row r="20" spans="2:2" ht="120">
      <c r="B20" s="9" t="s">
        <v>124</v>
      </c>
    </row>
    <row r="21" spans="2:2">
      <c r="B21" s="43" t="s">
        <v>169</v>
      </c>
    </row>
    <row r="22" spans="2:2" ht="60">
      <c r="B22" s="9" t="s">
        <v>125</v>
      </c>
    </row>
    <row r="23" spans="2:2">
      <c r="B23" s="43" t="s">
        <v>170</v>
      </c>
    </row>
    <row r="24" spans="2:2" ht="220">
      <c r="B24" s="9" t="s">
        <v>126</v>
      </c>
    </row>
    <row r="25" spans="2:2">
      <c r="B25" s="43" t="s">
        <v>171</v>
      </c>
    </row>
    <row r="26" spans="2:2" ht="160">
      <c r="B26" s="9" t="s">
        <v>127</v>
      </c>
    </row>
    <row r="27" spans="2:2">
      <c r="B27" s="43" t="s">
        <v>172</v>
      </c>
    </row>
    <row r="28" spans="2:2" ht="40">
      <c r="B28" s="9" t="s">
        <v>128</v>
      </c>
    </row>
    <row r="29" spans="2:2">
      <c r="B29" s="43" t="s">
        <v>173</v>
      </c>
    </row>
    <row r="30" spans="2:2" ht="40">
      <c r="B30" s="9" t="s">
        <v>129</v>
      </c>
    </row>
  </sheetData>
  <sheetProtection algorithmName="SHA-512" hashValue="16lh0SMdOYpgz3mnq1FR8VPhkQB9WkH38CSEnYhumJ7oOgzraD5PFwCtlNgfhiodXtWpUFbS52RGhhbDqUMGuw==" saltValue="TscPftiJMrKjkcTdY+qO4A==" spinCount="100000" sheet="1" objects="1" scenarios="1"/>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2:C4"/>
  <sheetViews>
    <sheetView showGridLines="0" zoomScale="60" zoomScaleNormal="60" workbookViewId="0">
      <selection activeCell="B4" sqref="B4"/>
    </sheetView>
  </sheetViews>
  <sheetFormatPr defaultColWidth="10.83203125" defaultRowHeight="20"/>
  <cols>
    <col min="1" max="1" width="10.83203125" style="50"/>
    <col min="2" max="2" width="141.5" style="10" customWidth="1"/>
    <col min="3" max="3" width="40.83203125" style="13" customWidth="1"/>
    <col min="4" max="16384" width="10.83203125" style="50"/>
  </cols>
  <sheetData>
    <row r="2" spans="2:3">
      <c r="B2" s="8" t="s">
        <v>130</v>
      </c>
      <c r="C2" s="11"/>
    </row>
    <row r="3" spans="2:3">
      <c r="B3" s="42" t="s">
        <v>151</v>
      </c>
      <c r="C3" s="11"/>
    </row>
    <row r="4" spans="2:3" ht="200">
      <c r="B4" s="12" t="s">
        <v>131</v>
      </c>
      <c r="C4" s="49" t="s">
        <v>36</v>
      </c>
    </row>
  </sheetData>
  <sheetProtection algorithmName="SHA-512" hashValue="cPVBRGIOKtrTXlo8MnBnv30QuoK2ij4jvok7Fuxi7SU44lPIkdnO5QVJCpjHhshse5xZzxGkMdhwa1LXka8wWQ==" saltValue="QyILU6nUmgu4hisGiP9AQw==" spinCount="100000" sheet="1" objects="1" scenarios="1"/>
  <phoneticPr fontId="30" type="noConversion"/>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00000000-0002-0000-0200-000000000000}">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F81BD"/>
  </sheetPr>
  <dimension ref="A1:G25"/>
  <sheetViews>
    <sheetView showGridLines="0" zoomScale="80" zoomScaleNormal="80" workbookViewId="0">
      <selection activeCell="C3" sqref="C3"/>
    </sheetView>
  </sheetViews>
  <sheetFormatPr defaultColWidth="10.83203125" defaultRowHeight="18.5"/>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236</v>
      </c>
    </row>
    <row r="2" spans="1:7" ht="26" customHeight="1">
      <c r="A2" s="15">
        <v>1</v>
      </c>
      <c r="B2" s="16" t="s">
        <v>132</v>
      </c>
      <c r="C2" s="17">
        <v>45774</v>
      </c>
    </row>
    <row r="3" spans="1:7" ht="26" customHeight="1">
      <c r="A3" s="15">
        <v>2</v>
      </c>
      <c r="B3" s="16" t="s">
        <v>14</v>
      </c>
      <c r="C3" s="18" t="s">
        <v>347</v>
      </c>
    </row>
    <row r="4" spans="1:7" ht="26" customHeight="1">
      <c r="A4" s="15">
        <v>3</v>
      </c>
      <c r="B4" s="16" t="s">
        <v>13</v>
      </c>
      <c r="C4" s="18" t="s">
        <v>495</v>
      </c>
      <c r="E4" s="19"/>
    </row>
    <row r="5" spans="1:7" ht="26" customHeight="1">
      <c r="A5" s="15">
        <v>4</v>
      </c>
      <c r="B5" s="16" t="s">
        <v>133</v>
      </c>
      <c r="C5" s="18" t="s">
        <v>349</v>
      </c>
      <c r="E5" s="19"/>
    </row>
    <row r="6" spans="1:7" ht="26" customHeight="1">
      <c r="A6" s="15">
        <v>5</v>
      </c>
      <c r="B6" s="16" t="s">
        <v>0</v>
      </c>
      <c r="C6" s="20" t="s">
        <v>348</v>
      </c>
      <c r="E6" s="19"/>
    </row>
    <row r="7" spans="1:7" ht="26" customHeight="1">
      <c r="A7" s="15">
        <v>6</v>
      </c>
      <c r="B7" s="16" t="s">
        <v>1</v>
      </c>
      <c r="C7" s="18" t="s">
        <v>496</v>
      </c>
      <c r="E7" s="19"/>
    </row>
    <row r="8" spans="1:7" ht="26" customHeight="1">
      <c r="A8" s="15">
        <v>7</v>
      </c>
      <c r="B8" s="16" t="s">
        <v>2</v>
      </c>
      <c r="C8" s="18"/>
    </row>
    <row r="9" spans="1:7" ht="26" customHeight="1">
      <c r="A9" s="15">
        <v>8</v>
      </c>
      <c r="B9" s="16" t="s">
        <v>134</v>
      </c>
      <c r="C9" s="18"/>
    </row>
    <row r="10" spans="1:7" ht="26" customHeight="1">
      <c r="A10" s="15">
        <v>9</v>
      </c>
      <c r="B10" s="16" t="s">
        <v>5</v>
      </c>
      <c r="C10" s="18">
        <v>1083</v>
      </c>
    </row>
    <row r="11" spans="1:7">
      <c r="A11" s="15">
        <v>10</v>
      </c>
      <c r="B11" s="16" t="s">
        <v>3</v>
      </c>
      <c r="C11" s="18">
        <v>2008</v>
      </c>
    </row>
    <row r="12" spans="1:7">
      <c r="A12" s="15">
        <v>11</v>
      </c>
      <c r="B12" s="16" t="s">
        <v>4</v>
      </c>
      <c r="C12" s="18">
        <v>2013</v>
      </c>
      <c r="F12" s="21"/>
    </row>
    <row r="15" spans="1:7" ht="37">
      <c r="B15" s="23" t="s">
        <v>135</v>
      </c>
      <c r="C15" s="24" t="s">
        <v>136</v>
      </c>
      <c r="D15" s="24" t="s">
        <v>19</v>
      </c>
      <c r="E15" s="24" t="s">
        <v>112</v>
      </c>
      <c r="F15" s="24" t="s">
        <v>20</v>
      </c>
      <c r="G15" s="25" t="s">
        <v>137</v>
      </c>
    </row>
    <row r="16" spans="1:7">
      <c r="B16" s="26" t="s">
        <v>21</v>
      </c>
      <c r="C16" s="18" t="s">
        <v>350</v>
      </c>
      <c r="D16" s="18" t="s">
        <v>487</v>
      </c>
      <c r="E16" s="18" t="s">
        <v>340</v>
      </c>
      <c r="F16" s="20" t="s">
        <v>351</v>
      </c>
      <c r="G16" s="27" t="s">
        <v>356</v>
      </c>
    </row>
    <row r="17" spans="2:7">
      <c r="B17" s="26" t="s">
        <v>138</v>
      </c>
      <c r="C17" s="18" t="s">
        <v>352</v>
      </c>
      <c r="D17" s="18" t="s">
        <v>353</v>
      </c>
      <c r="E17" s="18" t="s">
        <v>340</v>
      </c>
      <c r="F17" s="20" t="s">
        <v>354</v>
      </c>
      <c r="G17" s="27" t="s">
        <v>355</v>
      </c>
    </row>
    <row r="18" spans="2:7">
      <c r="B18" s="26" t="s">
        <v>139</v>
      </c>
      <c r="C18" s="18" t="s">
        <v>361</v>
      </c>
      <c r="D18" s="18" t="s">
        <v>364</v>
      </c>
      <c r="E18" s="18" t="s">
        <v>340</v>
      </c>
      <c r="F18" s="20" t="s">
        <v>372</v>
      </c>
      <c r="G18" s="27" t="s">
        <v>378</v>
      </c>
    </row>
    <row r="19" spans="2:7">
      <c r="B19" s="26" t="s">
        <v>140</v>
      </c>
      <c r="C19" s="18" t="s">
        <v>358</v>
      </c>
      <c r="D19" s="18" t="s">
        <v>488</v>
      </c>
      <c r="E19" s="18" t="s">
        <v>340</v>
      </c>
      <c r="F19" s="81" t="s">
        <v>374</v>
      </c>
      <c r="G19" s="27" t="s">
        <v>379</v>
      </c>
    </row>
    <row r="20" spans="2:7">
      <c r="B20" s="28" t="s">
        <v>141</v>
      </c>
      <c r="C20" s="22" t="s">
        <v>357</v>
      </c>
      <c r="D20" s="80" t="s">
        <v>366</v>
      </c>
      <c r="E20" s="18" t="s">
        <v>340</v>
      </c>
      <c r="F20" s="81" t="s">
        <v>373</v>
      </c>
      <c r="G20" s="27" t="s">
        <v>380</v>
      </c>
    </row>
    <row r="21" spans="2:7">
      <c r="B21" s="26" t="s">
        <v>142</v>
      </c>
      <c r="C21" s="18" t="s">
        <v>360</v>
      </c>
      <c r="D21" s="22" t="s">
        <v>365</v>
      </c>
      <c r="E21" s="18" t="s">
        <v>340</v>
      </c>
      <c r="F21" s="20" t="s">
        <v>375</v>
      </c>
      <c r="G21" s="27" t="s">
        <v>381</v>
      </c>
    </row>
    <row r="22" spans="2:7">
      <c r="B22" s="26" t="s">
        <v>143</v>
      </c>
      <c r="C22" s="18" t="s">
        <v>359</v>
      </c>
      <c r="D22" s="22" t="s">
        <v>363</v>
      </c>
      <c r="E22" s="18" t="s">
        <v>340</v>
      </c>
      <c r="F22" s="20" t="s">
        <v>376</v>
      </c>
      <c r="G22" s="27" t="s">
        <v>382</v>
      </c>
    </row>
    <row r="23" spans="2:7">
      <c r="B23" s="26" t="s">
        <v>144</v>
      </c>
      <c r="C23" s="18" t="s">
        <v>362</v>
      </c>
      <c r="D23" s="22" t="s">
        <v>367</v>
      </c>
      <c r="E23" s="18" t="s">
        <v>340</v>
      </c>
      <c r="F23" s="20" t="s">
        <v>377</v>
      </c>
      <c r="G23" s="27" t="s">
        <v>383</v>
      </c>
    </row>
    <row r="24" spans="2:7" ht="37">
      <c r="B24" s="26" t="s">
        <v>212</v>
      </c>
      <c r="C24" s="18" t="s">
        <v>368</v>
      </c>
      <c r="D24" s="18" t="s">
        <v>369</v>
      </c>
      <c r="E24" s="18" t="s">
        <v>370</v>
      </c>
      <c r="F24" s="20" t="s">
        <v>371</v>
      </c>
      <c r="G24" s="27" t="s">
        <v>384</v>
      </c>
    </row>
    <row r="25" spans="2:7">
      <c r="B25" s="26" t="s">
        <v>212</v>
      </c>
      <c r="C25" s="29" t="s">
        <v>485</v>
      </c>
      <c r="D25" s="29" t="s">
        <v>486</v>
      </c>
      <c r="E25" s="29" t="s">
        <v>94</v>
      </c>
      <c r="F25" s="30" t="s">
        <v>489</v>
      </c>
      <c r="G25" s="31" t="s">
        <v>490</v>
      </c>
    </row>
  </sheetData>
  <sheetProtection algorithmName="SHA-512" hashValue="6yI60cFygKABQ6hsh5VMwt5lwhrATZ21Hzv2csGFFn0nCOgRIkGTqVPEw9cgpAkSwjap78AvGrfGpwdsFd9Lnw==" saltValue="sj8fAt/Q3fALWU/fQ7kXBA==" spinCount="100000" sheet="1" objects="1" scenarios="1"/>
  <phoneticPr fontId="30" type="noConversion"/>
  <conditionalFormatting sqref="C2:C12">
    <cfRule type="notContainsBlanks" dxfId="62" priority="2">
      <formula>LEN(TRIM(C2))&gt;0</formula>
    </cfRule>
  </conditionalFormatting>
  <conditionalFormatting sqref="C16:G17 C18:D19 E18:G22 C20:C21 D21 C22:D22 C23:G25">
    <cfRule type="notContainsBlanks" dxfId="61" priority="1">
      <formula>LEN(TRIM(C16))&gt;0</formula>
    </cfRule>
  </conditionalFormatting>
  <dataValidations count="1">
    <dataValidation type="whole" operator="greaterThan" allowBlank="1" showInputMessage="1" showErrorMessage="1" sqref="C10" xr:uid="{00000000-0002-0000-0300-000000000000}">
      <formula1>0</formula1>
    </dataValidation>
  </dataValidations>
  <hyperlinks>
    <hyperlink ref="F20" r:id="rId1" xr:uid="{00000000-0004-0000-0300-000000000000}"/>
    <hyperlink ref="F19" r:id="rId2" display="benzheng.wang@axxonauto.com"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F81BD"/>
  </sheetPr>
  <dimension ref="A1:I10"/>
  <sheetViews>
    <sheetView showGridLines="0" tabSelected="1" zoomScale="55" zoomScaleNormal="55" workbookViewId="0">
      <selection activeCell="C9" sqref="C9"/>
    </sheetView>
  </sheetViews>
  <sheetFormatPr defaultColWidth="10.83203125" defaultRowHeight="15.5"/>
  <cols>
    <col min="1" max="1" width="4.83203125" customWidth="1"/>
    <col min="2" max="2" width="53.83203125" customWidth="1"/>
    <col min="3" max="8" width="28.1640625" customWidth="1"/>
    <col min="9" max="16384" width="10.83203125" style="1"/>
  </cols>
  <sheetData>
    <row r="1" spans="2:9" ht="51" customHeight="1">
      <c r="B1" s="14" t="s">
        <v>213</v>
      </c>
    </row>
    <row r="2" spans="2:9" ht="51" customHeight="1">
      <c r="B2" s="16" t="s">
        <v>145</v>
      </c>
      <c r="C2" s="16">
        <v>2022</v>
      </c>
      <c r="D2" s="16">
        <v>2023</v>
      </c>
      <c r="E2" s="16">
        <v>2024</v>
      </c>
      <c r="F2" s="16" t="s">
        <v>210</v>
      </c>
      <c r="G2" s="16" t="s">
        <v>146</v>
      </c>
      <c r="H2" s="16" t="s">
        <v>147</v>
      </c>
    </row>
    <row r="3" spans="2:9" ht="51" customHeight="1">
      <c r="B3" s="32" t="s">
        <v>9</v>
      </c>
      <c r="C3" s="60"/>
      <c r="D3" s="60"/>
      <c r="E3" s="60"/>
      <c r="F3" s="60"/>
      <c r="G3" s="60"/>
      <c r="H3" s="60"/>
    </row>
    <row r="4" spans="2:9" ht="51" customHeight="1">
      <c r="B4" s="32" t="s">
        <v>10</v>
      </c>
      <c r="C4" s="60">
        <v>116.14</v>
      </c>
      <c r="D4" s="60">
        <v>99.83</v>
      </c>
      <c r="E4" s="60">
        <v>127.79</v>
      </c>
      <c r="F4" s="60">
        <v>152</v>
      </c>
      <c r="G4" s="60">
        <v>190</v>
      </c>
      <c r="H4" s="60">
        <v>238</v>
      </c>
      <c r="I4" s="4"/>
    </row>
    <row r="5" spans="2:9" ht="51" customHeight="1">
      <c r="B5" s="32" t="s">
        <v>11</v>
      </c>
      <c r="C5" s="60"/>
      <c r="D5" s="60"/>
      <c r="E5" s="60"/>
      <c r="F5" s="60"/>
      <c r="G5" s="60"/>
      <c r="H5" s="60"/>
      <c r="I5" s="4" t="s">
        <v>18</v>
      </c>
    </row>
    <row r="6" spans="2:9" ht="51" customHeight="1">
      <c r="B6" s="32" t="s">
        <v>287</v>
      </c>
      <c r="C6" s="60">
        <v>18.510000000000002</v>
      </c>
      <c r="D6" s="60">
        <v>14.95</v>
      </c>
      <c r="E6" s="60">
        <v>15.22</v>
      </c>
      <c r="F6" s="60">
        <v>18.91</v>
      </c>
      <c r="G6" s="60">
        <v>23.16</v>
      </c>
      <c r="H6" s="60">
        <v>29.38</v>
      </c>
      <c r="I6" s="2" t="s">
        <v>150</v>
      </c>
    </row>
    <row r="8" spans="2:9" ht="18.5">
      <c r="B8" s="16" t="s">
        <v>145</v>
      </c>
      <c r="C8" s="16">
        <v>2023</v>
      </c>
      <c r="D8" s="16">
        <v>2023</v>
      </c>
      <c r="E8" s="16">
        <v>2024</v>
      </c>
      <c r="F8" s="16" t="s">
        <v>210</v>
      </c>
      <c r="G8" s="16" t="s">
        <v>146</v>
      </c>
      <c r="H8" s="16" t="s">
        <v>147</v>
      </c>
    </row>
    <row r="9" spans="2:9" ht="18.5">
      <c r="B9" s="32" t="s">
        <v>148</v>
      </c>
      <c r="C9" s="61">
        <v>35.93</v>
      </c>
      <c r="D9" s="61">
        <v>27.48</v>
      </c>
      <c r="E9" s="61">
        <v>32.57</v>
      </c>
      <c r="F9" s="61">
        <v>37.549999999999997</v>
      </c>
      <c r="G9" s="61">
        <v>46.86</v>
      </c>
      <c r="H9" s="61">
        <v>57.45</v>
      </c>
    </row>
    <row r="10" spans="2:9" ht="18.5">
      <c r="B10" s="32" t="s">
        <v>149</v>
      </c>
      <c r="C10" s="61">
        <v>22.68</v>
      </c>
      <c r="D10" s="61">
        <v>14.53</v>
      </c>
      <c r="E10" s="61">
        <v>18.600000000000001</v>
      </c>
      <c r="F10" s="61">
        <v>19.190000000000001</v>
      </c>
      <c r="G10" s="61">
        <v>23.23</v>
      </c>
      <c r="H10" s="61">
        <v>27.58</v>
      </c>
    </row>
  </sheetData>
  <sheetProtection algorithmName="SHA-512" hashValue="ADYHa84FNvxgDAPkQMA/ds4sXCGn4cmNRk+QJEHJSD6Mj+8x0KTQ9z3XQL2xdLYTVckdH232Lggvd0pM/Osjng==" saltValue="pjSFd/rHk5+ena2trvj3tA==" spinCount="100000" sheet="1" objects="1" scenarios="1"/>
  <phoneticPr fontId="30" type="noConversion"/>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00000000-0002-0000-0400-000000000000}">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F81BD"/>
  </sheetPr>
  <dimension ref="A1:H29"/>
  <sheetViews>
    <sheetView showGridLines="0" zoomScale="60" zoomScaleNormal="60" workbookViewId="0">
      <selection activeCell="C10" sqref="C10"/>
    </sheetView>
  </sheetViews>
  <sheetFormatPr defaultColWidth="10.83203125" defaultRowHeight="26" customHeight="1"/>
  <cols>
    <col min="1" max="1" width="6.1640625" style="65" customWidth="1"/>
    <col min="2" max="2" width="59" style="34" customWidth="1"/>
    <col min="3" max="3" width="38.5" style="3" customWidth="1"/>
    <col min="4" max="8" width="38.5" style="6" customWidth="1"/>
    <col min="9" max="11" width="29.1640625" style="3" customWidth="1"/>
    <col min="12" max="16384" width="10.83203125" style="3"/>
  </cols>
  <sheetData>
    <row r="1" spans="1:8" s="15" customFormat="1" ht="51" customHeight="1">
      <c r="A1" s="63"/>
      <c r="B1" s="33" t="s">
        <v>296</v>
      </c>
    </row>
    <row r="2" spans="1:8" s="34" customFormat="1" ht="56" customHeight="1">
      <c r="A2" s="64"/>
      <c r="B2" s="16"/>
      <c r="C2" s="16" t="s">
        <v>15</v>
      </c>
      <c r="D2" s="35" t="s">
        <v>107</v>
      </c>
      <c r="E2" s="35" t="s">
        <v>108</v>
      </c>
      <c r="F2" s="35" t="s">
        <v>109</v>
      </c>
      <c r="G2" s="35" t="s">
        <v>110</v>
      </c>
      <c r="H2" s="35" t="s">
        <v>111</v>
      </c>
    </row>
    <row r="3" spans="1:8" ht="60" customHeight="1">
      <c r="A3" s="65">
        <v>1</v>
      </c>
      <c r="B3" s="16" t="s">
        <v>152</v>
      </c>
      <c r="C3" s="36"/>
      <c r="D3" s="36"/>
      <c r="E3" s="36"/>
      <c r="F3" s="18"/>
      <c r="G3" s="18"/>
      <c r="H3" s="18"/>
    </row>
    <row r="4" spans="1:8" ht="60" customHeight="1">
      <c r="A4" s="65">
        <v>2</v>
      </c>
      <c r="B4" s="16" t="s">
        <v>153</v>
      </c>
      <c r="C4" s="18" t="s">
        <v>385</v>
      </c>
      <c r="D4" s="18" t="s">
        <v>342</v>
      </c>
      <c r="E4" s="18" t="s">
        <v>80</v>
      </c>
      <c r="F4" s="18"/>
      <c r="G4" s="52"/>
      <c r="H4" s="18"/>
    </row>
    <row r="5" spans="1:8" ht="60" customHeight="1">
      <c r="A5" s="65">
        <v>3</v>
      </c>
      <c r="B5" s="16" t="s">
        <v>154</v>
      </c>
      <c r="C5" s="18" t="s">
        <v>386</v>
      </c>
      <c r="D5" s="18" t="s">
        <v>401</v>
      </c>
      <c r="E5" s="18" t="s">
        <v>400</v>
      </c>
      <c r="F5" s="18"/>
      <c r="G5" s="18"/>
      <c r="H5" s="18"/>
    </row>
    <row r="6" spans="1:8" ht="60" customHeight="1">
      <c r="A6" s="65">
        <v>4</v>
      </c>
      <c r="B6" s="35" t="s">
        <v>155</v>
      </c>
      <c r="C6" s="18" t="s">
        <v>388</v>
      </c>
      <c r="D6" s="18" t="s">
        <v>387</v>
      </c>
      <c r="E6" s="18" t="s">
        <v>387</v>
      </c>
      <c r="F6" s="18"/>
      <c r="G6" s="18"/>
      <c r="H6" s="18"/>
    </row>
    <row r="7" spans="1:8" ht="86" customHeight="1">
      <c r="A7" s="65">
        <v>5</v>
      </c>
      <c r="B7" s="35" t="s">
        <v>156</v>
      </c>
      <c r="C7" s="18" t="s">
        <v>389</v>
      </c>
      <c r="D7" s="18" t="s">
        <v>389</v>
      </c>
      <c r="E7" s="18" t="s">
        <v>389</v>
      </c>
      <c r="F7" s="18"/>
      <c r="G7" s="18"/>
      <c r="H7" s="18"/>
    </row>
    <row r="8" spans="1:8" ht="86" customHeight="1">
      <c r="A8" s="65">
        <v>6</v>
      </c>
      <c r="B8" s="35" t="s">
        <v>157</v>
      </c>
      <c r="C8" s="18" t="s">
        <v>390</v>
      </c>
      <c r="D8" s="18" t="s">
        <v>391</v>
      </c>
      <c r="E8" s="18" t="s">
        <v>391</v>
      </c>
      <c r="F8" s="18"/>
      <c r="G8" s="18"/>
      <c r="H8" s="18"/>
    </row>
    <row r="9" spans="1:8" ht="60" customHeight="1">
      <c r="A9" s="65">
        <v>7</v>
      </c>
      <c r="B9" s="16" t="s">
        <v>158</v>
      </c>
      <c r="C9" s="37">
        <v>19985.599999999999</v>
      </c>
      <c r="D9" s="37">
        <v>1000</v>
      </c>
      <c r="E9" s="38">
        <v>750</v>
      </c>
      <c r="F9" s="38"/>
      <c r="G9" s="38"/>
      <c r="H9" s="38"/>
    </row>
    <row r="10" spans="1:8" ht="60" customHeight="1">
      <c r="A10" s="65">
        <v>8</v>
      </c>
      <c r="B10" s="35" t="s">
        <v>279</v>
      </c>
      <c r="C10" s="37">
        <v>1053</v>
      </c>
      <c r="D10" s="37">
        <v>25</v>
      </c>
      <c r="E10" s="38">
        <v>15</v>
      </c>
      <c r="F10" s="38"/>
      <c r="G10" s="38"/>
      <c r="H10" s="38"/>
    </row>
    <row r="11" spans="1:8" ht="60" customHeight="1">
      <c r="A11" s="65">
        <v>9</v>
      </c>
      <c r="B11" s="35" t="s">
        <v>208</v>
      </c>
      <c r="C11" s="18">
        <v>350</v>
      </c>
      <c r="D11" s="18">
        <v>50</v>
      </c>
      <c r="E11" s="18">
        <v>20</v>
      </c>
      <c r="F11" s="18"/>
      <c r="G11" s="18"/>
      <c r="H11" s="18"/>
    </row>
    <row r="12" spans="1:8" ht="60" customHeight="1">
      <c r="A12" s="65">
        <v>10</v>
      </c>
      <c r="B12" s="35" t="s">
        <v>207</v>
      </c>
      <c r="C12" s="18">
        <v>500</v>
      </c>
      <c r="D12" s="18">
        <v>80</v>
      </c>
      <c r="E12" s="18">
        <v>30</v>
      </c>
      <c r="F12" s="18"/>
      <c r="G12" s="18"/>
      <c r="H12" s="18"/>
    </row>
    <row r="13" spans="1:8" ht="60" customHeight="1">
      <c r="A13" s="65">
        <v>11</v>
      </c>
      <c r="B13" s="35" t="s">
        <v>280</v>
      </c>
      <c r="C13" s="82">
        <v>142800000</v>
      </c>
      <c r="D13" s="18"/>
      <c r="E13" s="82">
        <v>5000000</v>
      </c>
      <c r="F13" s="18"/>
      <c r="G13" s="18"/>
      <c r="H13" s="18"/>
    </row>
    <row r="14" spans="1:8" ht="60" customHeight="1">
      <c r="A14" s="65">
        <v>12</v>
      </c>
      <c r="B14" s="35" t="s">
        <v>205</v>
      </c>
      <c r="C14" s="18" t="s">
        <v>37</v>
      </c>
      <c r="D14" s="18" t="s">
        <v>37</v>
      </c>
      <c r="E14" s="18" t="s">
        <v>37</v>
      </c>
      <c r="F14" s="18"/>
      <c r="G14" s="18"/>
      <c r="H14" s="18"/>
    </row>
    <row r="15" spans="1:8" ht="60" customHeight="1">
      <c r="A15" s="65">
        <v>13</v>
      </c>
      <c r="B15" s="35" t="s">
        <v>283</v>
      </c>
      <c r="C15" s="18" t="s">
        <v>37</v>
      </c>
      <c r="D15" s="18" t="s">
        <v>37</v>
      </c>
      <c r="E15" s="18" t="s">
        <v>37</v>
      </c>
      <c r="F15" s="18"/>
      <c r="G15" s="18"/>
      <c r="H15" s="18"/>
    </row>
    <row r="16" spans="1:8" ht="60" customHeight="1">
      <c r="A16" s="65">
        <v>14</v>
      </c>
      <c r="B16" s="35" t="s">
        <v>206</v>
      </c>
      <c r="C16" s="18" t="s">
        <v>392</v>
      </c>
      <c r="D16" s="18" t="s">
        <v>402</v>
      </c>
      <c r="E16" s="18" t="s">
        <v>393</v>
      </c>
      <c r="F16" s="18"/>
      <c r="G16" s="18"/>
      <c r="H16" s="18"/>
    </row>
    <row r="18" spans="1:8" ht="61" customHeight="1">
      <c r="A18" s="65">
        <v>15</v>
      </c>
      <c r="B18" s="97" t="s">
        <v>229</v>
      </c>
      <c r="C18" s="97"/>
      <c r="D18" s="98" t="s">
        <v>473</v>
      </c>
      <c r="E18" s="99"/>
      <c r="F18" s="99"/>
      <c r="G18" s="99"/>
      <c r="H18" s="100"/>
    </row>
    <row r="19" spans="1:8" ht="61" customHeight="1">
      <c r="A19" s="65">
        <v>16</v>
      </c>
      <c r="B19" s="97" t="s">
        <v>215</v>
      </c>
      <c r="C19" s="97"/>
      <c r="D19" s="98" t="s">
        <v>484</v>
      </c>
      <c r="E19" s="99"/>
      <c r="F19" s="99"/>
      <c r="G19" s="99"/>
      <c r="H19" s="100"/>
    </row>
    <row r="20" spans="1:8" ht="61" customHeight="1">
      <c r="A20" s="65">
        <v>17</v>
      </c>
      <c r="B20" s="97" t="s">
        <v>202</v>
      </c>
      <c r="C20" s="97"/>
      <c r="D20" s="98" t="s">
        <v>394</v>
      </c>
      <c r="E20" s="99"/>
      <c r="F20" s="99"/>
      <c r="G20" s="99"/>
      <c r="H20" s="100"/>
    </row>
    <row r="21" spans="1:8" ht="61" customHeight="1">
      <c r="A21" s="65">
        <v>18</v>
      </c>
      <c r="B21" s="97" t="s">
        <v>159</v>
      </c>
      <c r="C21" s="97"/>
      <c r="D21" s="98" t="s">
        <v>474</v>
      </c>
      <c r="E21" s="99"/>
      <c r="F21" s="99"/>
      <c r="G21" s="99"/>
      <c r="H21" s="100"/>
    </row>
    <row r="22" spans="1:8" ht="61" customHeight="1">
      <c r="A22" s="65">
        <v>19</v>
      </c>
      <c r="B22" s="97" t="s">
        <v>203</v>
      </c>
      <c r="C22" s="97"/>
      <c r="D22" s="98" t="s">
        <v>475</v>
      </c>
      <c r="E22" s="99"/>
      <c r="F22" s="99"/>
      <c r="G22" s="99"/>
      <c r="H22" s="100"/>
    </row>
    <row r="23" spans="1:8" ht="61" customHeight="1">
      <c r="A23" s="65">
        <v>20</v>
      </c>
      <c r="B23" s="101" t="s">
        <v>227</v>
      </c>
      <c r="C23" s="102"/>
      <c r="D23" s="39" t="s">
        <v>476</v>
      </c>
      <c r="E23" s="40" t="s">
        <v>477</v>
      </c>
      <c r="F23" s="40" t="s">
        <v>478</v>
      </c>
      <c r="G23" s="40"/>
      <c r="H23" s="41"/>
    </row>
    <row r="24" spans="1:8" ht="61" customHeight="1">
      <c r="A24" s="65">
        <v>21</v>
      </c>
      <c r="B24" s="101" t="s">
        <v>228</v>
      </c>
      <c r="C24" s="102"/>
      <c r="D24" s="39" t="s">
        <v>479</v>
      </c>
      <c r="E24" s="40"/>
      <c r="F24" s="40"/>
      <c r="G24" s="40"/>
      <c r="H24" s="41"/>
    </row>
    <row r="25" spans="1:8" ht="187.75" customHeight="1">
      <c r="A25" s="65">
        <v>22</v>
      </c>
      <c r="B25" s="97" t="s">
        <v>204</v>
      </c>
      <c r="C25" s="97"/>
      <c r="D25" s="98" t="s">
        <v>403</v>
      </c>
      <c r="E25" s="99"/>
      <c r="F25" s="99"/>
      <c r="G25" s="99"/>
      <c r="H25" s="100"/>
    </row>
    <row r="26" spans="1:8" ht="61" customHeight="1"/>
    <row r="27" spans="1:8" ht="61" customHeight="1"/>
    <row r="28" spans="1:8" ht="61" customHeight="1"/>
    <row r="29" spans="1:8" ht="61"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phoneticPr fontId="30" type="noConversion"/>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00000000-0002-0000-0500-000000000000}">
      <formula1>0</formula1>
    </dataValidation>
    <dataValidation type="list" allowBlank="1" showInputMessage="1" showErrorMessage="1" sqref="C14:H15" xr:uid="{00000000-0002-0000-0500-000001000000}">
      <formula1>"Yes,No"</formula1>
    </dataValidation>
    <dataValidation type="whole" operator="greaterThan" allowBlank="1" showInputMessage="1" showErrorMessage="1" sqref="C11:H13" xr:uid="{00000000-0002-0000-0500-000002000000}">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F81BD"/>
  </sheetPr>
  <dimension ref="B1:J25"/>
  <sheetViews>
    <sheetView showGridLines="0" zoomScale="40" zoomScaleNormal="40" workbookViewId="0">
      <selection activeCell="C11" sqref="C11"/>
    </sheetView>
  </sheetViews>
  <sheetFormatPr defaultColWidth="10.83203125"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4" t="s">
        <v>297</v>
      </c>
    </row>
    <row r="2" spans="2:10" ht="50" customHeight="1">
      <c r="B2" s="45"/>
      <c r="C2" s="46" t="s">
        <v>6</v>
      </c>
      <c r="D2" s="46" t="s">
        <v>7</v>
      </c>
      <c r="E2" s="46" t="s">
        <v>8</v>
      </c>
      <c r="F2" s="46" t="s">
        <v>16</v>
      </c>
      <c r="G2" s="46" t="s">
        <v>17</v>
      </c>
      <c r="H2" s="46" t="s">
        <v>182</v>
      </c>
      <c r="I2" s="46" t="s">
        <v>217</v>
      </c>
      <c r="J2" s="46" t="s">
        <v>218</v>
      </c>
    </row>
    <row r="3" spans="2:10" ht="50" customHeight="1">
      <c r="B3" s="46" t="s">
        <v>183</v>
      </c>
      <c r="C3" s="72" t="s">
        <v>340</v>
      </c>
      <c r="D3" s="72" t="s">
        <v>492</v>
      </c>
      <c r="E3" s="72" t="s">
        <v>341</v>
      </c>
      <c r="F3" s="72" t="s">
        <v>497</v>
      </c>
      <c r="G3" s="72" t="s">
        <v>491</v>
      </c>
      <c r="H3" s="72" t="s">
        <v>343</v>
      </c>
      <c r="I3" s="72" t="s">
        <v>345</v>
      </c>
      <c r="J3" s="72" t="s">
        <v>346</v>
      </c>
    </row>
    <row r="4" spans="2:10" ht="50" customHeight="1">
      <c r="B4" s="47" t="s">
        <v>265</v>
      </c>
      <c r="C4" s="72">
        <v>89</v>
      </c>
      <c r="D4" s="72"/>
      <c r="E4" s="72">
        <v>1</v>
      </c>
      <c r="F4" s="72"/>
      <c r="G4" s="72"/>
      <c r="H4" s="72">
        <v>4</v>
      </c>
      <c r="I4" s="72">
        <v>4</v>
      </c>
      <c r="J4" s="72"/>
    </row>
    <row r="5" spans="2:10" ht="50" customHeight="1">
      <c r="B5" s="47" t="s">
        <v>264</v>
      </c>
      <c r="C5" s="72">
        <v>67</v>
      </c>
      <c r="D5" s="72"/>
      <c r="E5" s="72">
        <v>1</v>
      </c>
      <c r="F5" s="72"/>
      <c r="G5" s="72"/>
      <c r="H5" s="72">
        <v>4</v>
      </c>
      <c r="I5" s="72">
        <v>4</v>
      </c>
      <c r="J5" s="72">
        <v>1</v>
      </c>
    </row>
    <row r="6" spans="2:10" ht="50" customHeight="1">
      <c r="B6" s="47" t="s">
        <v>266</v>
      </c>
      <c r="C6" s="72">
        <v>96</v>
      </c>
      <c r="D6" s="72">
        <v>1</v>
      </c>
      <c r="E6" s="72">
        <v>2</v>
      </c>
      <c r="F6" s="72"/>
      <c r="G6" s="72"/>
      <c r="H6" s="72">
        <v>5</v>
      </c>
      <c r="I6" s="72">
        <v>6</v>
      </c>
      <c r="J6" s="72">
        <v>2</v>
      </c>
    </row>
    <row r="7" spans="2:10" ht="50" customHeight="1">
      <c r="B7" s="47" t="s">
        <v>267</v>
      </c>
      <c r="C7" s="72"/>
      <c r="D7" s="72"/>
      <c r="E7" s="72"/>
      <c r="F7" s="72"/>
      <c r="G7" s="72"/>
      <c r="H7" s="72"/>
      <c r="I7" s="72"/>
      <c r="J7" s="72"/>
    </row>
    <row r="8" spans="2:10" ht="50" customHeight="1">
      <c r="B8" s="47" t="s">
        <v>216</v>
      </c>
      <c r="C8" s="72" t="s">
        <v>344</v>
      </c>
      <c r="D8" s="72" t="s">
        <v>321</v>
      </c>
      <c r="E8" s="72" t="s">
        <v>344</v>
      </c>
      <c r="F8" s="72" t="s">
        <v>344</v>
      </c>
      <c r="G8" s="72" t="s">
        <v>321</v>
      </c>
      <c r="H8" s="72" t="s">
        <v>344</v>
      </c>
      <c r="I8" s="72" t="s">
        <v>344</v>
      </c>
      <c r="J8" s="72" t="s">
        <v>344</v>
      </c>
    </row>
    <row r="9" spans="2:10" ht="50" customHeight="1">
      <c r="B9" s="47" t="s">
        <v>299</v>
      </c>
      <c r="C9" s="72" t="s">
        <v>344</v>
      </c>
      <c r="D9" s="72" t="s">
        <v>321</v>
      </c>
      <c r="E9" s="72" t="s">
        <v>344</v>
      </c>
      <c r="F9" s="72" t="s">
        <v>344</v>
      </c>
      <c r="G9" s="72" t="s">
        <v>344</v>
      </c>
      <c r="H9" s="72" t="s">
        <v>344</v>
      </c>
      <c r="I9" s="72" t="s">
        <v>344</v>
      </c>
      <c r="J9" s="72" t="s">
        <v>344</v>
      </c>
    </row>
    <row r="10" spans="2:10" ht="50" customHeight="1">
      <c r="B10" s="66" t="s">
        <v>293</v>
      </c>
      <c r="C10" s="72" t="s">
        <v>493</v>
      </c>
      <c r="D10" s="72"/>
      <c r="E10" s="72"/>
      <c r="F10" s="72"/>
      <c r="G10" s="72"/>
      <c r="H10" s="72" t="s">
        <v>498</v>
      </c>
      <c r="I10" s="72" t="s">
        <v>494</v>
      </c>
      <c r="J10" s="72" t="s">
        <v>499</v>
      </c>
    </row>
    <row r="11" spans="2:10" ht="50" customHeight="1">
      <c r="B11" s="47" t="s">
        <v>106</v>
      </c>
      <c r="C11" s="73">
        <v>52</v>
      </c>
      <c r="D11" s="73">
        <v>52</v>
      </c>
      <c r="E11" s="73">
        <v>52</v>
      </c>
      <c r="F11" s="72"/>
      <c r="G11" s="72"/>
      <c r="H11" s="72">
        <v>52</v>
      </c>
      <c r="I11" s="72">
        <v>52</v>
      </c>
      <c r="J11" s="72">
        <v>52</v>
      </c>
    </row>
    <row r="12" spans="2:10" ht="50" customHeight="1">
      <c r="B12" s="47" t="s">
        <v>201</v>
      </c>
      <c r="C12" s="74">
        <v>1.1299999999999999E-2</v>
      </c>
      <c r="D12" s="75">
        <v>1E-3</v>
      </c>
      <c r="E12" s="75">
        <v>1E-3</v>
      </c>
      <c r="F12" s="75"/>
      <c r="G12" s="75"/>
      <c r="H12" s="75">
        <v>1E-3</v>
      </c>
      <c r="I12" s="75">
        <v>1E-3</v>
      </c>
      <c r="J12" s="75">
        <v>1E-3</v>
      </c>
    </row>
    <row r="14" spans="2:10" ht="50" customHeight="1">
      <c r="B14" s="103" t="s">
        <v>184</v>
      </c>
      <c r="C14" s="103"/>
      <c r="D14" s="103"/>
    </row>
    <row r="15" spans="2:10" ht="50" customHeight="1">
      <c r="B15" s="16" t="s">
        <v>185</v>
      </c>
      <c r="C15" s="103" t="s">
        <v>186</v>
      </c>
      <c r="D15" s="103"/>
    </row>
    <row r="16" spans="2:10" ht="50" customHeight="1">
      <c r="B16" s="48" t="s">
        <v>187</v>
      </c>
      <c r="C16" s="104" t="s">
        <v>188</v>
      </c>
      <c r="D16" s="104"/>
    </row>
    <row r="17" spans="2:4" ht="50" customHeight="1">
      <c r="B17" s="105" t="s">
        <v>189</v>
      </c>
      <c r="C17" s="105" t="s">
        <v>190</v>
      </c>
      <c r="D17" s="105"/>
    </row>
    <row r="18" spans="2:4" ht="50" customHeight="1">
      <c r="B18" s="105"/>
      <c r="C18" s="105" t="s">
        <v>191</v>
      </c>
      <c r="D18" s="105"/>
    </row>
    <row r="19" spans="2:4" ht="50" customHeight="1">
      <c r="B19" s="105"/>
      <c r="C19" s="105" t="s">
        <v>192</v>
      </c>
      <c r="D19" s="105"/>
    </row>
    <row r="20" spans="2:4" ht="50" customHeight="1">
      <c r="B20" s="105"/>
      <c r="C20" s="105" t="s">
        <v>193</v>
      </c>
      <c r="D20" s="105"/>
    </row>
    <row r="21" spans="2:4" ht="50" customHeight="1">
      <c r="B21" s="105" t="s">
        <v>194</v>
      </c>
      <c r="C21" s="105" t="s">
        <v>195</v>
      </c>
      <c r="D21" s="105"/>
    </row>
    <row r="22" spans="2:4" ht="50" customHeight="1">
      <c r="B22" s="105"/>
      <c r="C22" s="105" t="s">
        <v>196</v>
      </c>
      <c r="D22" s="105"/>
    </row>
    <row r="23" spans="2:4" ht="50" customHeight="1">
      <c r="B23" s="105"/>
      <c r="C23" s="105" t="s">
        <v>197</v>
      </c>
      <c r="D23" s="105"/>
    </row>
    <row r="24" spans="2:4" ht="50" customHeight="1">
      <c r="B24" s="105" t="s">
        <v>198</v>
      </c>
      <c r="C24" s="105" t="s">
        <v>199</v>
      </c>
      <c r="D24" s="105"/>
    </row>
    <row r="25" spans="2:4" ht="50" customHeight="1">
      <c r="B25" s="105"/>
      <c r="C25" s="105" t="s">
        <v>200</v>
      </c>
      <c r="D25" s="105"/>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phoneticPr fontId="30" type="noConversion"/>
  <conditionalFormatting sqref="C3:J12">
    <cfRule type="containsBlanks" dxfId="56" priority="1" stopIfTrue="1">
      <formula>LEN(TRIM(C3))=0</formula>
    </cfRule>
  </conditionalFormatting>
  <dataValidations count="2">
    <dataValidation type="list" allowBlank="1" showInputMessage="1" showErrorMessage="1" sqref="C8:J9" xr:uid="{00000000-0002-0000-0600-000000000000}">
      <formula1>"High,Medium,Low"</formula1>
    </dataValidation>
    <dataValidation type="decimal" operator="greaterThan" allowBlank="1" showInputMessage="1" showErrorMessage="1" sqref="C4:J7 C11:J12" xr:uid="{00000000-0002-0000-0600-000001000000}">
      <formula1>0</formula1>
    </dataValidation>
  </dataValidations>
  <pageMargins left="0.7" right="0.7" top="0.75" bottom="0.75" header="0.3" footer="0.3"/>
  <pageSetup scale="4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F81BD"/>
  </sheetPr>
  <dimension ref="B1:K16"/>
  <sheetViews>
    <sheetView showGridLines="0" zoomScale="40" zoomScaleNormal="40" workbookViewId="0">
      <selection activeCell="G16" sqref="G16"/>
    </sheetView>
  </sheetViews>
  <sheetFormatPr defaultColWidth="10.83203125" defaultRowHeight="15.5"/>
  <cols>
    <col min="1" max="1" width="4.1640625" style="1" customWidth="1"/>
    <col min="2" max="2" width="51.5" style="1" customWidth="1"/>
    <col min="3" max="9" width="29.1640625" style="1" customWidth="1"/>
    <col min="10" max="10" width="57.83203125" style="1" customWidth="1"/>
    <col min="11" max="11" width="31.33203125" style="1" bestFit="1" customWidth="1"/>
    <col min="12" max="15" width="29.1640625" style="1" customWidth="1"/>
    <col min="16" max="16384" width="10.83203125" style="1"/>
  </cols>
  <sheetData>
    <row r="1" spans="2:11" ht="67" customHeight="1">
      <c r="B1" s="33" t="s">
        <v>291</v>
      </c>
    </row>
    <row r="2" spans="2:11" ht="67" customHeight="1">
      <c r="B2" s="32"/>
      <c r="C2" s="16">
        <v>2022</v>
      </c>
      <c r="D2" s="16">
        <v>2023</v>
      </c>
      <c r="E2" s="16">
        <v>2024</v>
      </c>
      <c r="F2" s="16" t="s">
        <v>210</v>
      </c>
      <c r="G2" s="16" t="s">
        <v>146</v>
      </c>
      <c r="H2" s="16" t="s">
        <v>147</v>
      </c>
      <c r="I2" s="16" t="s">
        <v>211</v>
      </c>
      <c r="J2" s="16" t="s">
        <v>209</v>
      </c>
    </row>
    <row r="3" spans="2:11" ht="67" customHeight="1">
      <c r="B3" s="16" t="s">
        <v>268</v>
      </c>
      <c r="C3" s="38">
        <v>25</v>
      </c>
      <c r="D3" s="38">
        <v>30</v>
      </c>
      <c r="E3" s="38">
        <v>37</v>
      </c>
      <c r="F3" s="38">
        <v>37</v>
      </c>
      <c r="G3" s="38">
        <v>37</v>
      </c>
      <c r="H3" s="38"/>
      <c r="I3" s="38"/>
      <c r="J3" s="62"/>
    </row>
    <row r="4" spans="2:11" ht="67" customHeight="1">
      <c r="B4" s="35" t="s">
        <v>269</v>
      </c>
      <c r="C4" s="38">
        <v>197</v>
      </c>
      <c r="D4" s="38">
        <v>211</v>
      </c>
      <c r="E4" s="38">
        <v>259</v>
      </c>
      <c r="F4" s="38">
        <v>262</v>
      </c>
      <c r="G4" s="38">
        <v>262</v>
      </c>
      <c r="H4" s="38"/>
      <c r="I4" s="38"/>
      <c r="J4" s="62"/>
    </row>
    <row r="5" spans="2:11" ht="67" customHeight="1">
      <c r="B5" s="16" t="s">
        <v>270</v>
      </c>
      <c r="C5" s="38">
        <v>186</v>
      </c>
      <c r="D5" s="38">
        <v>157</v>
      </c>
      <c r="E5" s="38">
        <v>163</v>
      </c>
      <c r="F5" s="38">
        <v>180</v>
      </c>
      <c r="G5" s="38">
        <v>180</v>
      </c>
      <c r="H5" s="38"/>
      <c r="I5" s="38"/>
      <c r="J5" s="62"/>
    </row>
    <row r="6" spans="2:11" ht="67" customHeight="1">
      <c r="B6" s="16" t="s">
        <v>271</v>
      </c>
      <c r="C6" s="38">
        <v>208</v>
      </c>
      <c r="D6" s="38">
        <v>197</v>
      </c>
      <c r="E6" s="38">
        <v>218</v>
      </c>
      <c r="F6" s="38">
        <v>218</v>
      </c>
      <c r="G6" s="38">
        <v>218</v>
      </c>
      <c r="H6" s="38"/>
      <c r="I6" s="38"/>
      <c r="J6" s="62"/>
      <c r="K6" s="4" t="s">
        <v>219</v>
      </c>
    </row>
    <row r="7" spans="2:11" ht="67" customHeight="1">
      <c r="B7" s="16" t="s">
        <v>272</v>
      </c>
      <c r="C7" s="38">
        <f>15+48</f>
        <v>63</v>
      </c>
      <c r="D7" s="38">
        <f>16+41</f>
        <v>57</v>
      </c>
      <c r="E7" s="38">
        <f>38+17</f>
        <v>55</v>
      </c>
      <c r="F7" s="38">
        <f>38+17</f>
        <v>55</v>
      </c>
      <c r="G7" s="38">
        <f>38+17</f>
        <v>55</v>
      </c>
      <c r="H7" s="38"/>
      <c r="I7" s="38"/>
      <c r="J7" s="62"/>
    </row>
    <row r="8" spans="2:11" ht="67" customHeight="1">
      <c r="B8" s="16" t="s">
        <v>273</v>
      </c>
      <c r="C8" s="38">
        <v>29</v>
      </c>
      <c r="D8" s="38">
        <v>27</v>
      </c>
      <c r="E8" s="38">
        <v>25</v>
      </c>
      <c r="F8" s="38">
        <v>27</v>
      </c>
      <c r="G8" s="38">
        <v>27</v>
      </c>
      <c r="H8" s="38"/>
      <c r="I8" s="38"/>
      <c r="J8" s="62"/>
    </row>
    <row r="9" spans="2:11" ht="67" customHeight="1">
      <c r="B9" s="16" t="s">
        <v>274</v>
      </c>
      <c r="C9" s="38">
        <v>10</v>
      </c>
      <c r="D9" s="38">
        <v>11</v>
      </c>
      <c r="E9" s="38">
        <v>13</v>
      </c>
      <c r="F9" s="38">
        <v>14</v>
      </c>
      <c r="G9" s="38">
        <v>14</v>
      </c>
      <c r="H9" s="38"/>
      <c r="I9" s="38"/>
      <c r="J9" s="62"/>
    </row>
    <row r="10" spans="2:11" ht="67" customHeight="1">
      <c r="B10" s="35" t="s">
        <v>288</v>
      </c>
      <c r="C10" s="38">
        <f>C4</f>
        <v>197</v>
      </c>
      <c r="D10" s="38">
        <f>D4</f>
        <v>211</v>
      </c>
      <c r="E10" s="38">
        <f>E4</f>
        <v>259</v>
      </c>
      <c r="F10" s="38">
        <f>F4</f>
        <v>262</v>
      </c>
      <c r="G10" s="38">
        <f>G4</f>
        <v>262</v>
      </c>
      <c r="H10" s="38"/>
      <c r="I10" s="38"/>
      <c r="J10" s="62"/>
    </row>
    <row r="11" spans="2:11" ht="67" customHeight="1">
      <c r="B11" s="16" t="s">
        <v>289</v>
      </c>
      <c r="C11" s="38">
        <v>34</v>
      </c>
      <c r="D11" s="38">
        <f>34+4</f>
        <v>38</v>
      </c>
      <c r="E11" s="38">
        <f>35+4</f>
        <v>39</v>
      </c>
      <c r="F11" s="38">
        <f>35+4</f>
        <v>39</v>
      </c>
      <c r="G11" s="38">
        <f>35+4</f>
        <v>39</v>
      </c>
      <c r="H11" s="38"/>
      <c r="I11" s="38"/>
      <c r="J11" s="62"/>
    </row>
    <row r="12" spans="2:11" ht="67" customHeight="1">
      <c r="B12" s="16" t="s">
        <v>290</v>
      </c>
      <c r="C12" s="38">
        <f>12+2</f>
        <v>14</v>
      </c>
      <c r="D12" s="38">
        <f>13+2</f>
        <v>15</v>
      </c>
      <c r="E12" s="38">
        <f>13+2</f>
        <v>15</v>
      </c>
      <c r="F12" s="38">
        <f>13+2</f>
        <v>15</v>
      </c>
      <c r="G12" s="38">
        <f>13+2</f>
        <v>15</v>
      </c>
      <c r="H12" s="38"/>
      <c r="I12" s="38"/>
      <c r="J12" s="62"/>
    </row>
    <row r="13" spans="2:11" ht="67" customHeight="1">
      <c r="B13" s="16" t="s">
        <v>212</v>
      </c>
      <c r="C13" s="38"/>
      <c r="D13" s="38"/>
      <c r="E13" s="38"/>
      <c r="F13" s="38"/>
      <c r="G13" s="38"/>
      <c r="H13" s="38"/>
      <c r="I13" s="38"/>
      <c r="J13" s="62"/>
    </row>
    <row r="14" spans="2:11" ht="67" customHeight="1">
      <c r="B14" s="16" t="s">
        <v>212</v>
      </c>
      <c r="C14" s="38"/>
      <c r="D14" s="38"/>
      <c r="E14" s="38"/>
      <c r="F14" s="38"/>
      <c r="G14" s="38"/>
      <c r="H14" s="38"/>
      <c r="I14" s="38"/>
      <c r="J14" s="62"/>
    </row>
    <row r="15" spans="2:11" ht="67" customHeight="1">
      <c r="B15" s="16" t="s">
        <v>212</v>
      </c>
      <c r="C15" s="38"/>
      <c r="D15" s="38"/>
      <c r="E15" s="38"/>
      <c r="F15" s="38"/>
      <c r="G15" s="38"/>
      <c r="H15" s="38"/>
      <c r="I15" s="38"/>
      <c r="J15" s="62"/>
    </row>
    <row r="16" spans="2:11" ht="18.5">
      <c r="B16" s="53" t="s">
        <v>220</v>
      </c>
      <c r="C16" s="54">
        <f t="shared" ref="C16:I16" si="0">SUM(C3:C15)</f>
        <v>963</v>
      </c>
      <c r="D16" s="54">
        <f t="shared" si="0"/>
        <v>954</v>
      </c>
      <c r="E16" s="54">
        <f t="shared" si="0"/>
        <v>1083</v>
      </c>
      <c r="F16" s="54">
        <f t="shared" si="0"/>
        <v>1109</v>
      </c>
      <c r="G16" s="54">
        <f t="shared" si="0"/>
        <v>1109</v>
      </c>
      <c r="H16" s="54">
        <f t="shared" si="0"/>
        <v>0</v>
      </c>
      <c r="I16" s="54">
        <f t="shared" si="0"/>
        <v>0</v>
      </c>
    </row>
  </sheetData>
  <sheetProtection sheet="1" objects="1" scenarios="1"/>
  <phoneticPr fontId="30" type="noConversion"/>
  <conditionalFormatting sqref="C3:J15">
    <cfRule type="notContainsBlanks" dxfId="55" priority="1">
      <formula>LEN(TRIM(C3))&gt;0</formula>
    </cfRule>
  </conditionalFormatting>
  <dataValidations count="1">
    <dataValidation type="whole" operator="greaterThan" allowBlank="1" showInputMessage="1" showErrorMessage="1" sqref="C3:I15" xr:uid="{00000000-0002-0000-0700-000000000000}">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F81BD"/>
  </sheetPr>
  <dimension ref="B2:K29"/>
  <sheetViews>
    <sheetView showGridLines="0" topLeftCell="A16" zoomScaleNormal="100" workbookViewId="0">
      <selection activeCell="E12" sqref="E12"/>
    </sheetView>
  </sheetViews>
  <sheetFormatPr defaultColWidth="10.83203125" defaultRowHeight="15.5"/>
  <cols>
    <col min="1" max="1" width="5.33203125" customWidth="1"/>
    <col min="2" max="2" width="7.4140625" customWidth="1"/>
    <col min="4" max="4" width="15.25" customWidth="1"/>
    <col min="5" max="5" width="41.6640625" customWidth="1"/>
  </cols>
  <sheetData>
    <row r="2" spans="2:11" ht="47" customHeight="1">
      <c r="B2" s="107" t="s">
        <v>405</v>
      </c>
      <c r="C2" s="107"/>
      <c r="D2" s="107"/>
      <c r="E2" s="107"/>
      <c r="F2" s="107"/>
      <c r="G2" s="107"/>
      <c r="H2" s="107"/>
      <c r="I2" s="107"/>
      <c r="J2" s="107"/>
      <c r="K2" s="107"/>
    </row>
    <row r="3" spans="2:11" ht="47" customHeight="1">
      <c r="B3" s="107"/>
      <c r="C3" s="107"/>
      <c r="D3" s="107"/>
      <c r="E3" s="107"/>
      <c r="F3" s="107"/>
      <c r="G3" s="107"/>
      <c r="H3" s="107"/>
      <c r="I3" s="107"/>
      <c r="J3" s="107"/>
      <c r="K3" s="107"/>
    </row>
    <row r="4" spans="2:11" ht="47" customHeight="1">
      <c r="B4" s="107"/>
      <c r="C4" s="107"/>
      <c r="D4" s="107"/>
      <c r="E4" s="107"/>
      <c r="F4" s="107"/>
      <c r="G4" s="107"/>
      <c r="H4" s="107"/>
      <c r="I4" s="107"/>
      <c r="J4" s="107"/>
      <c r="K4" s="107"/>
    </row>
    <row r="5" spans="2:11" ht="47" customHeight="1">
      <c r="B5" s="107"/>
      <c r="C5" s="107"/>
      <c r="D5" s="107"/>
      <c r="E5" s="107"/>
      <c r="F5" s="107"/>
      <c r="G5" s="107"/>
      <c r="H5" s="107"/>
      <c r="I5" s="107"/>
      <c r="J5" s="107"/>
      <c r="K5" s="107"/>
    </row>
    <row r="6" spans="2:11">
      <c r="B6" s="76" t="s">
        <v>339</v>
      </c>
    </row>
    <row r="7" spans="2:11" ht="21">
      <c r="B7" s="84" t="s">
        <v>406</v>
      </c>
      <c r="C7" s="85" t="s">
        <v>407</v>
      </c>
      <c r="D7" s="86" t="s">
        <v>408</v>
      </c>
      <c r="E7" s="85" t="s">
        <v>409</v>
      </c>
      <c r="F7" s="85" t="s">
        <v>410</v>
      </c>
      <c r="G7" s="85" t="s">
        <v>411</v>
      </c>
      <c r="H7" s="85" t="s">
        <v>412</v>
      </c>
    </row>
    <row r="8" spans="2:11" ht="73.5">
      <c r="B8" s="87">
        <v>1</v>
      </c>
      <c r="C8" s="108" t="s">
        <v>413</v>
      </c>
      <c r="D8" s="88" t="s">
        <v>414</v>
      </c>
      <c r="E8" s="89" t="s">
        <v>415</v>
      </c>
      <c r="F8" s="87" t="s">
        <v>416</v>
      </c>
      <c r="G8" s="87" t="s">
        <v>417</v>
      </c>
      <c r="H8" s="87" t="s">
        <v>418</v>
      </c>
    </row>
    <row r="9" spans="2:11" ht="21">
      <c r="B9" s="87">
        <v>2</v>
      </c>
      <c r="C9" s="109"/>
      <c r="D9" s="88" t="s">
        <v>419</v>
      </c>
      <c r="E9" s="89" t="s">
        <v>420</v>
      </c>
      <c r="F9" s="87" t="s">
        <v>416</v>
      </c>
      <c r="G9" s="88" t="s">
        <v>421</v>
      </c>
      <c r="H9" s="87" t="s">
        <v>422</v>
      </c>
    </row>
    <row r="10" spans="2:11" ht="52.5">
      <c r="B10" s="87">
        <v>3</v>
      </c>
      <c r="C10" s="90" t="s">
        <v>423</v>
      </c>
      <c r="D10" s="88" t="s">
        <v>424</v>
      </c>
      <c r="E10" s="89" t="s">
        <v>481</v>
      </c>
      <c r="F10" s="87" t="s">
        <v>425</v>
      </c>
      <c r="G10" s="88" t="s">
        <v>426</v>
      </c>
      <c r="H10" s="87" t="s">
        <v>427</v>
      </c>
    </row>
    <row r="11" spans="2:11" ht="73.5">
      <c r="B11" s="87">
        <v>4</v>
      </c>
      <c r="C11" s="108" t="s">
        <v>428</v>
      </c>
      <c r="D11" s="88" t="s">
        <v>429</v>
      </c>
      <c r="E11" s="91" t="s">
        <v>480</v>
      </c>
      <c r="F11" s="87" t="s">
        <v>416</v>
      </c>
      <c r="G11" s="87" t="s">
        <v>430</v>
      </c>
      <c r="H11" s="87" t="s">
        <v>418</v>
      </c>
    </row>
    <row r="12" spans="2:11" ht="52.5">
      <c r="B12" s="87">
        <v>5</v>
      </c>
      <c r="C12" s="110"/>
      <c r="D12" s="88" t="s">
        <v>431</v>
      </c>
      <c r="E12" s="91" t="s">
        <v>482</v>
      </c>
      <c r="F12" s="87" t="s">
        <v>416</v>
      </c>
      <c r="G12" s="87" t="s">
        <v>432</v>
      </c>
      <c r="H12" s="87" t="s">
        <v>433</v>
      </c>
    </row>
    <row r="13" spans="2:11" ht="31.5">
      <c r="B13" s="87">
        <v>6</v>
      </c>
      <c r="C13" s="110"/>
      <c r="D13" s="92" t="s">
        <v>434</v>
      </c>
      <c r="E13" s="89" t="s">
        <v>435</v>
      </c>
      <c r="F13" s="87" t="s">
        <v>416</v>
      </c>
      <c r="G13" s="88" t="s">
        <v>436</v>
      </c>
      <c r="H13" s="87" t="s">
        <v>433</v>
      </c>
    </row>
    <row r="14" spans="2:11" ht="21">
      <c r="B14" s="87">
        <v>7</v>
      </c>
      <c r="C14" s="109"/>
      <c r="D14" s="88" t="s">
        <v>437</v>
      </c>
      <c r="E14" s="89" t="s">
        <v>438</v>
      </c>
      <c r="F14" s="87" t="s">
        <v>416</v>
      </c>
      <c r="G14" s="88" t="s">
        <v>439</v>
      </c>
      <c r="H14" s="87" t="s">
        <v>440</v>
      </c>
    </row>
    <row r="15" spans="2:11">
      <c r="B15" s="87">
        <v>8</v>
      </c>
      <c r="C15" s="93" t="s">
        <v>441</v>
      </c>
      <c r="D15" s="92"/>
      <c r="E15" s="94" t="s">
        <v>442</v>
      </c>
      <c r="F15" s="87" t="s">
        <v>416</v>
      </c>
      <c r="G15" s="87" t="s">
        <v>443</v>
      </c>
      <c r="H15" s="87" t="s">
        <v>440</v>
      </c>
    </row>
    <row r="16" spans="2:11" ht="63">
      <c r="B16" s="87">
        <v>9</v>
      </c>
      <c r="C16" s="108" t="s">
        <v>444</v>
      </c>
      <c r="D16" s="92" t="s">
        <v>445</v>
      </c>
      <c r="E16" s="94" t="s">
        <v>446</v>
      </c>
      <c r="F16" s="87" t="s">
        <v>416</v>
      </c>
      <c r="G16" s="88" t="s">
        <v>439</v>
      </c>
      <c r="H16" s="87" t="s">
        <v>433</v>
      </c>
    </row>
    <row r="17" spans="2:8" ht="42">
      <c r="B17" s="87">
        <v>10</v>
      </c>
      <c r="C17" s="110"/>
      <c r="D17" s="88" t="s">
        <v>447</v>
      </c>
      <c r="E17" s="91" t="s">
        <v>448</v>
      </c>
      <c r="F17" s="88" t="s">
        <v>416</v>
      </c>
      <c r="G17" s="87" t="s">
        <v>449</v>
      </c>
      <c r="H17" s="87" t="s">
        <v>433</v>
      </c>
    </row>
    <row r="18" spans="2:8" ht="31.5">
      <c r="B18" s="87">
        <v>11</v>
      </c>
      <c r="C18" s="109"/>
      <c r="D18" s="88" t="s">
        <v>450</v>
      </c>
      <c r="E18" s="91" t="s">
        <v>451</v>
      </c>
      <c r="F18" s="88" t="s">
        <v>452</v>
      </c>
      <c r="G18" s="95" t="s">
        <v>453</v>
      </c>
      <c r="H18" s="87" t="s">
        <v>433</v>
      </c>
    </row>
    <row r="19" spans="2:8" ht="42">
      <c r="B19" s="87">
        <v>12</v>
      </c>
      <c r="C19" s="88" t="s">
        <v>454</v>
      </c>
      <c r="D19" s="87" t="s">
        <v>455</v>
      </c>
      <c r="E19" s="91" t="s">
        <v>459</v>
      </c>
      <c r="F19" s="87" t="s">
        <v>456</v>
      </c>
      <c r="G19" s="87" t="s">
        <v>456</v>
      </c>
      <c r="H19" s="87"/>
    </row>
    <row r="20" spans="2:8">
      <c r="B20" s="79"/>
    </row>
    <row r="21" spans="2:8" ht="59.5" customHeight="1">
      <c r="B21" s="106" t="s">
        <v>458</v>
      </c>
      <c r="C21" s="106"/>
      <c r="D21" s="106"/>
      <c r="E21" s="106"/>
      <c r="F21" s="106"/>
      <c r="G21" s="106"/>
      <c r="H21" s="106"/>
    </row>
    <row r="22" spans="2:8" ht="18" customHeight="1">
      <c r="B22" s="106"/>
      <c r="C22" s="106"/>
      <c r="D22" s="106"/>
      <c r="E22" s="106"/>
      <c r="F22" s="106"/>
      <c r="G22" s="106"/>
      <c r="H22" s="106"/>
    </row>
    <row r="23" spans="2:8">
      <c r="B23" s="78"/>
    </row>
    <row r="24" spans="2:8">
      <c r="B24" s="83" t="s">
        <v>457</v>
      </c>
    </row>
    <row r="25" spans="2:8">
      <c r="B25" s="77"/>
    </row>
    <row r="26" spans="2:8">
      <c r="B26" s="78"/>
    </row>
    <row r="27" spans="2:8">
      <c r="B27" s="78"/>
    </row>
    <row r="28" spans="2:8">
      <c r="B28" s="78"/>
    </row>
    <row r="29" spans="2:8">
      <c r="B29" s="76"/>
    </row>
  </sheetData>
  <mergeCells count="6">
    <mergeCell ref="B22:H22"/>
    <mergeCell ref="B2:K5"/>
    <mergeCell ref="C8:C9"/>
    <mergeCell ref="C11:C14"/>
    <mergeCell ref="C16:C18"/>
    <mergeCell ref="B21:H21"/>
  </mergeCells>
  <phoneticPr fontId="30"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F81BD"/>
  </sheetPr>
  <dimension ref="A1:W18"/>
  <sheetViews>
    <sheetView topLeftCell="A4" zoomScale="40" zoomScaleNormal="40" workbookViewId="0">
      <selection activeCell="C10" sqref="C10"/>
    </sheetView>
  </sheetViews>
  <sheetFormatPr defaultColWidth="11.08203125" defaultRowHeight="15.5"/>
  <cols>
    <col min="1" max="1" width="4.1640625" style="1" customWidth="1"/>
    <col min="2" max="2" width="51.5" style="1" customWidth="1"/>
    <col min="3" max="22" width="29.1640625" style="1" customWidth="1"/>
    <col min="23" max="23" width="57.83203125" style="1" customWidth="1"/>
  </cols>
  <sheetData>
    <row r="1" spans="2:23" ht="60" customHeight="1">
      <c r="B1" s="33" t="s">
        <v>249</v>
      </c>
    </row>
    <row r="2" spans="2:23" ht="60" customHeight="1">
      <c r="B2" s="67" t="s">
        <v>242</v>
      </c>
      <c r="C2" s="111" t="s">
        <v>244</v>
      </c>
      <c r="D2" s="111"/>
      <c r="E2" s="111"/>
      <c r="F2" s="111"/>
      <c r="G2" s="111" t="s">
        <v>245</v>
      </c>
      <c r="H2" s="111"/>
      <c r="I2" s="111"/>
      <c r="J2" s="111"/>
      <c r="K2" s="111"/>
      <c r="L2" s="111" t="s">
        <v>308</v>
      </c>
      <c r="M2" s="111"/>
      <c r="N2" s="111"/>
      <c r="O2" s="111"/>
      <c r="P2" s="111"/>
      <c r="Q2" s="111"/>
      <c r="R2" s="111"/>
      <c r="S2" s="111" t="s">
        <v>246</v>
      </c>
      <c r="T2" s="111"/>
      <c r="U2" s="111"/>
      <c r="V2" s="111"/>
    </row>
    <row r="3" spans="2:23" ht="60" customHeight="1">
      <c r="B3" s="16" t="s">
        <v>243</v>
      </c>
      <c r="C3" s="68" t="s">
        <v>247</v>
      </c>
      <c r="D3" s="68" t="s">
        <v>300</v>
      </c>
      <c r="E3" s="68" t="s">
        <v>237</v>
      </c>
      <c r="F3" s="68" t="s">
        <v>295</v>
      </c>
      <c r="G3" s="68" t="s">
        <v>41</v>
      </c>
      <c r="H3" s="68" t="s">
        <v>248</v>
      </c>
      <c r="I3" s="68" t="s">
        <v>238</v>
      </c>
      <c r="J3" s="68" t="s">
        <v>239</v>
      </c>
      <c r="K3" s="68" t="s">
        <v>292</v>
      </c>
      <c r="L3" s="68" t="s">
        <v>309</v>
      </c>
      <c r="M3" s="69" t="s">
        <v>315</v>
      </c>
      <c r="N3" s="68" t="s">
        <v>310</v>
      </c>
      <c r="O3" s="68" t="s">
        <v>314</v>
      </c>
      <c r="P3" s="68" t="s">
        <v>311</v>
      </c>
      <c r="Q3" s="68" t="s">
        <v>312</v>
      </c>
      <c r="R3" s="68" t="s">
        <v>313</v>
      </c>
      <c r="S3" s="68" t="s">
        <v>24</v>
      </c>
      <c r="T3" s="68" t="s">
        <v>240</v>
      </c>
      <c r="U3" s="68" t="s">
        <v>298</v>
      </c>
      <c r="V3" s="68" t="s">
        <v>241</v>
      </c>
      <c r="W3" s="16" t="s">
        <v>209</v>
      </c>
    </row>
    <row r="4" spans="2:23" ht="60" customHeight="1">
      <c r="B4" s="16" t="s">
        <v>256</v>
      </c>
      <c r="C4" s="38" t="s">
        <v>36</v>
      </c>
      <c r="D4" s="38" t="s">
        <v>36</v>
      </c>
      <c r="E4" s="38" t="s">
        <v>36</v>
      </c>
      <c r="F4" s="38" t="s">
        <v>36</v>
      </c>
      <c r="G4" s="38" t="s">
        <v>36</v>
      </c>
      <c r="H4" s="38"/>
      <c r="I4" s="38" t="s">
        <v>36</v>
      </c>
      <c r="J4" s="38" t="s">
        <v>36</v>
      </c>
      <c r="K4" s="38" t="s">
        <v>36</v>
      </c>
      <c r="L4" s="38" t="s">
        <v>37</v>
      </c>
      <c r="M4" s="38" t="s">
        <v>37</v>
      </c>
      <c r="N4" s="38" t="s">
        <v>37</v>
      </c>
      <c r="O4" s="38" t="s">
        <v>37</v>
      </c>
      <c r="P4" s="38" t="s">
        <v>37</v>
      </c>
      <c r="Q4" s="38" t="s">
        <v>37</v>
      </c>
      <c r="R4" s="38" t="s">
        <v>37</v>
      </c>
      <c r="S4" s="38" t="s">
        <v>36</v>
      </c>
      <c r="T4" s="38" t="s">
        <v>36</v>
      </c>
      <c r="U4" s="38" t="s">
        <v>36</v>
      </c>
      <c r="V4" s="38" t="s">
        <v>37</v>
      </c>
      <c r="W4" s="62"/>
    </row>
    <row r="5" spans="2:23" ht="60" customHeight="1">
      <c r="B5" s="35" t="s">
        <v>276</v>
      </c>
      <c r="C5" s="38" t="s">
        <v>319</v>
      </c>
      <c r="D5" s="38" t="s">
        <v>319</v>
      </c>
      <c r="E5" s="38" t="s">
        <v>319</v>
      </c>
      <c r="F5" s="38" t="s">
        <v>321</v>
      </c>
      <c r="G5" s="38" t="s">
        <v>319</v>
      </c>
      <c r="H5" s="38"/>
      <c r="I5" s="38" t="s">
        <v>319</v>
      </c>
      <c r="J5" s="38" t="s">
        <v>319</v>
      </c>
      <c r="K5" s="38" t="s">
        <v>319</v>
      </c>
      <c r="L5" s="38" t="s">
        <v>320</v>
      </c>
      <c r="M5" s="38" t="s">
        <v>320</v>
      </c>
      <c r="N5" s="38" t="s">
        <v>320</v>
      </c>
      <c r="O5" s="38" t="s">
        <v>320</v>
      </c>
      <c r="P5" s="38" t="s">
        <v>320</v>
      </c>
      <c r="Q5" s="38" t="s">
        <v>320</v>
      </c>
      <c r="R5" s="38" t="s">
        <v>320</v>
      </c>
      <c r="S5" s="38" t="s">
        <v>319</v>
      </c>
      <c r="T5" s="38" t="s">
        <v>321</v>
      </c>
      <c r="U5" s="38" t="s">
        <v>321</v>
      </c>
      <c r="V5" s="38" t="s">
        <v>320</v>
      </c>
      <c r="W5" s="62"/>
    </row>
    <row r="6" spans="2:23" ht="60" customHeight="1">
      <c r="B6" s="35" t="s">
        <v>257</v>
      </c>
      <c r="C6" s="38" t="s">
        <v>37</v>
      </c>
      <c r="D6" s="38" t="s">
        <v>37</v>
      </c>
      <c r="E6" s="38" t="s">
        <v>37</v>
      </c>
      <c r="F6" s="38" t="s">
        <v>37</v>
      </c>
      <c r="G6" s="38" t="s">
        <v>37</v>
      </c>
      <c r="H6" s="38"/>
      <c r="I6" s="38" t="s">
        <v>36</v>
      </c>
      <c r="J6" s="38" t="s">
        <v>37</v>
      </c>
      <c r="K6" s="38" t="s">
        <v>37</v>
      </c>
      <c r="L6" s="38"/>
      <c r="M6" s="38"/>
      <c r="N6" s="38"/>
      <c r="O6" s="38"/>
      <c r="P6" s="38"/>
      <c r="Q6" s="38"/>
      <c r="R6" s="38"/>
      <c r="S6" s="38" t="s">
        <v>37</v>
      </c>
      <c r="T6" s="38" t="s">
        <v>36</v>
      </c>
      <c r="U6" s="38" t="s">
        <v>36</v>
      </c>
      <c r="V6" s="38"/>
      <c r="W6" s="62"/>
    </row>
    <row r="7" spans="2:23" ht="60" customHeight="1">
      <c r="B7" s="35" t="s">
        <v>22</v>
      </c>
      <c r="C7" s="38" t="s">
        <v>332</v>
      </c>
      <c r="D7" s="38" t="s">
        <v>404</v>
      </c>
      <c r="E7" s="38"/>
      <c r="F7" s="38"/>
      <c r="G7" s="38"/>
      <c r="H7" s="38"/>
      <c r="I7" s="38"/>
      <c r="J7" s="38"/>
      <c r="K7" s="38"/>
      <c r="L7" s="38"/>
      <c r="M7" s="38"/>
      <c r="N7" s="38"/>
      <c r="O7" s="38"/>
      <c r="P7" s="38"/>
      <c r="Q7" s="38"/>
      <c r="R7" s="38"/>
      <c r="S7" s="38"/>
      <c r="T7" s="38"/>
      <c r="U7" s="38"/>
      <c r="V7" s="38"/>
      <c r="W7" s="62" t="s">
        <v>511</v>
      </c>
    </row>
    <row r="8" spans="2:23" ht="60" customHeight="1">
      <c r="B8" s="35" t="s">
        <v>275</v>
      </c>
      <c r="C8" s="38">
        <f>1083-953</f>
        <v>130</v>
      </c>
      <c r="D8" s="96">
        <v>43</v>
      </c>
      <c r="E8" s="96">
        <v>174</v>
      </c>
      <c r="F8" s="96">
        <v>61</v>
      </c>
      <c r="G8" s="96">
        <v>235</v>
      </c>
      <c r="H8" s="38"/>
      <c r="I8" s="96">
        <v>60</v>
      </c>
      <c r="J8" s="96">
        <v>86</v>
      </c>
      <c r="K8" s="96">
        <v>184</v>
      </c>
      <c r="L8" s="38"/>
      <c r="M8" s="38"/>
      <c r="N8" s="38"/>
      <c r="O8" s="38"/>
      <c r="P8" s="38"/>
      <c r="Q8" s="38"/>
      <c r="R8" s="38"/>
      <c r="S8" s="96">
        <v>83</v>
      </c>
      <c r="T8" s="96">
        <v>18</v>
      </c>
      <c r="U8" s="96">
        <v>9</v>
      </c>
      <c r="V8" s="38"/>
      <c r="W8" s="62"/>
    </row>
    <row r="9" spans="2:23" ht="60" customHeight="1">
      <c r="B9" s="35" t="s">
        <v>258</v>
      </c>
      <c r="C9" s="38" t="s">
        <v>483</v>
      </c>
      <c r="D9" s="38"/>
      <c r="E9" s="38"/>
      <c r="F9" s="38"/>
      <c r="G9" s="38"/>
      <c r="H9" s="38"/>
      <c r="I9" s="38"/>
      <c r="J9" s="38"/>
      <c r="K9" s="38"/>
      <c r="L9" s="38"/>
      <c r="M9" s="38"/>
      <c r="N9" s="38"/>
      <c r="O9" s="38"/>
      <c r="P9" s="38"/>
      <c r="Q9" s="38"/>
      <c r="R9" s="38"/>
      <c r="S9" s="38"/>
      <c r="T9" s="38"/>
      <c r="U9" s="38"/>
      <c r="V9" s="38"/>
      <c r="W9" s="62" t="s">
        <v>512</v>
      </c>
    </row>
    <row r="10" spans="2:23" ht="60" customHeight="1">
      <c r="B10" s="35" t="s">
        <v>307</v>
      </c>
      <c r="C10" s="38" t="s">
        <v>520</v>
      </c>
      <c r="D10" s="38"/>
      <c r="E10" s="38"/>
      <c r="F10" s="38"/>
      <c r="G10" s="38"/>
      <c r="H10" s="38"/>
      <c r="I10" s="38"/>
      <c r="J10" s="38"/>
      <c r="K10" s="38"/>
      <c r="L10" s="38"/>
      <c r="M10" s="38"/>
      <c r="N10" s="38"/>
      <c r="O10" s="38"/>
      <c r="P10" s="38"/>
      <c r="Q10" s="38"/>
      <c r="R10" s="38"/>
      <c r="S10" s="38"/>
      <c r="T10" s="38"/>
      <c r="U10" s="38"/>
      <c r="V10" s="38"/>
      <c r="W10" s="62"/>
    </row>
    <row r="11" spans="2:23" ht="60" customHeight="1">
      <c r="B11" s="35" t="s">
        <v>277</v>
      </c>
      <c r="C11" s="38" t="s">
        <v>519</v>
      </c>
      <c r="D11" s="38"/>
      <c r="E11" s="38"/>
      <c r="F11" s="38"/>
      <c r="G11" s="70"/>
      <c r="H11" s="38"/>
      <c r="I11" s="38"/>
      <c r="J11" s="38"/>
      <c r="K11" s="38"/>
      <c r="L11" s="38"/>
      <c r="M11" s="38"/>
      <c r="N11" s="38"/>
      <c r="O11" s="38"/>
      <c r="P11" s="38"/>
      <c r="Q11" s="38"/>
      <c r="R11" s="38"/>
      <c r="S11" s="38"/>
      <c r="T11" s="38"/>
      <c r="U11" s="38"/>
      <c r="V11" s="38"/>
      <c r="W11" s="62" t="s">
        <v>513</v>
      </c>
    </row>
    <row r="12" spans="2:23" ht="60" customHeight="1">
      <c r="B12" s="16" t="s">
        <v>259</v>
      </c>
      <c r="C12" s="38" t="s">
        <v>509</v>
      </c>
      <c r="D12" s="38" t="s">
        <v>510</v>
      </c>
      <c r="E12" s="38"/>
      <c r="F12" s="38"/>
      <c r="G12" s="38"/>
      <c r="H12" s="38"/>
      <c r="I12" s="38"/>
      <c r="J12" s="38"/>
      <c r="K12" s="38"/>
      <c r="L12" s="38"/>
      <c r="M12" s="38"/>
      <c r="N12" s="38"/>
      <c r="O12" s="38"/>
      <c r="P12" s="38"/>
      <c r="Q12" s="38"/>
      <c r="R12" s="38"/>
      <c r="S12" s="38"/>
      <c r="T12" s="38"/>
      <c r="U12" s="38"/>
      <c r="V12" s="38"/>
      <c r="W12" s="62" t="s">
        <v>509</v>
      </c>
    </row>
    <row r="13" spans="2:23" ht="60" customHeight="1">
      <c r="B13" s="35" t="s">
        <v>254</v>
      </c>
      <c r="C13" s="38" t="s">
        <v>461</v>
      </c>
      <c r="D13" s="38" t="s">
        <v>462</v>
      </c>
      <c r="E13" s="38" t="s">
        <v>463</v>
      </c>
      <c r="F13" s="38" t="s">
        <v>464</v>
      </c>
      <c r="G13" s="38" t="s">
        <v>465</v>
      </c>
      <c r="H13" s="38" t="s">
        <v>466</v>
      </c>
      <c r="I13" s="38" t="s">
        <v>467</v>
      </c>
      <c r="J13" s="38" t="s">
        <v>468</v>
      </c>
      <c r="K13" s="38" t="s">
        <v>469</v>
      </c>
      <c r="L13" s="38" t="s">
        <v>470</v>
      </c>
      <c r="M13" s="38" t="s">
        <v>471</v>
      </c>
      <c r="N13" s="38" t="s">
        <v>472</v>
      </c>
      <c r="O13" s="38"/>
      <c r="P13" s="38"/>
      <c r="Q13" s="38"/>
      <c r="R13" s="38"/>
      <c r="S13" s="38"/>
      <c r="T13" s="38"/>
      <c r="U13" s="38"/>
      <c r="V13" s="38"/>
      <c r="W13" s="62" t="s">
        <v>515</v>
      </c>
    </row>
    <row r="14" spans="2:23" ht="60" customHeight="1">
      <c r="B14" s="16" t="s">
        <v>250</v>
      </c>
      <c r="C14" s="38" t="s">
        <v>333</v>
      </c>
      <c r="D14" s="38"/>
      <c r="E14" s="38"/>
      <c r="F14" s="38"/>
      <c r="G14" s="38"/>
      <c r="H14" s="38"/>
      <c r="I14" s="38"/>
      <c r="J14" s="38"/>
      <c r="K14" s="38"/>
      <c r="L14" s="38"/>
      <c r="M14" s="38"/>
      <c r="N14" s="38"/>
      <c r="O14" s="38"/>
      <c r="P14" s="38"/>
      <c r="Q14" s="38"/>
      <c r="R14" s="38"/>
      <c r="S14" s="38"/>
      <c r="T14" s="38"/>
      <c r="U14" s="38"/>
      <c r="V14" s="38"/>
      <c r="W14" s="62" t="s">
        <v>514</v>
      </c>
    </row>
    <row r="15" spans="2:23" ht="60" customHeight="1">
      <c r="B15" s="16" t="s">
        <v>253</v>
      </c>
      <c r="C15" s="38"/>
      <c r="D15" s="38"/>
      <c r="E15" s="38"/>
      <c r="F15" s="38"/>
      <c r="G15" s="38"/>
      <c r="H15" s="38"/>
      <c r="I15" s="38"/>
      <c r="J15" s="38"/>
      <c r="K15" s="38"/>
      <c r="L15" s="38"/>
      <c r="M15" s="38"/>
      <c r="N15" s="38"/>
      <c r="O15" s="38"/>
      <c r="P15" s="38"/>
      <c r="Q15" s="38"/>
      <c r="R15" s="38"/>
      <c r="S15" s="38"/>
      <c r="T15" s="38"/>
      <c r="U15" s="38"/>
      <c r="V15" s="38"/>
      <c r="W15" s="62"/>
    </row>
    <row r="16" spans="2:23" ht="60" customHeight="1">
      <c r="B16" s="35" t="s">
        <v>255</v>
      </c>
      <c r="C16" s="38" t="s">
        <v>460</v>
      </c>
      <c r="D16" s="38" t="s">
        <v>334</v>
      </c>
      <c r="E16" s="38" t="s">
        <v>335</v>
      </c>
      <c r="F16" s="38" t="s">
        <v>336</v>
      </c>
      <c r="G16" s="38" t="s">
        <v>395</v>
      </c>
      <c r="H16" s="38" t="s">
        <v>396</v>
      </c>
      <c r="I16" s="38" t="s">
        <v>397</v>
      </c>
      <c r="J16" s="38" t="s">
        <v>398</v>
      </c>
      <c r="K16" s="38" t="s">
        <v>399</v>
      </c>
      <c r="L16" s="38"/>
      <c r="M16" s="38"/>
      <c r="N16" s="38"/>
      <c r="O16" s="38"/>
      <c r="P16" s="38"/>
      <c r="Q16" s="38"/>
      <c r="R16" s="38"/>
      <c r="S16" s="38"/>
      <c r="T16" s="38"/>
      <c r="U16" s="38"/>
      <c r="V16" s="38"/>
      <c r="W16" s="62" t="s">
        <v>516</v>
      </c>
    </row>
    <row r="17" spans="2:23" ht="60" customHeight="1">
      <c r="B17" s="16" t="s">
        <v>251</v>
      </c>
      <c r="C17" s="38" t="s">
        <v>322</v>
      </c>
      <c r="D17" s="38" t="s">
        <v>324</v>
      </c>
      <c r="E17" s="38" t="s">
        <v>327</v>
      </c>
      <c r="F17" s="38" t="s">
        <v>328</v>
      </c>
      <c r="G17" s="38" t="s">
        <v>330</v>
      </c>
      <c r="H17" s="38" t="s">
        <v>338</v>
      </c>
      <c r="I17" s="38"/>
      <c r="J17" s="38"/>
      <c r="K17" s="38"/>
      <c r="L17" s="38"/>
      <c r="M17" s="38"/>
      <c r="N17" s="38"/>
      <c r="O17" s="38"/>
      <c r="P17" s="38"/>
      <c r="Q17" s="38"/>
      <c r="R17" s="38"/>
      <c r="S17" s="38"/>
      <c r="T17" s="38"/>
      <c r="U17" s="38"/>
      <c r="V17" s="38"/>
      <c r="W17" s="62" t="s">
        <v>517</v>
      </c>
    </row>
    <row r="18" spans="2:23" ht="60" customHeight="1">
      <c r="B18" s="16" t="s">
        <v>252</v>
      </c>
      <c r="C18" s="38" t="s">
        <v>323</v>
      </c>
      <c r="D18" s="38" t="s">
        <v>325</v>
      </c>
      <c r="E18" s="38" t="s">
        <v>326</v>
      </c>
      <c r="F18" s="38" t="s">
        <v>329</v>
      </c>
      <c r="G18" s="38" t="s">
        <v>331</v>
      </c>
      <c r="H18" s="38" t="s">
        <v>337</v>
      </c>
      <c r="I18" s="38"/>
      <c r="J18" s="38"/>
      <c r="K18" s="38"/>
      <c r="L18" s="38"/>
      <c r="M18" s="38"/>
      <c r="N18" s="38"/>
      <c r="O18" s="38"/>
      <c r="P18" s="38"/>
      <c r="Q18" s="38"/>
      <c r="R18" s="38"/>
      <c r="S18" s="38"/>
      <c r="T18" s="38"/>
      <c r="U18" s="38"/>
      <c r="V18" s="38"/>
      <c r="W18" s="62" t="s">
        <v>518</v>
      </c>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phoneticPr fontId="30" type="noConversion"/>
  <conditionalFormatting sqref="C4:W7 C8 H8 L8:R8 V8:W8 C9:W18">
    <cfRule type="notContainsBlanks" dxfId="54" priority="1" stopIfTrue="1">
      <formula>LEN(TRIM(C4))&gt;0</formula>
    </cfRule>
  </conditionalFormatting>
  <dataValidations count="3">
    <dataValidation type="list" allowBlank="1" showInputMessage="1" showErrorMessage="1" sqref="C4:V4 C6:V6" xr:uid="{00000000-0002-0000-0900-000000000000}">
      <formula1>"Yes,No"</formula1>
    </dataValidation>
    <dataValidation type="whole" operator="greaterThan" allowBlank="1" showInputMessage="1" showErrorMessage="1" sqref="C8 H8 L8:R8 V8" xr:uid="{00000000-0002-0000-0900-000001000000}">
      <formula1>0</formula1>
    </dataValidation>
    <dataValidation type="list" allowBlank="1" showInputMessage="1" showErrorMessage="1" sqref="C5:V5" xr:uid="{00000000-0002-0000-0900-000002000000}">
      <formula1>"High,Medium,Low,N/A"</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F81BD"/>
  </sheetPr>
  <dimension ref="B3:K25"/>
  <sheetViews>
    <sheetView showGridLines="0" workbookViewId="0">
      <selection activeCell="C25" sqref="C25"/>
    </sheetView>
  </sheetViews>
  <sheetFormatPr defaultColWidth="10.83203125" defaultRowHeight="15.5"/>
  <cols>
    <col min="1" max="1" width="5.5" customWidth="1"/>
  </cols>
  <sheetData>
    <row r="3" spans="2:11" ht="34" customHeight="1">
      <c r="B3" s="107" t="s">
        <v>226</v>
      </c>
      <c r="C3" s="107"/>
      <c r="D3" s="107"/>
      <c r="E3" s="107"/>
      <c r="F3" s="107"/>
      <c r="G3" s="107"/>
      <c r="H3" s="107"/>
      <c r="I3" s="107"/>
      <c r="J3" s="107"/>
      <c r="K3" s="107"/>
    </row>
    <row r="4" spans="2:11" ht="34" customHeight="1">
      <c r="B4" s="107"/>
      <c r="C4" s="107"/>
      <c r="D4" s="107"/>
      <c r="E4" s="107"/>
      <c r="F4" s="107"/>
      <c r="G4" s="107"/>
      <c r="H4" s="107"/>
      <c r="I4" s="107"/>
      <c r="J4" s="107"/>
      <c r="K4" s="107"/>
    </row>
    <row r="5" spans="2:11" ht="34" customHeight="1">
      <c r="B5" s="107"/>
      <c r="C5" s="107"/>
      <c r="D5" s="107"/>
      <c r="E5" s="107"/>
      <c r="F5" s="107"/>
      <c r="G5" s="107"/>
      <c r="H5" s="107"/>
      <c r="I5" s="107"/>
      <c r="J5" s="107"/>
      <c r="K5" s="107"/>
    </row>
    <row r="6" spans="2:11" ht="34" customHeight="1">
      <c r="B6" s="107"/>
      <c r="C6" s="107"/>
      <c r="D6" s="107"/>
      <c r="E6" s="107"/>
      <c r="F6" s="107"/>
      <c r="G6" s="107"/>
      <c r="H6" s="107"/>
      <c r="I6" s="107"/>
      <c r="J6" s="107"/>
      <c r="K6" s="107"/>
    </row>
    <row r="7" spans="2:11">
      <c r="B7" t="s">
        <v>500</v>
      </c>
    </row>
    <row r="9" spans="2:11">
      <c r="B9" t="s">
        <v>501</v>
      </c>
    </row>
    <row r="11" spans="2:11">
      <c r="B11" t="s">
        <v>502</v>
      </c>
    </row>
    <row r="12" spans="2:11">
      <c r="B12" s="59"/>
    </row>
    <row r="13" spans="2:11">
      <c r="B13" t="s">
        <v>503</v>
      </c>
    </row>
    <row r="15" spans="2:11">
      <c r="B15" t="s">
        <v>504</v>
      </c>
    </row>
    <row r="17" spans="2:2">
      <c r="B17" t="s">
        <v>505</v>
      </c>
    </row>
    <row r="18" spans="2:2">
      <c r="B18" s="59"/>
    </row>
    <row r="19" spans="2:2">
      <c r="B19" t="s">
        <v>506</v>
      </c>
    </row>
    <row r="21" spans="2:2">
      <c r="B21" t="s">
        <v>507</v>
      </c>
    </row>
    <row r="23" spans="2:2">
      <c r="B23" t="s">
        <v>508</v>
      </c>
    </row>
    <row r="24" spans="2:2">
      <c r="B24" s="59"/>
    </row>
    <row r="25" spans="2:2">
      <c r="B25" t="s">
        <v>521</v>
      </c>
    </row>
  </sheetData>
  <mergeCells count="1">
    <mergeCell ref="B3:K6"/>
  </mergeCells>
  <phoneticPr fontId="3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2:D28"/>
  <sheetViews>
    <sheetView zoomScale="60" zoomScaleNormal="60" workbookViewId="0">
      <selection activeCell="C28" sqref="C28"/>
    </sheetView>
  </sheetViews>
  <sheetFormatPr defaultColWidth="10.83203125" defaultRowHeight="20"/>
  <cols>
    <col min="1" max="1" width="4.1640625" style="56" customWidth="1"/>
    <col min="2" max="2" width="200.83203125" style="10" customWidth="1"/>
    <col min="3" max="3" width="67.5" style="13" customWidth="1"/>
    <col min="4" max="16384" width="10.83203125" style="50"/>
  </cols>
  <sheetData>
    <row r="2" spans="2:4">
      <c r="B2" s="8" t="s">
        <v>235</v>
      </c>
      <c r="C2" s="11"/>
    </row>
    <row r="3" spans="2:4">
      <c r="B3" s="43" t="s">
        <v>233</v>
      </c>
      <c r="C3" s="58"/>
    </row>
    <row r="4" spans="2:4">
      <c r="B4" s="57" t="s">
        <v>262</v>
      </c>
      <c r="C4" s="58"/>
    </row>
    <row r="5" spans="2:4" ht="60">
      <c r="B5" s="55" t="s">
        <v>285</v>
      </c>
      <c r="C5" s="49" t="s">
        <v>36</v>
      </c>
      <c r="D5" s="51" t="s">
        <v>286</v>
      </c>
    </row>
    <row r="6" spans="2:4">
      <c r="B6" s="57" t="s">
        <v>261</v>
      </c>
      <c r="C6" s="58"/>
      <c r="D6" s="51"/>
    </row>
    <row r="7" spans="2:4" ht="60">
      <c r="B7" s="55" t="s">
        <v>223</v>
      </c>
      <c r="C7" s="49" t="s">
        <v>36</v>
      </c>
      <c r="D7" s="51" t="s">
        <v>278</v>
      </c>
    </row>
    <row r="8" spans="2:4">
      <c r="B8" s="57" t="s">
        <v>260</v>
      </c>
      <c r="C8" s="58"/>
    </row>
    <row r="9" spans="2:4" ht="60">
      <c r="B9" s="55" t="s">
        <v>224</v>
      </c>
      <c r="C9" s="49" t="s">
        <v>36</v>
      </c>
    </row>
    <row r="10" spans="2:4">
      <c r="B10" s="57" t="s">
        <v>281</v>
      </c>
      <c r="C10" s="58"/>
    </row>
    <row r="11" spans="2:4" ht="60">
      <c r="B11" s="55" t="s">
        <v>282</v>
      </c>
      <c r="C11" s="49" t="s">
        <v>36</v>
      </c>
    </row>
    <row r="12" spans="2:4">
      <c r="B12" s="43" t="s">
        <v>232</v>
      </c>
      <c r="C12" s="58"/>
    </row>
    <row r="13" spans="2:4">
      <c r="B13" s="57" t="s">
        <v>234</v>
      </c>
      <c r="C13" s="58"/>
    </row>
    <row r="14" spans="2:4" ht="60">
      <c r="B14" s="55" t="s">
        <v>221</v>
      </c>
      <c r="C14" s="49" t="s">
        <v>36</v>
      </c>
    </row>
    <row r="15" spans="2:4">
      <c r="B15" s="57" t="s">
        <v>230</v>
      </c>
      <c r="C15" s="58"/>
    </row>
    <row r="16" spans="2:4" ht="60">
      <c r="B16" s="55" t="s">
        <v>222</v>
      </c>
      <c r="C16" s="49" t="s">
        <v>36</v>
      </c>
    </row>
    <row r="17" spans="2:3">
      <c r="B17" s="57" t="s">
        <v>231</v>
      </c>
      <c r="C17" s="58"/>
    </row>
    <row r="18" spans="2:3" ht="60">
      <c r="B18" s="55" t="s">
        <v>225</v>
      </c>
      <c r="C18" s="49" t="s">
        <v>36</v>
      </c>
    </row>
    <row r="19" spans="2:3">
      <c r="B19" s="57" t="s">
        <v>263</v>
      </c>
      <c r="C19" s="58"/>
    </row>
    <row r="20" spans="2:3" ht="60">
      <c r="B20" s="55" t="s">
        <v>284</v>
      </c>
      <c r="C20" s="49" t="s">
        <v>36</v>
      </c>
    </row>
    <row r="21" spans="2:3">
      <c r="B21" s="57" t="s">
        <v>301</v>
      </c>
      <c r="C21" s="58"/>
    </row>
    <row r="22" spans="2:3" ht="80">
      <c r="B22" s="55" t="s">
        <v>303</v>
      </c>
      <c r="C22" s="49" t="s">
        <v>36</v>
      </c>
    </row>
    <row r="23" spans="2:3">
      <c r="B23" s="57" t="s">
        <v>306</v>
      </c>
      <c r="C23" s="58"/>
    </row>
    <row r="24" spans="2:3" ht="80">
      <c r="B24" s="55" t="s">
        <v>304</v>
      </c>
      <c r="C24" s="49" t="s">
        <v>36</v>
      </c>
    </row>
    <row r="25" spans="2:3">
      <c r="B25" s="57" t="s">
        <v>302</v>
      </c>
      <c r="C25" s="58"/>
    </row>
    <row r="26" spans="2:3" ht="80">
      <c r="B26" s="55" t="s">
        <v>305</v>
      </c>
      <c r="C26" s="49" t="s">
        <v>36</v>
      </c>
    </row>
    <row r="27" spans="2:3">
      <c r="B27" s="57" t="s">
        <v>316</v>
      </c>
      <c r="C27" s="58"/>
    </row>
    <row r="28" spans="2:3" ht="80">
      <c r="B28" s="55" t="s">
        <v>318</v>
      </c>
      <c r="C28" s="49" t="s">
        <v>36</v>
      </c>
    </row>
  </sheetData>
  <sheetProtection algorithmName="SHA-512" hashValue="Q1tIzZW4q1svot2fTtUaZdE5Z769zrGxjL5mh+I++440Oe5SSDlQ+Yw1B8wb5grTlGVqFQYapO2TrAXiTNZB8Q==" saltValue="1MRRozV0QtnVfVJaMmG8Jg==" spinCount="100000" sheet="1" objects="1" scenarios="1"/>
  <phoneticPr fontId="30" type="noConversion"/>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00000000-0002-0000-0B00-000000000000}">
      <formula1>"Yes, No"</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7"/>
  <sheetViews>
    <sheetView workbookViewId="0"/>
  </sheetViews>
  <sheetFormatPr defaultColWidth="10.83203125" defaultRowHeight="15.5"/>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honeticPr fontId="3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Jeff Leal</cp:lastModifiedBy>
  <cp:lastPrinted>2018-09-13T16:04:18Z</cp:lastPrinted>
  <dcterms:created xsi:type="dcterms:W3CDTF">2018-09-10T17:18:27Z</dcterms:created>
  <dcterms:modified xsi:type="dcterms:W3CDTF">2025-04-28T02:04:37Z</dcterms:modified>
</cp:coreProperties>
</file>