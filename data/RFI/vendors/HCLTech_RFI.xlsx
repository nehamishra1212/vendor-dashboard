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perminder.vohra/Downloads/"/>
    </mc:Choice>
  </mc:AlternateContent>
  <xr:revisionPtr revIDLastSave="0" documentId="13_ncr:1_{78FB7942-9A9B-864F-848E-9ABD6EC26AD7}"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0" yWindow="760" windowWidth="27000" windowHeight="17380" firstSheet="1" activeTab="4"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<sst xmlns="http://schemas.openxmlformats.org/spreadsheetml/2006/main" count="474" uniqueCount="385">
  <si>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</si>
  <si>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</si>
  <si>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</si>
  <si>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</si>
  <si>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</si>
  <si>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</si>
  <si>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</si>
  <si>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</si>
  <si>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December 22, 2025 by 23:00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</si>
  <si>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</si>
  <si>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</si>
  <si>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</si>
  <si>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Nellie Tanguay
Global Sourcing &amp; Supply Management
+1-609-477-3584
htanguay@apple.com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</si>
  <si>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</si>
  <si>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</si>
  <si>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</si>
  <si>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</si>
  <si>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</si>
  <si>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</si>
  <si>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December 22,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</si>
  <si>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</si>
  <si>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</si>
  <si>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</si>
  <si>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</si>
  <si>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</si>
  <si>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</si>
  <si>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</si>
  <si>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</si>
  <si>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</si>
  <si>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</si>
  <si>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</si>
  <si>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</si>
  <si>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</si>
  <si>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</si>
  <si>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</si>
  <si>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</si>
  <si>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</si>
  <si>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</si>
  <si>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</si>
  <si>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</si>
  <si>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</si>
  <si>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</si>
  <si>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</si>
  <si>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</si>
  <si>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</si>
  <si>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Please fill in all fields to complete this section. If there are supplemental compnay overview slides, please attach to RFI response.</t>
  </si>
  <si>
    <t xml:space="preserve">RFI Submission Date </t>
  </si>
  <si>
    <t>Official Legal Name</t>
  </si>
  <si>
    <t>Parent Company Official Name</t>
  </si>
  <si>
    <t>HQ Location</t>
  </si>
  <si>
    <t>Website</t>
  </si>
  <si>
    <t>Public/Private</t>
  </si>
  <si>
    <t>Ticker Symbol (if Public)</t>
  </si>
  <si>
    <t>Type</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</si>
  <si>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</si>
  <si>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</si>
  <si>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</si>
  <si>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</si>
  <si>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</si>
  <si>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</si>
  <si>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</si>
  <si>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</si>
  <si>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</si>
  <si>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</si>
  <si>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Commercial DRI / Apple Executive Contact</t>
  </si>
  <si>
    <t>Operations Leader</t>
  </si>
  <si>
    <t xml:space="preserve">Finance </t>
  </si>
  <si>
    <t>Engineering</t>
  </si>
  <si>
    <t>Supply chain</t>
  </si>
  <si>
    <t>Project Management</t>
  </si>
  <si>
    <t>Production</t>
  </si>
  <si>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</si>
  <si>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</si>
  <si>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</si>
  <si>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</si>
  <si>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</si>
  <si>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</si>
  <si>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</si>
  <si>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</si>
  <si>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</si>
  <si>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</si>
  <si>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</si>
  <si>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</si>
  <si>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</si>
  <si>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</si>
  <si>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</si>
  <si>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</si>
  <si>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</si>
  <si>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</si>
  <si>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</si>
  <si>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</si>
  <si>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</si>
  <si>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</si>
  <si>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</si>
  <si>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</si>
  <si>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</si>
  <si>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</si>
  <si>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</si>
  <si>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</si>
  <si>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</si>
  <si>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</si>
  <si>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</si>
  <si>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</si>
  <si>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</si>
  <si>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Enviroment &amp; Supply Supply Chain Innovation (ESCI) Facility Readiness Assessment (FRA) Approved?</t>
  </si>
  <si>
    <t>Customer Base served from this location
(City and Country of the customer)</t>
  </si>
  <si>
    <t>Are there any Global expansion plans in the future for Manufacturing? Please desrcibe in detail.</t>
  </si>
  <si>
    <t>What are all the key subcomponent vendors used and where are they located (city, country)? Please provide rough volume &amp; spend with key subcomponent vendors as well.</t>
  </si>
  <si>
    <t>Any previous issues faced in shipping to certain countries?</t>
  </si>
  <si>
    <t>What are the key supply chain tactics being followed?</t>
  </si>
  <si>
    <t>Are there any inhouse machining / job shop capabilities? If so, please explain in detail in terms of machine qty available (CNC, Mill, Lathe, EDM Weld, etc.), volume produced, &amp; available capacity.</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</si>
  <si>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</si>
  <si>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</si>
  <si>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What are the supply chain resiliency plans to ensure no distruption in supply?</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</si>
  <si>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</si>
  <si>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</si>
  <si>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</si>
  <si>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</si>
  <si>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</si>
  <si>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</si>
  <si>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</si>
  <si>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</si>
  <si>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</si>
  <si>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</si>
  <si>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Total Field Service Engineers - L1 (HC)</t>
  </si>
  <si>
    <t>Total Field Service Engineers - L2 (HC)</t>
  </si>
  <si>
    <t>Total Field Service Engineers - L3 (HC)</t>
  </si>
  <si>
    <t>Support Capabilities in Region - Total # of Units (QTY)</t>
  </si>
  <si>
    <t>Hiring Difficulty in Region (High/Medium/Low)</t>
  </si>
  <si>
    <t>Dispatch Difficulty from Region (High/Medium/Low)</t>
  </si>
  <si>
    <t>Regions Served (Countries &amp; QTY)</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</si>
  <si>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</si>
  <si>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</si>
  <si>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</si>
  <si>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</si>
  <si>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</si>
  <si>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</si>
  <si>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</si>
  <si>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</si>
  <si>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</si>
  <si>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</si>
  <si>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</si>
  <si>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</si>
  <si>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</si>
  <si>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</si>
  <si>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</si>
  <si>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</si>
  <si>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</si>
  <si>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</si>
  <si>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</si>
  <si>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</si>
  <si>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</si>
  <si>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</si>
  <si>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</si>
  <si>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</si>
  <si>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</si>
  <si>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</si>
  <si>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</si>
  <si>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</si>
  <si>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</si>
  <si>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</si>
  <si>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</si>
  <si>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</si>
  <si>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</si>
  <si>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</si>
  <si>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</si>
  <si>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</si>
  <si>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</si>
  <si>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</si>
  <si>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</si>
  <si>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</si>
  <si>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</si>
  <si>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</si>
  <si>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</si>
  <si>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</si>
  <si>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</si>
  <si>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</si>
  <si>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</si>
  <si>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</si>
  <si>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</si>
  <si>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</si>
  <si>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</si>
  <si>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</si>
  <si>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</si>
  <si>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</si>
  <si>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</si>
  <si>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</si>
  <si>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</si>
  <si>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</si>
  <si>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</si>
  <si>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</si>
  <si>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</si>
  <si>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</si>
  <si>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</si>
  <si>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Outsourced?</t>
  </si>
  <si>
    <t>Core Competencies</t>
  </si>
  <si>
    <t>Dedicated Resourcing (HC)
(PM, Engineering, Production, OSS, etc.)</t>
  </si>
  <si>
    <t>Equipment Type &amp; Key Technologies</t>
  </si>
  <si>
    <t>Key Components &amp; Average Annual Spend ($M)
(Prefernce for off the shelf components)</t>
  </si>
  <si>
    <t xml:space="preserve">Typcical Development &amp; Equipment Lead Times
(RFP to DFM, KO to ETA, ETA to SAT, OEE, etc.) </t>
  </si>
  <si>
    <t>Competitive Advantage(s)</t>
  </si>
  <si>
    <t>Applicable Project Experience
(Year, Machine Description &amp; QTY, Spend, Timeline)</t>
  </si>
  <si>
    <t>Client / Reference</t>
  </si>
  <si>
    <t>Client / Reference Email</t>
  </si>
  <si>
    <t>Applicable Apple Experience
(Year, Machine Description &amp; QTY, Spend, Timeline)</t>
  </si>
  <si>
    <t>Apple DRI Name</t>
  </si>
  <si>
    <t>Apple DRI Email</t>
  </si>
  <si>
    <t>Use the blank page to detail your company's technical roadmap for apple or other customers</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</si>
  <si>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</si>
  <si>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</si>
  <si>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</si>
  <si>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</si>
  <si>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</si>
  <si>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</si>
  <si>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</si>
  <si>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</si>
  <si>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</si>
  <si>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</si>
  <si>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</si>
  <si>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</si>
  <si>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</si>
  <si>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</si>
  <si>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</si>
  <si>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</si>
  <si>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</si>
  <si>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</si>
  <si>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</si>
  <si>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</si>
  <si>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</si>
  <si>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</si>
  <si>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</si>
  <si>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</si>
  <si>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</si>
  <si>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</si>
  <si>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</si>
  <si>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</si>
  <si>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</si>
  <si>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</si>
  <si>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</si>
  <si>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</si>
  <si>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</si>
  <si>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</si>
  <si>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</si>
  <si>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Yes</t>
  </si>
  <si>
    <t>Albania</t>
  </si>
  <si>
    <t>Private</t>
  </si>
  <si>
    <t>No</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</si>
  <si>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</si>
  <si>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</si>
  <si>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</si>
  <si>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</si>
  <si>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</si>
  <si>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</si>
  <si>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</si>
  <si>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</si>
  <si>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</si>
  <si>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</si>
  <si>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</si>
  <si>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</si>
  <si>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</si>
  <si>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</si>
  <si>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</si>
  <si>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</si>
  <si>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</si>
  <si>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</si>
  <si>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</si>
  <si>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</si>
  <si>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</si>
  <si>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</si>
  <si>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</si>
  <si>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</si>
  <si>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</si>
  <si>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</si>
  <si>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</si>
  <si>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</si>
  <si>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</si>
  <si>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</si>
  <si>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</si>
  <si>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</si>
  <si>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</si>
  <si>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</si>
  <si>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</si>
  <si>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</si>
  <si>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</si>
  <si>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</si>
  <si>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</si>
  <si>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</si>
  <si>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</si>
  <si>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</si>
  <si>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</si>
  <si>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</si>
  <si>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</si>
  <si>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</si>
  <si>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</si>
  <si>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</si>
  <si>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</si>
  <si>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</si>
  <si>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</si>
  <si>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</si>
  <si>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</si>
  <si>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</si>
  <si>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</si>
  <si>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</si>
  <si>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</si>
  <si>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</si>
  <si>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</si>
  <si>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</si>
  <si>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</si>
  <si>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</si>
  <si>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</si>
  <si>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</si>
  <si>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</si>
  <si>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</si>
  <si>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</si>
  <si>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</si>
  <si>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</si>
  <si>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</si>
  <si>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</si>
  <si>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</si>
  <si>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22nd December 2025</t>
  </si>
  <si>
    <t>Noida</t>
  </si>
  <si>
    <t>https://www.hcltech.com/</t>
  </si>
  <si>
    <t>NSE: HCLTECH
BSE: 532281
ISIN: INE860A01027</t>
  </si>
  <si>
    <t>HCL Technologies Ltd.</t>
  </si>
  <si>
    <t>HCL Group</t>
  </si>
  <si>
    <t>Global IT Company</t>
  </si>
  <si>
    <t>C Vijayakumar</t>
  </si>
  <si>
    <t>Perminder Singh Vohra</t>
  </si>
  <si>
    <t>Rahul Singh</t>
  </si>
  <si>
    <t>Shiv Walia</t>
  </si>
  <si>
    <t>HCL Technologies Ltd</t>
  </si>
  <si>
    <t>N/A</t>
  </si>
  <si>
    <t>Bengaluru, India</t>
  </si>
  <si>
    <t>HCL Technologies, AMB5 - 100% EOU</t>
  </si>
  <si>
    <t>Chennai, India</t>
  </si>
  <si>
    <t>73-74, South phase road, Industrial estate, Ambattur, Chennai</t>
  </si>
  <si>
    <t xml:space="preserve">HCL has restriction to ship to certain countries such as Argentina, Pakistan, Russia due to export restrictions. HCL does not have specific challenges shipping to USA and Europe. </t>
  </si>
  <si>
    <t xml:space="preserve">Identify long lead parts during program and proactively work with customer for alternate parts. Similar tactics for EOL, obsolete item identification during ordernig phase is followed. Drive design team to use parts from suppliers with commited lower cost, volume. Work with factory, OEM for arranging samples for long lead parts for critical builds. </t>
  </si>
  <si>
    <t>We use Rikun/ Racer for machining.  HCL's internal machines like Lathe, weld, rapid prototype machines are used only for prototyping.</t>
  </si>
  <si>
    <t>Medium</t>
  </si>
  <si>
    <t>High</t>
  </si>
  <si>
    <t>System integration, functional Test ATE design, ATE integration, ATE validation, PCBA Test</t>
  </si>
  <si>
    <t xml:space="preserve">Bangalore, India,
Scottsdale, Arizona, USA </t>
  </si>
  <si>
    <t>CEO</t>
  </si>
  <si>
    <t>Apple Executive Contact</t>
  </si>
  <si>
    <t>COO</t>
  </si>
  <si>
    <t>CFO</t>
  </si>
  <si>
    <t>Penang, Malyasia, Germany, Swedan, Paris, France, Dallas, Santa clara USA</t>
  </si>
  <si>
    <t>0120-3667180</t>
  </si>
  <si>
    <t>vijaykumarc@hcltech.com</t>
  </si>
  <si>
    <t>perminder.vohra@hcltech.com</t>
  </si>
  <si>
    <t>rahul-singh@hcltech.com</t>
  </si>
  <si>
    <t>shiv.walia@hcltech.com</t>
  </si>
  <si>
    <t xml:space="preserve">Hari Sadarahalli </t>
  </si>
  <si>
    <t>CVP &amp; Global Head of ERS</t>
  </si>
  <si>
    <t>shari@hcltech.com</t>
  </si>
  <si>
    <t>HCL Tech ASL (Advanced Semiconductor Lab), Electronic City Phase II, Bengaluru</t>
  </si>
  <si>
    <t>Solder Paste Printer</t>
  </si>
  <si>
    <t>Plasma Cleaner/Etcher</t>
  </si>
  <si>
    <t>Pick and Place</t>
  </si>
  <si>
    <t>Reflow Oven</t>
  </si>
  <si>
    <t>3D Solder Paste Inspection. Automated Optical Inspection (AOI), 3D X-Ray</t>
  </si>
  <si>
    <t>Mycronics MYPro S20 Printing System</t>
  </si>
  <si>
    <t xml:space="preserve">MY300LX-15 T640 </t>
  </si>
  <si>
    <t xml:space="preserve">Ersa EXOS 10/26 with Vacuum Stage 
</t>
  </si>
  <si>
    <t>PVA TePla/OKOS</t>
  </si>
  <si>
    <t>MS-11 3D SPI, MIRTEC: MV-6 OMNI Series, Full-3D inline vision inspector
Nordson Dage Qaudra 7 X-Ray</t>
  </si>
  <si>
    <t xml:space="preserve">MS-11 3D SPI, MIRTEC: MV-6 OMNI Series, Full-3D inline vision inspector
Nordson Dage Qaudra 7 X-Ray, Flying Probe Machine </t>
  </si>
  <si>
    <t>We have an integrated single site for semiconductor testing and PCB/SMT assembly at Bangalore. This provides a single site with capabilities from wafer level to packaged parts testing, ATE, Bench testing, Silicon Qualification to PCB and system assembly, test and debug, failure analysis. We have also setup a 1 MegaWatt  power and liquid cooling infrastrastructure for testing high power devices at bench level for specific customer needs. 
This cutting-edge lab is equipped with:
Class 1K and 10K Clean Rooms for ATE testing/Automated production testing - Wafer Sort and Final Test
ATE program development and testing using State-of-the-art ATE Test Platforms including V93000 (V93K) and UltraFLEXPlus from Advantest and Teradyne.
Advanced tools for Failure Analysis including Multi-chemistry FIB Circuit Edit, SEM, 3D High Resolution X-Ray and Optical Imaging systems
Qualification capabilities for AEC-Q100 &amp; JEDEC JESD22 standards, Environmental Stress Screening, HTOL, LTOL, automated ESD, Latch-up testing at Chip level
High precision Bench Electrical Validation and Characterization Setup, Wafer Probing over temperature.
In house PCB assembly line for quick prototyping including, faster availability of test and evaluation platforms
This enables quick turnaround and end-to-end solutions for your semiconductor needs, enabling faster NPI, robust qualification and yield optimization for automotive, industrial and broader applications.</t>
  </si>
  <si>
    <t>Solder Paste Printing, 3D SPI, Pick and place, Reflow with Vacuum Stage, Vertical Flying probe Test</t>
  </si>
  <si>
    <t>Incoming Inspection of parts, InLine Optical Inspection including 3D inspection os Solder Paster using MS-11 3D SPI, PCB AOI using MIRTEC: MV-6 OMNI Series, Full-3D inline vision inspector, Quality Inspection of assembly using 3D X-Ray Nordson Dage Qaudra 7 System including MicroCT feature.  Electron Microscope, TDM (Topography and Deformity Measurement, Coplanarity measurements), Electrical Testing of PCBs using Vertical Flying Probe.</t>
  </si>
  <si>
    <t>HCL uses its own manufacturing facility for prototyping, low volume manufacturing. HCL has a large partner network for PCB, PCBA for medium, high volume manufacturing. HCL wants to be a player in supporting its partners in medium, high volume manufacutring and not planning to be directly involved in manufacutring</t>
  </si>
  <si>
    <t>PCB fabrication - India partners are HiQ (Hosur, India), Sonic Technology (Gandhinagar India) and Supreme PCB (Delhi,India), MS PCB (Penang, Malaysia), Korea PCB (Ansan, Gyeonggi, South Korea) are actively engaged for different complexities, volumes. Mechanical partnership with Rikun (Sriperumbudur, Tamil Nadu India) , Racer tooling (Coimbatore, Tamil Nadu India) in India. Detailed list is provided in the attached presentation.</t>
  </si>
  <si>
    <t xml:space="preserve">HCL uses SAP ERP system and Quality Processes defined as per various standards and inhouse domain specific processses under corporate Quality Management System. </t>
  </si>
  <si>
    <t>1) HCL uses USA based distributors for online orders for low volume manufacturing.
2) HCL uses geographical consolidator for purchasing components for medium to high volume. They have alternate sourcing channels, warehouses to avoid single point sourcing disruptions.
3) For specific critical parts based on program needs, HCL works directly with part makers and their distribution channel partners.</t>
  </si>
  <si>
    <t>HCL</t>
  </si>
  <si>
    <t>RFI/proposal/SOW/Contract</t>
  </si>
  <si>
    <t>EMS Partner</t>
  </si>
  <si>
    <t>2. Process Illustration</t>
  </si>
  <si>
    <t>1. HCL has dedicated Manufacturing Program Management to manage complete proto/samples/Low-Medium manufacturing with its EMS partners or its customers.</t>
  </si>
  <si>
    <t>2. Illustration</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</si>
  <si>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HCLTech Roobert Regular"/>
      </rPr>
      <t xml:space="preserve">
</t>
    </r>
  </si>
  <si>
    <t xml:space="preserve">Design (Concept, BOM)
VA/VE
Feasibility analysis
Costing
Sample manufacturing
SMT
Vendor/EMS selection - process control
QMS, FA, FMEA
Testing Compliances
Documentation
Shipping
</t>
  </si>
  <si>
    <t>Estimation</t>
  </si>
  <si>
    <t xml:space="preserve">Componet procurement
Part Fabrication
PCB Assembly
Integration, functional testing and inspection
Delivery of assembled products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</si>
</sst>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6">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8"/>
      <name val="Calibri"/>
      <family val="2"/>
      <scheme val="minor"/>
    </font>
    <font>
      <sz val="14"/>
      <color theme="0"/>
      <name val="HCLTech Roobert Regular"/>
    </font>
    <font>
      <b/>
      <sz val="14"/>
      <color theme="0"/>
      <name val="HCLTech Roobert Regular"/>
    </font>
    <font>
      <sz val="12"/>
      <color theme="1"/>
      <name val="HCLTech Roobert Regular"/>
    </font>
    <font>
      <b/>
      <sz val="12"/>
      <color theme="1"/>
      <name val="HCLTech Roobert Regular"/>
    </font>
    <font>
      <b/>
      <u/>
      <sz val="12"/>
      <color theme="1"/>
      <name val="HCLTech Roobert Regula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101">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15" fontId="12" fillId="5" borderId="1" xfId="0" applyNumberFormat="1" applyFont="1" applyFill="1" applyBorder="1" applyAlignment="1" applyProtection="1">
      <alignment horizontal="center" vertical="center" wrapText="1"/>
      <protection locked="0"/>
    </xf>
    <xf numFmtId="0" fontId="2" fillId="0" borderId="0" xfId="0" applyFont="1" applyProtection="1">
      <protection locked="0"/>
    </xf>
    <xf numFmtId="0" fontId="2" fillId="0" borderId="0" xfId="0" applyFont="1" applyAlignment="1" applyProtection="1">
      <alignment horizontal="center" vertical="center" wrapText="1"/>
      <protection locked="0"/>
    </xf>
    <xf numFmtId="0" fontId="33" fillId="0" borderId="0" xfId="0" applyFont="1"/>
    <xf numFmtId="0" fontId="34" fillId="0" borderId="0" xfId="0" applyFont="1" applyAlignment="1">
      <alignment horizontal="left"/>
    </xf>
    <xf numFmtId="0" fontId="34" fillId="0" borderId="0" xfId="0" applyFont="1"/>
    <xf numFmtId="0" fontId="35" fillId="0" borderId="0" xfId="0" applyFont="1" applyAlignment="1">
      <alignment horizontal="center"/>
    </xf>
    <xf numFmtId="0" fontId="34" fillId="0" borderId="0" xfId="0" applyFont="1" applyAlignment="1">
      <alignment horizontal="center"/>
    </xf>
    <xf numFmtId="0" fontId="33" fillId="0" borderId="0" xfId="0" applyFont="1" applyAlignment="1">
      <alignment wrapText="1"/>
    </xf>
    <xf numFmtId="0" fontId="33" fillId="0" borderId="0" xfId="0" applyFont="1" applyAlignment="1">
      <alignment vertical="top"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4" fillId="0" borderId="0" xfId="0" applyFont="1" applyAlignment="1">
      <alignment horizontal="left"/>
    </xf>
    <xf numFmtId="0" fontId="11" fillId="4" borderId="14" xfId="0" applyFont="1" applyFill="1" applyBorder="1" applyAlignment="1">
      <alignment horizontal="center" vertical="center"/>
    </xf>
    <xf numFmtId="0" fontId="14" fillId="4" borderId="1" xfId="0" applyFont="1" applyFill="1" applyBorder="1" applyAlignment="1">
      <alignment horizontal="center" vertical="center" wrapText="1"/>
    </xf>
    <xf numFmtId="0" fontId="0" fillId="0" borderId="16" xfId="0" applyBorder="1" applyAlignment="1">
      <alignment horizontal="left" vertical="top" wrapText="1"/>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114299</xdr:rowOff>
    </xdr:from>
    <xdr:to>
      <xdr:col>7</xdr:col>
      <xdr:colOff>215900</xdr:colOff>
      <xdr:row>33</xdr:row>
      <xdr:rowOff>78668</xdr:rowOff>
    </xdr:to>
    <xdr:pic>
      <xdr:nvPicPr>
        <xdr:cNvPr id="2" name="Picture 1">
          <a:extLst>
            <a:ext uri="{FF2B5EF4-FFF2-40B4-BE49-F238E27FC236}">
              <a16:creationId xmlns:a16="http://schemas.microsoft.com/office/drawing/2014/main" id="{DE6EA312-B4B0-3164-0771-2B1E2C090A6F}"/>
            </a:ext>
          </a:extLst>
        </xdr:cNvPr>
        <xdr:cNvPicPr>
          <a:picLocks noChangeAspect="1"/>
        </xdr:cNvPicPr>
      </xdr:nvPicPr>
      <xdr:blipFill>
        <a:blip xmlns:r="http://schemas.openxmlformats.org/officeDocument/2006/relationships" r:embed="rId1"/>
        <a:stretch>
          <a:fillRect/>
        </a:stretch>
      </xdr:blipFill>
      <xdr:spPr>
        <a:xfrm>
          <a:off x="393700" y="3111499"/>
          <a:ext cx="10223500" cy="524756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zoomScale="55" zoomScaleNormal="55" workbookViewId="0">
      <selection activeCell="B8" sqref="B8"/>
    </sheetView>
  </sheetViews>
  <sheetFormatPr baseColWidth="10" defaultColWidth="10.6640625" defaultRowHeight="20"/>
  <cols>
    <col min="1" max="1" width="10.6640625" style="51"/>
    <col min="2" max="2" width="200.6640625" style="10" customWidth="1"/>
    <col min="3" max="16384" width="10.6640625" style="51"/>
  </cols>
  <sheetData>
    <row r="2" spans="2:2" ht="22">
      <c r="B2" s="8" t="s">
        <v>0</v>
      </c>
    </row>
    <row r="3" spans="2:2" ht="22">
      <c r="B3" s="44" t="s">
        <v>1</v>
      </c>
    </row>
    <row r="4" spans="2:2" ht="84">
      <c r="B4" s="9" t="s">
        <v>2</v>
      </c>
    </row>
    <row r="5" spans="2:2" ht="22">
      <c r="B5" s="44" t="s">
        <v>3</v>
      </c>
    </row>
    <row r="6" spans="2:2" ht="42">
      <c r="B6" s="9" t="s">
        <v>4</v>
      </c>
    </row>
    <row r="7" spans="2:2" ht="22">
      <c r="B7" s="44" t="s">
        <v>5</v>
      </c>
    </row>
    <row r="8" spans="2:2" ht="294">
      <c r="B8" s="9" t="s">
        <v>6</v>
      </c>
    </row>
    <row r="9" spans="2:2" ht="22">
      <c r="B9" s="44" t="s">
        <v>7</v>
      </c>
    </row>
    <row r="10" spans="2:2" ht="22">
      <c r="B10" s="9" t="s">
        <v>8</v>
      </c>
    </row>
    <row r="11" spans="2:2" ht="22">
      <c r="B11" s="44" t="s">
        <v>9</v>
      </c>
    </row>
    <row r="12" spans="2:2" ht="42">
      <c r="B12" s="9" t="s">
        <v>10</v>
      </c>
    </row>
    <row r="13" spans="2:2" ht="22">
      <c r="B13" s="44" t="s">
        <v>11</v>
      </c>
    </row>
    <row r="14" spans="2:2" ht="84">
      <c r="B14" s="72" t="s">
        <v>12</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24" zoomScale="55" zoomScaleNormal="55" zoomScaleSheetLayoutView="70" workbookViewId="0">
      <selection activeCell="C8" sqref="C8"/>
    </sheetView>
  </sheetViews>
  <sheetFormatPr baseColWidth="10" defaultColWidth="10.6640625" defaultRowHeight="20"/>
  <cols>
    <col min="1" max="1" width="10.6640625" style="51"/>
    <col min="2" max="2" width="200.6640625" style="10" customWidth="1"/>
    <col min="3" max="16384" width="10.6640625" style="51"/>
  </cols>
  <sheetData>
    <row r="2" spans="2:2" ht="22">
      <c r="B2" s="8" t="s">
        <v>13</v>
      </c>
    </row>
    <row r="3" spans="2:2" ht="22">
      <c r="B3" s="43" t="s">
        <v>14</v>
      </c>
    </row>
    <row r="4" spans="2:2" ht="42">
      <c r="B4" s="9" t="s">
        <v>15</v>
      </c>
    </row>
    <row r="5" spans="2:2" ht="22">
      <c r="B5" s="44" t="s">
        <v>16</v>
      </c>
    </row>
    <row r="6" spans="2:2" ht="42">
      <c r="B6" s="9" t="s">
        <v>17</v>
      </c>
    </row>
    <row r="7" spans="2:2" ht="22">
      <c r="B7" s="44" t="s">
        <v>18</v>
      </c>
    </row>
    <row r="8" spans="2:2" ht="64">
      <c r="B8" s="9" t="s">
        <v>19</v>
      </c>
    </row>
    <row r="9" spans="2:2" ht="22">
      <c r="B9" s="44" t="s">
        <v>20</v>
      </c>
    </row>
    <row r="10" spans="2:2" ht="42">
      <c r="B10" s="9" t="s">
        <v>21</v>
      </c>
    </row>
    <row r="11" spans="2:2" ht="22">
      <c r="B11" s="44" t="s">
        <v>22</v>
      </c>
    </row>
    <row r="12" spans="2:2" ht="105">
      <c r="B12" s="9" t="s">
        <v>23</v>
      </c>
    </row>
    <row r="13" spans="2:2" ht="22">
      <c r="B13" s="44" t="s">
        <v>24</v>
      </c>
    </row>
    <row r="14" spans="2:2" ht="84">
      <c r="B14" s="9" t="s">
        <v>25</v>
      </c>
    </row>
    <row r="15" spans="2:2" ht="22">
      <c r="B15" s="44" t="s">
        <v>26</v>
      </c>
    </row>
    <row r="16" spans="2:2" ht="168">
      <c r="B16" s="9" t="s">
        <v>27</v>
      </c>
    </row>
    <row r="17" spans="2:2" ht="22">
      <c r="B17" s="44" t="s">
        <v>28</v>
      </c>
    </row>
    <row r="18" spans="2:2" ht="42">
      <c r="B18" s="9" t="s">
        <v>29</v>
      </c>
    </row>
    <row r="19" spans="2:2" ht="22">
      <c r="B19" s="44" t="s">
        <v>30</v>
      </c>
    </row>
    <row r="20" spans="2:2" ht="105">
      <c r="B20" s="9" t="s">
        <v>31</v>
      </c>
    </row>
    <row r="21" spans="2:2" ht="22">
      <c r="B21" s="44" t="s">
        <v>32</v>
      </c>
    </row>
    <row r="22" spans="2:2" ht="63">
      <c r="B22" s="9" t="s">
        <v>33</v>
      </c>
    </row>
    <row r="23" spans="2:2" ht="22">
      <c r="B23" s="44" t="s">
        <v>34</v>
      </c>
    </row>
    <row r="24" spans="2:2" ht="210">
      <c r="B24" s="9" t="s">
        <v>35</v>
      </c>
    </row>
    <row r="25" spans="2:2" ht="22">
      <c r="B25" s="44" t="s">
        <v>36</v>
      </c>
    </row>
    <row r="26" spans="2:2" ht="147">
      <c r="B26" s="9" t="s">
        <v>37</v>
      </c>
    </row>
    <row r="27" spans="2:2" ht="22">
      <c r="B27" s="44" t="s">
        <v>38</v>
      </c>
    </row>
    <row r="28" spans="2:2" ht="42">
      <c r="B28" s="9" t="s">
        <v>39</v>
      </c>
    </row>
    <row r="29" spans="2:2" ht="22">
      <c r="B29" s="44" t="s">
        <v>40</v>
      </c>
    </row>
    <row r="30" spans="2:2" ht="42">
      <c r="B30" s="9" t="s">
        <v>41</v>
      </c>
    </row>
  </sheetData>
  <sheetProtection sheet="1" objects="1" scenario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zoomScale="70" zoomScaleNormal="70" workbookViewId="0">
      <selection activeCell="C4" sqref="C4"/>
    </sheetView>
  </sheetViews>
  <sheetFormatPr baseColWidth="10" defaultColWidth="10.6640625" defaultRowHeight="20"/>
  <cols>
    <col min="1" max="1" width="10.6640625" style="51"/>
    <col min="2" max="2" width="141.5" style="10" customWidth="1"/>
    <col min="3" max="3" width="40.6640625" style="13" customWidth="1"/>
    <col min="4" max="16384" width="10.6640625" style="51"/>
  </cols>
  <sheetData>
    <row r="2" spans="2:3" ht="22">
      <c r="B2" s="8" t="s">
        <v>42</v>
      </c>
      <c r="C2" s="11"/>
    </row>
    <row r="3" spans="2:3" ht="22">
      <c r="B3" s="43" t="s">
        <v>43</v>
      </c>
      <c r="C3" s="11"/>
    </row>
    <row r="4" spans="2:3" ht="210">
      <c r="B4" s="12" t="s">
        <v>44</v>
      </c>
      <c r="C4" s="50" t="s">
        <v>243</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zoomScale="80" zoomScaleNormal="80" workbookViewId="0">
      <selection activeCell="D29" sqref="D29"/>
    </sheetView>
  </sheetViews>
  <sheetFormatPr baseColWidth="10" defaultColWidth="10.6640625" defaultRowHeight="19"/>
  <cols>
    <col min="1" max="1" width="3.5" style="15" customWidth="1"/>
    <col min="2" max="2" width="74.6640625" style="15" customWidth="1"/>
    <col min="3" max="4" width="29.1640625" style="15" customWidth="1"/>
    <col min="5" max="5" width="30.1640625" style="15" bestFit="1" customWidth="1"/>
    <col min="6" max="6" width="29.1640625" style="15" customWidth="1"/>
    <col min="7" max="7" width="38.1640625" style="15" customWidth="1"/>
    <col min="8" max="8" width="10.6640625" style="3" customWidth="1"/>
    <col min="9" max="16384" width="10.6640625" style="3"/>
  </cols>
  <sheetData>
    <row r="1" spans="1:7" ht="26" customHeight="1">
      <c r="B1" s="14" t="s">
        <v>45</v>
      </c>
    </row>
    <row r="2" spans="1:7" ht="26" customHeight="1">
      <c r="A2" s="15">
        <v>1</v>
      </c>
      <c r="B2" s="16" t="s">
        <v>46</v>
      </c>
      <c r="C2" s="17" t="s">
        <v>319</v>
      </c>
    </row>
    <row r="3" spans="1:7" ht="26" customHeight="1">
      <c r="A3" s="15">
        <v>2</v>
      </c>
      <c r="B3" s="16" t="s">
        <v>47</v>
      </c>
      <c r="C3" s="18" t="s">
        <v>323</v>
      </c>
    </row>
    <row r="4" spans="1:7" ht="26" customHeight="1">
      <c r="A4" s="15">
        <v>3</v>
      </c>
      <c r="B4" s="16" t="s">
        <v>48</v>
      </c>
      <c r="C4" s="18" t="s">
        <v>324</v>
      </c>
      <c r="E4" s="19"/>
    </row>
    <row r="5" spans="1:7" ht="26" customHeight="1">
      <c r="A5" s="15">
        <v>4</v>
      </c>
      <c r="B5" s="16" t="s">
        <v>49</v>
      </c>
      <c r="C5" s="18" t="s">
        <v>320</v>
      </c>
      <c r="E5" s="19"/>
    </row>
    <row r="6" spans="1:7" ht="26" customHeight="1">
      <c r="A6" s="15">
        <v>5</v>
      </c>
      <c r="B6" s="16" t="s">
        <v>50</v>
      </c>
      <c r="C6" s="20" t="s">
        <v>321</v>
      </c>
      <c r="E6" s="19"/>
    </row>
    <row r="7" spans="1:7" ht="26" customHeight="1">
      <c r="A7" s="15">
        <v>6</v>
      </c>
      <c r="B7" s="16" t="s">
        <v>51</v>
      </c>
      <c r="C7" s="18" t="s">
        <v>241</v>
      </c>
      <c r="E7" s="19"/>
    </row>
    <row r="8" spans="1:7" ht="26" customHeight="1">
      <c r="A8" s="15">
        <v>7</v>
      </c>
      <c r="B8" s="16" t="s">
        <v>52</v>
      </c>
      <c r="C8" s="18" t="s">
        <v>322</v>
      </c>
    </row>
    <row r="9" spans="1:7" ht="26" customHeight="1">
      <c r="A9" s="15">
        <v>8</v>
      </c>
      <c r="B9" s="16" t="s">
        <v>53</v>
      </c>
      <c r="C9" s="18" t="s">
        <v>325</v>
      </c>
    </row>
    <row r="10" spans="1:7" ht="26" customHeight="1">
      <c r="A10" s="15">
        <v>9</v>
      </c>
      <c r="B10" s="16" t="s">
        <v>54</v>
      </c>
      <c r="C10" s="18">
        <v>226000</v>
      </c>
    </row>
    <row r="11" spans="1:7">
      <c r="A11" s="15">
        <v>10</v>
      </c>
      <c r="B11" s="16" t="s">
        <v>55</v>
      </c>
      <c r="C11" s="77">
        <v>33554</v>
      </c>
    </row>
    <row r="12" spans="1:7">
      <c r="A12" s="15">
        <v>11</v>
      </c>
      <c r="B12" s="16" t="s">
        <v>56</v>
      </c>
      <c r="C12" s="18"/>
      <c r="F12" s="21"/>
    </row>
    <row r="15" spans="1:7" ht="40">
      <c r="B15" s="24" t="s">
        <v>57</v>
      </c>
      <c r="C15" s="25" t="s">
        <v>58</v>
      </c>
      <c r="D15" s="25" t="s">
        <v>59</v>
      </c>
      <c r="E15" s="25" t="s">
        <v>60</v>
      </c>
      <c r="F15" s="25" t="s">
        <v>61</v>
      </c>
      <c r="G15" s="26" t="s">
        <v>62</v>
      </c>
    </row>
    <row r="16" spans="1:7" ht="20">
      <c r="B16" s="27" t="s">
        <v>63</v>
      </c>
      <c r="C16" s="18" t="s">
        <v>326</v>
      </c>
      <c r="D16" s="18" t="s">
        <v>343</v>
      </c>
      <c r="E16" s="18" t="s">
        <v>317</v>
      </c>
      <c r="F16" s="20" t="s">
        <v>349</v>
      </c>
      <c r="G16" s="28" t="s">
        <v>348</v>
      </c>
    </row>
    <row r="17" spans="2:7" ht="20">
      <c r="B17" s="27" t="s">
        <v>64</v>
      </c>
      <c r="C17" s="18" t="s">
        <v>327</v>
      </c>
      <c r="D17" s="18" t="s">
        <v>344</v>
      </c>
      <c r="E17" s="18" t="s">
        <v>317</v>
      </c>
      <c r="F17" s="20" t="s">
        <v>350</v>
      </c>
      <c r="G17" s="28">
        <v>15102847492</v>
      </c>
    </row>
    <row r="18" spans="2:7" ht="20">
      <c r="B18" s="27" t="s">
        <v>65</v>
      </c>
      <c r="C18" s="18" t="s">
        <v>328</v>
      </c>
      <c r="D18" s="18" t="s">
        <v>345</v>
      </c>
      <c r="E18" s="18" t="s">
        <v>283</v>
      </c>
      <c r="F18" s="20" t="s">
        <v>351</v>
      </c>
      <c r="G18" s="28" t="s">
        <v>348</v>
      </c>
    </row>
    <row r="19" spans="2:7" ht="20">
      <c r="B19" s="27" t="s">
        <v>66</v>
      </c>
      <c r="C19" s="18" t="s">
        <v>329</v>
      </c>
      <c r="D19" s="18" t="s">
        <v>346</v>
      </c>
      <c r="E19" s="18" t="s">
        <v>283</v>
      </c>
      <c r="F19" s="20" t="s">
        <v>352</v>
      </c>
      <c r="G19" s="28" t="s">
        <v>348</v>
      </c>
    </row>
    <row r="20" spans="2:7" ht="20">
      <c r="B20" s="29" t="s">
        <v>67</v>
      </c>
      <c r="C20" s="22" t="s">
        <v>353</v>
      </c>
      <c r="D20" s="22" t="s">
        <v>354</v>
      </c>
      <c r="E20" s="18" t="s">
        <v>317</v>
      </c>
      <c r="F20" s="23" t="s">
        <v>355</v>
      </c>
      <c r="G20" s="28" t="s">
        <v>348</v>
      </c>
    </row>
    <row r="21" spans="2:7">
      <c r="B21" s="27" t="s">
        <v>68</v>
      </c>
      <c r="C21" s="18"/>
      <c r="D21" s="18"/>
      <c r="E21" s="18"/>
      <c r="F21" s="20"/>
      <c r="G21" s="28"/>
    </row>
    <row r="22" spans="2:7">
      <c r="B22" s="27" t="s">
        <v>69</v>
      </c>
      <c r="C22" s="18"/>
      <c r="D22" s="22"/>
      <c r="E22" s="18"/>
      <c r="F22" s="20"/>
      <c r="G22" s="28"/>
    </row>
    <row r="23" spans="2:7">
      <c r="B23" s="27" t="s">
        <v>70</v>
      </c>
      <c r="C23" s="18"/>
      <c r="D23" s="22"/>
      <c r="E23" s="18"/>
      <c r="F23" s="20"/>
      <c r="G23" s="28"/>
    </row>
    <row r="24" spans="2:7">
      <c r="B24" s="27" t="s">
        <v>71</v>
      </c>
      <c r="C24" s="18"/>
      <c r="D24" s="18"/>
      <c r="E24" s="18"/>
      <c r="F24" s="20"/>
      <c r="G24" s="28"/>
    </row>
    <row r="25" spans="2:7">
      <c r="B25" s="27" t="s">
        <v>71</v>
      </c>
      <c r="C25" s="30"/>
      <c r="D25" s="30"/>
      <c r="E25" s="30"/>
      <c r="F25" s="31"/>
      <c r="G25" s="32"/>
    </row>
  </sheetData>
  <sheetProtection algorithmName="SHA-512" hashValue="6yI60cFygKABQ6hsh5VMwt5lwhrATZ21Hzv2csGFFn0nCOgRIkGTqVPEw9cgpAkSwjap78AvGrfGpwdsFd9Lnw==" saltValue="sj8fAt/Q3fALWU/fQ7kXBA==" spinCount="100000" sheet="1" objects="1" scenarios="1"/>
  <phoneticPr fontId="30" type="noConversion"/>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abSelected="1" zoomScale="80" zoomScaleNormal="80" workbookViewId="0">
      <selection activeCell="C7" sqref="C7"/>
    </sheetView>
  </sheetViews>
  <sheetFormatPr baseColWidth="10" defaultColWidth="10.6640625" defaultRowHeight="16"/>
  <cols>
    <col min="1" max="1" width="4.6640625" customWidth="1"/>
    <col min="2" max="2" width="53.6640625" customWidth="1"/>
    <col min="3" max="8" width="28.1640625" customWidth="1"/>
    <col min="9" max="16384" width="10.6640625" style="1"/>
  </cols>
  <sheetData>
    <row r="1" spans="2:9" ht="51" customHeight="1">
      <c r="B1" s="14" t="s">
        <v>72</v>
      </c>
    </row>
    <row r="2" spans="2:9" ht="51" customHeight="1">
      <c r="B2" s="16" t="s">
        <v>73</v>
      </c>
      <c r="C2" s="16">
        <v>2022</v>
      </c>
      <c r="D2" s="16">
        <v>2023</v>
      </c>
      <c r="E2" s="16">
        <v>2024</v>
      </c>
      <c r="F2" s="16" t="s">
        <v>74</v>
      </c>
      <c r="G2" s="16" t="s">
        <v>75</v>
      </c>
      <c r="H2" s="16" t="s">
        <v>76</v>
      </c>
    </row>
    <row r="3" spans="2:9" ht="51" customHeight="1">
      <c r="B3" s="33" t="s">
        <v>77</v>
      </c>
      <c r="C3" s="61">
        <v>34080</v>
      </c>
      <c r="D3" s="61">
        <v>47730</v>
      </c>
      <c r="E3" s="61">
        <v>60010</v>
      </c>
      <c r="F3" s="61">
        <v>49980</v>
      </c>
      <c r="G3" s="61"/>
      <c r="H3" s="61"/>
    </row>
    <row r="4" spans="2:9" ht="51" customHeight="1">
      <c r="B4" s="33" t="s">
        <v>78</v>
      </c>
      <c r="C4" s="61">
        <v>12200</v>
      </c>
      <c r="D4" s="61">
        <v>12750</v>
      </c>
      <c r="E4" s="61">
        <v>13710</v>
      </c>
      <c r="F4" s="61">
        <v>14000</v>
      </c>
      <c r="G4" s="61"/>
      <c r="H4" s="61"/>
      <c r="I4" s="4"/>
    </row>
    <row r="5" spans="2:9" ht="51" customHeight="1">
      <c r="B5" s="33" t="s">
        <v>79</v>
      </c>
      <c r="C5" s="61">
        <v>4.8</v>
      </c>
      <c r="D5" s="61">
        <v>5.6</v>
      </c>
      <c r="E5" s="61">
        <v>12.8</v>
      </c>
      <c r="F5" s="61">
        <v>17.84</v>
      </c>
      <c r="G5" s="61"/>
      <c r="H5" s="61"/>
      <c r="I5" s="4" t="s">
        <v>80</v>
      </c>
    </row>
    <row r="6" spans="2:9" ht="51" customHeight="1">
      <c r="B6" s="33" t="s">
        <v>81</v>
      </c>
      <c r="C6" s="61"/>
      <c r="D6" s="61"/>
      <c r="E6" s="61"/>
      <c r="F6" s="61"/>
      <c r="G6" s="61"/>
      <c r="H6" s="61"/>
      <c r="I6" s="2" t="s">
        <v>82</v>
      </c>
    </row>
    <row r="8" spans="2:9" ht="19">
      <c r="B8" s="16" t="s">
        <v>73</v>
      </c>
      <c r="C8" s="16">
        <v>2023</v>
      </c>
      <c r="D8" s="16">
        <v>2023</v>
      </c>
      <c r="E8" s="16">
        <v>2024</v>
      </c>
      <c r="F8" s="16" t="s">
        <v>74</v>
      </c>
      <c r="G8" s="16" t="s">
        <v>75</v>
      </c>
      <c r="H8" s="16" t="s">
        <v>76</v>
      </c>
    </row>
    <row r="9" spans="2:9" ht="19">
      <c r="B9" s="33" t="s">
        <v>83</v>
      </c>
      <c r="C9" s="62">
        <v>3420</v>
      </c>
      <c r="D9" s="62">
        <v>3580</v>
      </c>
      <c r="E9" s="62">
        <v>3850</v>
      </c>
      <c r="F9" s="62">
        <v>4000</v>
      </c>
      <c r="G9" s="62"/>
      <c r="H9" s="62"/>
    </row>
    <row r="10" spans="2:9" ht="19">
      <c r="B10" s="33" t="s">
        <v>84</v>
      </c>
      <c r="C10" s="62">
        <v>2360</v>
      </c>
      <c r="D10" s="62">
        <v>2480</v>
      </c>
      <c r="E10" s="62">
        <v>2650</v>
      </c>
      <c r="F10" s="62">
        <v>2800</v>
      </c>
      <c r="G10" s="62"/>
      <c r="H10" s="62"/>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70" zoomScaleNormal="70" workbookViewId="0">
      <selection activeCell="D23" sqref="D23"/>
    </sheetView>
  </sheetViews>
  <sheetFormatPr baseColWidth="10" defaultColWidth="10.6640625" defaultRowHeight="26" customHeight="1"/>
  <cols>
    <col min="1" max="1" width="6.1640625" style="66" customWidth="1"/>
    <col min="2" max="2" width="59" style="35" customWidth="1"/>
    <col min="3" max="3" width="38.5" style="3" customWidth="1"/>
    <col min="4" max="8" width="38.5" style="6" customWidth="1"/>
    <col min="9" max="11" width="29.1640625" style="3" customWidth="1"/>
    <col min="12" max="16384" width="10.6640625" style="3"/>
  </cols>
  <sheetData>
    <row r="1" spans="1:8" s="15" customFormat="1" ht="51" customHeight="1">
      <c r="A1" s="64"/>
      <c r="B1" s="34" t="s">
        <v>85</v>
      </c>
    </row>
    <row r="2" spans="1:8" s="35" customFormat="1" ht="56" customHeight="1">
      <c r="A2" s="65"/>
      <c r="B2" s="16"/>
      <c r="C2" s="16" t="s">
        <v>86</v>
      </c>
      <c r="D2" s="36" t="s">
        <v>87</v>
      </c>
      <c r="E2" s="36" t="s">
        <v>88</v>
      </c>
      <c r="F2" s="36" t="s">
        <v>89</v>
      </c>
      <c r="G2" s="36" t="s">
        <v>90</v>
      </c>
      <c r="H2" s="36" t="s">
        <v>91</v>
      </c>
    </row>
    <row r="3" spans="1:8" ht="60" customHeight="1">
      <c r="A3" s="66">
        <v>1</v>
      </c>
      <c r="B3" s="16" t="s">
        <v>92</v>
      </c>
      <c r="C3" s="37" t="s">
        <v>330</v>
      </c>
      <c r="D3" s="37" t="s">
        <v>333</v>
      </c>
      <c r="E3" s="37"/>
      <c r="F3" s="18"/>
      <c r="G3" s="18"/>
      <c r="H3" s="18"/>
    </row>
    <row r="4" spans="1:8" ht="60" customHeight="1">
      <c r="A4" s="66">
        <v>2</v>
      </c>
      <c r="B4" s="16" t="s">
        <v>93</v>
      </c>
      <c r="C4" s="18" t="s">
        <v>283</v>
      </c>
      <c r="D4" s="18" t="s">
        <v>334</v>
      </c>
      <c r="E4" s="18" t="s">
        <v>332</v>
      </c>
      <c r="F4" s="18"/>
      <c r="G4" s="53"/>
      <c r="H4" s="18"/>
    </row>
    <row r="5" spans="1:8" ht="60" customHeight="1">
      <c r="A5" s="66">
        <v>3</v>
      </c>
      <c r="B5" s="16" t="s">
        <v>94</v>
      </c>
      <c r="C5" s="18"/>
      <c r="D5" s="18" t="s">
        <v>335</v>
      </c>
      <c r="E5" s="18" t="s">
        <v>356</v>
      </c>
      <c r="F5" s="18"/>
      <c r="G5" s="18"/>
      <c r="H5" s="18"/>
    </row>
    <row r="6" spans="1:8" ht="60" customHeight="1">
      <c r="A6" s="66">
        <v>4</v>
      </c>
      <c r="B6" s="36" t="s">
        <v>95</v>
      </c>
      <c r="C6" s="18" t="s">
        <v>331</v>
      </c>
      <c r="D6" s="18" t="s">
        <v>331</v>
      </c>
      <c r="E6" s="18" t="s">
        <v>331</v>
      </c>
      <c r="F6" s="18"/>
      <c r="G6" s="18"/>
      <c r="H6" s="18"/>
    </row>
    <row r="7" spans="1:8" ht="86" customHeight="1">
      <c r="A7" s="66">
        <v>5</v>
      </c>
      <c r="B7" s="36" t="s">
        <v>96</v>
      </c>
      <c r="C7" s="18" t="s">
        <v>331</v>
      </c>
      <c r="D7" s="18" t="s">
        <v>331</v>
      </c>
      <c r="E7" s="18" t="s">
        <v>331</v>
      </c>
      <c r="F7" s="18"/>
      <c r="G7" s="18"/>
      <c r="H7" s="18"/>
    </row>
    <row r="8" spans="1:8" ht="86" customHeight="1">
      <c r="A8" s="66">
        <v>6</v>
      </c>
      <c r="B8" s="36" t="s">
        <v>97</v>
      </c>
      <c r="C8" s="18"/>
      <c r="D8" s="18" t="s">
        <v>341</v>
      </c>
      <c r="E8" s="18" t="s">
        <v>369</v>
      </c>
      <c r="F8" s="18"/>
      <c r="G8" s="18"/>
      <c r="H8" s="18"/>
    </row>
    <row r="9" spans="1:8" ht="60" customHeight="1">
      <c r="A9" s="66">
        <v>7</v>
      </c>
      <c r="B9" s="16" t="s">
        <v>98</v>
      </c>
      <c r="C9" s="38"/>
      <c r="D9" s="38">
        <v>1600</v>
      </c>
      <c r="E9" s="39">
        <v>3100</v>
      </c>
      <c r="F9" s="39"/>
      <c r="G9" s="39"/>
      <c r="H9" s="39"/>
    </row>
    <row r="10" spans="1:8" ht="60" customHeight="1">
      <c r="A10" s="66">
        <v>8</v>
      </c>
      <c r="B10" s="36" t="s">
        <v>99</v>
      </c>
      <c r="C10" s="38"/>
      <c r="D10" s="38">
        <v>40</v>
      </c>
      <c r="E10" s="39">
        <v>20</v>
      </c>
      <c r="F10" s="39"/>
      <c r="G10" s="39"/>
      <c r="H10" s="39"/>
    </row>
    <row r="11" spans="1:8" ht="60" customHeight="1">
      <c r="A11" s="66">
        <v>9</v>
      </c>
      <c r="B11" s="36" t="s">
        <v>100</v>
      </c>
      <c r="C11" s="18"/>
      <c r="D11" s="18">
        <v>200</v>
      </c>
      <c r="E11" s="18">
        <v>1000</v>
      </c>
      <c r="F11" s="18"/>
      <c r="G11" s="18"/>
      <c r="H11" s="18"/>
    </row>
    <row r="12" spans="1:8" ht="60" customHeight="1">
      <c r="A12" s="66">
        <v>10</v>
      </c>
      <c r="B12" s="36" t="s">
        <v>101</v>
      </c>
      <c r="C12" s="18"/>
      <c r="D12" s="18">
        <v>250</v>
      </c>
      <c r="E12" s="18">
        <v>1500</v>
      </c>
      <c r="F12" s="18"/>
      <c r="G12" s="18"/>
      <c r="H12" s="18"/>
    </row>
    <row r="13" spans="1:8" ht="60" customHeight="1">
      <c r="A13" s="66">
        <v>11</v>
      </c>
      <c r="B13" s="36" t="s">
        <v>102</v>
      </c>
      <c r="C13" s="18"/>
      <c r="D13" s="18">
        <v>6000000</v>
      </c>
      <c r="E13" s="18"/>
      <c r="F13" s="18"/>
      <c r="G13" s="18"/>
      <c r="H13" s="18"/>
    </row>
    <row r="14" spans="1:8" ht="60" customHeight="1">
      <c r="A14" s="66">
        <v>12</v>
      </c>
      <c r="B14" s="36" t="s">
        <v>103</v>
      </c>
      <c r="C14" s="18"/>
      <c r="D14" s="18" t="s">
        <v>246</v>
      </c>
      <c r="E14" s="18" t="s">
        <v>246</v>
      </c>
      <c r="F14" s="18"/>
      <c r="G14" s="18"/>
      <c r="H14" s="18"/>
    </row>
    <row r="15" spans="1:8" ht="60" customHeight="1">
      <c r="A15" s="66">
        <v>13</v>
      </c>
      <c r="B15" s="36" t="s">
        <v>104</v>
      </c>
      <c r="C15" s="18"/>
      <c r="D15" s="18" t="s">
        <v>246</v>
      </c>
      <c r="E15" s="18" t="s">
        <v>246</v>
      </c>
      <c r="F15" s="18"/>
      <c r="G15" s="18"/>
      <c r="H15" s="18"/>
    </row>
    <row r="16" spans="1:8" ht="60" customHeight="1">
      <c r="A16" s="66">
        <v>14</v>
      </c>
      <c r="B16" s="36" t="s">
        <v>105</v>
      </c>
      <c r="C16" s="18"/>
      <c r="D16" s="18" t="s">
        <v>347</v>
      </c>
      <c r="E16" s="18" t="s">
        <v>342</v>
      </c>
      <c r="F16" s="18"/>
      <c r="G16" s="18"/>
      <c r="H16" s="18"/>
    </row>
    <row r="18" spans="1:8" ht="61.25" customHeight="1">
      <c r="A18" s="66">
        <v>15</v>
      </c>
      <c r="B18" s="87" t="s">
        <v>106</v>
      </c>
      <c r="C18" s="87"/>
      <c r="D18" s="88" t="s">
        <v>371</v>
      </c>
      <c r="E18" s="89"/>
      <c r="F18" s="89"/>
      <c r="G18" s="89"/>
      <c r="H18" s="90"/>
    </row>
    <row r="19" spans="1:8" ht="61.25" customHeight="1">
      <c r="A19" s="66">
        <v>16</v>
      </c>
      <c r="B19" s="87" t="s">
        <v>107</v>
      </c>
      <c r="C19" s="87"/>
      <c r="D19" s="88" t="s">
        <v>372</v>
      </c>
      <c r="E19" s="89"/>
      <c r="F19" s="89"/>
      <c r="G19" s="89"/>
      <c r="H19" s="90"/>
    </row>
    <row r="20" spans="1:8" ht="61.25" customHeight="1">
      <c r="A20" s="66">
        <v>17</v>
      </c>
      <c r="B20" s="87" t="s">
        <v>108</v>
      </c>
      <c r="C20" s="87"/>
      <c r="D20" s="88" t="s">
        <v>336</v>
      </c>
      <c r="E20" s="89"/>
      <c r="F20" s="89"/>
      <c r="G20" s="89"/>
      <c r="H20" s="90"/>
    </row>
    <row r="21" spans="1:8" ht="61.25" customHeight="1">
      <c r="A21" s="66">
        <v>18</v>
      </c>
      <c r="B21" s="87" t="s">
        <v>109</v>
      </c>
      <c r="C21" s="87"/>
      <c r="D21" s="88" t="s">
        <v>337</v>
      </c>
      <c r="E21" s="89"/>
      <c r="F21" s="89"/>
      <c r="G21" s="89"/>
      <c r="H21" s="90"/>
    </row>
    <row r="22" spans="1:8" ht="61.25" customHeight="1">
      <c r="A22" s="66">
        <v>19</v>
      </c>
      <c r="B22" s="87" t="s">
        <v>110</v>
      </c>
      <c r="C22" s="87"/>
      <c r="D22" s="88" t="s">
        <v>338</v>
      </c>
      <c r="E22" s="89"/>
      <c r="F22" s="89"/>
      <c r="G22" s="89"/>
      <c r="H22" s="90"/>
    </row>
    <row r="23" spans="1:8" ht="61.25" customHeight="1">
      <c r="A23" s="66">
        <v>20</v>
      </c>
      <c r="B23" s="91" t="s">
        <v>111</v>
      </c>
      <c r="C23" s="92"/>
      <c r="D23" s="41" t="s">
        <v>370</v>
      </c>
      <c r="E23" s="79"/>
      <c r="F23" s="41"/>
      <c r="G23" s="41"/>
      <c r="H23" s="42"/>
    </row>
    <row r="24" spans="1:8" ht="61.25" customHeight="1">
      <c r="A24" s="66">
        <v>21</v>
      </c>
      <c r="B24" s="91" t="s">
        <v>112</v>
      </c>
      <c r="C24" s="92"/>
      <c r="D24" s="40" t="s">
        <v>373</v>
      </c>
      <c r="E24" s="41"/>
      <c r="F24" s="41"/>
      <c r="G24" s="41"/>
      <c r="H24" s="42"/>
    </row>
    <row r="25" spans="1:8" ht="188" customHeight="1">
      <c r="A25" s="66">
        <v>22</v>
      </c>
      <c r="B25" s="87" t="s">
        <v>113</v>
      </c>
      <c r="C25" s="87"/>
      <c r="D25" s="88" t="s">
        <v>374</v>
      </c>
      <c r="E25" s="89"/>
      <c r="F25" s="89"/>
      <c r="G25" s="89"/>
      <c r="H25" s="90"/>
    </row>
    <row r="26" spans="1:8" ht="61.25" customHeight="1"/>
    <row r="27" spans="1:8" ht="61.25" customHeight="1"/>
    <row r="28" spans="1:8" ht="61.25" customHeight="1"/>
    <row r="29" spans="1:8" ht="61.25" customHeight="1"/>
  </sheetData>
  <sheetProtection algorithmName="SHA-512" hashValue="MfMEAblZjKBqAPX9VPQm6sFACoYf1wgSCXTunSYdqxnUDVIBn7Ehzs0RsgzyRvt0O5q+B8a8sVj/VubePBmZ+w==" saltValue="i4XABQq/CBPEu2Kvm2yl+A==" spinCount="100000" sheet="1"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80" zoomScaleNormal="80" workbookViewId="0">
      <selection activeCell="F1" sqref="F1"/>
    </sheetView>
  </sheetViews>
  <sheetFormatPr baseColWidth="10" defaultColWidth="10.6640625" defaultRowHeight="50" customHeight="1"/>
  <cols>
    <col min="1" max="1" width="5.1640625" style="3" customWidth="1"/>
    <col min="2" max="2" width="53.1640625" style="3" customWidth="1"/>
    <col min="3" max="10" width="32.6640625" style="3" customWidth="1"/>
    <col min="11" max="16384" width="10.6640625" style="3"/>
  </cols>
  <sheetData>
    <row r="1" spans="2:10" ht="50" customHeight="1">
      <c r="B1" s="45" t="s">
        <v>114</v>
      </c>
    </row>
    <row r="2" spans="2:10" ht="50" customHeight="1">
      <c r="B2" s="46"/>
      <c r="C2" s="47" t="s">
        <v>115</v>
      </c>
      <c r="D2" s="47" t="s">
        <v>116</v>
      </c>
      <c r="E2" s="47" t="s">
        <v>117</v>
      </c>
      <c r="F2" s="47" t="s">
        <v>118</v>
      </c>
      <c r="G2" s="47" t="s">
        <v>119</v>
      </c>
      <c r="H2" s="47" t="s">
        <v>120</v>
      </c>
      <c r="I2" s="47" t="s">
        <v>121</v>
      </c>
      <c r="J2" s="47" t="s">
        <v>122</v>
      </c>
    </row>
    <row r="3" spans="2:10" ht="50" customHeight="1">
      <c r="B3" s="47" t="s">
        <v>123</v>
      </c>
      <c r="C3" s="73" t="s">
        <v>283</v>
      </c>
      <c r="D3" s="73"/>
      <c r="E3" s="73"/>
      <c r="F3" s="73"/>
      <c r="G3" s="73"/>
      <c r="H3" s="73"/>
      <c r="I3" s="73"/>
      <c r="J3" s="73"/>
    </row>
    <row r="4" spans="2:10" ht="50" customHeight="1">
      <c r="B4" s="48" t="s">
        <v>124</v>
      </c>
      <c r="C4" s="73">
        <v>6</v>
      </c>
      <c r="D4" s="73"/>
      <c r="E4" s="73"/>
      <c r="F4" s="73"/>
      <c r="G4" s="73"/>
      <c r="H4" s="73"/>
      <c r="I4" s="73"/>
      <c r="J4" s="73"/>
    </row>
    <row r="5" spans="2:10" ht="50" customHeight="1">
      <c r="B5" s="48" t="s">
        <v>125</v>
      </c>
      <c r="C5" s="73">
        <v>3</v>
      </c>
      <c r="D5" s="73"/>
      <c r="E5" s="73"/>
      <c r="F5" s="73"/>
      <c r="G5" s="73"/>
      <c r="H5" s="73"/>
      <c r="I5" s="73"/>
      <c r="J5" s="73"/>
    </row>
    <row r="6" spans="2:10" ht="50" customHeight="1">
      <c r="B6" s="48" t="s">
        <v>126</v>
      </c>
      <c r="C6" s="73">
        <v>2</v>
      </c>
      <c r="D6" s="73"/>
      <c r="E6" s="73"/>
      <c r="F6" s="73"/>
      <c r="G6" s="73"/>
      <c r="H6" s="73"/>
      <c r="I6" s="73"/>
      <c r="J6" s="73"/>
    </row>
    <row r="7" spans="2:10" ht="50" customHeight="1">
      <c r="B7" s="48" t="s">
        <v>127</v>
      </c>
      <c r="C7" s="73"/>
      <c r="D7" s="73"/>
      <c r="E7" s="73"/>
      <c r="F7" s="73"/>
      <c r="G7" s="73"/>
      <c r="H7" s="73"/>
      <c r="I7" s="73"/>
      <c r="J7" s="73"/>
    </row>
    <row r="8" spans="2:10" ht="50" customHeight="1">
      <c r="B8" s="48" t="s">
        <v>128</v>
      </c>
      <c r="C8" s="73" t="s">
        <v>339</v>
      </c>
      <c r="D8" s="73"/>
      <c r="E8" s="73"/>
      <c r="F8" s="73"/>
      <c r="G8" s="73"/>
      <c r="H8" s="73"/>
      <c r="I8" s="73"/>
      <c r="J8" s="73"/>
    </row>
    <row r="9" spans="2:10" ht="50" customHeight="1">
      <c r="B9" s="48" t="s">
        <v>129</v>
      </c>
      <c r="C9" s="73" t="s">
        <v>339</v>
      </c>
      <c r="D9" s="73"/>
      <c r="E9" s="73"/>
      <c r="F9" s="73"/>
      <c r="G9" s="73"/>
      <c r="H9" s="73"/>
      <c r="I9" s="73"/>
      <c r="J9" s="73"/>
    </row>
    <row r="10" spans="2:10" ht="50" customHeight="1">
      <c r="B10" s="67" t="s">
        <v>130</v>
      </c>
      <c r="C10" s="73"/>
      <c r="D10" s="73"/>
      <c r="E10" s="73"/>
      <c r="F10" s="73"/>
      <c r="G10" s="73"/>
      <c r="H10" s="73"/>
      <c r="I10" s="73"/>
      <c r="J10" s="73"/>
    </row>
    <row r="11" spans="2:10" ht="50" customHeight="1">
      <c r="B11" s="48" t="s">
        <v>131</v>
      </c>
      <c r="C11" s="74"/>
      <c r="D11" s="74"/>
      <c r="E11" s="74"/>
      <c r="F11" s="73"/>
      <c r="G11" s="73"/>
      <c r="H11" s="73"/>
      <c r="I11" s="73"/>
      <c r="J11" s="73"/>
    </row>
    <row r="12" spans="2:10" ht="50" customHeight="1">
      <c r="B12" s="48" t="s">
        <v>132</v>
      </c>
      <c r="C12" s="75"/>
      <c r="D12" s="76"/>
      <c r="E12" s="76"/>
      <c r="F12" s="76"/>
      <c r="G12" s="76"/>
      <c r="H12" s="76"/>
      <c r="I12" s="76"/>
      <c r="J12" s="76"/>
    </row>
    <row r="14" spans="2:10" ht="50" customHeight="1">
      <c r="B14" s="93" t="s">
        <v>133</v>
      </c>
      <c r="C14" s="93"/>
      <c r="D14" s="93"/>
    </row>
    <row r="15" spans="2:10" ht="50" customHeight="1">
      <c r="B15" s="16" t="s">
        <v>134</v>
      </c>
      <c r="C15" s="93" t="s">
        <v>135</v>
      </c>
      <c r="D15" s="93"/>
    </row>
    <row r="16" spans="2:10" ht="50" customHeight="1">
      <c r="B16" s="49" t="s">
        <v>136</v>
      </c>
      <c r="C16" s="94" t="s">
        <v>137</v>
      </c>
      <c r="D16" s="94"/>
    </row>
    <row r="17" spans="2:4" ht="50" customHeight="1">
      <c r="B17" s="95" t="s">
        <v>138</v>
      </c>
      <c r="C17" s="95" t="s">
        <v>139</v>
      </c>
      <c r="D17" s="95"/>
    </row>
    <row r="18" spans="2:4" ht="50" customHeight="1">
      <c r="B18" s="95"/>
      <c r="C18" s="95" t="s">
        <v>140</v>
      </c>
      <c r="D18" s="95"/>
    </row>
    <row r="19" spans="2:4" ht="50" customHeight="1">
      <c r="B19" s="95"/>
      <c r="C19" s="95" t="s">
        <v>141</v>
      </c>
      <c r="D19" s="95"/>
    </row>
    <row r="20" spans="2:4" ht="50" customHeight="1">
      <c r="B20" s="95"/>
      <c r="C20" s="95" t="s">
        <v>142</v>
      </c>
      <c r="D20" s="95"/>
    </row>
    <row r="21" spans="2:4" ht="50" customHeight="1">
      <c r="B21" s="95" t="s">
        <v>143</v>
      </c>
      <c r="C21" s="95" t="s">
        <v>144</v>
      </c>
      <c r="D21" s="95"/>
    </row>
    <row r="22" spans="2:4" ht="50" customHeight="1">
      <c r="B22" s="95"/>
      <c r="C22" s="95" t="s">
        <v>145</v>
      </c>
      <c r="D22" s="95"/>
    </row>
    <row r="23" spans="2:4" ht="50" customHeight="1">
      <c r="B23" s="95"/>
      <c r="C23" s="95" t="s">
        <v>146</v>
      </c>
      <c r="D23" s="95"/>
    </row>
    <row r="24" spans="2:4" ht="50" customHeight="1">
      <c r="B24" s="95" t="s">
        <v>147</v>
      </c>
      <c r="C24" s="95" t="s">
        <v>148</v>
      </c>
      <c r="D24" s="95"/>
    </row>
    <row r="25" spans="2:4" ht="50" customHeight="1">
      <c r="B25" s="95"/>
      <c r="C25" s="95" t="s">
        <v>149</v>
      </c>
      <c r="D25" s="95"/>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A10" zoomScale="70" zoomScaleNormal="70" workbookViewId="0">
      <selection activeCell="C4" sqref="C4"/>
    </sheetView>
  </sheetViews>
  <sheetFormatPr baseColWidth="10" defaultColWidth="10.6640625" defaultRowHeight="16"/>
  <cols>
    <col min="1" max="1" width="4.1640625" style="1" customWidth="1"/>
    <col min="2" max="2" width="51.5" style="1" customWidth="1"/>
    <col min="3" max="9" width="29.1640625" style="1" customWidth="1"/>
    <col min="10" max="10" width="57.6640625" style="1" customWidth="1"/>
    <col min="11" max="11" width="31.1640625" style="1" bestFit="1" customWidth="1"/>
    <col min="12" max="15" width="29.1640625" style="1" customWidth="1"/>
    <col min="16" max="16384" width="10.6640625" style="1"/>
  </cols>
  <sheetData>
    <row r="1" spans="2:11" ht="67.25" customHeight="1">
      <c r="B1" s="34" t="s">
        <v>150</v>
      </c>
    </row>
    <row r="2" spans="2:11" ht="67.25" customHeight="1">
      <c r="B2" s="33"/>
      <c r="C2" s="16">
        <v>2022</v>
      </c>
      <c r="D2" s="16">
        <v>2023</v>
      </c>
      <c r="E2" s="16">
        <v>2024</v>
      </c>
      <c r="F2" s="16" t="s">
        <v>74</v>
      </c>
      <c r="G2" s="16" t="s">
        <v>75</v>
      </c>
      <c r="H2" s="16" t="s">
        <v>76</v>
      </c>
      <c r="I2" s="16" t="s">
        <v>151</v>
      </c>
      <c r="J2" s="16" t="s">
        <v>152</v>
      </c>
    </row>
    <row r="3" spans="2:11" ht="67.25" customHeight="1">
      <c r="B3" s="16" t="s">
        <v>153</v>
      </c>
      <c r="C3" s="39">
        <v>2</v>
      </c>
      <c r="D3" s="39">
        <v>2</v>
      </c>
      <c r="E3" s="39">
        <v>3</v>
      </c>
      <c r="F3" s="39">
        <v>3</v>
      </c>
      <c r="G3" s="39">
        <v>5</v>
      </c>
      <c r="H3" s="39">
        <v>5</v>
      </c>
      <c r="I3" s="39">
        <v>10</v>
      </c>
      <c r="J3" s="63"/>
    </row>
    <row r="4" spans="2:11" ht="67.25" customHeight="1">
      <c r="B4" s="36" t="s">
        <v>154</v>
      </c>
      <c r="C4" s="39">
        <v>3</v>
      </c>
      <c r="D4" s="39">
        <v>3</v>
      </c>
      <c r="E4" s="39">
        <v>3</v>
      </c>
      <c r="F4" s="39">
        <v>3</v>
      </c>
      <c r="G4" s="39">
        <v>3</v>
      </c>
      <c r="H4" s="39">
        <v>3</v>
      </c>
      <c r="I4" s="39">
        <v>6</v>
      </c>
      <c r="J4" s="63"/>
    </row>
    <row r="5" spans="2:11" ht="67.25" customHeight="1">
      <c r="B5" s="16" t="s">
        <v>155</v>
      </c>
      <c r="C5" s="39">
        <v>20</v>
      </c>
      <c r="D5" s="39">
        <v>25</v>
      </c>
      <c r="E5" s="39">
        <v>25</v>
      </c>
      <c r="F5" s="39">
        <v>25</v>
      </c>
      <c r="G5" s="39">
        <v>35</v>
      </c>
      <c r="H5" s="39">
        <v>40</v>
      </c>
      <c r="I5" s="39">
        <v>50</v>
      </c>
      <c r="J5" s="63"/>
    </row>
    <row r="6" spans="2:11" ht="67.25" customHeight="1">
      <c r="B6" s="16" t="s">
        <v>156</v>
      </c>
      <c r="C6" s="39"/>
      <c r="D6" s="39"/>
      <c r="E6" s="39"/>
      <c r="F6" s="39"/>
      <c r="G6" s="39"/>
      <c r="H6" s="39"/>
      <c r="I6" s="39"/>
      <c r="J6" s="63"/>
      <c r="K6" s="4" t="s">
        <v>157</v>
      </c>
    </row>
    <row r="7" spans="2:11" ht="67.25" customHeight="1">
      <c r="B7" s="16" t="s">
        <v>158</v>
      </c>
      <c r="C7" s="39">
        <v>6</v>
      </c>
      <c r="D7" s="39">
        <v>6</v>
      </c>
      <c r="E7" s="39">
        <v>10</v>
      </c>
      <c r="F7" s="39">
        <v>10</v>
      </c>
      <c r="G7" s="39">
        <v>12</v>
      </c>
      <c r="H7" s="39">
        <v>15</v>
      </c>
      <c r="I7" s="39">
        <v>18</v>
      </c>
      <c r="J7" s="63"/>
    </row>
    <row r="8" spans="2:11" ht="67.25" customHeight="1">
      <c r="B8" s="16" t="s">
        <v>159</v>
      </c>
      <c r="C8" s="39">
        <v>4</v>
      </c>
      <c r="D8" s="39">
        <v>6</v>
      </c>
      <c r="E8" s="39">
        <v>6</v>
      </c>
      <c r="F8" s="39">
        <v>6</v>
      </c>
      <c r="G8" s="39">
        <v>6</v>
      </c>
      <c r="H8" s="39">
        <v>10</v>
      </c>
      <c r="I8" s="39">
        <v>12</v>
      </c>
      <c r="J8" s="63"/>
    </row>
    <row r="9" spans="2:11" ht="67.25" customHeight="1">
      <c r="B9" s="16" t="s">
        <v>160</v>
      </c>
      <c r="C9" s="39">
        <v>2</v>
      </c>
      <c r="D9" s="39">
        <v>2</v>
      </c>
      <c r="E9" s="39">
        <v>2</v>
      </c>
      <c r="F9" s="39">
        <v>2</v>
      </c>
      <c r="G9" s="39">
        <v>2</v>
      </c>
      <c r="H9" s="39">
        <v>3</v>
      </c>
      <c r="I9" s="39">
        <v>3</v>
      </c>
      <c r="J9" s="63"/>
    </row>
    <row r="10" spans="2:11" ht="67.25" customHeight="1">
      <c r="B10" s="36" t="s">
        <v>161</v>
      </c>
      <c r="C10" s="39">
        <v>20</v>
      </c>
      <c r="D10" s="39">
        <v>40</v>
      </c>
      <c r="E10" s="39">
        <v>49</v>
      </c>
      <c r="F10" s="39">
        <v>49</v>
      </c>
      <c r="G10" s="39">
        <v>55</v>
      </c>
      <c r="H10" s="39">
        <v>65</v>
      </c>
      <c r="I10" s="39">
        <v>70</v>
      </c>
      <c r="J10" s="63"/>
    </row>
    <row r="11" spans="2:11" ht="67.25" customHeight="1">
      <c r="B11" s="16" t="s">
        <v>162</v>
      </c>
      <c r="C11" s="39">
        <v>1</v>
      </c>
      <c r="D11" s="39">
        <v>1</v>
      </c>
      <c r="E11" s="39">
        <v>1</v>
      </c>
      <c r="F11" s="39">
        <v>1</v>
      </c>
      <c r="G11" s="39">
        <v>1</v>
      </c>
      <c r="H11" s="39">
        <v>1</v>
      </c>
      <c r="I11" s="39">
        <v>2</v>
      </c>
      <c r="J11" s="63"/>
    </row>
    <row r="12" spans="2:11" ht="67.25" customHeight="1">
      <c r="B12" s="16" t="s">
        <v>163</v>
      </c>
      <c r="C12" s="39">
        <v>1</v>
      </c>
      <c r="D12" s="39">
        <v>1</v>
      </c>
      <c r="E12" s="39">
        <v>1</v>
      </c>
      <c r="F12" s="39">
        <v>1</v>
      </c>
      <c r="G12" s="39">
        <v>1</v>
      </c>
      <c r="H12" s="39">
        <v>1</v>
      </c>
      <c r="I12" s="39">
        <v>1</v>
      </c>
      <c r="J12" s="63"/>
    </row>
    <row r="13" spans="2:11" ht="67.25" customHeight="1">
      <c r="B13" s="16" t="s">
        <v>71</v>
      </c>
      <c r="C13" s="39"/>
      <c r="D13" s="39"/>
      <c r="E13" s="39"/>
      <c r="F13" s="39"/>
      <c r="G13" s="39"/>
      <c r="H13" s="39"/>
      <c r="I13" s="39"/>
      <c r="J13" s="63"/>
    </row>
    <row r="14" spans="2:11" ht="67.25" customHeight="1">
      <c r="B14" s="16" t="s">
        <v>71</v>
      </c>
      <c r="C14" s="39"/>
      <c r="D14" s="39"/>
      <c r="E14" s="39"/>
      <c r="F14" s="39"/>
      <c r="G14" s="39"/>
      <c r="H14" s="39"/>
      <c r="I14" s="39"/>
      <c r="J14" s="63"/>
    </row>
    <row r="15" spans="2:11" ht="67.25" customHeight="1">
      <c r="B15" s="16" t="s">
        <v>71</v>
      </c>
      <c r="C15" s="39"/>
      <c r="D15" s="39"/>
      <c r="E15" s="39"/>
      <c r="F15" s="39"/>
      <c r="G15" s="39"/>
      <c r="H15" s="39"/>
      <c r="I15" s="39"/>
      <c r="J15" s="63"/>
    </row>
    <row r="16" spans="2:11" ht="19">
      <c r="B16" s="54" t="s">
        <v>164</v>
      </c>
      <c r="C16" s="55">
        <f t="shared" ref="C16:I16" si="0">SUM(C3:C15)</f>
        <v>59</v>
      </c>
      <c r="D16" s="55">
        <f t="shared" si="0"/>
        <v>86</v>
      </c>
      <c r="E16" s="55">
        <f t="shared" si="0"/>
        <v>100</v>
      </c>
      <c r="F16" s="55">
        <f t="shared" si="0"/>
        <v>100</v>
      </c>
      <c r="G16" s="55">
        <f t="shared" si="0"/>
        <v>120</v>
      </c>
      <c r="H16" s="55">
        <f t="shared" si="0"/>
        <v>143</v>
      </c>
      <c r="I16" s="55">
        <f t="shared" si="0"/>
        <v>172</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N43"/>
  <sheetViews>
    <sheetView showGridLines="0" topLeftCell="A24" workbookViewId="0">
      <selection activeCell="E43" sqref="E43"/>
    </sheetView>
  </sheetViews>
  <sheetFormatPr baseColWidth="10" defaultColWidth="10.6640625" defaultRowHeight="16"/>
  <cols>
    <col min="1" max="1" width="5.1640625" style="80" customWidth="1"/>
    <col min="2" max="2" width="34.5" style="80" customWidth="1"/>
    <col min="3" max="3" width="29.5" style="80" customWidth="1"/>
    <col min="4" max="5" width="10.6640625" style="80"/>
    <col min="6" max="6" width="35.33203125" style="80" customWidth="1"/>
    <col min="7" max="16384" width="10.6640625" style="80"/>
  </cols>
  <sheetData>
    <row r="2" spans="2:11" ht="47" customHeight="1">
      <c r="B2" s="96" t="s">
        <v>381</v>
      </c>
      <c r="C2" s="96"/>
      <c r="D2" s="96"/>
      <c r="E2" s="96"/>
      <c r="F2" s="96"/>
      <c r="G2" s="96"/>
      <c r="H2" s="96"/>
      <c r="I2" s="96"/>
      <c r="J2" s="96"/>
      <c r="K2" s="96"/>
    </row>
    <row r="3" spans="2:11" ht="47" customHeight="1">
      <c r="B3" s="96"/>
      <c r="C3" s="96"/>
      <c r="D3" s="96"/>
      <c r="E3" s="96"/>
      <c r="F3" s="96"/>
      <c r="G3" s="96"/>
      <c r="H3" s="96"/>
      <c r="I3" s="96"/>
      <c r="J3" s="96"/>
      <c r="K3" s="96"/>
    </row>
    <row r="4" spans="2:11" ht="47" customHeight="1">
      <c r="B4" s="96"/>
      <c r="C4" s="96"/>
      <c r="D4" s="96"/>
      <c r="E4" s="96"/>
      <c r="F4" s="96"/>
      <c r="G4" s="96"/>
      <c r="H4" s="96"/>
      <c r="I4" s="96"/>
      <c r="J4" s="96"/>
      <c r="K4" s="96"/>
    </row>
    <row r="5" spans="2:11" ht="47" customHeight="1">
      <c r="B5" s="96"/>
      <c r="C5" s="96"/>
      <c r="D5" s="96"/>
      <c r="E5" s="96"/>
      <c r="F5" s="96"/>
      <c r="G5" s="96"/>
      <c r="H5" s="96"/>
      <c r="I5" s="96"/>
      <c r="J5" s="96"/>
      <c r="K5" s="96"/>
    </row>
    <row r="7" spans="2:11">
      <c r="B7" s="81">
        <v>1</v>
      </c>
    </row>
    <row r="36" spans="2:14">
      <c r="B36" s="82" t="s">
        <v>378</v>
      </c>
    </row>
    <row r="37" spans="2:14">
      <c r="B37" s="82"/>
    </row>
    <row r="38" spans="2:14">
      <c r="B38" s="97" t="s">
        <v>379</v>
      </c>
      <c r="C38" s="97"/>
      <c r="D38" s="97"/>
      <c r="E38" s="97"/>
      <c r="F38" s="97"/>
      <c r="G38" s="97"/>
      <c r="H38" s="97"/>
      <c r="I38" s="97"/>
      <c r="J38" s="97"/>
      <c r="K38" s="97"/>
      <c r="L38" s="97"/>
      <c r="M38" s="97"/>
      <c r="N38" s="97"/>
    </row>
    <row r="39" spans="2:14">
      <c r="B39" s="97" t="s">
        <v>380</v>
      </c>
      <c r="C39" s="97"/>
      <c r="D39" s="97"/>
      <c r="E39" s="97"/>
      <c r="F39" s="97"/>
      <c r="G39" s="97"/>
      <c r="H39" s="97"/>
      <c r="I39" s="97"/>
      <c r="J39" s="97"/>
      <c r="K39" s="97"/>
      <c r="L39" s="97"/>
      <c r="M39" s="97"/>
      <c r="N39" s="97"/>
    </row>
    <row r="40" spans="2:14">
      <c r="B40" s="82"/>
    </row>
    <row r="41" spans="2:14">
      <c r="C41" s="83" t="s">
        <v>375</v>
      </c>
      <c r="D41" s="84"/>
      <c r="E41" s="84"/>
      <c r="F41" s="83" t="s">
        <v>377</v>
      </c>
    </row>
    <row r="42" spans="2:14">
      <c r="B42" s="80" t="s">
        <v>376</v>
      </c>
      <c r="C42" s="80" t="s">
        <v>376</v>
      </c>
      <c r="F42" s="80" t="s">
        <v>383</v>
      </c>
    </row>
    <row r="43" spans="2:14" ht="220" customHeight="1">
      <c r="C43" s="85" t="s">
        <v>382</v>
      </c>
      <c r="F43" s="86" t="s">
        <v>384</v>
      </c>
    </row>
  </sheetData>
  <mergeCells count="3">
    <mergeCell ref="B2:K5"/>
    <mergeCell ref="B38:N38"/>
    <mergeCell ref="B39:N3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B1" zoomScale="60" zoomScaleNormal="60" workbookViewId="0">
      <pane xSplit="1" ySplit="3" topLeftCell="C4" activePane="bottomRight" state="frozen"/>
      <selection activeCell="B1" sqref="B1"/>
      <selection pane="topRight" activeCell="C1" sqref="C1"/>
      <selection pane="bottomLeft" activeCell="B4" sqref="B4"/>
      <selection pane="bottomRight" activeCell="B9" sqref="B9"/>
    </sheetView>
  </sheetViews>
  <sheetFormatPr baseColWidth="10" defaultColWidth="11.1640625" defaultRowHeight="16"/>
  <cols>
    <col min="1" max="1" width="4.1640625" style="1" customWidth="1"/>
    <col min="2" max="2" width="51.5" style="1" customWidth="1"/>
    <col min="3" max="22" width="29.1640625" style="1" customWidth="1"/>
    <col min="23" max="23" width="57.6640625" style="1" customWidth="1"/>
  </cols>
  <sheetData>
    <row r="1" spans="2:23" ht="60" customHeight="1">
      <c r="B1" s="34" t="s">
        <v>165</v>
      </c>
    </row>
    <row r="2" spans="2:23" ht="60" customHeight="1">
      <c r="B2" s="68" t="s">
        <v>166</v>
      </c>
      <c r="C2" s="98" t="s">
        <v>167</v>
      </c>
      <c r="D2" s="98"/>
      <c r="E2" s="98"/>
      <c r="F2" s="98"/>
      <c r="G2" s="98" t="s">
        <v>168</v>
      </c>
      <c r="H2" s="98"/>
      <c r="I2" s="98"/>
      <c r="J2" s="98"/>
      <c r="K2" s="98"/>
      <c r="L2" s="98" t="s">
        <v>169</v>
      </c>
      <c r="M2" s="98"/>
      <c r="N2" s="98"/>
      <c r="O2" s="98"/>
      <c r="P2" s="98"/>
      <c r="Q2" s="98"/>
      <c r="R2" s="98"/>
      <c r="S2" s="98" t="s">
        <v>170</v>
      </c>
      <c r="T2" s="98"/>
      <c r="U2" s="98"/>
      <c r="V2" s="98"/>
    </row>
    <row r="3" spans="2:23" ht="60" customHeight="1">
      <c r="B3" s="16" t="s">
        <v>171</v>
      </c>
      <c r="C3" s="69" t="s">
        <v>172</v>
      </c>
      <c r="D3" s="69" t="s">
        <v>173</v>
      </c>
      <c r="E3" s="69" t="s">
        <v>174</v>
      </c>
      <c r="F3" s="69" t="s">
        <v>175</v>
      </c>
      <c r="G3" s="69" t="s">
        <v>176</v>
      </c>
      <c r="H3" s="69" t="s">
        <v>177</v>
      </c>
      <c r="I3" s="69" t="s">
        <v>178</v>
      </c>
      <c r="J3" s="69" t="s">
        <v>179</v>
      </c>
      <c r="K3" s="69" t="s">
        <v>180</v>
      </c>
      <c r="L3" s="69" t="s">
        <v>181</v>
      </c>
      <c r="M3" s="70" t="s">
        <v>182</v>
      </c>
      <c r="N3" s="69" t="s">
        <v>183</v>
      </c>
      <c r="O3" s="69" t="s">
        <v>184</v>
      </c>
      <c r="P3" s="69" t="s">
        <v>185</v>
      </c>
      <c r="Q3" s="69" t="s">
        <v>186</v>
      </c>
      <c r="R3" s="69" t="s">
        <v>187</v>
      </c>
      <c r="S3" s="69" t="s">
        <v>188</v>
      </c>
      <c r="T3" s="69" t="s">
        <v>189</v>
      </c>
      <c r="U3" s="69" t="s">
        <v>190</v>
      </c>
      <c r="V3" s="69" t="s">
        <v>191</v>
      </c>
      <c r="W3" s="16" t="s">
        <v>152</v>
      </c>
    </row>
    <row r="4" spans="2:23" ht="60" customHeight="1">
      <c r="B4" s="16" t="s">
        <v>192</v>
      </c>
      <c r="C4" s="39" t="s">
        <v>243</v>
      </c>
      <c r="D4" s="39" t="s">
        <v>243</v>
      </c>
      <c r="E4" s="39" t="s">
        <v>243</v>
      </c>
      <c r="F4" s="39" t="s">
        <v>243</v>
      </c>
      <c r="G4" s="39" t="s">
        <v>243</v>
      </c>
      <c r="H4" s="39" t="s">
        <v>246</v>
      </c>
      <c r="I4" s="39" t="s">
        <v>243</v>
      </c>
      <c r="J4" s="39" t="s">
        <v>243</v>
      </c>
      <c r="K4" s="39" t="s">
        <v>243</v>
      </c>
      <c r="L4" s="39" t="s">
        <v>246</v>
      </c>
      <c r="M4" s="39" t="s">
        <v>246</v>
      </c>
      <c r="N4" s="39" t="s">
        <v>246</v>
      </c>
      <c r="O4" s="39" t="s">
        <v>246</v>
      </c>
      <c r="P4" s="39" t="s">
        <v>246</v>
      </c>
      <c r="Q4" s="39" t="s">
        <v>243</v>
      </c>
      <c r="R4" s="39" t="s">
        <v>246</v>
      </c>
      <c r="S4" s="39" t="s">
        <v>246</v>
      </c>
      <c r="T4" s="39" t="s">
        <v>243</v>
      </c>
      <c r="U4" s="39" t="s">
        <v>246</v>
      </c>
      <c r="V4" s="39" t="s">
        <v>246</v>
      </c>
      <c r="W4" s="63"/>
    </row>
    <row r="5" spans="2:23" ht="60" customHeight="1">
      <c r="B5" s="36" t="s">
        <v>193</v>
      </c>
      <c r="C5" s="39" t="s">
        <v>340</v>
      </c>
      <c r="D5" s="39" t="s">
        <v>339</v>
      </c>
      <c r="E5" s="39" t="s">
        <v>340</v>
      </c>
      <c r="F5" s="39" t="s">
        <v>340</v>
      </c>
      <c r="G5" s="39" t="s">
        <v>339</v>
      </c>
      <c r="H5" s="39" t="s">
        <v>331</v>
      </c>
      <c r="I5" s="39" t="s">
        <v>339</v>
      </c>
      <c r="J5" s="39" t="s">
        <v>340</v>
      </c>
      <c r="K5" s="39" t="s">
        <v>340</v>
      </c>
      <c r="L5" s="39" t="s">
        <v>331</v>
      </c>
      <c r="M5" s="39" t="s">
        <v>331</v>
      </c>
      <c r="N5" s="39" t="s">
        <v>331</v>
      </c>
      <c r="O5" s="39" t="s">
        <v>331</v>
      </c>
      <c r="P5" s="39" t="s">
        <v>331</v>
      </c>
      <c r="Q5" s="39" t="s">
        <v>340</v>
      </c>
      <c r="R5" s="39" t="s">
        <v>331</v>
      </c>
      <c r="S5" s="39" t="s">
        <v>331</v>
      </c>
      <c r="T5" s="39" t="s">
        <v>340</v>
      </c>
      <c r="U5" s="39" t="s">
        <v>331</v>
      </c>
      <c r="V5" s="39" t="s">
        <v>331</v>
      </c>
      <c r="W5" s="63"/>
    </row>
    <row r="6" spans="2:23" ht="60" customHeight="1">
      <c r="B6" s="36" t="s">
        <v>194</v>
      </c>
      <c r="C6" s="39" t="s">
        <v>246</v>
      </c>
      <c r="D6" s="39" t="s">
        <v>246</v>
      </c>
      <c r="E6" s="39" t="s">
        <v>246</v>
      </c>
      <c r="F6" s="39" t="s">
        <v>243</v>
      </c>
      <c r="G6" s="39" t="s">
        <v>246</v>
      </c>
      <c r="H6" s="39" t="s">
        <v>246</v>
      </c>
      <c r="I6" s="39" t="s">
        <v>243</v>
      </c>
      <c r="J6" s="39" t="s">
        <v>243</v>
      </c>
      <c r="K6" s="39" t="s">
        <v>243</v>
      </c>
      <c r="L6" s="39" t="s">
        <v>246</v>
      </c>
      <c r="M6" s="39" t="s">
        <v>246</v>
      </c>
      <c r="N6" s="39"/>
      <c r="O6" s="39"/>
      <c r="P6" s="39"/>
      <c r="Q6" s="39"/>
      <c r="R6" s="39"/>
      <c r="S6" s="39"/>
      <c r="T6" s="39"/>
      <c r="U6" s="39"/>
      <c r="V6" s="39"/>
      <c r="W6" s="63"/>
    </row>
    <row r="7" spans="2:23" ht="60" customHeight="1">
      <c r="B7" s="36" t="s">
        <v>195</v>
      </c>
      <c r="C7" s="39"/>
      <c r="D7" s="39"/>
      <c r="E7" s="39"/>
      <c r="F7" s="39"/>
      <c r="G7" s="39"/>
      <c r="H7" s="39"/>
      <c r="I7" s="39"/>
      <c r="J7" s="39"/>
      <c r="K7" s="39"/>
      <c r="L7" s="39"/>
      <c r="M7" s="39"/>
      <c r="N7" s="39"/>
      <c r="O7" s="39"/>
      <c r="P7" s="39"/>
      <c r="Q7" s="39"/>
      <c r="R7" s="39"/>
      <c r="S7" s="39"/>
      <c r="T7" s="39"/>
      <c r="U7" s="39"/>
      <c r="V7" s="39"/>
      <c r="W7" s="63"/>
    </row>
    <row r="8" spans="2:23" ht="60" customHeight="1">
      <c r="B8" s="36" t="s">
        <v>196</v>
      </c>
      <c r="C8" s="39"/>
      <c r="D8" s="39"/>
      <c r="E8" s="39"/>
      <c r="F8" s="39"/>
      <c r="G8" s="39"/>
      <c r="H8" s="39"/>
      <c r="I8" s="39"/>
      <c r="J8" s="39"/>
      <c r="K8" s="39"/>
      <c r="L8" s="39"/>
      <c r="M8" s="39"/>
      <c r="N8" s="39"/>
      <c r="O8" s="39"/>
      <c r="P8" s="39"/>
      <c r="Q8" s="39"/>
      <c r="R8" s="39"/>
      <c r="S8" s="39"/>
      <c r="T8" s="39"/>
      <c r="U8" s="39"/>
      <c r="V8" s="39"/>
      <c r="W8" s="63"/>
    </row>
    <row r="9" spans="2:23" ht="60" customHeight="1">
      <c r="B9" s="36" t="s">
        <v>197</v>
      </c>
      <c r="C9" s="39"/>
      <c r="D9" s="39"/>
      <c r="E9" s="39"/>
      <c r="F9" s="39"/>
      <c r="G9" s="39" t="s">
        <v>357</v>
      </c>
      <c r="H9" s="39"/>
      <c r="I9" s="39" t="s">
        <v>358</v>
      </c>
      <c r="J9" s="39" t="s">
        <v>359</v>
      </c>
      <c r="K9" s="39" t="s">
        <v>360</v>
      </c>
      <c r="L9" s="39"/>
      <c r="M9" s="39"/>
      <c r="N9" s="39"/>
      <c r="O9" s="39"/>
      <c r="P9" s="39"/>
      <c r="Q9" s="39"/>
      <c r="R9" s="39"/>
      <c r="S9" s="39" t="s">
        <v>361</v>
      </c>
      <c r="T9" s="39"/>
      <c r="U9" s="39" t="s">
        <v>361</v>
      </c>
      <c r="V9" s="39"/>
      <c r="W9" s="63"/>
    </row>
    <row r="10" spans="2:23" ht="60" customHeight="1">
      <c r="B10" s="36" t="s">
        <v>198</v>
      </c>
      <c r="C10" s="39"/>
      <c r="D10" s="39"/>
      <c r="E10" s="39"/>
      <c r="F10" s="39"/>
      <c r="G10" s="39" t="s">
        <v>362</v>
      </c>
      <c r="H10" s="39"/>
      <c r="I10" s="39" t="s">
        <v>365</v>
      </c>
      <c r="J10" s="39" t="s">
        <v>363</v>
      </c>
      <c r="K10" s="39" t="s">
        <v>364</v>
      </c>
      <c r="L10" s="39"/>
      <c r="M10" s="39"/>
      <c r="N10" s="39"/>
      <c r="O10" s="39"/>
      <c r="P10" s="39"/>
      <c r="Q10" s="39"/>
      <c r="R10" s="39"/>
      <c r="S10" s="39" t="s">
        <v>366</v>
      </c>
      <c r="T10" s="39"/>
      <c r="U10" s="39" t="s">
        <v>367</v>
      </c>
      <c r="V10" s="39"/>
      <c r="W10" s="63"/>
    </row>
    <row r="11" spans="2:23" ht="60" customHeight="1">
      <c r="B11" s="36" t="s">
        <v>199</v>
      </c>
      <c r="C11" s="39"/>
      <c r="D11" s="39"/>
      <c r="E11" s="39"/>
      <c r="F11" s="39"/>
      <c r="G11" s="71"/>
      <c r="H11" s="39"/>
      <c r="I11" s="39"/>
      <c r="J11" s="39"/>
      <c r="K11" s="39"/>
      <c r="L11" s="39"/>
      <c r="M11" s="39"/>
      <c r="N11" s="39"/>
      <c r="O11" s="39"/>
      <c r="P11" s="39"/>
      <c r="Q11" s="39"/>
      <c r="R11" s="39"/>
      <c r="S11" s="39"/>
      <c r="T11" s="39"/>
      <c r="U11" s="39"/>
      <c r="V11" s="39"/>
      <c r="W11" s="63"/>
    </row>
    <row r="12" spans="2:23" ht="60" customHeight="1">
      <c r="B12" s="16" t="s">
        <v>200</v>
      </c>
      <c r="C12" s="39"/>
      <c r="D12" s="39"/>
      <c r="E12" s="39"/>
      <c r="F12" s="39"/>
      <c r="G12" s="39"/>
      <c r="H12" s="39"/>
      <c r="I12" s="39"/>
      <c r="J12" s="39"/>
      <c r="K12" s="39"/>
      <c r="L12" s="39"/>
      <c r="M12" s="39"/>
      <c r="N12" s="39"/>
      <c r="O12" s="39"/>
      <c r="P12" s="39"/>
      <c r="Q12" s="39"/>
      <c r="R12" s="39"/>
      <c r="S12" s="39"/>
      <c r="T12" s="39"/>
      <c r="U12" s="39"/>
      <c r="V12" s="39"/>
      <c r="W12" s="63"/>
    </row>
    <row r="13" spans="2:23" ht="60" customHeight="1">
      <c r="B13" s="36" t="s">
        <v>201</v>
      </c>
      <c r="C13" s="39"/>
      <c r="D13" s="39"/>
      <c r="E13" s="39"/>
      <c r="F13" s="39"/>
      <c r="G13" s="39"/>
      <c r="H13" s="39"/>
      <c r="I13" s="39"/>
      <c r="J13" s="39"/>
      <c r="K13" s="39"/>
      <c r="L13" s="39"/>
      <c r="M13" s="39"/>
      <c r="N13" s="39"/>
      <c r="O13" s="39"/>
      <c r="P13" s="39"/>
      <c r="Q13" s="39"/>
      <c r="R13" s="39"/>
      <c r="S13" s="39"/>
      <c r="T13" s="39"/>
      <c r="U13" s="39"/>
      <c r="V13" s="39"/>
      <c r="W13" s="63"/>
    </row>
    <row r="14" spans="2:23" ht="60" customHeight="1">
      <c r="B14" s="16" t="s">
        <v>202</v>
      </c>
      <c r="C14" s="39"/>
      <c r="D14" s="39"/>
      <c r="E14" s="39"/>
      <c r="F14" s="39"/>
      <c r="G14" s="39"/>
      <c r="H14" s="39"/>
      <c r="I14" s="39"/>
      <c r="J14" s="39"/>
      <c r="K14" s="39"/>
      <c r="L14" s="39"/>
      <c r="M14" s="39"/>
      <c r="N14" s="39"/>
      <c r="O14" s="39"/>
      <c r="P14" s="39"/>
      <c r="Q14" s="39"/>
      <c r="R14" s="39"/>
      <c r="S14" s="39"/>
      <c r="T14" s="39"/>
      <c r="U14" s="39"/>
      <c r="V14" s="39"/>
      <c r="W14" s="63"/>
    </row>
    <row r="15" spans="2:23" ht="60" customHeight="1">
      <c r="B15" s="16" t="s">
        <v>203</v>
      </c>
      <c r="C15" s="78"/>
      <c r="D15" s="39"/>
      <c r="E15" s="39"/>
      <c r="F15" s="39"/>
      <c r="G15" s="39"/>
      <c r="H15" s="39"/>
      <c r="I15" s="39"/>
      <c r="J15" s="39"/>
      <c r="K15" s="39"/>
      <c r="L15" s="39"/>
      <c r="M15" s="39"/>
      <c r="N15" s="39"/>
      <c r="O15" s="39"/>
      <c r="P15" s="39"/>
      <c r="Q15" s="39"/>
      <c r="R15" s="39"/>
      <c r="S15" s="39"/>
      <c r="T15" s="39"/>
      <c r="U15" s="39"/>
      <c r="V15" s="39"/>
      <c r="W15" s="63"/>
    </row>
    <row r="16" spans="2:23" ht="60" customHeight="1">
      <c r="B16" s="36" t="s">
        <v>204</v>
      </c>
      <c r="C16" s="39"/>
      <c r="D16" s="39"/>
      <c r="E16" s="39"/>
      <c r="F16" s="39"/>
      <c r="G16" s="39"/>
      <c r="H16" s="39"/>
      <c r="I16" s="39"/>
      <c r="J16" s="39"/>
      <c r="K16" s="39"/>
      <c r="L16" s="39"/>
      <c r="M16" s="39"/>
      <c r="N16" s="39"/>
      <c r="O16" s="39"/>
      <c r="P16" s="39"/>
      <c r="Q16" s="39"/>
      <c r="R16" s="39"/>
      <c r="S16" s="39"/>
      <c r="T16" s="39"/>
      <c r="U16" s="39"/>
      <c r="V16" s="39"/>
      <c r="W16" s="63"/>
    </row>
    <row r="17" spans="2:23" ht="60" customHeight="1">
      <c r="B17" s="16" t="s">
        <v>205</v>
      </c>
      <c r="C17" s="39"/>
      <c r="D17" s="39"/>
      <c r="E17" s="39"/>
      <c r="F17" s="39"/>
      <c r="G17" s="39"/>
      <c r="H17" s="39"/>
      <c r="I17" s="39"/>
      <c r="J17" s="39"/>
      <c r="K17" s="39"/>
      <c r="L17" s="39"/>
      <c r="M17" s="39"/>
      <c r="N17" s="39"/>
      <c r="O17" s="39"/>
      <c r="P17" s="39"/>
      <c r="Q17" s="39"/>
      <c r="R17" s="39"/>
      <c r="S17" s="39"/>
      <c r="T17" s="39"/>
      <c r="U17" s="39"/>
      <c r="V17" s="39"/>
      <c r="W17" s="63"/>
    </row>
    <row r="18" spans="2:23" ht="60" customHeight="1">
      <c r="B18" s="16" t="s">
        <v>206</v>
      </c>
      <c r="C18" s="39"/>
      <c r="D18" s="39"/>
      <c r="E18" s="39"/>
      <c r="F18" s="39"/>
      <c r="G18" s="39"/>
      <c r="H18" s="39"/>
      <c r="I18" s="39"/>
      <c r="J18" s="39"/>
      <c r="K18" s="39"/>
      <c r="L18" s="39"/>
      <c r="M18" s="39"/>
      <c r="N18" s="39"/>
      <c r="O18" s="39"/>
      <c r="P18" s="39"/>
      <c r="Q18" s="39"/>
      <c r="R18" s="39"/>
      <c r="S18" s="39"/>
      <c r="T18" s="39"/>
      <c r="U18" s="39"/>
      <c r="V18" s="39"/>
      <c r="W18" s="63"/>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1 C12:C14 D12:W15 C16: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workbookViewId="0">
      <selection activeCell="Q7" sqref="Q7"/>
    </sheetView>
  </sheetViews>
  <sheetFormatPr baseColWidth="10" defaultColWidth="10.6640625" defaultRowHeight="16"/>
  <cols>
    <col min="1" max="1" width="5.5" customWidth="1"/>
  </cols>
  <sheetData>
    <row r="3" spans="2:11" ht="34.25" customHeight="1">
      <c r="B3" s="99" t="s">
        <v>207</v>
      </c>
      <c r="C3" s="99"/>
      <c r="D3" s="99"/>
      <c r="E3" s="99"/>
      <c r="F3" s="99"/>
      <c r="G3" s="99"/>
      <c r="H3" s="99"/>
      <c r="I3" s="99"/>
      <c r="J3" s="99"/>
      <c r="K3" s="99"/>
    </row>
    <row r="4" spans="2:11" ht="34.25" customHeight="1">
      <c r="B4" s="99"/>
      <c r="C4" s="99"/>
      <c r="D4" s="99"/>
      <c r="E4" s="99"/>
      <c r="F4" s="99"/>
      <c r="G4" s="99"/>
      <c r="H4" s="99"/>
      <c r="I4" s="99"/>
      <c r="J4" s="99"/>
      <c r="K4" s="99"/>
    </row>
    <row r="5" spans="2:11" ht="34.25" customHeight="1">
      <c r="B5" s="99"/>
      <c r="C5" s="99"/>
      <c r="D5" s="99"/>
      <c r="E5" s="99"/>
      <c r="F5" s="99"/>
      <c r="G5" s="99"/>
      <c r="H5" s="99"/>
      <c r="I5" s="99"/>
      <c r="J5" s="99"/>
      <c r="K5" s="99"/>
    </row>
    <row r="6" spans="2:11" ht="34.25" customHeight="1">
      <c r="B6" s="99"/>
      <c r="C6" s="99"/>
      <c r="D6" s="99"/>
      <c r="E6" s="99"/>
      <c r="F6" s="99"/>
      <c r="G6" s="99"/>
      <c r="H6" s="99"/>
      <c r="I6" s="99"/>
      <c r="J6" s="99"/>
      <c r="K6" s="99"/>
    </row>
    <row r="7" spans="2:11" ht="305.25" customHeight="1">
      <c r="B7" s="100" t="s">
        <v>368</v>
      </c>
      <c r="C7" s="100"/>
      <c r="D7" s="100"/>
      <c r="E7" s="100"/>
      <c r="F7" s="100"/>
      <c r="G7" s="100"/>
      <c r="H7" s="100"/>
      <c r="I7" s="100"/>
      <c r="J7" s="100"/>
      <c r="K7" s="100"/>
    </row>
    <row r="12" spans="2:11">
      <c r="B12" s="60"/>
    </row>
    <row r="15" spans="2:11">
      <c r="B15" s="60"/>
    </row>
    <row r="18" spans="2:2">
      <c r="B18" s="60"/>
    </row>
    <row r="21" spans="2:2">
      <c r="B21" s="60"/>
    </row>
    <row r="24" spans="2:2">
      <c r="B24" s="60"/>
    </row>
  </sheetData>
  <mergeCells count="2">
    <mergeCell ref="B3:K6"/>
    <mergeCell ref="B7:K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60" zoomScaleNormal="60" workbookViewId="0">
      <selection activeCell="E10" sqref="E10"/>
    </sheetView>
  </sheetViews>
  <sheetFormatPr baseColWidth="10" defaultColWidth="10.6640625" defaultRowHeight="20"/>
  <cols>
    <col min="1" max="1" width="4.1640625" style="57" customWidth="1"/>
    <col min="2" max="2" width="200.6640625" style="10" customWidth="1"/>
    <col min="3" max="3" width="67.5" style="13" customWidth="1"/>
    <col min="4" max="16384" width="10.6640625" style="51"/>
  </cols>
  <sheetData>
    <row r="2" spans="2:4" ht="22">
      <c r="B2" s="8" t="s">
        <v>208</v>
      </c>
      <c r="C2" s="11"/>
    </row>
    <row r="3" spans="2:4" ht="22">
      <c r="B3" s="44" t="s">
        <v>209</v>
      </c>
      <c r="C3" s="59"/>
    </row>
    <row r="4" spans="2:4" ht="22">
      <c r="B4" s="58" t="s">
        <v>210</v>
      </c>
      <c r="C4" s="59"/>
    </row>
    <row r="5" spans="2:4" ht="63">
      <c r="B5" s="56" t="s">
        <v>211</v>
      </c>
      <c r="C5" s="50"/>
      <c r="D5" s="52" t="s">
        <v>212</v>
      </c>
    </row>
    <row r="6" spans="2:4" ht="22">
      <c r="B6" s="58" t="s">
        <v>213</v>
      </c>
      <c r="C6" s="59"/>
      <c r="D6" s="52"/>
    </row>
    <row r="7" spans="2:4" ht="63">
      <c r="B7" s="56" t="s">
        <v>214</v>
      </c>
      <c r="C7" s="50"/>
      <c r="D7" s="52" t="s">
        <v>215</v>
      </c>
    </row>
    <row r="8" spans="2:4" ht="22">
      <c r="B8" s="58" t="s">
        <v>216</v>
      </c>
      <c r="C8" s="59"/>
    </row>
    <row r="9" spans="2:4" ht="63">
      <c r="B9" s="56" t="s">
        <v>217</v>
      </c>
      <c r="C9" s="50" t="s">
        <v>243</v>
      </c>
    </row>
    <row r="10" spans="2:4" ht="22">
      <c r="B10" s="58" t="s">
        <v>218</v>
      </c>
      <c r="C10" s="59"/>
    </row>
    <row r="11" spans="2:4" ht="63">
      <c r="B11" s="56" t="s">
        <v>219</v>
      </c>
      <c r="C11" s="50"/>
    </row>
    <row r="12" spans="2:4" ht="22">
      <c r="B12" s="44" t="s">
        <v>220</v>
      </c>
      <c r="C12" s="59"/>
    </row>
    <row r="13" spans="2:4" ht="22">
      <c r="B13" s="58" t="s">
        <v>221</v>
      </c>
      <c r="C13" s="59"/>
    </row>
    <row r="14" spans="2:4" ht="42">
      <c r="B14" s="56" t="s">
        <v>222</v>
      </c>
      <c r="C14" s="50"/>
    </row>
    <row r="15" spans="2:4" ht="22">
      <c r="B15" s="58" t="s">
        <v>223</v>
      </c>
      <c r="C15" s="59"/>
    </row>
    <row r="16" spans="2:4" ht="42">
      <c r="B16" s="56" t="s">
        <v>224</v>
      </c>
      <c r="C16" s="50"/>
    </row>
    <row r="17" spans="2:3" ht="22">
      <c r="B17" s="58" t="s">
        <v>225</v>
      </c>
      <c r="C17" s="59"/>
    </row>
    <row r="18" spans="2:3" ht="42">
      <c r="B18" s="56" t="s">
        <v>226</v>
      </c>
      <c r="C18" s="50"/>
    </row>
    <row r="19" spans="2:3" ht="22">
      <c r="B19" s="58" t="s">
        <v>227</v>
      </c>
      <c r="C19" s="59"/>
    </row>
    <row r="20" spans="2:3" ht="63">
      <c r="B20" s="56" t="s">
        <v>228</v>
      </c>
      <c r="C20" s="50"/>
    </row>
    <row r="21" spans="2:3" ht="22">
      <c r="B21" s="58" t="s">
        <v>229</v>
      </c>
      <c r="C21" s="59"/>
    </row>
    <row r="22" spans="2:3" ht="63">
      <c r="B22" s="56" t="s">
        <v>230</v>
      </c>
      <c r="C22" s="50"/>
    </row>
    <row r="23" spans="2:3" ht="22">
      <c r="B23" s="58" t="s">
        <v>231</v>
      </c>
      <c r="C23" s="59"/>
    </row>
    <row r="24" spans="2:3" ht="84">
      <c r="B24" s="56" t="s">
        <v>232</v>
      </c>
      <c r="C24" s="50"/>
    </row>
    <row r="25" spans="2:3" ht="22">
      <c r="B25" s="58" t="s">
        <v>233</v>
      </c>
      <c r="C25" s="59"/>
    </row>
    <row r="26" spans="2:3" ht="84">
      <c r="B26" s="56" t="s">
        <v>234</v>
      </c>
      <c r="C26" s="50"/>
    </row>
    <row r="27" spans="2:3" ht="22">
      <c r="B27" s="58" t="s">
        <v>235</v>
      </c>
      <c r="C27" s="59"/>
    </row>
    <row r="28" spans="2:3" ht="84">
      <c r="B28" s="56" t="s">
        <v>236</v>
      </c>
      <c r="C28" s="50"/>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1" operator="containsText" text="No">
      <formula>NOT(ISERROR(SEARCH("No",C5)))</formula>
    </cfRule>
    <cfRule type="containsText" dxfId="51" priority="70" operator="containsText" text="Yes">
      <formula>NOT(ISERROR(SEARCH("Yes",C5)))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notContainsBlanks" dxfId="47" priority="27" stopIfTrue="1">
      <formula>LEN(TRIM(C9))&gt;0</formula>
    </cfRule>
    <cfRule type="containsText" dxfId="46" priority="25" operator="containsText" text="Yes">
      <formula>NOT(ISERROR(SEARCH("Yes",C9)))</formula>
    </cfRule>
    <cfRule type="containsText" dxfId="45" priority="26" operator="containsText" text="No">
      <formula>NOT(ISERROR(SEARCH("No",C9)))</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notContainsBlanks" dxfId="41" priority="54" stopIfTrue="1">
      <formula>LEN(TRIM(C12))&gt;0</formula>
    </cfRule>
    <cfRule type="containsText" dxfId="40" priority="43" operator="containsText" text="Yes">
      <formula>NOT(ISERROR(SEARCH("Yes",C12)))</formula>
    </cfRule>
    <cfRule type="containsText" dxfId="39" priority="44" operator="containsText" text="No">
      <formula>NOT(ISERROR(SEARCH("No",C12)))</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notContainsBlanks" dxfId="23" priority="21" stopIfTrue="1">
      <formula>LEN(TRIM(C16))&gt;0</formula>
    </cfRule>
    <cfRule type="containsText" dxfId="22" priority="20" operator="containsText" text="No">
      <formula>NOT(ISERROR(SEARCH("No",C16)))</formula>
    </cfRule>
    <cfRule type="containsText" dxfId="21" priority="19" operator="containsText" text="Yes">
      <formula>NOT(ISERROR(SEARCH("Yes",C16)))</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notContainsBlanks" dxfId="2" priority="3" stopIfTrue="1">
      <formula>LEN(TRIM(C28))&gt;0</formula>
    </cfRule>
    <cfRule type="containsText" dxfId="1" priority="2" operator="containsText" text="No">
      <formula>NOT(ISERROR(SEARCH("No",C28)))</formula>
    </cfRule>
    <cfRule type="containsText" dxfId="0" priority="1" operator="containsText" text="Yes">
      <formula>NOT(ISERROR(SEARCH("Yes",C28)))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baseColWidth="10" defaultColWidth="10.6640625" defaultRowHeight="16"/>
  <cols>
    <col min="1" max="1" width="14.6640625" style="1" bestFit="1" customWidth="1"/>
    <col min="2" max="2" width="10.6640625" style="1"/>
    <col min="3" max="3" width="60" style="1" bestFit="1" customWidth="1"/>
    <col min="4" max="4" width="10.6640625" style="1"/>
    <col min="5" max="5" width="7.1640625" style="1" bestFit="1" customWidth="1"/>
    <col min="6" max="6" width="10.6640625" style="1"/>
    <col min="7" max="7" width="17" style="1" bestFit="1" customWidth="1"/>
    <col min="8" max="8" width="21" style="1" customWidth="1"/>
    <col min="9" max="10" width="10.6640625" style="1"/>
    <col min="11" max="11" width="12" style="1" customWidth="1"/>
    <col min="12" max="16384" width="10.6640625" style="1"/>
  </cols>
  <sheetData>
    <row r="1" spans="1:7">
      <c r="A1" s="1" t="s">
        <v>237</v>
      </c>
      <c r="C1" s="7" t="s">
        <v>238</v>
      </c>
      <c r="E1" s="5" t="s">
        <v>239</v>
      </c>
      <c r="G1" s="5" t="s">
        <v>240</v>
      </c>
    </row>
    <row r="2" spans="1:7">
      <c r="A2" s="1" t="s">
        <v>241</v>
      </c>
      <c r="C2" s="1" t="s">
        <v>242</v>
      </c>
      <c r="E2" s="1" t="s">
        <v>243</v>
      </c>
      <c r="G2" s="1" t="s">
        <v>244</v>
      </c>
    </row>
    <row r="3" spans="1:7">
      <c r="A3" s="1" t="s">
        <v>245</v>
      </c>
      <c r="C3" s="1" t="s">
        <v>188</v>
      </c>
      <c r="E3" s="1" t="s">
        <v>246</v>
      </c>
      <c r="G3" s="1" t="s">
        <v>247</v>
      </c>
    </row>
    <row r="4" spans="1:7">
      <c r="C4" s="1" t="s">
        <v>248</v>
      </c>
      <c r="G4" s="1" t="s">
        <v>249</v>
      </c>
    </row>
    <row r="5" spans="1:7">
      <c r="C5" s="1" t="s">
        <v>250</v>
      </c>
      <c r="G5" s="1" t="s">
        <v>251</v>
      </c>
    </row>
    <row r="6" spans="1:7">
      <c r="C6" s="1" t="s">
        <v>252</v>
      </c>
      <c r="G6" s="1" t="s">
        <v>253</v>
      </c>
    </row>
    <row r="7" spans="1:7">
      <c r="C7" s="1" t="s">
        <v>254</v>
      </c>
      <c r="G7" s="1" t="s">
        <v>255</v>
      </c>
    </row>
    <row r="8" spans="1:7">
      <c r="C8" s="1" t="s">
        <v>256</v>
      </c>
      <c r="G8" s="1" t="s">
        <v>257</v>
      </c>
    </row>
    <row r="9" spans="1:7">
      <c r="C9" s="1" t="s">
        <v>258</v>
      </c>
      <c r="G9" s="1" t="s">
        <v>259</v>
      </c>
    </row>
    <row r="10" spans="1:7">
      <c r="C10" s="1" t="s">
        <v>260</v>
      </c>
      <c r="G10" s="1" t="s">
        <v>261</v>
      </c>
    </row>
    <row r="11" spans="1:7">
      <c r="C11" s="1" t="s">
        <v>262</v>
      </c>
      <c r="G11" s="1" t="s">
        <v>263</v>
      </c>
    </row>
    <row r="12" spans="1:7">
      <c r="C12" s="1" t="s">
        <v>264</v>
      </c>
      <c r="G12" s="1" t="s">
        <v>265</v>
      </c>
    </row>
    <row r="13" spans="1:7">
      <c r="C13" s="1" t="s">
        <v>176</v>
      </c>
      <c r="G13" s="1" t="s">
        <v>266</v>
      </c>
    </row>
    <row r="14" spans="1:7">
      <c r="C14" s="1" t="s">
        <v>267</v>
      </c>
      <c r="G14" s="1" t="s">
        <v>268</v>
      </c>
    </row>
    <row r="15" spans="1:7">
      <c r="C15" s="1" t="s">
        <v>269</v>
      </c>
      <c r="G15" s="1" t="s">
        <v>270</v>
      </c>
    </row>
    <row r="16" spans="1:7">
      <c r="C16" s="1" t="s">
        <v>271</v>
      </c>
      <c r="G16" s="1" t="s">
        <v>272</v>
      </c>
    </row>
    <row r="17" spans="3:7">
      <c r="C17" s="1" t="s">
        <v>273</v>
      </c>
      <c r="G17" s="1" t="s">
        <v>274</v>
      </c>
    </row>
    <row r="18" spans="3:7">
      <c r="C18" s="1" t="s">
        <v>275</v>
      </c>
      <c r="G18" s="1" t="s">
        <v>276</v>
      </c>
    </row>
    <row r="19" spans="3:7">
      <c r="C19" s="1" t="s">
        <v>277</v>
      </c>
      <c r="G19" s="1" t="s">
        <v>278</v>
      </c>
    </row>
    <row r="20" spans="3:7">
      <c r="C20" s="1" t="s">
        <v>279</v>
      </c>
      <c r="G20" s="1" t="s">
        <v>280</v>
      </c>
    </row>
    <row r="21" spans="3:7">
      <c r="C21" s="1" t="s">
        <v>281</v>
      </c>
      <c r="G21" s="1" t="s">
        <v>282</v>
      </c>
    </row>
    <row r="22" spans="3:7">
      <c r="G22" s="1" t="s">
        <v>283</v>
      </c>
    </row>
    <row r="23" spans="3:7">
      <c r="G23" s="1" t="s">
        <v>284</v>
      </c>
    </row>
    <row r="24" spans="3:7">
      <c r="G24" s="1" t="s">
        <v>285</v>
      </c>
    </row>
    <row r="25" spans="3:7">
      <c r="G25" s="1" t="s">
        <v>286</v>
      </c>
    </row>
    <row r="26" spans="3:7">
      <c r="G26" s="1" t="s">
        <v>287</v>
      </c>
    </row>
    <row r="27" spans="3:7">
      <c r="G27" s="1" t="s">
        <v>288</v>
      </c>
    </row>
    <row r="28" spans="3:7">
      <c r="G28" s="1" t="s">
        <v>289</v>
      </c>
    </row>
    <row r="29" spans="3:7">
      <c r="G29" s="1" t="s">
        <v>290</v>
      </c>
    </row>
    <row r="30" spans="3:7">
      <c r="G30" s="1" t="s">
        <v>291</v>
      </c>
    </row>
    <row r="31" spans="3:7">
      <c r="G31" s="1" t="s">
        <v>292</v>
      </c>
    </row>
    <row r="32" spans="3:7">
      <c r="G32" s="1" t="s">
        <v>293</v>
      </c>
    </row>
    <row r="33" spans="7:7">
      <c r="G33" s="1" t="s">
        <v>294</v>
      </c>
    </row>
    <row r="34" spans="7:7">
      <c r="G34" s="1" t="s">
        <v>295</v>
      </c>
    </row>
    <row r="35" spans="7:7">
      <c r="G35" s="1" t="s">
        <v>296</v>
      </c>
    </row>
    <row r="36" spans="7:7">
      <c r="G36" s="1" t="s">
        <v>297</v>
      </c>
    </row>
    <row r="37" spans="7:7">
      <c r="G37" s="1" t="s">
        <v>298</v>
      </c>
    </row>
    <row r="38" spans="7:7">
      <c r="G38" s="1" t="s">
        <v>299</v>
      </c>
    </row>
    <row r="39" spans="7:7">
      <c r="G39" s="1" t="s">
        <v>300</v>
      </c>
    </row>
    <row r="40" spans="7:7">
      <c r="G40" s="1" t="s">
        <v>301</v>
      </c>
    </row>
    <row r="41" spans="7:7">
      <c r="G41" s="1" t="s">
        <v>302</v>
      </c>
    </row>
    <row r="42" spans="7:7">
      <c r="G42" s="1" t="s">
        <v>303</v>
      </c>
    </row>
    <row r="43" spans="7:7">
      <c r="G43" s="1" t="s">
        <v>304</v>
      </c>
    </row>
    <row r="44" spans="7:7">
      <c r="G44" s="1" t="s">
        <v>305</v>
      </c>
    </row>
    <row r="45" spans="7:7">
      <c r="G45" s="1" t="s">
        <v>306</v>
      </c>
    </row>
    <row r="46" spans="7:7">
      <c r="G46" s="1" t="s">
        <v>307</v>
      </c>
    </row>
    <row r="47" spans="7:7">
      <c r="G47" s="1" t="s">
        <v>308</v>
      </c>
    </row>
    <row r="48" spans="7:7">
      <c r="G48" s="1" t="s">
        <v>309</v>
      </c>
    </row>
    <row r="49" spans="7:7">
      <c r="G49" s="1" t="s">
        <v>310</v>
      </c>
    </row>
    <row r="50" spans="7:7">
      <c r="G50" s="1" t="s">
        <v>311</v>
      </c>
    </row>
    <row r="51" spans="7:7">
      <c r="G51" s="1" t="s">
        <v>312</v>
      </c>
    </row>
    <row r="52" spans="7:7">
      <c r="G52" s="1" t="s">
        <v>313</v>
      </c>
    </row>
    <row r="53" spans="7:7">
      <c r="G53" s="1" t="s">
        <v>314</v>
      </c>
    </row>
    <row r="54" spans="7:7">
      <c r="G54" s="1" t="s">
        <v>315</v>
      </c>
    </row>
    <row r="55" spans="7:7">
      <c r="G55" s="1" t="s">
        <v>316</v>
      </c>
    </row>
    <row r="56" spans="7:7">
      <c r="G56" s="1" t="s">
        <v>317</v>
      </c>
    </row>
    <row r="57" spans="7:7">
      <c r="G57" s="1" t="s">
        <v>318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EA1A9BD2E78024D97160ADB182CABCE" ma:contentTypeVersion="3" ma:contentTypeDescription="Create a new document." ma:contentTypeScope="" ma:versionID="fc91593a1e56ec57f54af87210c93ddb">
  <xsd:schema xmlns:xsd="http://www.w3.org/2001/XMLSchema" xmlns:xs="http://www.w3.org/2001/XMLSchema" xmlns:p="http://schemas.microsoft.com/office/2006/metadata/properties" xmlns:ns2="b8f4c4a8-549e-4b6d-8e64-748e9a091944" targetNamespace="http://schemas.microsoft.com/office/2006/metadata/properties" ma:root="true" ma:fieldsID="56ea5ef3aff803a2f81d03519deb3e55" ns2:_="">
    <xsd:import namespace="b8f4c4a8-549e-4b6d-8e64-748e9a09194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f4c4a8-549e-4b6d-8e64-748e9a0919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769AE6E-857E-4D32-8999-092397AA8B9E}">
  <ds:schemaRefs>
    <ds:schemaRef ds:uri="http://schemas.microsoft.com/sharepoint/v3/contenttype/forms"/>
  </ds:schemaRefs>
</ds:datastoreItem>
</file>

<file path=customXml/itemProps2.xml><?xml version="1.0" encoding="utf-8"?>
<ds:datastoreItem xmlns:ds="http://schemas.openxmlformats.org/officeDocument/2006/customXml" ds:itemID="{69B667DB-3569-4B73-BF59-E79AF758BD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f4c4a8-549e-4b6d-8e64-748e9a0919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AF6275-648D-4FA4-B50C-A46F81B4A8E1}">
  <ds:schemaRefs>
    <ds:schemaRef ds:uri="http://purl.org/dc/terms/"/>
    <ds:schemaRef ds:uri="http://www.w3.org/XML/1998/namespace"/>
    <ds:schemaRef ds:uri="http://schemas.microsoft.com/office/2006/documentManagement/types"/>
    <ds:schemaRef ds:uri="b8f4c4a8-549e-4b6d-8e64-748e9a091944"/>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HCLClassification=Internal</cp:keywords>
  <dc:description/>
  <cp:lastModifiedBy>Perminder Vohra</cp:lastModifiedBy>
  <cp:revision/>
  <dcterms:created xsi:type="dcterms:W3CDTF">2018-09-10T17:18:27Z</dcterms:created>
  <dcterms:modified xsi:type="dcterms:W3CDTF">2026-01-05T04:10:39Z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bb3a9496-00a4-4d0c-8b3c-aa7c87df214a</vt:lpwstr>
  </property>
  <property fmtid="{D5CDD505-2E9C-101B-9397-08002B2CF9AE}" pid="3" name="HCLClassD6">
    <vt:lpwstr>False</vt:lpwstr>
  </property>
  <property fmtid="{D5CDD505-2E9C-101B-9397-08002B2CF9AE}" pid="4" name="ContentTypeId">
    <vt:lpwstr>0x0101004EA1A9BD2E78024D97160ADB182CABCE</vt:lpwstr>
  </property>
  <property fmtid="{D5CDD505-2E9C-101B-9397-08002B2CF9AE}" pid="5" name="HCLClassification">
    <vt:lpwstr>HCL_Cla5s_1nt3rnal</vt:lpwstr>
  </property>
</Properties>
</file>