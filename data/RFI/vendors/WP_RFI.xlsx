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parirobotics-my.sharepoint.com/personal/sachinga_wipropari_com/Documents/Desktop/CE Business/2026/BOC Related/RFI &amp; Capability Survey - Amit Koppalkar/Submitted R0/"/>
    </mc:Choice>
  </mc:AlternateContent>
  <xr:revisionPtr revIDLastSave="1" documentId="8_{B7C70CAD-3630-4DB1-974F-74495CA9888D}" xr6:coauthVersionLast="47" xr6:coauthVersionMax="47" xr10:uidLastSave="{272CC54C-DD27-49CE-A367-55C6A94FD608}"/>
  <workbookProtection workbookAlgorithmName="SHA-512" workbookHashValue="RQH5Kx2dOBjDEqYj2TXipBbmUcoYWMLAdWE7C3q/46dzCrNjksss7Gqr5dWEtvMaqzG16old4r+CaVxzifhVUg==" workbookSaltValue="pZPxhzHsW4NsocMKqExkEg==" workbookSpinCount="100000" lockStructure="1"/>
  <bookViews>
    <workbookView xWindow="-110" yWindow="-110" windowWidth="19420" windowHeight="10300" tabRatio="687" firstSheet="8" activeTab="10"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6" l="1"/>
  <c r="E9" i="6"/>
  <c r="I5" i="20" l="1"/>
  <c r="H5" i="20"/>
  <c r="G5" i="20"/>
  <c r="F5" i="20"/>
  <c r="I16" i="20" l="1"/>
  <c r="H16" i="20"/>
  <c r="G16" i="20"/>
  <c r="F16" i="20"/>
  <c r="E16" i="20"/>
  <c r="D16" i="20"/>
  <c r="C16"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tc={CE683254-E1BC-4ED0-B89F-9978FC733ECF}</author>
    <author>tc={96427A70-C9EC-4359-9A02-3E384E554F36}</author>
    <author>tc={AFFAAB03-E236-4AB8-A598-956A8D12EFA9}</author>
    <author>tc={ED8FF167-F1FC-4BCA-8F8F-21073A070DDA}</author>
    <author>tc={2B655244-B907-4646-8916-B162F24EA1D1}</author>
    <author>tc={216AD6C7-5AEF-46AA-9B58-94181B93AACC}</author>
    <author>tc={3008A126-A28C-4605-88F1-2FD99A42BE5F}</author>
    <author>tc={398DDAFA-58CE-474B-8D7F-BCDA7F0076B5}</author>
    <author>tc={0E809FF3-8F43-4860-8067-BC9CFE04424F}</author>
    <author>tc={194237F9-3331-473B-AD4A-3C946B70AD1A}</author>
    <author>tc={A874F8F7-3CB3-451A-A35E-ABF314200534}</author>
    <author>tc={3BCC0951-F203-410B-A160-ACEF9113AAD0}</author>
    <author>tc={33576521-D6EF-4A6D-A4B9-A9AA513AC251}</author>
    <author>tc={33756EED-4432-410A-9FB3-2B63D7B63A0F}</author>
    <author>tc={82D902EE-E0DF-4DBC-88B0-5E7B293EBD0E}</author>
    <author>tc={9A6C7631-B713-43E6-BCD2-9656FF34E8A0}</author>
  </authors>
  <commentList>
    <comment ref="C11" authorId="0" shapeId="0" xr:uid="{CE683254-E1BC-4ED0-B89F-9978FC733ECF}">
      <text>
        <t xml:space="preserve">[Threaded comment]
Your version of Excel allows you to read this threaded comment; however, any edits to it will get removed if the file is opened in a newer version of Excel. Learn more: https://go.microsoft.com/fwlink/?linkid=870924
Comment:
    This data is related to Zenith business only. 
No of Units are for only NB &amp; RF.
Other business of WP, scope can not be specified in terms units as these are custom projects.
</t>
      </text>
    </comment>
    <comment ref="D11" authorId="1" shapeId="0" xr:uid="{96427A70-C9EC-4359-9A02-3E384E554F36}">
      <text>
        <t>[Threaded comment]
Your version of Excel allows you to read this threaded comment; however, any edits to it will get removed if the file is opened in a newer version of Excel. Learn more: https://go.microsoft.com/fwlink/?linkid=870924
Comment:
    Currently, we  are doing Industrial Automation for automotive / other non consumer electronics related business. These are Turnkey projects with entire assembly lines hence can’t be specified in weekly manufacturing capacity.</t>
      </text>
    </comment>
    <comment ref="E11" authorId="2" shapeId="0" xr:uid="{AFFAAB03-E236-4AB8-A598-956A8D12EFA9}">
      <text>
        <t>[Threaded comment]
Your version of Excel allows you to read this threaded comment; however, any edits to it will get removed if the file is opened in a newer version of Excel. Learn more: https://go.microsoft.com/fwlink/?linkid=870924
Comment:
    Currently, we  are doing Industrial Automation for automotive / other non consumer electronics related business. These are Turnkey projects with entire assembly lines hence can’t be specified in weekly manufacturing capacity.</t>
      </text>
    </comment>
    <comment ref="C12" authorId="3" shapeId="0" xr:uid="{ED8FF167-F1FC-4BCA-8F8F-21073A070DDA}">
      <text>
        <t xml:space="preserve">[Threaded comment]
Your version of Excel allows you to read this threaded comment; however, any edits to it will get removed if the file is opened in a newer version of Excel. Learn more: https://go.microsoft.com/fwlink/?linkid=870924
Comment:
    This data is related to Zenith business only. 
No of Units are for only NB &amp; RF.
Other business of WP, scope can not be specified in terms units as these are custom projects.
</t>
      </text>
    </comment>
    <comment ref="D12" authorId="4" shapeId="0" xr:uid="{2B655244-B907-4646-8916-B162F24EA1D1}">
      <text>
        <t>[Threaded comment]
Your version of Excel allows you to read this threaded comment; however, any edits to it will get removed if the file is opened in a newer version of Excel. Learn more: https://go.microsoft.com/fwlink/?linkid=870924
Comment:
    Currently, we  are doing Industrial Automation for automotive / other non consumer electronics related business. These are Turnkey projects with entire assembly lines hence can’t be specified in weekly manufacturing capacity.</t>
      </text>
    </comment>
    <comment ref="E12" authorId="5" shapeId="0" xr:uid="{216AD6C7-5AEF-46AA-9B58-94181B93AACC}">
      <text>
        <t>[Threaded comment]
Your version of Excel allows you to read this threaded comment; however, any edits to it will get removed if the file is opened in a newer version of Excel. Learn more: https://go.microsoft.com/fwlink/?linkid=870924
Comment:
    Currently, we  are doing Industrial Automation for automotive / other non consumer electronics related business. These are Turnkey projects with entire assembly lines hence can’t be specified in weekly manufacturing capacity.</t>
      </text>
    </comment>
    <comment ref="C13" authorId="6" shapeId="0" xr:uid="{3008A126-A28C-4605-88F1-2FD99A42BE5F}">
      <text>
        <t>[Threaded comment]
Your version of Excel allows you to read this threaded comment; however, any edits to it will get removed if the file is opened in a newer version of Excel. Learn more: https://go.microsoft.com/fwlink/?linkid=870924
Comment:
    Expected with respect to Zenith business</t>
      </text>
    </comment>
    <comment ref="D13" authorId="7" shapeId="0" xr:uid="{398DDAFA-58CE-474B-8D7F-BCDA7F0076B5}">
      <text>
        <t>[Threaded comment]
Your version of Excel allows you to read this threaded comment; however, any edits to it will get removed if the file is opened in a newer version of Excel. Learn more: https://go.microsoft.com/fwlink/?linkid=870924
Comment:
    This Revenue is for Industrial Automation Projects as we are not doing any consumer electronics business from this facility.</t>
      </text>
    </comment>
    <comment ref="E13" authorId="8" shapeId="0" xr:uid="{0E809FF3-8F43-4860-8067-BC9CFE04424F}">
      <text>
        <t>[Threaded comment]
Your version of Excel allows you to read this threaded comment; however, any edits to it will get removed if the file is opened in a newer version of Excel. Learn more: https://go.microsoft.com/fwlink/?linkid=870924
Comment:
    This Revenue is for Industrial Automation Projects as we are not doing any consumer electronics business from this facility.</t>
      </text>
    </comment>
    <comment ref="D14" authorId="9" shapeId="0" xr:uid="{194237F9-3331-473B-AD4A-3C946B70AD1A}">
      <text>
        <t xml:space="preserve">[Threaded comment]
Your version of Excel allows you to read this threaded comment; however, any edits to it will get removed if the file is opened in a newer version of Excel. Learn more: https://go.microsoft.com/fwlink/?linkid=870924
Comment:
    Currently no, Approval can be taken.
</t>
      </text>
    </comment>
    <comment ref="E14" authorId="10" shapeId="0" xr:uid="{A874F8F7-3CB3-451A-A35E-ABF314200534}">
      <text>
        <t xml:space="preserve">[Threaded comment]
Your version of Excel allows you to read this threaded comment; however, any edits to it will get removed if the file is opened in a newer version of Excel. Learn more: https://go.microsoft.com/fwlink/?linkid=870924
Comment:
    Currently no, Approval can be taken.
</t>
      </text>
    </comment>
    <comment ref="G14" authorId="11" shapeId="0" xr:uid="{3BCC0951-F203-410B-A160-ACEF9113AAD0}">
      <text>
        <t xml:space="preserve">[Threaded comment]
Your version of Excel allows you to read this threaded comment; however, any edits to it will get removed if the file is opened in a newer version of Excel. Learn more: https://go.microsoft.com/fwlink/?linkid=870924
Comment:
    Currently no, Approval can be taken.
</t>
      </text>
    </comment>
    <comment ref="D15" authorId="12" shapeId="0" xr:uid="{33576521-D6EF-4A6D-A4B9-A9AA513AC251}">
      <text>
        <t xml:space="preserve">[Threaded comment]
Your version of Excel allows you to read this threaded comment; however, any edits to it will get removed if the file is opened in a newer version of Excel. Learn more: https://go.microsoft.com/fwlink/?linkid=870924
Comment:
    Currently no, Approval can be taken.
</t>
      </text>
    </comment>
    <comment ref="E15" authorId="13" shapeId="0" xr:uid="{33756EED-4432-410A-9FB3-2B63D7B63A0F}">
      <text>
        <t xml:space="preserve">[Threaded comment]
Your version of Excel allows you to read this threaded comment; however, any edits to it will get removed if the file is opened in a newer version of Excel. Learn more: https://go.microsoft.com/fwlink/?linkid=870924
Comment:
    Currently no, Approval can be taken.
</t>
      </text>
    </comment>
    <comment ref="G15" authorId="14" shapeId="0" xr:uid="{82D902EE-E0DF-4DBC-88B0-5E7B293EBD0E}">
      <text>
        <t xml:space="preserve">[Threaded comment]
Your version of Excel allows you to read this threaded comment; however, any edits to it will get removed if the file is opened in a newer version of Excel. Learn more: https://go.microsoft.com/fwlink/?linkid=870924
Comment:
    Currently no, Approval can be taken.
</t>
      </text>
    </comment>
    <comment ref="C16" authorId="15" shapeId="0" xr:uid="{9A6C7631-B713-43E6-BCD2-9656FF34E8A0}">
      <text>
        <t>[Threaded comment]
Your version of Excel allows you to read this threaded comment; however, any edits to it will get removed if the file is opened in a newer version of Excel. Learn more: https://go.microsoft.com/fwlink/?linkid=870924
Comment:
    This Customer Base is for Zenith Business only</t>
      </text>
    </comment>
  </commentList>
</comments>
</file>

<file path=xl/sharedStrings.xml><?xml version="1.0" encoding="utf-8"?>
<sst xmlns="http://schemas.openxmlformats.org/spreadsheetml/2006/main" count="610" uniqueCount="450">
  <si>
    <t>Website</t>
  </si>
  <si>
    <t>Public/Private</t>
  </si>
  <si>
    <t>Ticker Symbol (if Public)</t>
  </si>
  <si>
    <t>Year Founded</t>
  </si>
  <si>
    <t>First Year of Engagement with Apple</t>
  </si>
  <si>
    <t>Total # of Employees</t>
  </si>
  <si>
    <t>Region 1</t>
  </si>
  <si>
    <t>Region 2</t>
  </si>
  <si>
    <t>Region 3</t>
  </si>
  <si>
    <t>Market Cap (USD)</t>
  </si>
  <si>
    <t>Company Total Revenue (USD)</t>
  </si>
  <si>
    <t>Apple Direct Generated Revenue (USD)</t>
  </si>
  <si>
    <t>Public</t>
  </si>
  <si>
    <t>Parent Company Official Name</t>
  </si>
  <si>
    <t>Official Legal Name</t>
  </si>
  <si>
    <t>Company HQ</t>
  </si>
  <si>
    <t>Region 4</t>
  </si>
  <si>
    <t>Region 5</t>
  </si>
  <si>
    <t>*Apple issued a PO to you for this spend</t>
  </si>
  <si>
    <t>Title</t>
  </si>
  <si>
    <t>Email</t>
  </si>
  <si>
    <t>CEO or President</t>
  </si>
  <si>
    <t>Core Competencies</t>
  </si>
  <si>
    <t>Component Category</t>
  </si>
  <si>
    <t>Machine Vision</t>
  </si>
  <si>
    <t>Robotics</t>
  </si>
  <si>
    <t>Motors/Drives</t>
  </si>
  <si>
    <t>Pneumatics</t>
  </si>
  <si>
    <t>Optics</t>
  </si>
  <si>
    <t>Mechanical Linear Motion</t>
  </si>
  <si>
    <t>Conveyor System</t>
  </si>
  <si>
    <t>Feeder System</t>
  </si>
  <si>
    <t>Machined Part/Bracket</t>
  </si>
  <si>
    <t>Nest/Holder/Pallet</t>
  </si>
  <si>
    <t>Other</t>
  </si>
  <si>
    <t>Binary</t>
  </si>
  <si>
    <t>Yes</t>
  </si>
  <si>
    <t>No</t>
  </si>
  <si>
    <t>Safety/Electrical/Wiring</t>
  </si>
  <si>
    <t>Gantry Systems/Linear Motors/Stages</t>
  </si>
  <si>
    <t>Frame/Baseplate/Indexing Table</t>
  </si>
  <si>
    <t>Dispensing</t>
  </si>
  <si>
    <t>Screwdriving</t>
  </si>
  <si>
    <t>Consumables</t>
  </si>
  <si>
    <t>IPC/PLC/Motion Controller</t>
  </si>
  <si>
    <t>Fan Filtration Unit/Ionizer/HEPA Filter</t>
  </si>
  <si>
    <t>Force Measurement/Load Cells/Pressure Sensors/Accelerometers</t>
  </si>
  <si>
    <t>Countries</t>
  </si>
  <si>
    <t>Albania</t>
  </si>
  <si>
    <t>American Samoa</t>
  </si>
  <si>
    <t>Australia</t>
  </si>
  <si>
    <t>Austria</t>
  </si>
  <si>
    <t>Belgium</t>
  </si>
  <si>
    <t>Brazil</t>
  </si>
  <si>
    <t>British West Indie</t>
  </si>
  <si>
    <t>Cambodia</t>
  </si>
  <si>
    <t>Canada</t>
  </si>
  <si>
    <t>Cayman Islands</t>
  </si>
  <si>
    <t>China</t>
  </si>
  <si>
    <t>Costa Rica</t>
  </si>
  <si>
    <t>Czech Republic</t>
  </si>
  <si>
    <t>Denmark</t>
  </si>
  <si>
    <t>Estonia</t>
  </si>
  <si>
    <t>Finland</t>
  </si>
  <si>
    <t>France</t>
  </si>
  <si>
    <t>Germany</t>
  </si>
  <si>
    <t>Greece</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</si>
  <si>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</si>
  <si>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</si>
  <si>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</si>
  <si>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</si>
  <si>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</si>
  <si>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</si>
  <si>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</si>
  <si>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</si>
  <si>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</si>
  <si>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</si>
  <si>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</si>
  <si>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</si>
  <si>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</si>
  <si>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</si>
  <si>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</si>
  <si>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</si>
  <si>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</si>
  <si>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</si>
  <si>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</si>
  <si>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</si>
  <si>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</si>
  <si>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</si>
  <si>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</si>
  <si>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</si>
  <si>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</si>
  <si>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</si>
  <si>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</si>
  <si>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</si>
  <si>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</si>
  <si>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</si>
  <si>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</si>
  <si>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</si>
  <si>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</si>
  <si>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</si>
  <si>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</si>
  <si>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</si>
  <si>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</si>
  <si>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Company Type</t>
  </si>
  <si>
    <t>Private</t>
  </si>
  <si>
    <t>Training Time (wks)</t>
  </si>
  <si>
    <t>Manufacturing Location 1</t>
  </si>
  <si>
    <t>Manufacturing Location 2</t>
  </si>
  <si>
    <t>Manufacturing Location 3</t>
  </si>
  <si>
    <t>Manufacturing Location 4</t>
  </si>
  <si>
    <t>Manufacturing Location 5</t>
  </si>
  <si>
    <t>Country of Residence</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</si>
  <si>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</si>
  <si>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</si>
  <si>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xml:space="preserve">All sections requiring Participant's response are denoted by a highlighted cell. All responses shall be submitted, in writing, in the associated cell or attached via email response, where requested. </t>
  </si>
  <si>
    <t xml:space="preserve">2   RFI Rules of Engagement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</si>
  <si>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</si>
  <si>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</si>
  <si>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</si>
  <si>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</si>
  <si>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</si>
  <si>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</si>
  <si>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</si>
  <si>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</si>
  <si>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</si>
  <si>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</si>
  <si>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</si>
  <si>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Participant’s Proposal must identify and describe the Goods and/or Services to be provided by each subcontractor, if any, which Participant intends to use in providing any Goods and/or Services to Apple.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</si>
  <si>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</si>
  <si>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</si>
  <si>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</si>
  <si>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 xml:space="preserve">RFI Submission Date </t>
  </si>
  <si>
    <t>HQ Location</t>
  </si>
  <si>
    <t>Type</t>
  </si>
  <si>
    <t>Key Area Leaders (Example : CEO, COO, CFO etc)</t>
  </si>
  <si>
    <t>Name (First, Last)</t>
  </si>
  <si>
    <t xml:space="preserve">Contact Number (include country code - e.g. USA +1) </t>
  </si>
  <si>
    <t>Commercial DRI / Apple Executive Contact</t>
  </si>
  <si>
    <t>Operations Leader</t>
  </si>
  <si>
    <t xml:space="preserve">Finance </t>
  </si>
  <si>
    <t>Engineering</t>
  </si>
  <si>
    <t>Supply chain</t>
  </si>
  <si>
    <t>Project Management</t>
  </si>
  <si>
    <t>Production</t>
  </si>
  <si>
    <t>*Enter Data in USD in millions</t>
  </si>
  <si>
    <t>2026 (expected)</t>
  </si>
  <si>
    <t>2027 (expected)</t>
  </si>
  <si>
    <t>Gross Profit</t>
  </si>
  <si>
    <t>Operating Profit</t>
  </si>
  <si>
    <t>*CMs and Module Integrators issued a PO to you for this spend</t>
  </si>
  <si>
    <r>
      <t>     3.1  </t>
    </r>
    <r>
      <rPr>
        <b/>
        <sz val="16"/>
        <color theme="0"/>
        <rFont val="SF Hello Regular"/>
      </rPr>
      <t xml:space="preserve"> Participant Acknowledgment</t>
    </r>
  </si>
  <si>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</si>
  <si>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</si>
  <si>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</si>
  <si>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</si>
  <si>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</si>
  <si>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</si>
  <si>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</si>
  <si>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What are the key supply chain tactics being followed?</t>
  </si>
  <si>
    <r>
      <t xml:space="preserve">     2.1   </t>
    </r>
    <r>
      <rPr>
        <b/>
        <sz val="16"/>
        <color theme="0"/>
        <rFont val="SF Hello Regular"/>
      </rPr>
      <t xml:space="preserve">Communications </t>
    </r>
  </si>
  <si>
    <r>
      <t xml:space="preserve">     2.2   </t>
    </r>
    <r>
      <rPr>
        <b/>
        <sz val="16"/>
        <color theme="0"/>
        <rFont val="SF Hello Regular"/>
      </rPr>
      <t xml:space="preserve">Proposal </t>
    </r>
  </si>
  <si>
    <r>
      <t xml:space="preserve">     2.3   </t>
    </r>
    <r>
      <rPr>
        <b/>
        <sz val="16"/>
        <color theme="0"/>
        <rFont val="SF Hello Regular"/>
      </rPr>
      <t xml:space="preserve">RFI Submission </t>
    </r>
  </si>
  <si>
    <r>
      <t xml:space="preserve">     2.4   </t>
    </r>
    <r>
      <rPr>
        <b/>
        <sz val="16"/>
        <color theme="0"/>
        <rFont val="SF Hello Regular"/>
      </rPr>
      <t xml:space="preserve">Proposal Decision </t>
    </r>
  </si>
  <si>
    <r>
      <t xml:space="preserve">     2.5   </t>
    </r>
    <r>
      <rPr>
        <b/>
        <sz val="16"/>
        <color theme="0"/>
        <rFont val="SF Hello Regular"/>
      </rPr>
      <t xml:space="preserve">No Obligation </t>
    </r>
  </si>
  <si>
    <r>
      <t xml:space="preserve">     2.6   </t>
    </r>
    <r>
      <rPr>
        <b/>
        <sz val="16"/>
        <color theme="0"/>
        <rFont val="SF Hello Regular"/>
      </rPr>
      <t xml:space="preserve">Purchase Orders </t>
    </r>
  </si>
  <si>
    <r>
      <t xml:space="preserve">     2.7   </t>
    </r>
    <r>
      <rPr>
        <b/>
        <sz val="16"/>
        <color theme="0"/>
        <rFont val="SF Hello Regular"/>
      </rPr>
      <t xml:space="preserve">Confidentiality; Publicity; Marks </t>
    </r>
  </si>
  <si>
    <r>
      <t xml:space="preserve">     2.8   </t>
    </r>
    <r>
      <rPr>
        <b/>
        <sz val="16"/>
        <color theme="0"/>
        <rFont val="SF Hello Regular"/>
      </rPr>
      <t xml:space="preserve">Risk of Loss, Damage or Delay </t>
    </r>
  </si>
  <si>
    <r>
      <t xml:space="preserve">     2.9   </t>
    </r>
    <r>
      <rPr>
        <b/>
        <sz val="16"/>
        <color theme="0"/>
        <rFont val="SF Hello Regular"/>
      </rPr>
      <t xml:space="preserve">No Gift Policy </t>
    </r>
  </si>
  <si>
    <r>
      <t xml:space="preserve">     2.10   </t>
    </r>
    <r>
      <rPr>
        <b/>
        <sz val="16"/>
        <color theme="0"/>
        <rFont val="SF Hello Regular"/>
      </rPr>
      <t xml:space="preserve">Participant Information </t>
    </r>
  </si>
  <si>
    <r>
      <t xml:space="preserve">     2.11   </t>
    </r>
    <r>
      <rPr>
        <b/>
        <sz val="16"/>
        <color theme="0"/>
        <rFont val="SF Hello Regular"/>
      </rPr>
      <t xml:space="preserve">Collusive Bidding </t>
    </r>
  </si>
  <si>
    <r>
      <t xml:space="preserve">     2.12   </t>
    </r>
    <r>
      <rPr>
        <b/>
        <sz val="16"/>
        <color theme="0"/>
        <rFont val="SF Hello Regular"/>
      </rPr>
      <t xml:space="preserve">Personnel </t>
    </r>
  </si>
  <si>
    <r>
      <t xml:space="preserve">     2.13   </t>
    </r>
    <r>
      <rPr>
        <b/>
        <sz val="16"/>
        <color theme="0"/>
        <rFont val="SF Hello Regular"/>
      </rPr>
      <t xml:space="preserve">Subcontractors </t>
    </r>
  </si>
  <si>
    <r>
      <t xml:space="preserve">     2.14   </t>
    </r>
    <r>
      <rPr>
        <b/>
        <sz val="16"/>
        <color theme="0"/>
        <rFont val="SF Hello Regular"/>
      </rPr>
      <t xml:space="preserve">Errors and Omissions </t>
    </r>
  </si>
  <si>
    <r>
      <t xml:space="preserve">     1.1   </t>
    </r>
    <r>
      <rPr>
        <b/>
        <sz val="16"/>
        <color theme="0"/>
        <rFont val="SF Hello Regular"/>
      </rPr>
      <t xml:space="preserve">About Apple </t>
    </r>
  </si>
  <si>
    <r>
      <t xml:space="preserve">     1.2  </t>
    </r>
    <r>
      <rPr>
        <b/>
        <sz val="16"/>
        <color theme="0"/>
        <rFont val="SF Hello Regular"/>
      </rPr>
      <t xml:space="preserve">Project Overview and Purpose </t>
    </r>
  </si>
  <si>
    <r>
      <t xml:space="preserve">     1.3  </t>
    </r>
    <r>
      <rPr>
        <b/>
        <sz val="16"/>
        <color theme="0"/>
        <rFont val="SF Hello Regular"/>
      </rPr>
      <t>RFI Content &amp; Sections</t>
    </r>
  </si>
  <si>
    <r>
      <t xml:space="preserve">     1.4  </t>
    </r>
    <r>
      <rPr>
        <b/>
        <sz val="16"/>
        <color theme="0"/>
        <rFont val="SF Hello Regular"/>
      </rPr>
      <t>RFI Due Date</t>
    </r>
  </si>
  <si>
    <r>
      <t xml:space="preserve">     1.5  </t>
    </r>
    <r>
      <rPr>
        <b/>
        <sz val="16"/>
        <color theme="0"/>
        <rFont val="SF Hello Regular"/>
      </rPr>
      <t>RFI Response Requested</t>
    </r>
  </si>
  <si>
    <r>
      <t>     1.6  </t>
    </r>
    <r>
      <rPr>
        <b/>
        <sz val="16"/>
        <color theme="0"/>
        <rFont val="SF Hello Regular"/>
      </rPr>
      <t xml:space="preserve">Procurement Contact </t>
    </r>
  </si>
  <si>
    <t>Region 6</t>
  </si>
  <si>
    <t>Region Country</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</si>
  <si>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</si>
  <si>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</si>
  <si>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</si>
  <si>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</si>
  <si>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</si>
  <si>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</si>
  <si>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</si>
  <si>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</si>
  <si>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</si>
  <si>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</si>
  <si>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</si>
  <si>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</si>
  <si>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</si>
  <si>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</si>
  <si>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</si>
  <si>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</si>
  <si>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</si>
  <si>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Attrition Rate (%)</t>
  </si>
  <si>
    <t>Any previous issues faced in shipping to certain countries?</t>
  </si>
  <si>
    <t>Are there any inhouse machining / job shop capabilities? If so, please explain in detail in terms of machine qty available (CNC, Mill, Lathe, EDM Weld, etc.), volume produced, &amp; available capacity.</t>
  </si>
  <si>
    <t>What are the supply chain resiliency plans to ensure no distruption in supply?</t>
  </si>
  <si>
    <t>Facility New Product Security (NPS) Approved?</t>
  </si>
  <si>
    <t>Customer Base served from this location
(City and Country of the customer)</t>
  </si>
  <si>
    <t>Max Weekly Manufacturing Capacity
(by volume of units shipped)</t>
  </si>
  <si>
    <t>Average Weekly Manufacturing Capacity
(by volume of units shipped)</t>
  </si>
  <si>
    <t>Comments</t>
  </si>
  <si>
    <t>2025 (expected)</t>
  </si>
  <si>
    <t>2028 (expected)</t>
  </si>
  <si>
    <t>If any other, please add …</t>
  </si>
  <si>
    <t>Please fill in all fields with year end numbers to complete this section. Only numbers are allowed to be input.</t>
  </si>
  <si>
    <t xml:space="preserve">1   Introduction </t>
  </si>
  <si>
    <t>What are all the key subcomponent vendors used and where are they located (city, country)? Please provide rough volume &amp; spend with key subcomponent vendors as well.</t>
  </si>
  <si>
    <t>Hiring Difficulty in Region (High/Medium/Low)</t>
  </si>
  <si>
    <t>Region 7</t>
  </si>
  <si>
    <t>Region 8</t>
  </si>
  <si>
    <t>Exclude 3rd Party Agency Partners</t>
  </si>
  <si>
    <t>TOTAL</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</si>
  <si>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</si>
  <si>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</si>
  <si>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</si>
  <si>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</si>
  <si>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</si>
  <si>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Use the blank page to detail your company's technical roadmap for apple or other customers</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</si>
  <si>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</si>
  <si>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</si>
  <si>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Are there any Global expansion plans in the future for Manufacturing? Please desrcibe in detail.</t>
  </si>
  <si>
    <r>
      <t>     10.2.2</t>
    </r>
    <r>
      <rPr>
        <b/>
        <sz val="16"/>
        <color theme="0"/>
        <rFont val="SF Hello Regular"/>
      </rPr>
      <t>   Development Resources</t>
    </r>
  </si>
  <si>
    <r>
      <t>     10.2.3</t>
    </r>
    <r>
      <rPr>
        <b/>
        <sz val="16"/>
        <color theme="0"/>
        <rFont val="SF Hello Regular"/>
      </rPr>
      <t>   Price / Equipment Breakdown Transparency</t>
    </r>
  </si>
  <si>
    <r>
      <t xml:space="preserve">     10.2   </t>
    </r>
    <r>
      <rPr>
        <b/>
        <sz val="16"/>
        <color theme="0"/>
        <rFont val="SF Hello Regular"/>
      </rPr>
      <t>Commercial Standards</t>
    </r>
  </si>
  <si>
    <r>
      <t xml:space="preserve">     10.1   </t>
    </r>
    <r>
      <rPr>
        <b/>
        <sz val="16"/>
        <color theme="0"/>
        <rFont val="SF Hello Regular"/>
      </rPr>
      <t>Contractual Standards</t>
    </r>
  </si>
  <si>
    <r>
      <t xml:space="preserve">     10.2.1 </t>
    </r>
    <r>
      <rPr>
        <b/>
        <sz val="16"/>
        <color theme="0"/>
        <rFont val="SF Hello Regular"/>
      </rPr>
      <t>   Demo EQ</t>
    </r>
  </si>
  <si>
    <t>10   Commercial Expectations</t>
  </si>
  <si>
    <t>Please fill in all fields to complete this section. If there are supplemental compnay overview slides, please attach to RFI response.</t>
  </si>
  <si>
    <t>Custom Automation</t>
  </si>
  <si>
    <t>Plasma/Oven</t>
  </si>
  <si>
    <t>P&amp;P / Attach</t>
  </si>
  <si>
    <t>Lighting</t>
  </si>
  <si>
    <t>AI/ML</t>
  </si>
  <si>
    <t>Categories</t>
  </si>
  <si>
    <t>Sub-Categories</t>
  </si>
  <si>
    <t>Core Tech</t>
  </si>
  <si>
    <t>Process Equipment Tech</t>
  </si>
  <si>
    <t>Inspection Equipment Tech</t>
  </si>
  <si>
    <t>System Integtation</t>
  </si>
  <si>
    <t>Laser</t>
  </si>
  <si>
    <t>Please fill in Technical Capabilties information by Category and Sub-Category.</t>
  </si>
  <si>
    <t>Client / Reference</t>
  </si>
  <si>
    <t>Apple DRI Name</t>
  </si>
  <si>
    <t>Apple DRI Email</t>
  </si>
  <si>
    <t>Client / Reference Email</t>
  </si>
  <si>
    <t>Applicable Project Experience
(Year, Machine Description &amp; QTY, Spend, Timeline)</t>
  </si>
  <si>
    <t>Applicable Apple Experience
(Year, Machine Description &amp; QTY, Spend, Timeline)</t>
  </si>
  <si>
    <t>In House Capability?</t>
  </si>
  <si>
    <t>Outsourced?</t>
  </si>
  <si>
    <t>Equipment Type &amp; Key Technologies</t>
  </si>
  <si>
    <t>Competitive Advantage(s)</t>
  </si>
  <si>
    <r>
      <t>     10.1.3</t>
    </r>
    <r>
      <rPr>
        <b/>
        <sz val="16"/>
        <color theme="0"/>
        <rFont val="SF Hello Regular"/>
      </rPr>
      <t xml:space="preserve">  New Product Security (NPS) Audit</t>
    </r>
  </si>
  <si>
    <r>
      <t>     10.1.2</t>
    </r>
    <r>
      <rPr>
        <b/>
        <sz val="16"/>
        <color theme="0"/>
        <rFont val="SF Hello Regular"/>
      </rPr>
      <t xml:space="preserve">  NDA, ARPA, &amp; EDPA</t>
    </r>
  </si>
  <si>
    <r>
      <t xml:space="preserve">     10.1.1 </t>
    </r>
    <r>
      <rPr>
        <b/>
        <sz val="16"/>
        <color theme="0"/>
        <rFont val="SF Hello Regular"/>
      </rPr>
      <t>  Company Organizational Structure &amp; Entities</t>
    </r>
  </si>
  <si>
    <r>
      <t>     10.2.4</t>
    </r>
    <r>
      <rPr>
        <b/>
        <sz val="16"/>
        <color theme="0"/>
        <rFont val="SF Hello Regular"/>
      </rPr>
      <t>   Distribution Model &amp; Authorized Purchasers</t>
    </r>
  </si>
  <si>
    <t>Total Field Service Engineers - L2 (HC)</t>
  </si>
  <si>
    <t>Total Field Service Engineers - L1 (HC)</t>
  </si>
  <si>
    <t>Total Field Service Engineers - L3 (HC)</t>
  </si>
  <si>
    <t>Support Capabilities in Region - Total # of Units (QTY)</t>
  </si>
  <si>
    <t>Total Project Management (HC)</t>
  </si>
  <si>
    <t>Total Engineering (HC)
(Mechanical, Electircal, Software, etc.)</t>
  </si>
  <si>
    <t>Total Production (HC)</t>
  </si>
  <si>
    <t>Total OSS (HC)</t>
  </si>
  <si>
    <t>Supply Chain (HC)</t>
  </si>
  <si>
    <t>Quality (HC)</t>
  </si>
  <si>
    <t>Shipping &amp; Logistics (HC)</t>
  </si>
  <si>
    <t>Dedicated Resourcing (HC)
(PM, Engineering, Production, OSS, etc.)</t>
  </si>
  <si>
    <t>Proficiency</t>
  </si>
  <si>
    <t xml:space="preserve">Typcical Development &amp; Equipment Lead Times
(RFP to DFM, KO to ETA, ETA to SAT, OEE, etc.) </t>
  </si>
  <si>
    <t>*If there are existing NDA, ARPA, and EDPA, please attach in response to RFI.</t>
  </si>
  <si>
    <t>Facility Headcount (HC)
(PM, Engineering, Production, OSS, Supply Chain, Quality, Shipping &amp; Logistics, R&amp;D, Sales &amp; Marketing, Executive)</t>
  </si>
  <si>
    <t xml:space="preserve">Average Total Annual Revenue from Units Produced </t>
  </si>
  <si>
    <r>
      <t>     10.1.4</t>
    </r>
    <r>
      <rPr>
        <b/>
        <sz val="16"/>
        <color theme="0"/>
        <rFont val="SF Hello Regular"/>
      </rPr>
      <t xml:space="preserve">  Enviroment &amp; Supply Supply Chain Innovation (ESCI) Facility Readiness Assessment (FRA)</t>
    </r>
  </si>
  <si>
    <t>Enviroment &amp; Supply Supply Chain Innovation (ESCI) Facility Readiness Assessment (FRA) Approved?</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</si>
  <si>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</si>
  <si>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</si>
  <si>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</si>
  <si>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Apple Indirect Generated Revenue (USD)</t>
  </si>
  <si>
    <t>R&amp;D (HC)
(Mechanical, Electircal, Software, etc.)</t>
  </si>
  <si>
    <t>Sales &amp; Marketing (HC)</t>
  </si>
  <si>
    <t>Executive (HC)</t>
  </si>
  <si>
    <t>Please fill in Headcount (HC) information. Only numbers are allowed to be input.</t>
  </si>
  <si>
    <t>Assembly</t>
  </si>
  <si>
    <t>Regions Served (Countries &amp; QTY)</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</si>
  <si>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</si>
  <si>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Fixture Design &amp; Fabrication</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</si>
  <si>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</si>
  <si>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</si>
  <si>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Metrology</t>
  </si>
  <si>
    <t>Dispatch Difficulty from Region (High/Medium/Low)</t>
  </si>
  <si>
    <t>SW/PLC Integration</t>
  </si>
  <si>
    <r>
      <t>     10.2.5</t>
    </r>
    <r>
      <rPr>
        <b/>
        <sz val="16"/>
        <color theme="0"/>
        <rFont val="SF Hello Regular"/>
      </rPr>
      <t>   Equipment Design &amp; Retrofitability</t>
    </r>
  </si>
  <si>
    <r>
      <t>     10.2.7</t>
    </r>
    <r>
      <rPr>
        <b/>
        <sz val="16"/>
        <color theme="0"/>
        <rFont val="SF Hello Regular"/>
      </rPr>
      <t>   Equipment Component Selection</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</si>
  <si>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</si>
  <si>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</si>
  <si>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</si>
  <si>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10.2.6</t>
    </r>
    <r>
      <rPr>
        <b/>
        <sz val="16"/>
        <color theme="0"/>
        <rFont val="SF Hello Regular"/>
      </rPr>
      <t>   OSS Requirements &amp; Necessity</t>
    </r>
  </si>
  <si>
    <t>Key Components &amp; Average Annual Spend ($M)
(Prefernce for off the shelf components)</t>
  </si>
  <si>
    <t>Test Equipment Tech</t>
  </si>
  <si>
    <t>Laser Compliance Test</t>
  </si>
  <si>
    <t>Button Test</t>
  </si>
  <si>
    <t>Camera Test</t>
  </si>
  <si>
    <t>Optical Test</t>
  </si>
  <si>
    <t>Acoustic Test</t>
  </si>
  <si>
    <t>Force Test</t>
  </si>
  <si>
    <t>Display Sensing/L
uminance Test</t>
  </si>
  <si>
    <r>
      <t>     10.2.8</t>
    </r>
    <r>
      <rPr>
        <b/>
        <sz val="16"/>
        <color theme="0"/>
        <rFont val="SF Hello Regular"/>
      </rPr>
      <t>   Equipment Software &amp; Training Materials</t>
    </r>
  </si>
  <si>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</si>
  <si>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</si>
  <si>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 xml:space="preserve">Kyle Boutin
Global Sourcing &amp; Supply Management
+1-415-352-9000
kboutin@apple.com   </t>
  </si>
  <si>
    <t>Participant acknowledges and agrees to an on-site Facility Readiness Assessment (FRA) of workshop and facilities by Apple Environment &amp;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</si>
  <si>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Please add geographic breakdown of 2024/2025 Engineering resources by geography in the comments section
Suggested geogrpahies already incldued, feel free to edit/add/subtract geogrpahies as necessary</t>
  </si>
  <si>
    <t>US:
China:
India:
Vietnam:
Thailand:
Brazil:
ETC:</t>
  </si>
  <si>
    <r>
      <t xml:space="preserve">Participant's Proposal to this Request for Information (“RFI”) shall be sent via email by no later than </t>
    </r>
    <r>
      <rPr>
        <b/>
        <sz val="16"/>
        <color rgb="FFFF0000"/>
        <rFont val="SF Hello Regular"/>
      </rPr>
      <t>Monday, December 1, 2025 by 11:00PM Asia time.</t>
    </r>
    <r>
      <rPr>
        <b/>
        <sz val="16"/>
        <color theme="1"/>
        <rFont val="SF Hello Regular"/>
      </rPr>
      <t xml:space="preserve"> </t>
    </r>
  </si>
  <si>
    <r>
      <t xml:space="preserve">All Proposals shall be submitted via email to Procurement Contact no later than </t>
    </r>
    <r>
      <rPr>
        <b/>
        <sz val="16"/>
        <color rgb="FFFF0000"/>
        <rFont val="SF Hello Regular"/>
      </rPr>
      <t>Monday, December 1,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</si>
  <si>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t>Low</t>
  </si>
  <si>
    <t>Wipro Pari</t>
  </si>
  <si>
    <t>Wipro PARI INC</t>
  </si>
  <si>
    <t>Wipro PARI GMBH</t>
  </si>
  <si>
    <t>WIPRO PARI ROMANIA SRL</t>
  </si>
  <si>
    <t>Satara, India</t>
  </si>
  <si>
    <t>Rochester Hills, Michigan USA</t>
  </si>
  <si>
    <t>Plant-1-Wipro PARI GMBH- Passau (Germany)
Plant-2-Wipro Hochrainer-Freilassing (Germany)</t>
  </si>
  <si>
    <t>Sibiu, Romnia</t>
  </si>
  <si>
    <t>Gat No. 463/A/2/8 to 463/A/2/11, 463/A/2/15 &amp; 463/A/2/16, Village Dhangarwadi, Tal. Khandala, Satara, Maharashtra 412801</t>
  </si>
  <si>
    <t>Michigan
Wipro PARI Inc
2930 Technology Dr,
Rochester Hills, MI 48309</t>
  </si>
  <si>
    <t>Plant-1 Wipro PARI GMBH
Plant- 2 Wipro Hochrainer GmbH
Pommernstraße 4
D-83395 Freilassing.</t>
  </si>
  <si>
    <t>WIPRO PARI ROMANIA SRL
Sibiu, str. Stefan cel Mare, no. 152-154,
Zip Code 550321</t>
  </si>
  <si>
    <t>V57/V53/V54/D23/D4X/D9Y/D37/D38/V59</t>
  </si>
  <si>
    <t>NA</t>
  </si>
  <si>
    <t>Assembly/Pick and Place/Dispense/Leak Test/Tightening/Printer</t>
  </si>
  <si>
    <t>Assembly/Pick and Place/Dispense/Leak Test/Tightening/Pressing/Welding/Gauging/Battery EOL Testing</t>
  </si>
  <si>
    <t>For Non Zenith Industrial Automation Projects- USA, Mexico, Canada,</t>
  </si>
  <si>
    <t>For Non Zenith Industrial Automation Projects-Europe Region</t>
  </si>
  <si>
    <t>For Non Zenith Industrial Automation Projects-Estern Europe Region</t>
  </si>
  <si>
    <t>Planning to have facility in Vietnam (Manufacturing &amp; Engineering Centre), will be based on the Future business.</t>
  </si>
  <si>
    <t>ATEQ,Keyence,Cognex,SMC,Delta are some of key components suppliers located in India,Japan, Ireland and approximately spend 42M USD for top 25 suppliers.</t>
  </si>
  <si>
    <t xml:space="preserve">Supplier engagement,Commercial alignment,stock management &amp; Delivery agreement with suppliers, Logistic optimization, Import compliance, ERP integration for MOQ, Monitor and control conversion time from PR to PO.
</t>
  </si>
  <si>
    <t>Yes, We have machine shop with mothly capacity of 15444 Hrs. And machine details as follows;
FANUC Robodrill Alpha D21 MiB Plus
FANUC Robodrill Alpha D21 MiB Plus With DDiB
Mazak VC Ez 410 IP
Mazak VC Ez 510 IP,Makino Slim3n 5 Axis
Tsugami Mi08DY-II,FANUC Robocut C400i
Cosmos E1050 NC</t>
  </si>
  <si>
    <t>1.Redundant Aggregators: We maintain relationships with alternative aggregators, even those without prior history, to swiftly transition in case our primary aggregator encounters challenges, such as export restrictions from China.
2.Alternative Routing via Neutral Countries: We explore and establish logistics channels through neutral countries like Vietnam and Dubai, appointing reliable aggregators in these regions to diversify our supply routes.
3.Flexible Import Options: We assess the feasibility of importing products in assembled or kitted forms, allowing for quicker assembly and reducing dependency on single-source components.
4.Localized Alternatives: We identify and prepare alternate localized options for temporary use, ensuring continuity in production and reducing lead times during unforeseen disruptions.</t>
  </si>
  <si>
    <t xml:space="preserve">At present for Zenith EQ - Chennai,Banglore and Hyderabad in india.
For other EQ- USA, Mexico, Canada, Europe, Turkey, South East Asia &amp; Middle East. </t>
  </si>
  <si>
    <r>
      <t>Gat No. 463/A/2/8 to 463/A/2/11, 463/A/2/15 &amp; 463/A/2/16, Village Dhangarwadi, Taluka Khandala, Satara, Maharashtra, India – 412801</t>
    </r>
    <r>
      <rPr>
        <sz val="12"/>
        <color theme="1"/>
        <rFont val="Calibri"/>
        <family val="2"/>
        <scheme val="minor"/>
      </rPr>
      <t>.</t>
    </r>
  </si>
  <si>
    <t>PRIVATE</t>
  </si>
  <si>
    <t>GOVIND OZA</t>
  </si>
  <si>
    <t>DEPUTY CEO</t>
  </si>
  <si>
    <t>INDIA</t>
  </si>
  <si>
    <t>govind@wipropari.com</t>
  </si>
  <si>
    <t>SACHIN AGNIHOTRI</t>
  </si>
  <si>
    <t>LEADER BUISNESS DEVELOPMENT &amp; SALES</t>
  </si>
  <si>
    <t>sachinga@wipropari.com</t>
  </si>
  <si>
    <t>MAHESHKUMAR MUNDASE</t>
  </si>
  <si>
    <t>HEAD OPERATIONS</t>
  </si>
  <si>
    <t>maheshkumar.m@wipropari.com</t>
  </si>
  <si>
    <t>VINIT JAIN</t>
  </si>
  <si>
    <t>HEAD DIRECT TAXATION</t>
  </si>
  <si>
    <t>vinit.j@wipropari.com</t>
  </si>
  <si>
    <t>SANTOSH SHETE CHANDRAKANT LOKULWAR</t>
  </si>
  <si>
    <t>HEAD DESIGN MEHANICAL HEAD DESIGN CONTROLS</t>
  </si>
  <si>
    <t>santoshs@wipropari.com chandrakantl@wipropari.com</t>
  </si>
  <si>
    <t>VISHWAS GANGAKHEDKAR</t>
  </si>
  <si>
    <t>LEADER PURCHASE MECHANICAL</t>
  </si>
  <si>
    <t>vishwas.g@wipropari.com</t>
  </si>
  <si>
    <t>DEEPAK MEHTA</t>
  </si>
  <si>
    <t>HEAD PROJECTS</t>
  </si>
  <si>
    <t>deepak@wipropari.com</t>
  </si>
  <si>
    <t>MAKARAND GURAV</t>
  </si>
  <si>
    <t>FUNCTIONAL HEAD BUILD MECHANICAL</t>
  </si>
  <si>
    <t>makarand.g@wipropari.com</t>
  </si>
  <si>
    <t>SWAROOP  YADAV</t>
  </si>
  <si>
    <t>HEAD DESIGNATE CONTROL SOFTWARE</t>
  </si>
  <si>
    <t>swaroop.y@wipropari.com</t>
  </si>
  <si>
    <t>ANAND VENKAT</t>
  </si>
  <si>
    <t>anand.v@wipropari.com</t>
  </si>
  <si>
    <t>https://www.wipropari.com/</t>
  </si>
  <si>
    <t>Wipro Pari Robotics Pvt Ltd.</t>
  </si>
  <si>
    <t>Wipro Enterprises Pvt Ltd.</t>
  </si>
  <si>
    <t xml:space="preserve"> +91 9822063838</t>
  </si>
  <si>
    <t xml:space="preserve">+91 8975002931 </t>
  </si>
  <si>
    <t>+91 9730178728</t>
  </si>
  <si>
    <t xml:space="preserve">+91 9711881091 </t>
  </si>
  <si>
    <t>+91 9423034256                                           + 91 8956537400</t>
  </si>
  <si>
    <t>+91 8007019926</t>
  </si>
  <si>
    <t>+91 9958691206</t>
  </si>
  <si>
    <t>+91 9881208501</t>
  </si>
  <si>
    <t>+91 7774051190</t>
  </si>
  <si>
    <t>+91 9600009178</t>
  </si>
  <si>
    <t>Yes,We have ERP system for material management, flow start with CO master, Dispatch, BOM, MRP Run, Auto Indents/PR, Indents/PR converted to PO, Base on PO GRR prepared, after inspection material can be issued to production work orders, after completion of production work order closed and PDI (Pre Dispatch Intimation) generated to close the material loop. We have various reports to monitor the pending material, pending PO etc. 
Please Refer attached document.
 6.21 Supporting Document - ERP Material Management Flow – Summary</t>
  </si>
  <si>
    <t>Attached Reference Documents for all Quality check process.
1. 6.20.A Supporting Document  - IQC SOP
2. 6.20.B Supporting Document - IPQC SOP
3. 6.20.C Supporting Document - OQC_SOP</t>
  </si>
  <si>
    <t xml:space="preserve">Please refer attachment for Project management process flow.
8b Supporting Document - Project Management PSY-BSP-PRJ-01
</t>
  </si>
  <si>
    <t>Automation solutions</t>
  </si>
  <si>
    <t>Wipro Pari Robotics Pvt Ltd</t>
  </si>
  <si>
    <t>Bengaluru,India</t>
  </si>
  <si>
    <t>Survey No 24,Kolipura Village,
Plot No 261,Obadenahalli Ind. Area,Kasaba Hobli, Dadballpur Karnataka-561203</t>
  </si>
  <si>
    <t>AE</t>
  </si>
  <si>
    <t>Bengaluru-India,
Chennai-India</t>
  </si>
  <si>
    <t>Chennai,India</t>
  </si>
  <si>
    <t>8/3A1, Venkadu- Sriperumbudur Road
Sriperumbudur Taluk, Kancheepuram,
Tamilnadu 602105</t>
  </si>
  <si>
    <t>Currently WP is working for FATP Equipments for iPhone SKD Line</t>
  </si>
  <si>
    <t xml:space="preserve">Plan is to develop </t>
  </si>
  <si>
    <t>1. CKD Line EQ for iPhone</t>
  </si>
  <si>
    <t>2. Subassembly Line EQ for iPhone</t>
  </si>
  <si>
    <t>3. Subassembly line, Final Assembly line &amp; Testing EQ for AirPods</t>
  </si>
  <si>
    <t>4. CM driven Automation EQ</t>
  </si>
  <si>
    <t>6. Asembly EQ for iPad &amp; Mac (in Vietnam)</t>
  </si>
  <si>
    <t>7. EQ for charger assembly.</t>
  </si>
  <si>
    <t>High</t>
  </si>
  <si>
    <t>Medium</t>
  </si>
  <si>
    <t>Application engneering,Design,Manufacturing,Build &amp; Testing,Comissioning, Onsite service support</t>
  </si>
  <si>
    <t>Software(Labview,C#),Programming, debugging, Tracability &amp; Database</t>
  </si>
  <si>
    <t>Vision selection based on the part components</t>
  </si>
  <si>
    <t>Lighting selection based on the part components</t>
  </si>
  <si>
    <t xml:space="preserve">Current team count for Zenith related is common for all technologies </t>
  </si>
  <si>
    <t>Assembly/Screw Torquing/Dispensing/Leak Test/Printing</t>
  </si>
  <si>
    <t>PLC Base software, PC base software, debugging, Traceability, Data base management</t>
  </si>
  <si>
    <t>Assembly/Pick and Place/Screw Torquing/Dispensing/Leak Test/Plasma Treatmnet/Printer/Pressing/ Measurement/Vision</t>
  </si>
  <si>
    <t>Assembly/Precision Cover plates/Peeloff/Cleaning Fixtures/Pallets/Carriers</t>
  </si>
  <si>
    <t>Dispenser (piezoelectric &amp; pneumatic dispensing mechanism)</t>
  </si>
  <si>
    <t xml:space="preserve">Point Laser/Line Lasers for welding
</t>
  </si>
  <si>
    <t>Open Air Plasm Tech.</t>
  </si>
  <si>
    <t>Robots with End effectors/Grippers/Gantry</t>
  </si>
  <si>
    <t>Precision Assembly sys based on the inputs</t>
  </si>
  <si>
    <t>Pre, In process &amp; Post Inspections</t>
  </si>
  <si>
    <t>Pre, In process &amp; Post Lightings solutions</t>
  </si>
  <si>
    <t>Actual Spend is more but this is related to major key components from ATEQ,Keyence,Cognex,SMC,Delta are some of key components suppliers located in India,Japan, Ireland for Zenith Business.
Spend 42MUSD is for top 25 suppliers.</t>
  </si>
  <si>
    <t>RFP to DFM -   5 wks (Repeat Technology)
RFP to DFM - 12 wks (New Technology)
KO to ETA - 16 wks
ETA to SAT - 3 wks
OEE - 2 wks</t>
  </si>
  <si>
    <t>Refer column System Integration</t>
  </si>
  <si>
    <t>Post Sales support, Global presence, Adaptability of system integration</t>
  </si>
  <si>
    <t>Base org is having software &amp; RBT engineers which can be utilized for new business during peak requirement</t>
  </si>
  <si>
    <t xml:space="preserve">Assembly </t>
  </si>
  <si>
    <t>Pallets, Carrier, Press toolings, Grippers, etc</t>
  </si>
  <si>
    <t>RTV Dispensing, Potting Glue dispensing (2K), Thermal Glue dispensing.</t>
  </si>
  <si>
    <t>Laser Cleaning, Laser welding</t>
  </si>
  <si>
    <t>Ford, Stellantis, AAM, Tesla, ZF, GM, Vinfast, Tata Motors, Mahindra, Nissan, Renault, Suzuki, Honda etc.</t>
  </si>
  <si>
    <t>In 2024, for FATP supplied 46 NBs, 80 RFs in timeline of Oct to Mar and in 2025, for FATP supplied  70 NBs, 306 RFs in timeline of Apr to June</t>
  </si>
  <si>
    <t>Brenda</t>
  </si>
  <si>
    <t>Arnold Schaefer</t>
  </si>
  <si>
    <t>Robert Clarke</t>
  </si>
  <si>
    <t>Yateen Shembade</t>
  </si>
  <si>
    <t>bzelaya@apple.com</t>
  </si>
  <si>
    <t> a_schaefer@apple.com</t>
  </si>
  <si>
    <t>  robert_clarke@apple.com</t>
  </si>
  <si>
    <t> yshembade@apple.com</t>
  </si>
  <si>
    <t>5. EQ for Module (Cyclone)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</si>
</sst>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0_-;\-* #,##0_-;_-* &quot;-&quot;_-;_-@_-"/>
    <numFmt numFmtId="166" formatCode="_-[$$-409]* #,##0.00_ ;_-[$$-409]* \-#,##0.00\ ;_-[$$-409]* &quot;-&quot;_ ;_-@_ "/>
  </numFmts>
  <fonts count="30">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87">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2" fillId="0" borderId="0" xfId="0" applyFont="1" applyAlignment="1">
      <alignment vertical="center" wrapText="1"/>
    </xf>
    <xf numFmtId="0" fontId="0" fillId="0" borderId="0" xfId="0" applyAlignment="1">
      <alignment wrapText="1"/>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Pranav Patil" id="{7A5F6477-F64A-4278-B797-B71AD04FCD04}" userId="S::pranav.p.3@wipropari.com::c65c26eb-c2a7-4cf7-a614-daf03f1f51b2"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1" dT="2025-11-28T08:54:34.35" personId="{7A5F6477-F64A-4278-B797-B71AD04FCD04}" id="{CE683254-E1BC-4ED0-B89F-9978FC733ECF}">
    <text xml:space="preserve">This data is related to Zenith business only. 
No of Units are for only NB &amp; RF.
Other business of WP, scope can not be specified in terms units as these are custom projects.
</text>
  </threadedComment>
  <threadedComment ref="D11" dT="2025-11-28T08:55:21.16" personId="{7A5F6477-F64A-4278-B797-B71AD04FCD04}" id="{96427A70-C9EC-4359-9A02-3E384E554F36}">
    <text>Currently, we  are doing Industrial Automation for automotive / other non consumer electronics related business. These are Turnkey projects with entire assembly lines hence can’t be specified in weekly manufacturing capacity.</text>
  </threadedComment>
  <threadedComment ref="E11" dT="2025-11-28T08:55:47.03" personId="{7A5F6477-F64A-4278-B797-B71AD04FCD04}" id="{AFFAAB03-E236-4AB8-A598-956A8D12EFA9}">
    <text>Currently, we  are doing Industrial Automation for automotive / other non consumer electronics related business. These are Turnkey projects with entire assembly lines hence can’t be specified in weekly manufacturing capacity.</text>
  </threadedComment>
  <threadedComment ref="C12" dT="2025-11-28T08:54:41.50" personId="{7A5F6477-F64A-4278-B797-B71AD04FCD04}" id="{ED8FF167-F1FC-4BCA-8F8F-21073A070DDA}">
    <text xml:space="preserve">This data is related to Zenith business only. 
No of Units are for only NB &amp; RF.
Other business of WP, scope can not be specified in terms units as these are custom projects.
</text>
  </threadedComment>
  <threadedComment ref="D12" dT="2025-11-28T08:56:59.43" personId="{7A5F6477-F64A-4278-B797-B71AD04FCD04}" id="{2B655244-B907-4646-8916-B162F24EA1D1}">
    <text>Currently, we  are doing Industrial Automation for automotive / other non consumer electronics related business. These are Turnkey projects with entire assembly lines hence can’t be specified in weekly manufacturing capacity.</text>
  </threadedComment>
  <threadedComment ref="E12" dT="2025-11-28T08:57:22.10" personId="{7A5F6477-F64A-4278-B797-B71AD04FCD04}" id="{216AD6C7-5AEF-46AA-9B58-94181B93AACC}">
    <text>Currently, we  are doing Industrial Automation for automotive / other non consumer electronics related business. These are Turnkey projects with entire assembly lines hence can’t be specified in weekly manufacturing capacity.</text>
  </threadedComment>
  <threadedComment ref="C13" dT="2025-11-28T08:58:35.04" personId="{7A5F6477-F64A-4278-B797-B71AD04FCD04}" id="{3008A126-A28C-4605-88F1-2FD99A42BE5F}">
    <text>Expected with respect to Zenith business</text>
  </threadedComment>
  <threadedComment ref="D13" dT="2025-11-28T08:59:12.83" personId="{7A5F6477-F64A-4278-B797-B71AD04FCD04}" id="{398DDAFA-58CE-474B-8D7F-BCDA7F0076B5}">
    <text>This Revenue is for Industrial Automation Projects as we are not doing any consumer electronics business from this facility.</text>
  </threadedComment>
  <threadedComment ref="E13" dT="2025-11-28T08:59:19.84" personId="{7A5F6477-F64A-4278-B797-B71AD04FCD04}" id="{0E809FF3-8F43-4860-8067-BC9CFE04424F}">
    <text>This Revenue is for Industrial Automation Projects as we are not doing any consumer electronics business from this facility.</text>
  </threadedComment>
  <threadedComment ref="D14" dT="2025-11-28T09:00:33.87" personId="{7A5F6477-F64A-4278-B797-B71AD04FCD04}" id="{194237F9-3331-473B-AD4A-3C946B70AD1A}">
    <text xml:space="preserve">Currently no, Approval can be taken.
</text>
  </threadedComment>
  <threadedComment ref="E14" dT="2025-11-28T09:00:43.59" personId="{7A5F6477-F64A-4278-B797-B71AD04FCD04}" id="{A874F8F7-3CB3-451A-A35E-ABF314200534}">
    <text xml:space="preserve">Currently no, Approval can be taken.
</text>
  </threadedComment>
  <threadedComment ref="G14" dT="2025-11-28T09:01:04.36" personId="{7A5F6477-F64A-4278-B797-B71AD04FCD04}" id="{3BCC0951-F203-410B-A160-ACEF9113AAD0}">
    <text xml:space="preserve">Currently no, Approval can be taken.
</text>
  </threadedComment>
  <threadedComment ref="D15" dT="2025-11-28T09:00:39.06" personId="{7A5F6477-F64A-4278-B797-B71AD04FCD04}" id="{33576521-D6EF-4A6D-A4B9-A9AA513AC251}">
    <text xml:space="preserve">Currently no, Approval can be taken.
</text>
  </threadedComment>
  <threadedComment ref="E15" dT="2025-11-28T09:00:47.74" personId="{7A5F6477-F64A-4278-B797-B71AD04FCD04}" id="{33756EED-4432-410A-9FB3-2B63D7B63A0F}">
    <text xml:space="preserve">Currently no, Approval can be taken.
</text>
  </threadedComment>
  <threadedComment ref="G15" dT="2025-11-28T09:01:07.85" personId="{7A5F6477-F64A-4278-B797-B71AD04FCD04}" id="{82D902EE-E0DF-4DBC-88B0-5E7B293EBD0E}">
    <text xml:space="preserve">Currently no, Approval can be taken.
</text>
  </threadedComment>
  <threadedComment ref="C16" dT="2025-11-28T09:01:43.61" personId="{7A5F6477-F64A-4278-B797-B71AD04FCD04}" id="{9A6C7631-B713-43E6-BCD2-9656FF34E8A0}">
    <text>This Customer Base is for Zenith Business only</text>
  </threadedComment>
</ThreadedComment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topLeftCell="B1" workbookViewId="0">
      <selection activeCell="B2" sqref="B2"/>
    </sheetView>
  </sheetViews>
  <sheetFormatPr defaultColWidth="10.83203125" defaultRowHeight="20"/>
  <cols>
    <col min="1" max="1" width="10.83203125" style="48"/>
    <col min="2" max="2" width="200.83203125" style="10" customWidth="1"/>
    <col min="3" max="16384" width="10.83203125" style="48"/>
  </cols>
  <sheetData>
    <row r="2" spans="2:2">
      <c r="B2" s="8" t="s">
        <v>212</v>
      </c>
    </row>
    <row r="3" spans="2:2">
      <c r="B3" s="41" t="s">
        <v>174</v>
      </c>
    </row>
    <row r="4" spans="2:2" ht="80">
      <c r="B4" s="9" t="s">
        <v>113</v>
      </c>
    </row>
    <row r="5" spans="2:2">
      <c r="B5" s="41" t="s">
        <v>175</v>
      </c>
    </row>
    <row r="6" spans="2:2" ht="40">
      <c r="B6" s="9" t="s">
        <v>114</v>
      </c>
    </row>
    <row r="7" spans="2:2">
      <c r="B7" s="41" t="s">
        <v>176</v>
      </c>
    </row>
    <row r="8" spans="2:2" ht="280">
      <c r="B8" s="9" t="s">
        <v>291</v>
      </c>
    </row>
    <row r="9" spans="2:2">
      <c r="B9" s="41" t="s">
        <v>177</v>
      </c>
    </row>
    <row r="10" spans="2:2">
      <c r="B10" s="9" t="s">
        <v>320</v>
      </c>
    </row>
    <row r="11" spans="2:2">
      <c r="B11" s="41" t="s">
        <v>178</v>
      </c>
    </row>
    <row r="12" spans="2:2" ht="40">
      <c r="B12" s="9" t="s">
        <v>115</v>
      </c>
    </row>
    <row r="13" spans="2:2">
      <c r="B13" s="41" t="s">
        <v>179</v>
      </c>
    </row>
    <row r="14" spans="2:2" ht="80">
      <c r="B14" s="69" t="s">
        <v>316</v>
      </c>
    </row>
  </sheetData>
  <sheetProtection algorithmName="SHA-512" hashValue="gNEeoSaHz0Uu18VdOcEyK/p84qeJJF8CIF0tFHmc4GF7IrTX01qVcEa1Hedm4DXyFCdELvLMAzKP0cDidCfi9w==" saltValue="a4PtLAARMg3VQpgqL3E1CA=="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zoomScale="70" zoomScaleNormal="70" workbookViewId="0">
      <selection activeCell="B8" sqref="B8"/>
    </sheetView>
  </sheetViews>
  <sheetFormatPr defaultColWidth="10.83203125" defaultRowHeight="20"/>
  <cols>
    <col min="1" max="1" width="10.83203125" style="48"/>
    <col min="2" max="2" width="200.83203125" style="10" customWidth="1"/>
    <col min="3" max="16384" width="10.83203125" style="48"/>
  </cols>
  <sheetData>
    <row r="2" spans="2:2">
      <c r="B2" s="8" t="s">
        <v>116</v>
      </c>
    </row>
    <row r="3" spans="2:2">
      <c r="B3" s="40" t="s">
        <v>160</v>
      </c>
    </row>
    <row r="4" spans="2:2" ht="40">
      <c r="B4" s="9" t="s">
        <v>117</v>
      </c>
    </row>
    <row r="5" spans="2:2">
      <c r="B5" s="41" t="s">
        <v>161</v>
      </c>
    </row>
    <row r="6" spans="2:2" ht="40">
      <c r="B6" s="9" t="s">
        <v>118</v>
      </c>
    </row>
    <row r="7" spans="2:2">
      <c r="B7" s="41" t="s">
        <v>162</v>
      </c>
    </row>
    <row r="8" spans="2:2" ht="60">
      <c r="B8" s="9" t="s">
        <v>321</v>
      </c>
    </row>
    <row r="9" spans="2:2">
      <c r="B9" s="41" t="s">
        <v>163</v>
      </c>
    </row>
    <row r="10" spans="2:2" ht="40">
      <c r="B10" s="9" t="s">
        <v>119</v>
      </c>
    </row>
    <row r="11" spans="2:2">
      <c r="B11" s="41" t="s">
        <v>164</v>
      </c>
    </row>
    <row r="12" spans="2:2" ht="120">
      <c r="B12" s="9" t="s">
        <v>120</v>
      </c>
    </row>
    <row r="13" spans="2:2">
      <c r="B13" s="41" t="s">
        <v>165</v>
      </c>
    </row>
    <row r="14" spans="2:2" ht="80">
      <c r="B14" s="9" t="s">
        <v>121</v>
      </c>
    </row>
    <row r="15" spans="2:2">
      <c r="B15" s="41" t="s">
        <v>166</v>
      </c>
    </row>
    <row r="16" spans="2:2" ht="160">
      <c r="B16" s="9" t="s">
        <v>122</v>
      </c>
    </row>
    <row r="17" spans="2:2">
      <c r="B17" s="41" t="s">
        <v>167</v>
      </c>
    </row>
    <row r="18" spans="2:2" ht="60">
      <c r="B18" s="9" t="s">
        <v>123</v>
      </c>
    </row>
    <row r="19" spans="2:2">
      <c r="B19" s="41" t="s">
        <v>168</v>
      </c>
    </row>
    <row r="20" spans="2:2" ht="120">
      <c r="B20" s="9" t="s">
        <v>124</v>
      </c>
    </row>
    <row r="21" spans="2:2">
      <c r="B21" s="41" t="s">
        <v>169</v>
      </c>
    </row>
    <row r="22" spans="2:2" ht="60">
      <c r="B22" s="9" t="s">
        <v>125</v>
      </c>
    </row>
    <row r="23" spans="2:2">
      <c r="B23" s="41" t="s">
        <v>170</v>
      </c>
    </row>
    <row r="24" spans="2:2" ht="200">
      <c r="B24" s="9" t="s">
        <v>126</v>
      </c>
    </row>
    <row r="25" spans="2:2">
      <c r="B25" s="41" t="s">
        <v>171</v>
      </c>
    </row>
    <row r="26" spans="2:2" ht="160">
      <c r="B26" s="9" t="s">
        <v>127</v>
      </c>
    </row>
    <row r="27" spans="2:2">
      <c r="B27" s="41" t="s">
        <v>172</v>
      </c>
    </row>
    <row r="28" spans="2:2" ht="40">
      <c r="B28" s="9" t="s">
        <v>128</v>
      </c>
    </row>
    <row r="29" spans="2:2">
      <c r="B29" s="41" t="s">
        <v>173</v>
      </c>
    </row>
    <row r="30" spans="2:2" ht="40">
      <c r="B30" s="9" t="s">
        <v>129</v>
      </c>
    </row>
  </sheetData>
  <sheetProtection algorithmName="SHA-512" hashValue="oPI9W8iskSgpld/0BkjZBsYnh5Hq6dyz0CDPgqA1ni8GlsxmWoGR94CoqCdWi3PzbXEQ5SdtT3TX+p47CBhapQ==" saltValue="5jF/pdWWHs7i04RBnxdMfw=="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zoomScale="70" zoomScaleNormal="70" workbookViewId="0">
      <selection activeCell="B9" sqref="B9"/>
    </sheetView>
  </sheetViews>
  <sheetFormatPr defaultColWidth="10.83203125" defaultRowHeight="20"/>
  <cols>
    <col min="1" max="1" width="10.83203125" style="48"/>
    <col min="2" max="2" width="141.5" style="10" customWidth="1"/>
    <col min="3" max="3" width="40.83203125" style="13" customWidth="1"/>
    <col min="4" max="16384" width="10.83203125" style="48"/>
  </cols>
  <sheetData>
    <row r="2" spans="2:3">
      <c r="B2" s="8" t="s">
        <v>130</v>
      </c>
      <c r="C2" s="11"/>
    </row>
    <row r="3" spans="2:3">
      <c r="B3" s="40" t="s">
        <v>151</v>
      </c>
      <c r="C3" s="11"/>
    </row>
    <row r="4" spans="2:3" ht="200">
      <c r="B4" s="12" t="s">
        <v>131</v>
      </c>
      <c r="C4" s="47" t="s">
        <v>36</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opLeftCell="A12" zoomScale="70" zoomScaleNormal="70" workbookViewId="0">
      <selection activeCell="D10" sqref="D10"/>
    </sheetView>
  </sheetViews>
  <sheetFormatPr defaultColWidth="10.83203125" defaultRowHeight="18.5"/>
  <cols>
    <col min="1" max="1" width="3.5" style="15" customWidth="1"/>
    <col min="2" max="2" width="74.6640625" style="15" customWidth="1"/>
    <col min="3" max="4" width="29.1640625" style="15" customWidth="1"/>
    <col min="5" max="5" width="30.33203125" style="15" bestFit="1" customWidth="1"/>
    <col min="6" max="6" width="29.1640625" style="15" customWidth="1"/>
    <col min="7" max="7" width="38.33203125" style="15" customWidth="1"/>
    <col min="8" max="8" width="10.83203125" style="3" customWidth="1"/>
    <col min="9" max="16384" width="10.83203125" style="3"/>
  </cols>
  <sheetData>
    <row r="1" spans="1:7" ht="26" customHeight="1">
      <c r="B1" s="14" t="s">
        <v>234</v>
      </c>
    </row>
    <row r="2" spans="1:7" ht="26" customHeight="1">
      <c r="A2" s="15">
        <v>1</v>
      </c>
      <c r="B2" s="16" t="s">
        <v>132</v>
      </c>
      <c r="C2" s="17">
        <v>45992</v>
      </c>
    </row>
    <row r="3" spans="1:7" ht="26" customHeight="1">
      <c r="A3" s="15">
        <v>2</v>
      </c>
      <c r="B3" s="16" t="s">
        <v>14</v>
      </c>
      <c r="C3" s="18" t="s">
        <v>381</v>
      </c>
    </row>
    <row r="4" spans="1:7" ht="26" customHeight="1">
      <c r="A4" s="15">
        <v>3</v>
      </c>
      <c r="B4" s="16" t="s">
        <v>13</v>
      </c>
      <c r="C4" s="18" t="s">
        <v>382</v>
      </c>
      <c r="E4" s="19"/>
    </row>
    <row r="5" spans="1:7" ht="26" customHeight="1">
      <c r="A5" s="15">
        <v>4</v>
      </c>
      <c r="B5" s="16" t="s">
        <v>133</v>
      </c>
      <c r="C5" s="18" t="s">
        <v>348</v>
      </c>
      <c r="E5" s="19"/>
    </row>
    <row r="6" spans="1:7" ht="26" customHeight="1">
      <c r="A6" s="15">
        <v>5</v>
      </c>
      <c r="B6" s="16" t="s">
        <v>0</v>
      </c>
      <c r="C6" s="20" t="s">
        <v>380</v>
      </c>
      <c r="E6" s="19"/>
    </row>
    <row r="7" spans="1:7" ht="26" customHeight="1">
      <c r="A7" s="15">
        <v>6</v>
      </c>
      <c r="B7" s="16" t="s">
        <v>1</v>
      </c>
      <c r="C7" s="18" t="s">
        <v>349</v>
      </c>
      <c r="E7" s="19"/>
    </row>
    <row r="8" spans="1:7" ht="26" customHeight="1">
      <c r="A8" s="15">
        <v>7</v>
      </c>
      <c r="B8" s="16" t="s">
        <v>2</v>
      </c>
      <c r="C8" s="18" t="s">
        <v>336</v>
      </c>
    </row>
    <row r="9" spans="1:7" ht="26" customHeight="1">
      <c r="A9" s="15">
        <v>8</v>
      </c>
      <c r="B9" s="16" t="s">
        <v>134</v>
      </c>
      <c r="C9" s="18" t="s">
        <v>396</v>
      </c>
    </row>
    <row r="10" spans="1:7" ht="26" customHeight="1">
      <c r="A10" s="15">
        <v>9</v>
      </c>
      <c r="B10" s="16" t="s">
        <v>5</v>
      </c>
      <c r="C10" s="18">
        <v>3412</v>
      </c>
    </row>
    <row r="11" spans="1:7">
      <c r="A11" s="15">
        <v>10</v>
      </c>
      <c r="B11" s="16" t="s">
        <v>3</v>
      </c>
      <c r="C11" s="18">
        <v>1990</v>
      </c>
    </row>
    <row r="12" spans="1:7">
      <c r="A12" s="15">
        <v>11</v>
      </c>
      <c r="B12" s="16" t="s">
        <v>4</v>
      </c>
      <c r="C12" s="18">
        <v>2023</v>
      </c>
      <c r="F12" s="21"/>
    </row>
    <row r="15" spans="1:7" ht="37">
      <c r="B15" s="24" t="s">
        <v>135</v>
      </c>
      <c r="C15" s="25" t="s">
        <v>136</v>
      </c>
      <c r="D15" s="25" t="s">
        <v>19</v>
      </c>
      <c r="E15" s="25" t="s">
        <v>112</v>
      </c>
      <c r="F15" s="25" t="s">
        <v>20</v>
      </c>
      <c r="G15" s="26" t="s">
        <v>137</v>
      </c>
    </row>
    <row r="16" spans="1:7">
      <c r="B16" s="27" t="s">
        <v>21</v>
      </c>
      <c r="C16" s="18" t="s">
        <v>350</v>
      </c>
      <c r="D16" s="18" t="s">
        <v>351</v>
      </c>
      <c r="E16" s="18" t="s">
        <v>352</v>
      </c>
      <c r="F16" s="20" t="s">
        <v>353</v>
      </c>
      <c r="G16" s="28" t="s">
        <v>383</v>
      </c>
    </row>
    <row r="17" spans="2:7" ht="37">
      <c r="B17" s="27" t="s">
        <v>138</v>
      </c>
      <c r="C17" s="18" t="s">
        <v>354</v>
      </c>
      <c r="D17" s="18" t="s">
        <v>355</v>
      </c>
      <c r="E17" s="18" t="s">
        <v>352</v>
      </c>
      <c r="F17" s="20" t="s">
        <v>356</v>
      </c>
      <c r="G17" s="28" t="s">
        <v>384</v>
      </c>
    </row>
    <row r="18" spans="2:7">
      <c r="B18" s="27" t="s">
        <v>139</v>
      </c>
      <c r="C18" s="18" t="s">
        <v>357</v>
      </c>
      <c r="D18" s="18" t="s">
        <v>358</v>
      </c>
      <c r="E18" s="18" t="s">
        <v>352</v>
      </c>
      <c r="F18" s="20" t="s">
        <v>359</v>
      </c>
      <c r="G18" s="28" t="s">
        <v>385</v>
      </c>
    </row>
    <row r="19" spans="2:7">
      <c r="B19" s="27" t="s">
        <v>140</v>
      </c>
      <c r="C19" s="18" t="s">
        <v>360</v>
      </c>
      <c r="D19" s="18" t="s">
        <v>361</v>
      </c>
      <c r="E19" s="18" t="s">
        <v>352</v>
      </c>
      <c r="F19" s="20" t="s">
        <v>362</v>
      </c>
      <c r="G19" s="28" t="s">
        <v>386</v>
      </c>
    </row>
    <row r="20" spans="2:7" ht="37">
      <c r="B20" s="29" t="s">
        <v>141</v>
      </c>
      <c r="C20" s="22" t="s">
        <v>363</v>
      </c>
      <c r="D20" s="22" t="s">
        <v>364</v>
      </c>
      <c r="E20" s="18" t="s">
        <v>352</v>
      </c>
      <c r="F20" s="23" t="s">
        <v>365</v>
      </c>
      <c r="G20" s="28" t="s">
        <v>387</v>
      </c>
    </row>
    <row r="21" spans="2:7" ht="37">
      <c r="B21" s="27" t="s">
        <v>142</v>
      </c>
      <c r="C21" s="18" t="s">
        <v>366</v>
      </c>
      <c r="D21" s="18" t="s">
        <v>367</v>
      </c>
      <c r="E21" s="18" t="s">
        <v>352</v>
      </c>
      <c r="F21" s="20" t="s">
        <v>368</v>
      </c>
      <c r="G21" s="28" t="s">
        <v>388</v>
      </c>
    </row>
    <row r="22" spans="2:7">
      <c r="B22" s="27" t="s">
        <v>143</v>
      </c>
      <c r="C22" s="18" t="s">
        <v>369</v>
      </c>
      <c r="D22" s="22" t="s">
        <v>370</v>
      </c>
      <c r="E22" s="18" t="s">
        <v>352</v>
      </c>
      <c r="F22" s="20" t="s">
        <v>371</v>
      </c>
      <c r="G22" s="28" t="s">
        <v>389</v>
      </c>
    </row>
    <row r="23" spans="2:7" ht="37">
      <c r="B23" s="27" t="s">
        <v>144</v>
      </c>
      <c r="C23" s="18" t="s">
        <v>372</v>
      </c>
      <c r="D23" s="22" t="s">
        <v>373</v>
      </c>
      <c r="E23" s="18" t="s">
        <v>352</v>
      </c>
      <c r="F23" s="20" t="s">
        <v>374</v>
      </c>
      <c r="G23" s="28" t="s">
        <v>390</v>
      </c>
    </row>
    <row r="24" spans="2:7" ht="37">
      <c r="B24" s="27" t="s">
        <v>210</v>
      </c>
      <c r="C24" s="18" t="s">
        <v>375</v>
      </c>
      <c r="D24" s="18" t="s">
        <v>376</v>
      </c>
      <c r="E24" s="18" t="s">
        <v>352</v>
      </c>
      <c r="F24" s="20" t="s">
        <v>377</v>
      </c>
      <c r="G24" s="28" t="s">
        <v>391</v>
      </c>
    </row>
    <row r="25" spans="2:7">
      <c r="B25" s="27" t="s">
        <v>210</v>
      </c>
      <c r="C25" s="30" t="s">
        <v>378</v>
      </c>
      <c r="D25" s="30" t="s">
        <v>370</v>
      </c>
      <c r="E25" s="30" t="s">
        <v>352</v>
      </c>
      <c r="F25" s="31" t="s">
        <v>379</v>
      </c>
      <c r="G25" s="32" t="s">
        <v>392</v>
      </c>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zoomScale="70" zoomScaleNormal="70" workbookViewId="0">
      <selection activeCell="E6" sqref="E6"/>
    </sheetView>
  </sheetViews>
  <sheetFormatPr defaultColWidth="10.83203125" defaultRowHeight="15.5"/>
  <cols>
    <col min="1" max="1" width="4.83203125" customWidth="1"/>
    <col min="2" max="2" width="53.83203125" customWidth="1"/>
    <col min="3" max="8" width="28.1640625" customWidth="1"/>
    <col min="9" max="16384" width="10.83203125" style="1"/>
  </cols>
  <sheetData>
    <row r="1" spans="2:9" ht="51" customHeight="1">
      <c r="B1" s="14" t="s">
        <v>211</v>
      </c>
    </row>
    <row r="2" spans="2:9" ht="51" customHeight="1">
      <c r="B2" s="16" t="s">
        <v>145</v>
      </c>
      <c r="C2" s="16">
        <v>2022</v>
      </c>
      <c r="D2" s="16">
        <v>2023</v>
      </c>
      <c r="E2" s="16">
        <v>2024</v>
      </c>
      <c r="F2" s="16" t="s">
        <v>208</v>
      </c>
      <c r="G2" s="16" t="s">
        <v>146</v>
      </c>
      <c r="H2" s="16" t="s">
        <v>147</v>
      </c>
    </row>
    <row r="3" spans="2:9" ht="51" customHeight="1">
      <c r="B3" s="33" t="s">
        <v>9</v>
      </c>
      <c r="C3" s="58"/>
      <c r="D3" s="58"/>
      <c r="E3" s="58"/>
      <c r="F3" s="58"/>
      <c r="G3" s="58"/>
      <c r="H3" s="58"/>
    </row>
    <row r="4" spans="2:9" ht="51" customHeight="1">
      <c r="B4" s="33" t="s">
        <v>10</v>
      </c>
      <c r="C4" s="58"/>
      <c r="D4" s="58"/>
      <c r="E4" s="58">
        <v>3</v>
      </c>
      <c r="F4" s="58">
        <v>35</v>
      </c>
      <c r="G4" s="58"/>
      <c r="H4" s="58"/>
      <c r="I4" s="4"/>
    </row>
    <row r="5" spans="2:9" ht="51" customHeight="1">
      <c r="B5" s="33" t="s">
        <v>11</v>
      </c>
      <c r="C5" s="58"/>
      <c r="D5" s="58"/>
      <c r="E5" s="58">
        <v>3</v>
      </c>
      <c r="F5" s="58">
        <v>35</v>
      </c>
      <c r="G5" s="58"/>
      <c r="H5" s="58"/>
      <c r="I5" s="4" t="s">
        <v>18</v>
      </c>
    </row>
    <row r="6" spans="2:9" ht="51" customHeight="1">
      <c r="B6" s="33" t="s">
        <v>284</v>
      </c>
      <c r="C6" s="58"/>
      <c r="D6" s="58"/>
      <c r="E6" s="58"/>
      <c r="F6" s="58"/>
      <c r="G6" s="58"/>
      <c r="H6" s="58"/>
      <c r="I6" s="2" t="s">
        <v>150</v>
      </c>
    </row>
    <row r="8" spans="2:9" ht="18.5">
      <c r="B8" s="16" t="s">
        <v>145</v>
      </c>
      <c r="C8" s="16">
        <v>2023</v>
      </c>
      <c r="D8" s="16">
        <v>2023</v>
      </c>
      <c r="E8" s="16">
        <v>2024</v>
      </c>
      <c r="F8" s="16" t="s">
        <v>208</v>
      </c>
      <c r="G8" s="16" t="s">
        <v>146</v>
      </c>
      <c r="H8" s="16" t="s">
        <v>147</v>
      </c>
    </row>
    <row r="9" spans="2:9" ht="18.5">
      <c r="B9" s="33" t="s">
        <v>148</v>
      </c>
      <c r="C9" s="59"/>
      <c r="D9" s="59"/>
      <c r="E9" s="59">
        <f>+E5*27.5%</f>
        <v>0.82500000000000007</v>
      </c>
      <c r="F9" s="59">
        <f>+F5*27.5%</f>
        <v>9.625</v>
      </c>
      <c r="G9" s="59"/>
      <c r="H9" s="59"/>
    </row>
    <row r="10" spans="2:9" ht="18.5">
      <c r="B10" s="33" t="s">
        <v>149</v>
      </c>
      <c r="C10" s="59"/>
      <c r="D10" s="59"/>
      <c r="E10" s="59">
        <v>1.0000000000000001E-5</v>
      </c>
      <c r="F10" s="59">
        <v>1.27</v>
      </c>
      <c r="G10" s="59"/>
      <c r="H10" s="59"/>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topLeftCell="C1" zoomScale="55" zoomScaleNormal="55" workbookViewId="0">
      <selection activeCell="H3" sqref="H3"/>
    </sheetView>
  </sheetViews>
  <sheetFormatPr defaultColWidth="10.83203125" defaultRowHeight="26" customHeight="1"/>
  <cols>
    <col min="1" max="1" width="6.1640625" style="63" customWidth="1"/>
    <col min="2" max="2" width="59" style="35" customWidth="1"/>
    <col min="3" max="3" width="38.5" style="3" customWidth="1"/>
    <col min="4" max="8" width="38.5" style="6" customWidth="1"/>
    <col min="9" max="11" width="29.1640625" style="3" customWidth="1"/>
    <col min="12" max="16384" width="10.83203125" style="3"/>
  </cols>
  <sheetData>
    <row r="1" spans="1:8" s="15" customFormat="1" ht="51" customHeight="1">
      <c r="A1" s="61"/>
      <c r="B1" s="34" t="s">
        <v>293</v>
      </c>
    </row>
    <row r="2" spans="1:8" s="35" customFormat="1" ht="56" customHeight="1">
      <c r="A2" s="62"/>
      <c r="B2" s="16"/>
      <c r="C2" s="16" t="s">
        <v>15</v>
      </c>
      <c r="D2" s="36" t="s">
        <v>107</v>
      </c>
      <c r="E2" s="36" t="s">
        <v>108</v>
      </c>
      <c r="F2" s="36" t="s">
        <v>109</v>
      </c>
      <c r="G2" s="36" t="s">
        <v>110</v>
      </c>
      <c r="H2" s="36" t="s">
        <v>111</v>
      </c>
    </row>
    <row r="3" spans="1:8" ht="60" customHeight="1">
      <c r="A3" s="63">
        <v>1</v>
      </c>
      <c r="B3" s="16" t="s">
        <v>152</v>
      </c>
      <c r="C3" s="37" t="s">
        <v>323</v>
      </c>
      <c r="D3" s="37" t="s">
        <v>324</v>
      </c>
      <c r="E3" s="37" t="s">
        <v>325</v>
      </c>
      <c r="F3" s="18" t="s">
        <v>397</v>
      </c>
      <c r="G3" s="18" t="s">
        <v>326</v>
      </c>
      <c r="H3" s="18" t="s">
        <v>397</v>
      </c>
    </row>
    <row r="4" spans="1:8" ht="60" customHeight="1">
      <c r="A4" s="63">
        <v>2</v>
      </c>
      <c r="B4" s="16" t="s">
        <v>153</v>
      </c>
      <c r="C4" s="18" t="s">
        <v>327</v>
      </c>
      <c r="D4" s="18" t="s">
        <v>328</v>
      </c>
      <c r="E4" s="18" t="s">
        <v>329</v>
      </c>
      <c r="F4" s="18" t="s">
        <v>398</v>
      </c>
      <c r="G4" s="50" t="s">
        <v>330</v>
      </c>
      <c r="H4" s="18" t="s">
        <v>402</v>
      </c>
    </row>
    <row r="5" spans="1:8" ht="60" customHeight="1">
      <c r="A5" s="63">
        <v>3</v>
      </c>
      <c r="B5" s="16" t="s">
        <v>154</v>
      </c>
      <c r="C5" s="18" t="s">
        <v>331</v>
      </c>
      <c r="D5" s="18" t="s">
        <v>332</v>
      </c>
      <c r="E5" s="18" t="s">
        <v>333</v>
      </c>
      <c r="F5" s="18" t="s">
        <v>399</v>
      </c>
      <c r="G5" s="18" t="s">
        <v>334</v>
      </c>
      <c r="H5" s="18" t="s">
        <v>403</v>
      </c>
    </row>
    <row r="6" spans="1:8" ht="60" customHeight="1">
      <c r="A6" s="63">
        <v>4</v>
      </c>
      <c r="B6" s="36" t="s">
        <v>155</v>
      </c>
      <c r="C6" s="18" t="s">
        <v>335</v>
      </c>
      <c r="D6" s="18" t="s">
        <v>336</v>
      </c>
      <c r="E6" s="18" t="s">
        <v>336</v>
      </c>
      <c r="F6" s="18"/>
      <c r="G6" s="18" t="s">
        <v>336</v>
      </c>
      <c r="H6" s="18"/>
    </row>
    <row r="7" spans="1:8" ht="86" customHeight="1">
      <c r="A7" s="63">
        <v>5</v>
      </c>
      <c r="B7" s="36" t="s">
        <v>156</v>
      </c>
      <c r="C7" s="18" t="s">
        <v>337</v>
      </c>
      <c r="D7" s="18" t="s">
        <v>336</v>
      </c>
      <c r="E7" s="18" t="s">
        <v>336</v>
      </c>
      <c r="F7" s="18" t="s">
        <v>400</v>
      </c>
      <c r="G7" s="18" t="s">
        <v>336</v>
      </c>
      <c r="H7" s="18" t="s">
        <v>400</v>
      </c>
    </row>
    <row r="8" spans="1:8" ht="86" customHeight="1">
      <c r="A8" s="63">
        <v>6</v>
      </c>
      <c r="B8" s="36" t="s">
        <v>157</v>
      </c>
      <c r="C8" s="18" t="s">
        <v>338</v>
      </c>
      <c r="D8" s="18" t="s">
        <v>338</v>
      </c>
      <c r="E8" s="18" t="s">
        <v>338</v>
      </c>
      <c r="F8" s="18" t="s">
        <v>336</v>
      </c>
      <c r="G8" s="18" t="s">
        <v>338</v>
      </c>
      <c r="H8" s="18" t="s">
        <v>336</v>
      </c>
    </row>
    <row r="9" spans="1:8" ht="60" customHeight="1">
      <c r="A9" s="63">
        <v>7</v>
      </c>
      <c r="B9" s="16" t="s">
        <v>158</v>
      </c>
      <c r="C9" s="38">
        <v>68000</v>
      </c>
      <c r="D9" s="38"/>
      <c r="E9" s="39"/>
      <c r="F9" s="39">
        <v>1394</v>
      </c>
      <c r="G9" s="39"/>
      <c r="H9" s="39">
        <v>650</v>
      </c>
    </row>
    <row r="10" spans="1:8" ht="60" customHeight="1">
      <c r="A10" s="63">
        <v>8</v>
      </c>
      <c r="B10" s="36" t="s">
        <v>277</v>
      </c>
      <c r="C10" s="38">
        <v>3024</v>
      </c>
      <c r="D10" s="38">
        <v>108</v>
      </c>
      <c r="E10" s="39">
        <v>155</v>
      </c>
      <c r="F10" s="39">
        <v>210</v>
      </c>
      <c r="G10" s="39">
        <v>5</v>
      </c>
      <c r="H10" s="39">
        <v>140</v>
      </c>
    </row>
    <row r="11" spans="1:8" ht="60" customHeight="1">
      <c r="A11" s="63">
        <v>9</v>
      </c>
      <c r="B11" s="36" t="s">
        <v>206</v>
      </c>
      <c r="C11" s="18">
        <v>260</v>
      </c>
      <c r="D11" s="18"/>
      <c r="E11" s="18"/>
      <c r="F11" s="18">
        <v>122</v>
      </c>
      <c r="G11" s="18"/>
      <c r="H11" s="18">
        <v>122</v>
      </c>
    </row>
    <row r="12" spans="1:8" ht="60" customHeight="1">
      <c r="A12" s="63">
        <v>10</v>
      </c>
      <c r="B12" s="36" t="s">
        <v>205</v>
      </c>
      <c r="C12" s="18">
        <v>350</v>
      </c>
      <c r="D12" s="18"/>
      <c r="E12" s="18"/>
      <c r="F12" s="18">
        <v>172</v>
      </c>
      <c r="G12" s="18"/>
      <c r="H12" s="18">
        <v>172</v>
      </c>
    </row>
    <row r="13" spans="1:8" ht="60" customHeight="1">
      <c r="A13" s="63">
        <v>11</v>
      </c>
      <c r="B13" s="36" t="s">
        <v>278</v>
      </c>
      <c r="C13" s="18">
        <v>40</v>
      </c>
      <c r="D13" s="18"/>
      <c r="E13" s="18"/>
      <c r="F13" s="18">
        <v>1</v>
      </c>
      <c r="G13" s="18"/>
      <c r="H13" s="18">
        <v>1</v>
      </c>
    </row>
    <row r="14" spans="1:8" ht="60" customHeight="1">
      <c r="A14" s="63">
        <v>12</v>
      </c>
      <c r="B14" s="36" t="s">
        <v>203</v>
      </c>
      <c r="C14" s="18" t="s">
        <v>36</v>
      </c>
      <c r="D14" s="18" t="s">
        <v>37</v>
      </c>
      <c r="E14" s="18" t="s">
        <v>37</v>
      </c>
      <c r="F14" s="18" t="s">
        <v>37</v>
      </c>
      <c r="G14" s="18" t="s">
        <v>37</v>
      </c>
      <c r="H14" s="18" t="s">
        <v>37</v>
      </c>
    </row>
    <row r="15" spans="1:8" ht="60" customHeight="1">
      <c r="A15" s="63">
        <v>13</v>
      </c>
      <c r="B15" s="36" t="s">
        <v>280</v>
      </c>
      <c r="C15" s="18" t="s">
        <v>37</v>
      </c>
      <c r="D15" s="18" t="s">
        <v>37</v>
      </c>
      <c r="E15" s="18" t="s">
        <v>37</v>
      </c>
      <c r="F15" s="18" t="s">
        <v>37</v>
      </c>
      <c r="G15" s="18" t="s">
        <v>37</v>
      </c>
      <c r="H15" s="18" t="s">
        <v>37</v>
      </c>
    </row>
    <row r="16" spans="1:8" ht="60" customHeight="1">
      <c r="A16" s="63">
        <v>14</v>
      </c>
      <c r="B16" s="36" t="s">
        <v>204</v>
      </c>
      <c r="C16" s="18" t="s">
        <v>347</v>
      </c>
      <c r="D16" s="18" t="s">
        <v>339</v>
      </c>
      <c r="E16" s="18" t="s">
        <v>340</v>
      </c>
      <c r="F16" s="18" t="s">
        <v>401</v>
      </c>
      <c r="G16" s="18" t="s">
        <v>341</v>
      </c>
      <c r="H16" s="18" t="s">
        <v>401</v>
      </c>
    </row>
    <row r="18" spans="1:8" ht="61" customHeight="1">
      <c r="A18" s="63">
        <v>15</v>
      </c>
      <c r="B18" s="76" t="s">
        <v>227</v>
      </c>
      <c r="C18" s="76"/>
      <c r="D18" s="77" t="s">
        <v>342</v>
      </c>
      <c r="E18" s="78"/>
      <c r="F18" s="78"/>
      <c r="G18" s="78"/>
      <c r="H18" s="79"/>
    </row>
    <row r="19" spans="1:8" ht="61" customHeight="1">
      <c r="A19" s="63">
        <v>16</v>
      </c>
      <c r="B19" s="76" t="s">
        <v>213</v>
      </c>
      <c r="C19" s="76"/>
      <c r="D19" s="77" t="s">
        <v>343</v>
      </c>
      <c r="E19" s="78"/>
      <c r="F19" s="78"/>
      <c r="G19" s="78"/>
      <c r="H19" s="79"/>
    </row>
    <row r="20" spans="1:8" ht="61" customHeight="1">
      <c r="A20" s="63">
        <v>17</v>
      </c>
      <c r="B20" s="76" t="s">
        <v>200</v>
      </c>
      <c r="C20" s="76"/>
      <c r="D20" s="77" t="s">
        <v>37</v>
      </c>
      <c r="E20" s="78"/>
      <c r="F20" s="78"/>
      <c r="G20" s="78"/>
      <c r="H20" s="79"/>
    </row>
    <row r="21" spans="1:8" ht="61" customHeight="1">
      <c r="A21" s="63">
        <v>18</v>
      </c>
      <c r="B21" s="76" t="s">
        <v>159</v>
      </c>
      <c r="C21" s="76"/>
      <c r="D21" s="77" t="s">
        <v>344</v>
      </c>
      <c r="E21" s="78"/>
      <c r="F21" s="78"/>
      <c r="G21" s="78"/>
      <c r="H21" s="79"/>
    </row>
    <row r="22" spans="1:8" ht="61" customHeight="1">
      <c r="A22" s="63">
        <v>19</v>
      </c>
      <c r="B22" s="76" t="s">
        <v>201</v>
      </c>
      <c r="C22" s="76"/>
      <c r="D22" s="77" t="s">
        <v>345</v>
      </c>
      <c r="E22" s="78"/>
      <c r="F22" s="78"/>
      <c r="G22" s="78"/>
      <c r="H22" s="79"/>
    </row>
    <row r="23" spans="1:8" ht="61" customHeight="1">
      <c r="A23" s="63">
        <v>20</v>
      </c>
      <c r="B23" s="80" t="s">
        <v>225</v>
      </c>
      <c r="C23" s="81"/>
      <c r="D23" s="77" t="s">
        <v>394</v>
      </c>
      <c r="E23" s="78"/>
      <c r="F23" s="78"/>
      <c r="G23" s="78"/>
      <c r="H23" s="79"/>
    </row>
    <row r="24" spans="1:8" ht="61" customHeight="1">
      <c r="A24" s="63">
        <v>21</v>
      </c>
      <c r="B24" s="80" t="s">
        <v>226</v>
      </c>
      <c r="C24" s="81"/>
      <c r="D24" s="77" t="s">
        <v>393</v>
      </c>
      <c r="E24" s="78"/>
      <c r="F24" s="78"/>
      <c r="G24" s="78"/>
      <c r="H24" s="79"/>
    </row>
    <row r="25" spans="1:8" ht="187.75" customHeight="1">
      <c r="A25" s="63">
        <v>22</v>
      </c>
      <c r="B25" s="76" t="s">
        <v>202</v>
      </c>
      <c r="C25" s="76"/>
      <c r="D25" s="77" t="s">
        <v>346</v>
      </c>
      <c r="E25" s="78"/>
      <c r="F25" s="78"/>
      <c r="G25" s="78"/>
      <c r="H25" s="79"/>
    </row>
    <row r="26" spans="1:8" ht="61" customHeight="1"/>
    <row r="27" spans="1:8" ht="61" customHeight="1"/>
    <row r="28" spans="1:8" ht="61" customHeight="1"/>
    <row r="29" spans="1:8" ht="61" customHeight="1"/>
  </sheetData>
  <sheetProtection algorithmName="SHA-512" hashValue="zQUmRTblo7NwmNDoVbXM0yjst7rVPj5/m4axI2ivAgmUPwHZYj2vbWzF/lmehodxi4GZXwtagu0UzxPO76uzxg==" saltValue="p9e4rdm25WVOlVQ/gvBS1w==" spinCount="100000" sheet="1" selectLockedCells="1"/>
  <mergeCells count="16">
    <mergeCell ref="B21:C21"/>
    <mergeCell ref="D21:H21"/>
    <mergeCell ref="B22:C22"/>
    <mergeCell ref="D22:H22"/>
    <mergeCell ref="B25:C25"/>
    <mergeCell ref="D25:H25"/>
    <mergeCell ref="B24:C24"/>
    <mergeCell ref="B23:C23"/>
    <mergeCell ref="D23:H23"/>
    <mergeCell ref="D24:H24"/>
    <mergeCell ref="B18:C18"/>
    <mergeCell ref="D18:H18"/>
    <mergeCell ref="B19:C19"/>
    <mergeCell ref="D19:H19"/>
    <mergeCell ref="B20:C20"/>
    <mergeCell ref="D20:H20"/>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zoomScale="70" zoomScaleNormal="70" workbookViewId="0">
      <selection activeCell="D10" sqref="D10"/>
    </sheetView>
  </sheetViews>
  <sheetFormatPr defaultColWidth="10.83203125" defaultRowHeight="50" customHeight="1"/>
  <cols>
    <col min="1" max="1" width="5.1640625" style="3" customWidth="1"/>
    <col min="2" max="2" width="53.1640625" style="3" customWidth="1"/>
    <col min="3" max="10" width="32.6640625" style="3" customWidth="1"/>
    <col min="11" max="16384" width="10.83203125" style="3"/>
  </cols>
  <sheetData>
    <row r="1" spans="2:10" ht="50" customHeight="1">
      <c r="B1" s="42" t="s">
        <v>294</v>
      </c>
    </row>
    <row r="2" spans="2:10" ht="50" customHeight="1">
      <c r="B2" s="43"/>
      <c r="C2" s="44" t="s">
        <v>6</v>
      </c>
      <c r="D2" s="44" t="s">
        <v>7</v>
      </c>
      <c r="E2" s="44" t="s">
        <v>8</v>
      </c>
      <c r="F2" s="44" t="s">
        <v>16</v>
      </c>
      <c r="G2" s="44" t="s">
        <v>17</v>
      </c>
      <c r="H2" s="44" t="s">
        <v>180</v>
      </c>
      <c r="I2" s="44" t="s">
        <v>215</v>
      </c>
      <c r="J2" s="44" t="s">
        <v>216</v>
      </c>
    </row>
    <row r="3" spans="2:10" ht="50" customHeight="1">
      <c r="B3" s="44" t="s">
        <v>181</v>
      </c>
      <c r="C3" s="70" t="s">
        <v>68</v>
      </c>
      <c r="D3" s="70"/>
      <c r="E3" s="70"/>
      <c r="F3" s="70"/>
      <c r="G3" s="70"/>
      <c r="H3" s="70"/>
      <c r="I3" s="70"/>
      <c r="J3" s="70"/>
    </row>
    <row r="4" spans="2:10" ht="50" customHeight="1">
      <c r="B4" s="45" t="s">
        <v>263</v>
      </c>
      <c r="C4" s="70">
        <v>62</v>
      </c>
      <c r="D4" s="70"/>
      <c r="E4" s="70"/>
      <c r="F4" s="70"/>
      <c r="G4" s="70"/>
      <c r="H4" s="70"/>
      <c r="I4" s="70"/>
      <c r="J4" s="70"/>
    </row>
    <row r="5" spans="2:10" ht="50" customHeight="1">
      <c r="B5" s="45" t="s">
        <v>262</v>
      </c>
      <c r="C5" s="70">
        <v>140</v>
      </c>
      <c r="D5" s="70"/>
      <c r="E5" s="70"/>
      <c r="F5" s="70"/>
      <c r="G5" s="70"/>
      <c r="H5" s="70"/>
      <c r="I5" s="70"/>
      <c r="J5" s="70"/>
    </row>
    <row r="6" spans="2:10" ht="50" customHeight="1">
      <c r="B6" s="45" t="s">
        <v>264</v>
      </c>
      <c r="C6" s="70">
        <v>108</v>
      </c>
      <c r="D6" s="70"/>
      <c r="E6" s="70"/>
      <c r="F6" s="70"/>
      <c r="G6" s="70"/>
      <c r="H6" s="70"/>
      <c r="I6" s="70"/>
      <c r="J6" s="70"/>
    </row>
    <row r="7" spans="2:10" ht="50" customHeight="1">
      <c r="B7" s="45" t="s">
        <v>265</v>
      </c>
      <c r="C7" s="70">
        <v>5</v>
      </c>
      <c r="D7" s="70"/>
      <c r="E7" s="70"/>
      <c r="F7" s="70"/>
      <c r="G7" s="70"/>
      <c r="H7" s="70"/>
      <c r="I7" s="70"/>
      <c r="J7" s="70"/>
    </row>
    <row r="8" spans="2:10" ht="50" customHeight="1">
      <c r="B8" s="45" t="s">
        <v>214</v>
      </c>
      <c r="C8" s="70" t="s">
        <v>322</v>
      </c>
      <c r="D8" s="70"/>
      <c r="E8" s="70"/>
      <c r="F8" s="70"/>
      <c r="G8" s="70"/>
      <c r="H8" s="70"/>
      <c r="I8" s="70"/>
      <c r="J8" s="70"/>
    </row>
    <row r="9" spans="2:10" ht="50" customHeight="1">
      <c r="B9" s="45" t="s">
        <v>296</v>
      </c>
      <c r="C9" s="70" t="s">
        <v>322</v>
      </c>
      <c r="D9" s="70"/>
      <c r="E9" s="70"/>
      <c r="F9" s="70"/>
      <c r="G9" s="70"/>
      <c r="H9" s="70"/>
      <c r="I9" s="70"/>
      <c r="J9" s="70"/>
    </row>
    <row r="10" spans="2:10" ht="50" customHeight="1">
      <c r="B10" s="64" t="s">
        <v>290</v>
      </c>
      <c r="C10" s="70">
        <v>1</v>
      </c>
      <c r="D10" s="70"/>
      <c r="E10" s="70"/>
      <c r="F10" s="70"/>
      <c r="G10" s="70"/>
      <c r="H10" s="70"/>
      <c r="I10" s="70"/>
      <c r="J10" s="70"/>
    </row>
    <row r="11" spans="2:10" ht="50" customHeight="1">
      <c r="B11" s="45" t="s">
        <v>106</v>
      </c>
      <c r="C11" s="71">
        <v>12</v>
      </c>
      <c r="D11" s="71"/>
      <c r="E11" s="71"/>
      <c r="F11" s="70"/>
      <c r="G11" s="70"/>
      <c r="H11" s="70"/>
      <c r="I11" s="70"/>
      <c r="J11" s="70"/>
    </row>
    <row r="12" spans="2:10" ht="50" customHeight="1">
      <c r="B12" s="45" t="s">
        <v>199</v>
      </c>
      <c r="C12" s="72">
        <v>0.02</v>
      </c>
      <c r="D12" s="73"/>
      <c r="E12" s="73"/>
      <c r="F12" s="73"/>
      <c r="G12" s="73"/>
      <c r="H12" s="73"/>
      <c r="I12" s="73"/>
      <c r="J12" s="73"/>
    </row>
    <row r="14" spans="2:10" ht="50" customHeight="1">
      <c r="B14" s="82" t="s">
        <v>182</v>
      </c>
      <c r="C14" s="82"/>
      <c r="D14" s="82"/>
    </row>
    <row r="15" spans="2:10" ht="50" customHeight="1">
      <c r="B15" s="16" t="s">
        <v>183</v>
      </c>
      <c r="C15" s="82" t="s">
        <v>184</v>
      </c>
      <c r="D15" s="82"/>
    </row>
    <row r="16" spans="2:10" ht="50" customHeight="1">
      <c r="B16" s="46" t="s">
        <v>185</v>
      </c>
      <c r="C16" s="83" t="s">
        <v>186</v>
      </c>
      <c r="D16" s="83"/>
    </row>
    <row r="17" spans="2:4" ht="50" customHeight="1">
      <c r="B17" s="84" t="s">
        <v>187</v>
      </c>
      <c r="C17" s="84" t="s">
        <v>188</v>
      </c>
      <c r="D17" s="84"/>
    </row>
    <row r="18" spans="2:4" ht="50" customHeight="1">
      <c r="B18" s="84"/>
      <c r="C18" s="84" t="s">
        <v>189</v>
      </c>
      <c r="D18" s="84"/>
    </row>
    <row r="19" spans="2:4" ht="50" customHeight="1">
      <c r="B19" s="84"/>
      <c r="C19" s="84" t="s">
        <v>190</v>
      </c>
      <c r="D19" s="84"/>
    </row>
    <row r="20" spans="2:4" ht="50" customHeight="1">
      <c r="B20" s="84"/>
      <c r="C20" s="84" t="s">
        <v>191</v>
      </c>
      <c r="D20" s="84"/>
    </row>
    <row r="21" spans="2:4" ht="50" customHeight="1">
      <c r="B21" s="84" t="s">
        <v>192</v>
      </c>
      <c r="C21" s="84" t="s">
        <v>193</v>
      </c>
      <c r="D21" s="84"/>
    </row>
    <row r="22" spans="2:4" ht="50" customHeight="1">
      <c r="B22" s="84"/>
      <c r="C22" s="84" t="s">
        <v>194</v>
      </c>
      <c r="D22" s="84"/>
    </row>
    <row r="23" spans="2:4" ht="50" customHeight="1">
      <c r="B23" s="84"/>
      <c r="C23" s="84" t="s">
        <v>195</v>
      </c>
      <c r="D23" s="84"/>
    </row>
    <row r="24" spans="2:4" ht="50" customHeight="1">
      <c r="B24" s="84" t="s">
        <v>196</v>
      </c>
      <c r="C24" s="84" t="s">
        <v>197</v>
      </c>
      <c r="D24" s="84"/>
    </row>
    <row r="25" spans="2:4" ht="50" customHeight="1">
      <c r="B25" s="84"/>
      <c r="C25" s="84" t="s">
        <v>198</v>
      </c>
      <c r="D25" s="84"/>
    </row>
  </sheetData>
  <sheetProtection algorithmName="SHA-512" hashValue="bZUL6mD159NJzrDMfwN4drt+BOqtexhCohLvWTFiYmwi3OxjnrOscfwij2lbQWlD1y6kwb2Toihf5J7T9rDt2w==" saltValue="3UFfoL413EPmJz18ZLo85A==" spinCount="100000" sheet="1" objects="1" scenarios="1"/>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opLeftCell="A3" zoomScale="55" zoomScaleNormal="55" workbookViewId="0">
      <selection activeCell="E10" sqref="E10"/>
    </sheetView>
  </sheetViews>
  <sheetFormatPr defaultColWidth="10.83203125" defaultRowHeight="15.5"/>
  <cols>
    <col min="1" max="1" width="4.1640625" style="1" customWidth="1"/>
    <col min="2" max="2" width="51.5" style="1" customWidth="1"/>
    <col min="3" max="9" width="29.1640625" style="1" customWidth="1"/>
    <col min="10" max="10" width="57.83203125" style="1" customWidth="1"/>
    <col min="11" max="11" width="102.6640625" style="1" bestFit="1" customWidth="1"/>
    <col min="12" max="15" width="29.1640625" style="1" customWidth="1"/>
    <col min="16" max="16384" width="10.83203125" style="1"/>
  </cols>
  <sheetData>
    <row r="1" spans="2:11" ht="67" customHeight="1">
      <c r="B1" s="34" t="s">
        <v>288</v>
      </c>
    </row>
    <row r="2" spans="2:11" ht="67" customHeight="1">
      <c r="B2" s="33"/>
      <c r="C2" s="16">
        <v>2022</v>
      </c>
      <c r="D2" s="16">
        <v>2023</v>
      </c>
      <c r="E2" s="16">
        <v>2024</v>
      </c>
      <c r="F2" s="16" t="s">
        <v>208</v>
      </c>
      <c r="G2" s="16" t="s">
        <v>146</v>
      </c>
      <c r="H2" s="16" t="s">
        <v>147</v>
      </c>
      <c r="I2" s="16" t="s">
        <v>209</v>
      </c>
      <c r="J2" s="16" t="s">
        <v>207</v>
      </c>
    </row>
    <row r="3" spans="2:11" ht="67" customHeight="1">
      <c r="B3" s="16" t="s">
        <v>266</v>
      </c>
      <c r="C3" s="39"/>
      <c r="D3" s="39"/>
      <c r="E3" s="39">
        <v>15</v>
      </c>
      <c r="F3" s="39">
        <v>23</v>
      </c>
      <c r="G3" s="39">
        <v>30</v>
      </c>
      <c r="H3" s="39">
        <v>36</v>
      </c>
      <c r="I3" s="39">
        <v>44</v>
      </c>
      <c r="J3" s="60"/>
    </row>
    <row r="4" spans="2:11" ht="129.5">
      <c r="B4" s="36" t="s">
        <v>267</v>
      </c>
      <c r="C4" s="39"/>
      <c r="D4" s="39"/>
      <c r="E4" s="39">
        <v>55</v>
      </c>
      <c r="F4" s="39">
        <v>98</v>
      </c>
      <c r="G4" s="39">
        <v>147</v>
      </c>
      <c r="H4" s="39">
        <v>174</v>
      </c>
      <c r="I4" s="39">
        <v>205</v>
      </c>
      <c r="J4" s="60" t="s">
        <v>319</v>
      </c>
      <c r="K4" s="74" t="s">
        <v>318</v>
      </c>
    </row>
    <row r="5" spans="2:11" ht="67" customHeight="1">
      <c r="B5" s="16" t="s">
        <v>268</v>
      </c>
      <c r="C5" s="39"/>
      <c r="D5" s="39"/>
      <c r="E5" s="39">
        <v>70</v>
      </c>
      <c r="F5" s="39">
        <f>71+65</f>
        <v>136</v>
      </c>
      <c r="G5" s="39">
        <f>119+2+65</f>
        <v>186</v>
      </c>
      <c r="H5" s="39">
        <f>155+2+85</f>
        <v>242</v>
      </c>
      <c r="I5" s="39">
        <f>202+3+111</f>
        <v>316</v>
      </c>
      <c r="J5" s="60"/>
    </row>
    <row r="6" spans="2:11" ht="67" customHeight="1">
      <c r="B6" s="16" t="s">
        <v>269</v>
      </c>
      <c r="C6" s="39"/>
      <c r="D6" s="39"/>
      <c r="E6" s="39">
        <v>280</v>
      </c>
      <c r="F6" s="39">
        <v>350</v>
      </c>
      <c r="G6" s="39">
        <v>438</v>
      </c>
      <c r="H6" s="39">
        <v>548</v>
      </c>
      <c r="I6" s="39">
        <v>685</v>
      </c>
      <c r="J6" s="60"/>
      <c r="K6" s="4" t="s">
        <v>217</v>
      </c>
    </row>
    <row r="7" spans="2:11" ht="67" customHeight="1">
      <c r="B7" s="16" t="s">
        <v>270</v>
      </c>
      <c r="C7" s="39"/>
      <c r="D7" s="39"/>
      <c r="E7" s="39">
        <v>15</v>
      </c>
      <c r="F7" s="39">
        <v>15</v>
      </c>
      <c r="G7" s="39">
        <v>21</v>
      </c>
      <c r="H7" s="39">
        <v>26</v>
      </c>
      <c r="I7" s="39">
        <v>32</v>
      </c>
      <c r="J7" s="60"/>
    </row>
    <row r="8" spans="2:11" ht="67" customHeight="1">
      <c r="B8" s="16" t="s">
        <v>271</v>
      </c>
      <c r="C8" s="39"/>
      <c r="D8" s="39"/>
      <c r="E8" s="39">
        <v>10</v>
      </c>
      <c r="F8" s="39">
        <v>10</v>
      </c>
      <c r="G8" s="39">
        <v>14</v>
      </c>
      <c r="H8" s="39">
        <v>19</v>
      </c>
      <c r="I8" s="39">
        <v>25</v>
      </c>
      <c r="J8" s="60"/>
    </row>
    <row r="9" spans="2:11" ht="67" customHeight="1">
      <c r="B9" s="16" t="s">
        <v>272</v>
      </c>
      <c r="C9" s="39"/>
      <c r="D9" s="39"/>
      <c r="E9" s="39"/>
      <c r="F9" s="39"/>
      <c r="G9" s="39"/>
      <c r="H9" s="39"/>
      <c r="I9" s="39"/>
      <c r="J9" s="60"/>
    </row>
    <row r="10" spans="2:11" ht="67" customHeight="1">
      <c r="B10" s="36" t="s">
        <v>285</v>
      </c>
      <c r="C10" s="39"/>
      <c r="D10" s="39"/>
      <c r="E10" s="39"/>
      <c r="F10" s="39">
        <v>10</v>
      </c>
      <c r="G10" s="39">
        <v>11</v>
      </c>
      <c r="H10" s="39">
        <v>12</v>
      </c>
      <c r="I10" s="39">
        <v>13</v>
      </c>
      <c r="J10" s="60"/>
    </row>
    <row r="11" spans="2:11" ht="67" customHeight="1">
      <c r="B11" s="16" t="s">
        <v>286</v>
      </c>
      <c r="C11" s="39"/>
      <c r="D11" s="39"/>
      <c r="E11" s="39">
        <v>6</v>
      </c>
      <c r="F11" s="39">
        <v>6</v>
      </c>
      <c r="G11" s="39">
        <v>7</v>
      </c>
      <c r="H11" s="39">
        <v>7</v>
      </c>
      <c r="I11" s="39">
        <v>8</v>
      </c>
      <c r="J11" s="60"/>
    </row>
    <row r="12" spans="2:11" ht="67" customHeight="1">
      <c r="B12" s="16" t="s">
        <v>287</v>
      </c>
      <c r="C12" s="39"/>
      <c r="D12" s="39"/>
      <c r="E12" s="39"/>
      <c r="F12" s="39"/>
      <c r="G12" s="39"/>
      <c r="H12" s="39"/>
      <c r="I12" s="39"/>
      <c r="J12" s="60"/>
    </row>
    <row r="13" spans="2:11" ht="67" customHeight="1">
      <c r="B13" s="16" t="s">
        <v>210</v>
      </c>
      <c r="C13" s="39"/>
      <c r="D13" s="39"/>
      <c r="E13" s="39"/>
      <c r="F13" s="39"/>
      <c r="G13" s="39"/>
      <c r="H13" s="39"/>
      <c r="I13" s="39"/>
      <c r="J13" s="60"/>
    </row>
    <row r="14" spans="2:11" ht="67" customHeight="1">
      <c r="B14" s="16" t="s">
        <v>210</v>
      </c>
      <c r="C14" s="39"/>
      <c r="D14" s="39"/>
      <c r="E14" s="39"/>
      <c r="F14" s="39"/>
      <c r="G14" s="39"/>
      <c r="H14" s="39"/>
      <c r="I14" s="39"/>
      <c r="J14" s="60"/>
    </row>
    <row r="15" spans="2:11" ht="67" customHeight="1">
      <c r="B15" s="16" t="s">
        <v>210</v>
      </c>
      <c r="C15" s="39"/>
      <c r="D15" s="39"/>
      <c r="E15" s="39"/>
      <c r="F15" s="39"/>
      <c r="G15" s="39"/>
      <c r="H15" s="39"/>
      <c r="I15" s="39"/>
      <c r="J15" s="60"/>
    </row>
    <row r="16" spans="2:11" ht="18.5">
      <c r="B16" s="51" t="s">
        <v>218</v>
      </c>
      <c r="C16" s="52">
        <f t="shared" ref="C16:I16" si="0">SUM(C3:C15)</f>
        <v>0</v>
      </c>
      <c r="D16" s="52">
        <f t="shared" si="0"/>
        <v>0</v>
      </c>
      <c r="E16" s="52">
        <f t="shared" si="0"/>
        <v>451</v>
      </c>
      <c r="F16" s="52">
        <f t="shared" si="0"/>
        <v>648</v>
      </c>
      <c r="G16" s="52">
        <f t="shared" si="0"/>
        <v>854</v>
      </c>
      <c r="H16" s="52">
        <f t="shared" si="0"/>
        <v>1064</v>
      </c>
      <c r="I16" s="52">
        <f t="shared" si="0"/>
        <v>1328</v>
      </c>
    </row>
  </sheetData>
  <sheetProtection algorithmName="SHA-512" hashValue="PhkzxIhRU/NEqiY5KBZ8osucQOINuCuNxmLGQ4G6ElnHL0RVLYel/mPUcfz2JPa3W0fO6h3g2OZ30cklvyYhDA==" saltValue="Iw59MJ83Pv69NpgKR5baOg==" spinCount="100000"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7"/>
  <sheetViews>
    <sheetView showGridLines="0" zoomScale="70" zoomScaleNormal="70" workbookViewId="0">
      <selection activeCell="K20" sqref="K20"/>
    </sheetView>
  </sheetViews>
  <sheetFormatPr defaultColWidth="10.83203125" defaultRowHeight="15.5"/>
  <cols>
    <col min="1" max="1" width="5.33203125" customWidth="1"/>
    <col min="2" max="2" width="34.5" customWidth="1"/>
  </cols>
  <sheetData>
    <row r="2" spans="2:11" ht="47" customHeight="1">
      <c r="B2" s="85" t="s">
        <v>314</v>
      </c>
      <c r="C2" s="85"/>
      <c r="D2" s="85"/>
      <c r="E2" s="85"/>
      <c r="F2" s="85"/>
      <c r="G2" s="85"/>
      <c r="H2" s="85"/>
      <c r="I2" s="85"/>
      <c r="J2" s="85"/>
      <c r="K2" s="85"/>
    </row>
    <row r="3" spans="2:11" ht="47" customHeight="1">
      <c r="B3" s="85"/>
      <c r="C3" s="85"/>
      <c r="D3" s="85"/>
      <c r="E3" s="85"/>
      <c r="F3" s="85"/>
      <c r="G3" s="85"/>
      <c r="H3" s="85"/>
      <c r="I3" s="85"/>
      <c r="J3" s="85"/>
      <c r="K3" s="85"/>
    </row>
    <row r="4" spans="2:11" ht="47" customHeight="1">
      <c r="B4" s="85"/>
      <c r="C4" s="85"/>
      <c r="D4" s="85"/>
      <c r="E4" s="85"/>
      <c r="F4" s="85"/>
      <c r="G4" s="85"/>
      <c r="H4" s="85"/>
      <c r="I4" s="85"/>
      <c r="J4" s="85"/>
      <c r="K4" s="85"/>
    </row>
    <row r="5" spans="2:11" ht="47" customHeight="1">
      <c r="B5" s="85"/>
      <c r="C5" s="85"/>
      <c r="D5" s="85"/>
      <c r="E5" s="85"/>
      <c r="F5" s="85"/>
      <c r="G5" s="85"/>
      <c r="H5" s="85"/>
      <c r="I5" s="85"/>
      <c r="J5" s="85"/>
      <c r="K5" s="85"/>
    </row>
    <row r="7" spans="2:11" ht="77.5">
      <c r="B7" s="75" t="s">
        <v>395</v>
      </c>
    </row>
  </sheetData>
  <mergeCells count="1">
    <mergeCell ref="B2:K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zoomScale="40" zoomScaleNormal="40" workbookViewId="0">
      <selection activeCell="L11" sqref="L11"/>
    </sheetView>
  </sheetViews>
  <sheetFormatPr defaultColWidth="11.1640625" defaultRowHeight="15.5"/>
  <cols>
    <col min="1" max="1" width="4.1640625" style="1" customWidth="1"/>
    <col min="2" max="2" width="51.5" style="1" customWidth="1"/>
    <col min="3" max="22" width="29.1640625" style="1" customWidth="1"/>
    <col min="23" max="23" width="57.83203125" style="1" customWidth="1"/>
  </cols>
  <sheetData>
    <row r="1" spans="2:23" ht="60" customHeight="1">
      <c r="B1" s="34" t="s">
        <v>247</v>
      </c>
    </row>
    <row r="2" spans="2:23" ht="60" customHeight="1">
      <c r="B2" s="65" t="s">
        <v>240</v>
      </c>
      <c r="C2" s="86" t="s">
        <v>242</v>
      </c>
      <c r="D2" s="86"/>
      <c r="E2" s="86"/>
      <c r="F2" s="86"/>
      <c r="G2" s="86" t="s">
        <v>243</v>
      </c>
      <c r="H2" s="86"/>
      <c r="I2" s="86"/>
      <c r="J2" s="86"/>
      <c r="K2" s="86"/>
      <c r="L2" s="86" t="s">
        <v>305</v>
      </c>
      <c r="M2" s="86"/>
      <c r="N2" s="86"/>
      <c r="O2" s="86"/>
      <c r="P2" s="86"/>
      <c r="Q2" s="86"/>
      <c r="R2" s="86"/>
      <c r="S2" s="86" t="s">
        <v>244</v>
      </c>
      <c r="T2" s="86"/>
      <c r="U2" s="86"/>
      <c r="V2" s="86"/>
    </row>
    <row r="3" spans="2:23" ht="60" customHeight="1">
      <c r="B3" s="16" t="s">
        <v>241</v>
      </c>
      <c r="C3" s="66" t="s">
        <v>245</v>
      </c>
      <c r="D3" s="66" t="s">
        <v>297</v>
      </c>
      <c r="E3" s="66" t="s">
        <v>235</v>
      </c>
      <c r="F3" s="66" t="s">
        <v>292</v>
      </c>
      <c r="G3" s="66" t="s">
        <v>41</v>
      </c>
      <c r="H3" s="66" t="s">
        <v>246</v>
      </c>
      <c r="I3" s="66" t="s">
        <v>236</v>
      </c>
      <c r="J3" s="66" t="s">
        <v>237</v>
      </c>
      <c r="K3" s="66" t="s">
        <v>289</v>
      </c>
      <c r="L3" s="66" t="s">
        <v>306</v>
      </c>
      <c r="M3" s="67" t="s">
        <v>312</v>
      </c>
      <c r="N3" s="66" t="s">
        <v>307</v>
      </c>
      <c r="O3" s="66" t="s">
        <v>311</v>
      </c>
      <c r="P3" s="66" t="s">
        <v>308</v>
      </c>
      <c r="Q3" s="66" t="s">
        <v>309</v>
      </c>
      <c r="R3" s="66" t="s">
        <v>310</v>
      </c>
      <c r="S3" s="66" t="s">
        <v>24</v>
      </c>
      <c r="T3" s="66" t="s">
        <v>238</v>
      </c>
      <c r="U3" s="66" t="s">
        <v>295</v>
      </c>
      <c r="V3" s="66" t="s">
        <v>239</v>
      </c>
      <c r="W3" s="16" t="s">
        <v>207</v>
      </c>
    </row>
    <row r="4" spans="2:23" ht="60" customHeight="1">
      <c r="B4" s="16" t="s">
        <v>254</v>
      </c>
      <c r="C4" s="39" t="s">
        <v>36</v>
      </c>
      <c r="D4" s="39" t="s">
        <v>36</v>
      </c>
      <c r="E4" s="39" t="s">
        <v>36</v>
      </c>
      <c r="F4" s="39" t="s">
        <v>36</v>
      </c>
      <c r="G4" s="39" t="s">
        <v>36</v>
      </c>
      <c r="H4" s="39" t="s">
        <v>36</v>
      </c>
      <c r="I4" s="39" t="s">
        <v>37</v>
      </c>
      <c r="J4" s="39" t="s">
        <v>36</v>
      </c>
      <c r="K4" s="39" t="s">
        <v>36</v>
      </c>
      <c r="L4" s="39" t="s">
        <v>37</v>
      </c>
      <c r="M4" s="39" t="s">
        <v>37</v>
      </c>
      <c r="N4" s="39" t="s">
        <v>37</v>
      </c>
      <c r="O4" s="39" t="s">
        <v>37</v>
      </c>
      <c r="P4" s="39" t="s">
        <v>37</v>
      </c>
      <c r="Q4" s="39" t="s">
        <v>37</v>
      </c>
      <c r="R4" s="39" t="s">
        <v>37</v>
      </c>
      <c r="S4" s="39" t="s">
        <v>36</v>
      </c>
      <c r="T4" s="39" t="s">
        <v>36</v>
      </c>
      <c r="U4" s="39" t="s">
        <v>37</v>
      </c>
      <c r="V4" s="39" t="s">
        <v>37</v>
      </c>
      <c r="W4" s="60"/>
    </row>
    <row r="5" spans="2:23" ht="60" customHeight="1">
      <c r="B5" s="36" t="s">
        <v>274</v>
      </c>
      <c r="C5" s="39" t="s">
        <v>412</v>
      </c>
      <c r="D5" s="39" t="s">
        <v>413</v>
      </c>
      <c r="E5" s="39" t="s">
        <v>413</v>
      </c>
      <c r="F5" s="39" t="s">
        <v>412</v>
      </c>
      <c r="G5" s="39" t="s">
        <v>413</v>
      </c>
      <c r="H5" s="39" t="s">
        <v>413</v>
      </c>
      <c r="I5" s="39" t="s">
        <v>413</v>
      </c>
      <c r="J5" s="39" t="s">
        <v>412</v>
      </c>
      <c r="K5" s="39" t="s">
        <v>412</v>
      </c>
      <c r="L5" s="39"/>
      <c r="M5" s="39"/>
      <c r="N5" s="39"/>
      <c r="O5" s="39"/>
      <c r="P5" s="39"/>
      <c r="Q5" s="39"/>
      <c r="R5" s="39"/>
      <c r="S5" s="39" t="s">
        <v>413</v>
      </c>
      <c r="T5" s="39" t="s">
        <v>413</v>
      </c>
      <c r="U5" s="39"/>
      <c r="V5" s="39"/>
      <c r="W5" s="60"/>
    </row>
    <row r="6" spans="2:23" ht="60" customHeight="1">
      <c r="B6" s="36" t="s">
        <v>255</v>
      </c>
      <c r="C6" s="39" t="s">
        <v>37</v>
      </c>
      <c r="D6" s="39" t="s">
        <v>37</v>
      </c>
      <c r="E6" s="39" t="s">
        <v>37</v>
      </c>
      <c r="F6" s="39" t="s">
        <v>37</v>
      </c>
      <c r="G6" s="39" t="s">
        <v>37</v>
      </c>
      <c r="H6" s="39" t="s">
        <v>37</v>
      </c>
      <c r="I6" s="39" t="s">
        <v>37</v>
      </c>
      <c r="J6" s="39" t="s">
        <v>37</v>
      </c>
      <c r="K6" s="39" t="s">
        <v>37</v>
      </c>
      <c r="L6" s="39"/>
      <c r="M6" s="39"/>
      <c r="N6" s="39"/>
      <c r="O6" s="39"/>
      <c r="P6" s="39"/>
      <c r="Q6" s="39"/>
      <c r="R6" s="39"/>
      <c r="S6" s="39" t="s">
        <v>37</v>
      </c>
      <c r="T6" s="39" t="s">
        <v>37</v>
      </c>
      <c r="U6" s="39"/>
      <c r="V6" s="39"/>
      <c r="W6" s="60"/>
    </row>
    <row r="7" spans="2:23" ht="60" customHeight="1">
      <c r="B7" s="36" t="s">
        <v>22</v>
      </c>
      <c r="C7" s="39" t="s">
        <v>414</v>
      </c>
      <c r="D7" s="39" t="s">
        <v>415</v>
      </c>
      <c r="E7" s="39" t="s">
        <v>414</v>
      </c>
      <c r="F7" s="39" t="s">
        <v>414</v>
      </c>
      <c r="G7" s="39" t="s">
        <v>414</v>
      </c>
      <c r="H7" s="39" t="s">
        <v>414</v>
      </c>
      <c r="I7" s="39" t="s">
        <v>414</v>
      </c>
      <c r="J7" s="39" t="s">
        <v>414</v>
      </c>
      <c r="K7" s="39" t="s">
        <v>414</v>
      </c>
      <c r="L7" s="39"/>
      <c r="M7" s="39"/>
      <c r="N7" s="39"/>
      <c r="O7" s="39"/>
      <c r="P7" s="39"/>
      <c r="Q7" s="39"/>
      <c r="R7" s="39"/>
      <c r="S7" s="39" t="s">
        <v>416</v>
      </c>
      <c r="T7" s="39" t="s">
        <v>417</v>
      </c>
      <c r="U7" s="39"/>
      <c r="V7" s="39"/>
      <c r="W7" s="60"/>
    </row>
    <row r="8" spans="2:23" ht="60" customHeight="1">
      <c r="B8" s="36" t="s">
        <v>273</v>
      </c>
      <c r="C8" s="39">
        <v>2670</v>
      </c>
      <c r="D8" s="39"/>
      <c r="E8" s="39"/>
      <c r="F8" s="39"/>
      <c r="G8" s="39"/>
      <c r="H8" s="39"/>
      <c r="I8" s="39"/>
      <c r="J8" s="39"/>
      <c r="K8" s="39"/>
      <c r="L8" s="39"/>
      <c r="M8" s="39"/>
      <c r="N8" s="39"/>
      <c r="O8" s="39"/>
      <c r="P8" s="39"/>
      <c r="Q8" s="39"/>
      <c r="R8" s="39"/>
      <c r="S8" s="39"/>
      <c r="T8" s="39"/>
      <c r="U8" s="39"/>
      <c r="V8" s="39"/>
      <c r="W8" s="60" t="s">
        <v>418</v>
      </c>
    </row>
    <row r="9" spans="2:23" ht="60" customHeight="1">
      <c r="B9" s="36" t="s">
        <v>256</v>
      </c>
      <c r="C9" s="39" t="s">
        <v>419</v>
      </c>
      <c r="D9" s="39" t="s">
        <v>420</v>
      </c>
      <c r="E9" s="39" t="s">
        <v>421</v>
      </c>
      <c r="F9" s="39" t="s">
        <v>422</v>
      </c>
      <c r="G9" s="39" t="s">
        <v>423</v>
      </c>
      <c r="H9" s="39" t="s">
        <v>424</v>
      </c>
      <c r="I9" s="39" t="s">
        <v>425</v>
      </c>
      <c r="J9" s="39" t="s">
        <v>426</v>
      </c>
      <c r="K9" s="39" t="s">
        <v>427</v>
      </c>
      <c r="L9" s="39"/>
      <c r="M9" s="39"/>
      <c r="N9" s="39"/>
      <c r="O9" s="39"/>
      <c r="P9" s="39"/>
      <c r="Q9" s="39"/>
      <c r="R9" s="39"/>
      <c r="S9" s="39" t="s">
        <v>428</v>
      </c>
      <c r="T9" s="39" t="s">
        <v>429</v>
      </c>
      <c r="U9" s="39"/>
      <c r="V9" s="39"/>
      <c r="W9" s="60"/>
    </row>
    <row r="10" spans="2:23" ht="60" customHeight="1">
      <c r="B10" s="36" t="s">
        <v>304</v>
      </c>
      <c r="C10" s="39">
        <v>42</v>
      </c>
      <c r="D10" s="39"/>
      <c r="E10" s="39"/>
      <c r="F10" s="39"/>
      <c r="G10" s="39"/>
      <c r="H10" s="39"/>
      <c r="I10" s="39"/>
      <c r="J10" s="39"/>
      <c r="K10" s="39"/>
      <c r="L10" s="39"/>
      <c r="M10" s="39"/>
      <c r="N10" s="39"/>
      <c r="O10" s="39"/>
      <c r="P10" s="39"/>
      <c r="Q10" s="39"/>
      <c r="R10" s="39"/>
      <c r="S10" s="39"/>
      <c r="T10" s="39"/>
      <c r="U10" s="39"/>
      <c r="V10" s="39"/>
      <c r="W10" s="60" t="s">
        <v>430</v>
      </c>
    </row>
    <row r="11" spans="2:23" ht="60" customHeight="1">
      <c r="B11" s="36" t="s">
        <v>275</v>
      </c>
      <c r="C11" s="39" t="s">
        <v>431</v>
      </c>
      <c r="D11" s="39" t="s">
        <v>432</v>
      </c>
      <c r="E11" s="39" t="s">
        <v>432</v>
      </c>
      <c r="F11" s="39" t="s">
        <v>432</v>
      </c>
      <c r="G11" s="68" t="s">
        <v>432</v>
      </c>
      <c r="H11" s="39" t="s">
        <v>432</v>
      </c>
      <c r="I11" s="39" t="s">
        <v>432</v>
      </c>
      <c r="J11" s="39" t="s">
        <v>432</v>
      </c>
      <c r="K11" s="39" t="s">
        <v>432</v>
      </c>
      <c r="L11" s="39"/>
      <c r="M11" s="39"/>
      <c r="N11" s="39"/>
      <c r="O11" s="39"/>
      <c r="P11" s="39"/>
      <c r="Q11" s="39"/>
      <c r="R11" s="39"/>
      <c r="S11" s="39" t="s">
        <v>432</v>
      </c>
      <c r="T11" s="39" t="s">
        <v>432</v>
      </c>
      <c r="U11" s="39"/>
      <c r="V11" s="39"/>
      <c r="W11" s="60"/>
    </row>
    <row r="12" spans="2:23" ht="60" customHeight="1">
      <c r="B12" s="16" t="s">
        <v>257</v>
      </c>
      <c r="C12" s="39" t="s">
        <v>433</v>
      </c>
      <c r="D12" s="39" t="s">
        <v>434</v>
      </c>
      <c r="E12" s="39"/>
      <c r="F12" s="39"/>
      <c r="G12" s="39"/>
      <c r="H12" s="39"/>
      <c r="I12" s="39"/>
      <c r="J12" s="39"/>
      <c r="K12" s="39"/>
      <c r="L12" s="39"/>
      <c r="M12" s="39"/>
      <c r="N12" s="39"/>
      <c r="O12" s="39"/>
      <c r="P12" s="39"/>
      <c r="Q12" s="39"/>
      <c r="R12" s="39"/>
      <c r="S12" s="39"/>
      <c r="T12" s="39"/>
      <c r="U12" s="39"/>
      <c r="V12" s="39"/>
      <c r="W12" s="60"/>
    </row>
    <row r="13" spans="2:23" ht="60" customHeight="1">
      <c r="B13" s="36" t="s">
        <v>252</v>
      </c>
      <c r="C13" s="39" t="s">
        <v>338</v>
      </c>
      <c r="D13" s="39"/>
      <c r="E13" s="39" t="s">
        <v>435</v>
      </c>
      <c r="F13" s="39" t="s">
        <v>436</v>
      </c>
      <c r="G13" s="39" t="s">
        <v>437</v>
      </c>
      <c r="H13" s="39" t="s">
        <v>438</v>
      </c>
      <c r="I13" s="39" t="s">
        <v>425</v>
      </c>
      <c r="J13" s="39" t="s">
        <v>426</v>
      </c>
      <c r="K13" s="39" t="s">
        <v>427</v>
      </c>
      <c r="L13" s="39"/>
      <c r="M13" s="39"/>
      <c r="N13" s="39"/>
      <c r="O13" s="39"/>
      <c r="P13" s="39"/>
      <c r="Q13" s="39"/>
      <c r="R13" s="39"/>
      <c r="S13" s="39" t="s">
        <v>428</v>
      </c>
      <c r="T13" s="39" t="s">
        <v>429</v>
      </c>
      <c r="U13" s="39"/>
      <c r="V13" s="39"/>
      <c r="W13" s="60"/>
    </row>
    <row r="14" spans="2:23" ht="60" customHeight="1">
      <c r="B14" s="16" t="s">
        <v>248</v>
      </c>
      <c r="C14" s="39" t="s">
        <v>439</v>
      </c>
      <c r="D14" s="39" t="s">
        <v>432</v>
      </c>
      <c r="E14" s="39" t="s">
        <v>432</v>
      </c>
      <c r="F14" s="39" t="s">
        <v>432</v>
      </c>
      <c r="G14" s="39" t="s">
        <v>432</v>
      </c>
      <c r="H14" s="39" t="s">
        <v>432</v>
      </c>
      <c r="I14" s="39" t="s">
        <v>432</v>
      </c>
      <c r="J14" s="39" t="s">
        <v>432</v>
      </c>
      <c r="K14" s="39" t="s">
        <v>432</v>
      </c>
      <c r="L14" s="39"/>
      <c r="M14" s="39"/>
      <c r="N14" s="39"/>
      <c r="O14" s="39"/>
      <c r="P14" s="39"/>
      <c r="Q14" s="39"/>
      <c r="R14" s="39"/>
      <c r="S14" s="39" t="s">
        <v>432</v>
      </c>
      <c r="T14" s="39" t="s">
        <v>432</v>
      </c>
      <c r="U14" s="39"/>
      <c r="V14" s="39"/>
      <c r="W14" s="60"/>
    </row>
    <row r="15" spans="2:23" ht="60" customHeight="1">
      <c r="B15" s="16" t="s">
        <v>251</v>
      </c>
      <c r="C15" s="39"/>
      <c r="D15" s="39"/>
      <c r="E15" s="39"/>
      <c r="F15" s="39"/>
      <c r="G15" s="39"/>
      <c r="H15" s="39"/>
      <c r="I15" s="39"/>
      <c r="J15" s="39"/>
      <c r="K15" s="39"/>
      <c r="L15" s="39"/>
      <c r="M15" s="39"/>
      <c r="N15" s="39"/>
      <c r="O15" s="39"/>
      <c r="P15" s="39"/>
      <c r="Q15" s="39"/>
      <c r="R15" s="39"/>
      <c r="S15" s="39"/>
      <c r="T15" s="39"/>
      <c r="U15" s="39"/>
      <c r="V15" s="39"/>
      <c r="W15" s="60"/>
    </row>
    <row r="16" spans="2:23" ht="60" customHeight="1">
      <c r="B16" s="36" t="s">
        <v>253</v>
      </c>
      <c r="C16" s="39" t="s">
        <v>440</v>
      </c>
      <c r="D16" s="39" t="s">
        <v>432</v>
      </c>
      <c r="E16" s="39" t="s">
        <v>432</v>
      </c>
      <c r="F16" s="39" t="s">
        <v>432</v>
      </c>
      <c r="G16" s="39" t="s">
        <v>432</v>
      </c>
      <c r="H16" s="39" t="s">
        <v>432</v>
      </c>
      <c r="I16" s="39" t="s">
        <v>432</v>
      </c>
      <c r="J16" s="39" t="s">
        <v>432</v>
      </c>
      <c r="K16" s="39" t="s">
        <v>432</v>
      </c>
      <c r="L16" s="39"/>
      <c r="M16" s="39"/>
      <c r="N16" s="39"/>
      <c r="O16" s="39"/>
      <c r="P16" s="39"/>
      <c r="Q16" s="39"/>
      <c r="R16" s="39"/>
      <c r="S16" s="39" t="s">
        <v>432</v>
      </c>
      <c r="T16" s="39" t="s">
        <v>432</v>
      </c>
      <c r="U16" s="39"/>
      <c r="V16" s="39"/>
      <c r="W16" s="60"/>
    </row>
    <row r="17" spans="2:23" ht="60" customHeight="1">
      <c r="B17" s="16" t="s">
        <v>249</v>
      </c>
      <c r="C17" s="39" t="s">
        <v>441</v>
      </c>
      <c r="D17" s="39" t="s">
        <v>442</v>
      </c>
      <c r="E17" s="39" t="s">
        <v>443</v>
      </c>
      <c r="F17" s="39" t="s">
        <v>444</v>
      </c>
      <c r="G17" s="39" t="s">
        <v>444</v>
      </c>
      <c r="H17" s="39" t="s">
        <v>444</v>
      </c>
      <c r="I17" s="39"/>
      <c r="J17" s="39" t="s">
        <v>444</v>
      </c>
      <c r="K17" s="39" t="s">
        <v>444</v>
      </c>
      <c r="L17" s="39"/>
      <c r="M17" s="39"/>
      <c r="N17" s="39"/>
      <c r="O17" s="39"/>
      <c r="P17" s="39"/>
      <c r="Q17" s="39"/>
      <c r="R17" s="39"/>
      <c r="S17" s="39" t="s">
        <v>444</v>
      </c>
      <c r="T17" s="39" t="s">
        <v>444</v>
      </c>
      <c r="U17" s="39"/>
      <c r="V17" s="39"/>
      <c r="W17" s="60"/>
    </row>
    <row r="18" spans="2:23" ht="60" customHeight="1">
      <c r="B18" s="16" t="s">
        <v>250</v>
      </c>
      <c r="C18" s="39" t="s">
        <v>445</v>
      </c>
      <c r="D18" s="39" t="s">
        <v>446</v>
      </c>
      <c r="E18" s="39" t="s">
        <v>447</v>
      </c>
      <c r="F18" s="39" t="s">
        <v>448</v>
      </c>
      <c r="G18" s="39" t="s">
        <v>448</v>
      </c>
      <c r="H18" s="39" t="s">
        <v>448</v>
      </c>
      <c r="I18" s="39"/>
      <c r="J18" s="39" t="s">
        <v>448</v>
      </c>
      <c r="K18" s="39" t="s">
        <v>448</v>
      </c>
      <c r="L18" s="39"/>
      <c r="M18" s="39"/>
      <c r="N18" s="39"/>
      <c r="O18" s="39"/>
      <c r="P18" s="39"/>
      <c r="Q18" s="39"/>
      <c r="R18" s="39"/>
      <c r="S18" s="39" t="s">
        <v>448</v>
      </c>
      <c r="T18" s="39" t="s">
        <v>448</v>
      </c>
      <c r="U18" s="39"/>
      <c r="V18" s="39"/>
      <c r="W18" s="60"/>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tabSelected="1" topLeftCell="A5" zoomScaleNormal="100" workbookViewId="0">
      <selection activeCell="G17" sqref="G16:G17"/>
    </sheetView>
  </sheetViews>
  <sheetFormatPr defaultColWidth="10.83203125" defaultRowHeight="15.5"/>
  <cols>
    <col min="1" max="1" width="5.5" customWidth="1"/>
  </cols>
  <sheetData>
    <row r="3" spans="2:11" ht="34" customHeight="1">
      <c r="B3" s="85" t="s">
        <v>224</v>
      </c>
      <c r="C3" s="85"/>
      <c r="D3" s="85"/>
      <c r="E3" s="85"/>
      <c r="F3" s="85"/>
      <c r="G3" s="85"/>
      <c r="H3" s="85"/>
      <c r="I3" s="85"/>
      <c r="J3" s="85"/>
      <c r="K3" s="85"/>
    </row>
    <row r="4" spans="2:11" ht="34" customHeight="1">
      <c r="B4" s="85"/>
      <c r="C4" s="85"/>
      <c r="D4" s="85"/>
      <c r="E4" s="85"/>
      <c r="F4" s="85"/>
      <c r="G4" s="85"/>
      <c r="H4" s="85"/>
      <c r="I4" s="85"/>
      <c r="J4" s="85"/>
      <c r="K4" s="85"/>
    </row>
    <row r="5" spans="2:11" ht="34" customHeight="1">
      <c r="B5" s="85"/>
      <c r="C5" s="85"/>
      <c r="D5" s="85"/>
      <c r="E5" s="85"/>
      <c r="F5" s="85"/>
      <c r="G5" s="85"/>
      <c r="H5" s="85"/>
      <c r="I5" s="85"/>
      <c r="J5" s="85"/>
      <c r="K5" s="85"/>
    </row>
    <row r="6" spans="2:11" ht="34" customHeight="1">
      <c r="B6" s="85"/>
      <c r="C6" s="85"/>
      <c r="D6" s="85"/>
      <c r="E6" s="85"/>
      <c r="F6" s="85"/>
      <c r="G6" s="85"/>
      <c r="H6" s="85"/>
      <c r="I6" s="85"/>
      <c r="J6" s="85"/>
      <c r="K6" s="85"/>
    </row>
    <row r="9" spans="2:11">
      <c r="C9" t="s">
        <v>404</v>
      </c>
    </row>
    <row r="10" spans="2:11">
      <c r="C10" t="s">
        <v>405</v>
      </c>
    </row>
    <row r="11" spans="2:11">
      <c r="C11" t="s">
        <v>406</v>
      </c>
    </row>
    <row r="12" spans="2:11">
      <c r="B12" s="57"/>
      <c r="C12" t="s">
        <v>407</v>
      </c>
    </row>
    <row r="13" spans="2:11">
      <c r="C13" t="s">
        <v>408</v>
      </c>
    </row>
    <row r="14" spans="2:11">
      <c r="C14" t="s">
        <v>409</v>
      </c>
    </row>
    <row r="15" spans="2:11">
      <c r="B15" s="57"/>
      <c r="C15" t="s">
        <v>449</v>
      </c>
    </row>
    <row r="16" spans="2:11">
      <c r="C16" t="s">
        <v>410</v>
      </c>
    </row>
    <row r="17" spans="2:3">
      <c r="C17" t="s">
        <v>411</v>
      </c>
    </row>
    <row r="18" spans="2:3">
      <c r="B18" s="57"/>
    </row>
    <row r="21" spans="2:3">
      <c r="B21" s="57"/>
    </row>
    <row r="24" spans="2:3">
      <c r="B24" s="57"/>
    </row>
  </sheetData>
  <mergeCells count="1">
    <mergeCell ref="B3:K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topLeftCell="A5" zoomScale="55" zoomScaleNormal="55" workbookViewId="0">
      <selection activeCell="C14" sqref="C14"/>
    </sheetView>
  </sheetViews>
  <sheetFormatPr defaultColWidth="10.83203125" defaultRowHeight="20"/>
  <cols>
    <col min="1" max="1" width="4.1640625" style="54" customWidth="1"/>
    <col min="2" max="2" width="200.83203125" style="10" customWidth="1"/>
    <col min="3" max="3" width="67.5" style="13" customWidth="1"/>
    <col min="4" max="16384" width="10.83203125" style="48"/>
  </cols>
  <sheetData>
    <row r="2" spans="2:4">
      <c r="B2" s="8" t="s">
        <v>233</v>
      </c>
      <c r="C2" s="11"/>
    </row>
    <row r="3" spans="2:4">
      <c r="B3" s="41" t="s">
        <v>231</v>
      </c>
      <c r="C3" s="56"/>
    </row>
    <row r="4" spans="2:4">
      <c r="B4" s="55" t="s">
        <v>260</v>
      </c>
      <c r="C4" s="56"/>
    </row>
    <row r="5" spans="2:4" ht="60">
      <c r="B5" s="53" t="s">
        <v>282</v>
      </c>
      <c r="C5" s="47" t="s">
        <v>36</v>
      </c>
      <c r="D5" s="49" t="s">
        <v>283</v>
      </c>
    </row>
    <row r="6" spans="2:4">
      <c r="B6" s="55" t="s">
        <v>259</v>
      </c>
      <c r="C6" s="56"/>
      <c r="D6" s="49"/>
    </row>
    <row r="7" spans="2:4" ht="60">
      <c r="B7" s="53" t="s">
        <v>221</v>
      </c>
      <c r="C7" s="47" t="s">
        <v>36</v>
      </c>
      <c r="D7" s="49" t="s">
        <v>276</v>
      </c>
    </row>
    <row r="8" spans="2:4">
      <c r="B8" s="55" t="s">
        <v>258</v>
      </c>
      <c r="C8" s="56"/>
    </row>
    <row r="9" spans="2:4" ht="60">
      <c r="B9" s="53" t="s">
        <v>222</v>
      </c>
      <c r="C9" s="47" t="s">
        <v>36</v>
      </c>
    </row>
    <row r="10" spans="2:4">
      <c r="B10" s="55" t="s">
        <v>279</v>
      </c>
      <c r="C10" s="56"/>
    </row>
    <row r="11" spans="2:4" ht="60">
      <c r="B11" s="53" t="s">
        <v>317</v>
      </c>
      <c r="C11" s="47" t="s">
        <v>36</v>
      </c>
    </row>
    <row r="12" spans="2:4">
      <c r="B12" s="41" t="s">
        <v>230</v>
      </c>
      <c r="C12" s="56"/>
    </row>
    <row r="13" spans="2:4">
      <c r="B13" s="55" t="s">
        <v>232</v>
      </c>
      <c r="C13" s="56"/>
    </row>
    <row r="14" spans="2:4" ht="60">
      <c r="B14" s="53" t="s">
        <v>219</v>
      </c>
      <c r="C14" s="47" t="s">
        <v>37</v>
      </c>
    </row>
    <row r="15" spans="2:4">
      <c r="B15" s="55" t="s">
        <v>228</v>
      </c>
      <c r="C15" s="56"/>
    </row>
    <row r="16" spans="2:4" ht="60">
      <c r="B16" s="53" t="s">
        <v>220</v>
      </c>
      <c r="C16" s="47" t="s">
        <v>37</v>
      </c>
    </row>
    <row r="17" spans="2:3">
      <c r="B17" s="55" t="s">
        <v>229</v>
      </c>
      <c r="C17" s="56"/>
    </row>
    <row r="18" spans="2:3" ht="60">
      <c r="B18" s="53" t="s">
        <v>223</v>
      </c>
      <c r="C18" s="47" t="s">
        <v>36</v>
      </c>
    </row>
    <row r="19" spans="2:3">
      <c r="B19" s="55" t="s">
        <v>261</v>
      </c>
      <c r="C19" s="56"/>
    </row>
    <row r="20" spans="2:3" ht="60">
      <c r="B20" s="53" t="s">
        <v>281</v>
      </c>
      <c r="C20" s="47" t="s">
        <v>36</v>
      </c>
    </row>
    <row r="21" spans="2:3">
      <c r="B21" s="55" t="s">
        <v>298</v>
      </c>
      <c r="C21" s="56"/>
    </row>
    <row r="22" spans="2:3" ht="80">
      <c r="B22" s="53" t="s">
        <v>300</v>
      </c>
      <c r="C22" s="47" t="s">
        <v>36</v>
      </c>
    </row>
    <row r="23" spans="2:3">
      <c r="B23" s="55" t="s">
        <v>303</v>
      </c>
      <c r="C23" s="56"/>
    </row>
    <row r="24" spans="2:3" ht="80">
      <c r="B24" s="53" t="s">
        <v>301</v>
      </c>
      <c r="C24" s="47" t="s">
        <v>36</v>
      </c>
    </row>
    <row r="25" spans="2:3">
      <c r="B25" s="55" t="s">
        <v>299</v>
      </c>
      <c r="C25" s="56"/>
    </row>
    <row r="26" spans="2:3" ht="80">
      <c r="B26" s="53" t="s">
        <v>302</v>
      </c>
      <c r="C26" s="47" t="s">
        <v>36</v>
      </c>
    </row>
    <row r="27" spans="2:3">
      <c r="B27" s="55" t="s">
        <v>313</v>
      </c>
      <c r="C27" s="56"/>
    </row>
    <row r="28" spans="2:3" ht="80">
      <c r="B28" s="53" t="s">
        <v>315</v>
      </c>
      <c r="C28" s="47" t="s">
        <v>36</v>
      </c>
    </row>
  </sheetData>
  <sheetProtection algorithmName="SHA-512" hashValue="XeW6bUAKnm43j4meWYPApqpxgIUvkc+kiljCp7h71QUV2ZgishBBRb5NF7kP+72LnQELXBDhMs+rLegAjSnArA==" saltValue="2/ZNlC/KVpLBc1AR6Z48Dw==" spinCount="100000" sheet="1" objects="1" scenarios="1"/>
  <conditionalFormatting sqref="C5">
    <cfRule type="notContainsBlanks" dxfId="53" priority="72" stopIfTrue="1">
      <formula>LEN(TRIM(C5))&gt;0</formula>
    </cfRule>
    <cfRule type="containsText" dxfId="52" priority="70" operator="containsText" text="Yes">
      <formula>NOT(ISERROR(SEARCH("Yes",C5)))</formula>
    </cfRule>
    <cfRule type="containsText" dxfId="51" priority="71" operator="containsText" text="No">
      <formula>NOT(ISERROR(SEARCH("No",C5)))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containsText" dxfId="41" priority="44" operator="containsText" text="No">
      <formula>NOT(ISERROR(SEARCH("No",C12)))</formula>
    </cfRule>
    <cfRule type="containsText" dxfId="40" priority="43" operator="containsText" text="Yes">
      <formula>NOT(ISERROR(SEARCH("Yes",C12)))</formula>
    </cfRule>
    <cfRule type="notContainsBlanks" dxfId="39" priority="54" stopIfTrue="1">
      <formula>LEN(TRIM(C12))&gt;0</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containsText" dxfId="23" priority="37" operator="containsText" text="Yes">
      <formula>NOT(ISERROR(SEARCH("Yes",C16)))</formula>
    </cfRule>
    <cfRule type="containsText" dxfId="22" priority="38" operator="containsText" text="No">
      <formula>NOT(ISERROR(SEARCH("No",C16)))</formula>
    </cfRule>
    <cfRule type="notContainsBlanks" dxfId="21" priority="39" stopIfTrue="1">
      <formula>LEN(TRIM(C16))&gt;0</formula>
    </cfRule>
    <cfRule type="containsText" dxfId="20" priority="19" operator="containsText" text="Yes">
      <formula>NOT(ISERROR(SEARCH("Yes",C16)))</formula>
    </cfRule>
    <cfRule type="containsText" dxfId="19" priority="20" operator="containsText" text="No">
      <formula>NOT(ISERROR(SEARCH("No",C16)))</formula>
    </cfRule>
    <cfRule type="notContainsBlanks" dxfId="18" priority="21"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notContainsBlanks" dxfId="14" priority="15" stopIfTrue="1">
      <formula>LEN(TRIM(C20))&gt;0</formula>
    </cfRule>
    <cfRule type="containsText" dxfId="13" priority="14" operator="containsText" text="No">
      <formula>NOT(ISERROR(SEARCH("No",C20)))</formula>
    </cfRule>
    <cfRule type="containsText" dxfId="12" priority="13" operator="containsText" text="Yes">
      <formula>NOT(ISERROR(SEARCH("Yes",C20)))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containsText" dxfId="2" priority="1" operator="containsText" text="Yes">
      <formula>NOT(ISERROR(SEARCH("Yes",C28)))</formula>
    </cfRule>
    <cfRule type="notContainsBlanks" dxfId="1" priority="3" stopIfTrue="1">
      <formula>LEN(TRIM(C28))&gt;0</formula>
    </cfRule>
    <cfRule type="containsText" dxfId="0" priority="2" operator="containsText" text="No">
      <formula>NOT(ISERROR(SEARCH("No",C28)))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83203125" defaultRowHeight="15.5"/>
  <cols>
    <col min="1" max="1" width="14.6640625" style="1" bestFit="1" customWidth="1"/>
    <col min="2" max="2" width="10.83203125" style="1"/>
    <col min="3" max="3" width="60" style="1" bestFit="1" customWidth="1"/>
    <col min="4" max="4" width="10.83203125" style="1"/>
    <col min="5" max="5" width="7.1640625" style="1" bestFit="1" customWidth="1"/>
    <col min="6" max="6" width="10.83203125" style="1"/>
    <col min="7" max="7" width="17" style="1" bestFit="1" customWidth="1"/>
    <col min="8" max="8" width="21" style="1" customWidth="1"/>
    <col min="9" max="10" width="10.83203125" style="1"/>
    <col min="11" max="11" width="12" style="1" customWidth="1"/>
    <col min="12" max="16384" width="10.83203125" style="1"/>
  </cols>
  <sheetData>
    <row r="1" spans="1:7">
      <c r="A1" s="1" t="s">
        <v>104</v>
      </c>
      <c r="C1" s="7" t="s">
        <v>23</v>
      </c>
      <c r="E1" s="5" t="s">
        <v>35</v>
      </c>
      <c r="G1" s="5" t="s">
        <v>47</v>
      </c>
    </row>
    <row r="2" spans="1:7">
      <c r="A2" s="1" t="s">
        <v>12</v>
      </c>
      <c r="C2" s="1" t="s">
        <v>26</v>
      </c>
      <c r="E2" s="1" t="s">
        <v>36</v>
      </c>
      <c r="G2" s="1" t="s">
        <v>48</v>
      </c>
    </row>
    <row r="3" spans="1:7">
      <c r="A3" s="1" t="s">
        <v>105</v>
      </c>
      <c r="C3" s="1" t="s">
        <v>24</v>
      </c>
      <c r="E3" s="1" t="s">
        <v>37</v>
      </c>
      <c r="G3" s="1" t="s">
        <v>49</v>
      </c>
    </row>
    <row r="4" spans="1:7">
      <c r="C4" s="1" t="s">
        <v>28</v>
      </c>
      <c r="G4" s="1" t="s">
        <v>50</v>
      </c>
    </row>
    <row r="5" spans="1:7">
      <c r="C5" s="1" t="s">
        <v>44</v>
      </c>
      <c r="G5" s="1" t="s">
        <v>51</v>
      </c>
    </row>
    <row r="6" spans="1:7">
      <c r="C6" s="1" t="s">
        <v>27</v>
      </c>
      <c r="G6" s="1" t="s">
        <v>52</v>
      </c>
    </row>
    <row r="7" spans="1:7">
      <c r="C7" s="1" t="s">
        <v>38</v>
      </c>
      <c r="G7" s="1" t="s">
        <v>53</v>
      </c>
    </row>
    <row r="8" spans="1:7">
      <c r="C8" s="1" t="s">
        <v>25</v>
      </c>
      <c r="G8" s="1" t="s">
        <v>54</v>
      </c>
    </row>
    <row r="9" spans="1:7">
      <c r="C9" s="1" t="s">
        <v>29</v>
      </c>
      <c r="G9" s="1" t="s">
        <v>55</v>
      </c>
    </row>
    <row r="10" spans="1:7">
      <c r="C10" s="1" t="s">
        <v>39</v>
      </c>
      <c r="G10" s="1" t="s">
        <v>56</v>
      </c>
    </row>
    <row r="11" spans="1:7">
      <c r="C11" s="1" t="s">
        <v>40</v>
      </c>
      <c r="G11" s="1" t="s">
        <v>57</v>
      </c>
    </row>
    <row r="12" spans="1:7">
      <c r="C12" s="1" t="s">
        <v>46</v>
      </c>
      <c r="G12" s="1" t="s">
        <v>58</v>
      </c>
    </row>
    <row r="13" spans="1:7">
      <c r="C13" s="1" t="s">
        <v>41</v>
      </c>
      <c r="G13" s="1" t="s">
        <v>59</v>
      </c>
    </row>
    <row r="14" spans="1:7">
      <c r="C14" s="1" t="s">
        <v>32</v>
      </c>
      <c r="G14" s="1" t="s">
        <v>60</v>
      </c>
    </row>
    <row r="15" spans="1:7">
      <c r="C15" s="1" t="s">
        <v>33</v>
      </c>
      <c r="G15" s="1" t="s">
        <v>61</v>
      </c>
    </row>
    <row r="16" spans="1:7">
      <c r="C16" s="1" t="s">
        <v>30</v>
      </c>
      <c r="G16" s="1" t="s">
        <v>62</v>
      </c>
    </row>
    <row r="17" spans="3:7">
      <c r="C17" s="1" t="s">
        <v>45</v>
      </c>
      <c r="G17" s="1" t="s">
        <v>63</v>
      </c>
    </row>
    <row r="18" spans="3:7">
      <c r="C18" s="1" t="s">
        <v>31</v>
      </c>
      <c r="G18" s="1" t="s">
        <v>64</v>
      </c>
    </row>
    <row r="19" spans="3:7">
      <c r="C19" s="1" t="s">
        <v>42</v>
      </c>
      <c r="G19" s="1" t="s">
        <v>65</v>
      </c>
    </row>
    <row r="20" spans="3:7">
      <c r="C20" s="1" t="s">
        <v>43</v>
      </c>
      <c r="G20" s="1" t="s">
        <v>66</v>
      </c>
    </row>
    <row r="21" spans="3:7">
      <c r="C21" s="1" t="s">
        <v>34</v>
      </c>
      <c r="G21" s="1" t="s">
        <v>67</v>
      </c>
    </row>
    <row r="22" spans="3:7">
      <c r="G22" s="1" t="s">
        <v>68</v>
      </c>
    </row>
    <row r="23" spans="3:7">
      <c r="G23" s="1" t="s">
        <v>69</v>
      </c>
    </row>
    <row r="24" spans="3:7">
      <c r="G24" s="1" t="s">
        <v>70</v>
      </c>
    </row>
    <row r="25" spans="3:7">
      <c r="G25" s="1" t="s">
        <v>71</v>
      </c>
    </row>
    <row r="26" spans="3:7">
      <c r="G26" s="1" t="s">
        <v>72</v>
      </c>
    </row>
    <row r="27" spans="3:7">
      <c r="G27" s="1" t="s">
        <v>73</v>
      </c>
    </row>
    <row r="28" spans="3:7">
      <c r="G28" s="1" t="s">
        <v>74</v>
      </c>
    </row>
    <row r="29" spans="3:7">
      <c r="G29" s="1" t="s">
        <v>75</v>
      </c>
    </row>
    <row r="30" spans="3:7">
      <c r="G30" s="1" t="s">
        <v>76</v>
      </c>
    </row>
    <row r="31" spans="3:7">
      <c r="G31" s="1" t="s">
        <v>77</v>
      </c>
    </row>
    <row r="32" spans="3:7">
      <c r="G32" s="1" t="s">
        <v>78</v>
      </c>
    </row>
    <row r="33" spans="7:7">
      <c r="G33" s="1" t="s">
        <v>79</v>
      </c>
    </row>
    <row r="34" spans="7:7">
      <c r="G34" s="1" t="s">
        <v>80</v>
      </c>
    </row>
    <row r="35" spans="7:7">
      <c r="G35" s="1" t="s">
        <v>81</v>
      </c>
    </row>
    <row r="36" spans="7:7">
      <c r="G36" s="1" t="s">
        <v>82</v>
      </c>
    </row>
    <row r="37" spans="7:7">
      <c r="G37" s="1" t="s">
        <v>83</v>
      </c>
    </row>
    <row r="38" spans="7:7">
      <c r="G38" s="1" t="s">
        <v>84</v>
      </c>
    </row>
    <row r="39" spans="7:7">
      <c r="G39" s="1" t="s">
        <v>85</v>
      </c>
    </row>
    <row r="40" spans="7:7">
      <c r="G40" s="1" t="s">
        <v>86</v>
      </c>
    </row>
    <row r="41" spans="7:7">
      <c r="G41" s="1" t="s">
        <v>87</v>
      </c>
    </row>
    <row r="42" spans="7:7">
      <c r="G42" s="1" t="s">
        <v>88</v>
      </c>
    </row>
    <row r="43" spans="7:7">
      <c r="G43" s="1" t="s">
        <v>89</v>
      </c>
    </row>
    <row r="44" spans="7:7">
      <c r="G44" s="1" t="s">
        <v>90</v>
      </c>
    </row>
    <row r="45" spans="7:7">
      <c r="G45" s="1" t="s">
        <v>91</v>
      </c>
    </row>
    <row r="46" spans="7:7">
      <c r="G46" s="1" t="s">
        <v>92</v>
      </c>
    </row>
    <row r="47" spans="7:7">
      <c r="G47" s="1" t="s">
        <v>93</v>
      </c>
    </row>
    <row r="48" spans="7:7">
      <c r="G48" s="1" t="s">
        <v>94</v>
      </c>
    </row>
    <row r="49" spans="7:7">
      <c r="G49" s="1" t="s">
        <v>95</v>
      </c>
    </row>
    <row r="50" spans="7:7">
      <c r="G50" s="1" t="s">
        <v>96</v>
      </c>
    </row>
    <row r="51" spans="7:7">
      <c r="G51" s="1" t="s">
        <v>97</v>
      </c>
    </row>
    <row r="52" spans="7:7">
      <c r="G52" s="1" t="s">
        <v>98</v>
      </c>
    </row>
    <row r="53" spans="7:7">
      <c r="G53" s="1" t="s">
        <v>99</v>
      </c>
    </row>
    <row r="54" spans="7:7">
      <c r="G54" s="1" t="s">
        <v>100</v>
      </c>
    </row>
    <row r="55" spans="7:7">
      <c r="G55" s="1" t="s">
        <v>101</v>
      </c>
    </row>
    <row r="56" spans="7:7">
      <c r="G56" s="1" t="s">
        <v>102</v>
      </c>
    </row>
    <row r="57" spans="7:7">
      <c r="G57" s="1"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Sachin G. Agnihotri</cp:lastModifiedBy>
  <cp:lastPrinted>2018-09-13T16:04:18Z</cp:lastPrinted>
  <dcterms:created xsi:type="dcterms:W3CDTF">2018-09-10T17:18:27Z</dcterms:created>
  <dcterms:modified xsi:type="dcterms:W3CDTF">2025-12-01T07:18:09Z</dcterms:modified>
</cp:coreProperties>
</file>