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mariekim/Tescom Sun/RFI/"/>
    </mc:Choice>
  </mc:AlternateContent>
  <xr:revisionPtr revIDLastSave="0" documentId="8_{5183F1D6-27AD-ED45-87D1-19525D7A8144}"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2280" yWindow="780" windowWidth="38080" windowHeight="19120"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0" l="1"/>
  <c r="F6" i="20"/>
  <c r="F5" i="20"/>
  <c r="I16" i="20" l="1"/>
  <c r="H16" i="20"/>
  <c r="G16" i="20"/>
  <c r="F16" i="20"/>
  <c r="E16" i="20"/>
  <c r="D16" i="20"/>
  <c r="C16" i="20"/>
</calcChain>
</file>

<file path=xl/sharedStrings.xml><?xml version="1.0" encoding="utf-8"?>
<sst xmlns="http://schemas.openxmlformats.org/spreadsheetml/2006/main" count="674" uniqueCount="394">
  <si>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</si>
  <si>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</si>
  <si>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</si>
  <si>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</si>
  <si>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</si>
  <si>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</si>
  <si>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</si>
  <si>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</si>
  <si>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</si>
  <si>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</si>
  <si>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</si>
  <si>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</si>
  <si>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</si>
  <si>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</si>
  <si>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</si>
  <si>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</si>
  <si>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</si>
  <si>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</si>
  <si>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</si>
  <si>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</si>
  <si>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</si>
  <si>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</si>
  <si>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</si>
  <si>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</si>
  <si>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</si>
  <si>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</si>
  <si>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</si>
  <si>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</si>
  <si>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</si>
  <si>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</si>
  <si>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</si>
  <si>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</si>
  <si>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</si>
  <si>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</si>
  <si>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</si>
  <si>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</si>
  <si>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</si>
  <si>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</si>
  <si>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</si>
  <si>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</si>
  <si>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</si>
  <si>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</si>
  <si>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</si>
  <si>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</si>
  <si>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</si>
  <si>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</si>
  <si>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</si>
  <si>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</si>
  <si>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</si>
  <si>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</si>
  <si>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</si>
  <si>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</si>
  <si>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</si>
  <si>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</si>
  <si>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</si>
  <si>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</si>
  <si>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</si>
  <si>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</si>
  <si>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</si>
  <si>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</si>
  <si>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</si>
  <si>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</si>
  <si>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</si>
  <si>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</si>
  <si>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</si>
  <si>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</si>
  <si>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</si>
  <si>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</si>
  <si>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</si>
  <si>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</si>
  <si>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</si>
  <si>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</si>
  <si>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</si>
  <si>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</si>
  <si>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</si>
  <si>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</si>
  <si>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</si>
  <si>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</si>
  <si>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</si>
  <si>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</si>
  <si>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</si>
  <si>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</si>
  <si>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</si>
  <si>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</si>
  <si>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</si>
  <si>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</si>
  <si>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</si>
  <si>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</si>
  <si>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</si>
  <si>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</si>
  <si>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</si>
  <si>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</si>
  <si>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</si>
  <si>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</si>
  <si>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</si>
  <si>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</si>
  <si>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</si>
  <si>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</si>
  <si>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</si>
  <si>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</si>
  <si>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</si>
  <si>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</si>
  <si>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</si>
  <si>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</si>
  <si>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</si>
  <si>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</si>
  <si>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</si>
  <si>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</si>
  <si>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</si>
  <si>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</si>
  <si>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</si>
  <si>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</si>
  <si>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</si>
  <si>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</si>
  <si>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</si>
  <si>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</si>
  <si>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</si>
  <si>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</si>
  <si>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</si>
  <si>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</si>
  <si>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</si>
  <si>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</si>
  <si>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</si>
  <si>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</si>
  <si>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</si>
  <si>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</si>
  <si>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</si>
  <si>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</si>
  <si>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</si>
  <si>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</si>
  <si>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</si>
  <si>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</si>
  <si>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</si>
  <si>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</si>
  <si>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</si>
  <si>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</si>
  <si>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</si>
  <si>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</si>
  <si>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</si>
  <si>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</si>
  <si>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</si>
  <si>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</si>
  <si>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</si>
  <si>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</si>
  <si>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</si>
  <si>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</si>
  <si>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</si>
  <si>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</si>
  <si>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</si>
  <si>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</si>
  <si>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</si>
  <si>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</si>
  <si>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</si>
  <si>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</si>
  <si>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</si>
  <si>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</si>
  <si>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</si>
  <si>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</si>
  <si>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</si>
  <si>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</si>
  <si>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</si>
  <si>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</si>
  <si>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</si>
  <si>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</si>
  <si>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</si>
  <si>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</si>
  <si>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</si>
  <si>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</si>
  <si>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</si>
  <si>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</si>
  <si>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</si>
  <si>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</si>
  <si>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</si>
  <si>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</si>
  <si>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</si>
  <si>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</si>
  <si>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</si>
  <si>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</si>
  <si>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</si>
  <si>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</si>
  <si>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</si>
  <si>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</si>
  <si>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</si>
  <si>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</si>
  <si>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</si>
  <si>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</si>
  <si>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</si>
  <si>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</si>
  <si>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</si>
  <si>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</si>
  <si>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</si>
  <si>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</si>
  <si>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</si>
  <si>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</si>
  <si>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</si>
  <si>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</si>
  <si>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</si>
  <si>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</si>
  <si>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</si>
  <si>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</si>
  <si>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</si>
  <si>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</si>
  <si>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</si>
  <si>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</si>
  <si>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</si>
  <si>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</si>
  <si>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</si>
  <si>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</si>
  <si>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</si>
  <si>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</si>
  <si>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</si>
  <si>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</si>
  <si>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</si>
  <si>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</si>
  <si>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</si>
  <si>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</si>
  <si>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</si>
  <si>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</si>
  <si>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</si>
  <si>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</si>
  <si>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</si>
  <si>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</si>
  <si>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</si>
  <si>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</si>
  <si>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</si>
  <si>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</si>
  <si>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</si>
  <si>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</si>
  <si>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</si>
  <si>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</si>
  <si>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</si>
  <si>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</si>
  <si>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</si>
  <si>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</si>
  <si>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</si>
  <si>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</si>
  <si>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</si>
  <si>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</si>
  <si>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</si>
  <si>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</si>
  <si>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</si>
  <si>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</si>
  <si>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</si>
  <si>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</si>
  <si>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</si>
  <si>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</si>
  <si>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</si>
  <si>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</si>
  <si>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</si>
  <si>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</si>
  <si>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</si>
  <si>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</si>
  <si>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</si>
  <si>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</si>
  <si>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</si>
  <si>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</si>
  <si>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</si>
  <si>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</si>
  <si>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</si>
  <si>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</si>
  <si>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</si>
  <si>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</si>
  <si>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</si>
  <si>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</si>
  <si>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</si>
  <si>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</si>
  <si>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</si>
  <si>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</si>
  <si>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</si>
  <si>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</si>
  <si>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</si>
  <si>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</si>
  <si>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</si>
  <si>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</si>
  <si>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</si>
  <si>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</si>
  <si>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</si>
  <si>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</si>
  <si>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</si>
  <si>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</si>
  <si>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</si>
  <si>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</si>
  <si>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</si>
  <si>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</si>
  <si>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</si>
  <si>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</si>
  <si>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</si>
  <si>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</si>
  <si>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</si>
  <si>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</si>
  <si>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</si>
  <si>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</si>
  <si>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</si>
  <si>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</si>
  <si>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</si>
  <si>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</si>
  <si>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</si>
  <si>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</si>
  <si>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</si>
  <si>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</si>
  <si>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</si>
  <si>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</si>
  <si>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</si>
  <si>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</si>
  <si>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</si>
  <si>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</si>
  <si>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</si>
  <si>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</si>
  <si>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</si>
  <si>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</si>
  <si>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</si>
  <si>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</si>
  <si>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</si>
  <si>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</si>
  <si>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</si>
  <si>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</si>
  <si>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</si>
  <si>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</si>
  <si>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</si>
  <si>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</si>
  <si>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Tescom Co. Ltd.</t>
  </si>
  <si>
    <t>57-1, Supsongmaeul 2-ro, Ilsandong-gu, Goyang-si, Gyeonggi-do, Republic of Korea 10442</t>
  </si>
  <si>
    <t>https://tescomwireless.com/en/</t>
  </si>
  <si>
    <t>n/a</t>
  </si>
  <si>
    <t>Hyuk (Sam), Lee</t>
  </si>
  <si>
    <t>CEO</t>
  </si>
  <si>
    <t>South Korea</t>
  </si>
  <si>
    <t>Marie Kim</t>
  </si>
  <si>
    <t>Acct Mgr/VP</t>
  </si>
  <si>
    <t>US</t>
  </si>
  <si>
    <t>sam@tescomwireless.com</t>
  </si>
  <si>
    <t>marie@tescomwireless.com</t>
  </si>
  <si>
    <t>+1 415-235-3686</t>
  </si>
  <si>
    <t>+82-10-9101-3709</t>
  </si>
  <si>
    <t>Jason Noh</t>
  </si>
  <si>
    <t>Intl Sales and Operations</t>
  </si>
  <si>
    <t>jason@tescomwireless.com</t>
  </si>
  <si>
    <t>+82 31-920-6635</t>
  </si>
  <si>
    <t>Sky Park</t>
  </si>
  <si>
    <t>Eng Manager</t>
  </si>
  <si>
    <t>sky@tescomwireless.com</t>
  </si>
  <si>
    <t>+1-408-857-2486</t>
  </si>
  <si>
    <t>Kyejong Song</t>
  </si>
  <si>
    <t>kjsong@tescomwireless.com</t>
  </si>
  <si>
    <t xml:space="preserve">+82 31-920-6688 </t>
  </si>
  <si>
    <t>Youngsoon Seo</t>
  </si>
  <si>
    <t>Finance Manager</t>
  </si>
  <si>
    <t>+82 31-920-6653</t>
  </si>
  <si>
    <t>ysseo@tescomwireless.com</t>
  </si>
  <si>
    <t>Production and Purchasing</t>
  </si>
  <si>
    <t>Heon Ha</t>
  </si>
  <si>
    <t>Head of India</t>
  </si>
  <si>
    <t>heon@tescomwireless.com</t>
  </si>
  <si>
    <t>+91-89512-20561</t>
  </si>
  <si>
    <t>Goyang, South Korea</t>
  </si>
  <si>
    <t>Primary 2025 programs D23/V53/V54/V57 (India phone)
J700 (Vietnam)</t>
  </si>
  <si>
    <t>SMT Fixtures, RF Shield Box</t>
  </si>
  <si>
    <t>#927, 142 Ilsan-ro, Ilsandong-gu, Goyang-si, Gyeonggi-do, South Korea 10442</t>
  </si>
  <si>
    <t>Tescom - Unitechvil</t>
  </si>
  <si>
    <t>SMT Fixtures, RF Shield Box, RF/Audio Testers, Pick and place, FCT testers</t>
  </si>
  <si>
    <t>Tescom-India</t>
  </si>
  <si>
    <t>Bengalaru, India</t>
  </si>
  <si>
    <t>No.66, The Hitech Defense and Aerospace Park
Industrial Area, Arebinnamangala Village 
Bengaluru, Karnataka, 562149, Republic of India</t>
  </si>
  <si>
    <t xml:space="preserve">Initial Production, V54 and V57 </t>
  </si>
  <si>
    <t>Carriers for SMT Fixture</t>
  </si>
  <si>
    <t>Global</t>
  </si>
  <si>
    <t>China-Shanghai</t>
  </si>
  <si>
    <t>China-Beijing</t>
  </si>
  <si>
    <t>China-Shenzhen</t>
  </si>
  <si>
    <t>Low</t>
  </si>
  <si>
    <t>Medium</t>
  </si>
  <si>
    <t>High</t>
  </si>
  <si>
    <t>N/A</t>
  </si>
  <si>
    <t>SMT Fixtures, Shield Boxes/Chambers, RF Antenna</t>
  </si>
  <si>
    <t>David Chen</t>
  </si>
  <si>
    <t>chen_d@apple.com</t>
  </si>
  <si>
    <t>Apple automation build with TA-7630P/APC automation chamber, 2019</t>
  </si>
  <si>
    <t>2012-2025, R&amp;D and MP Shield Box/Chambers, MLB Fixtures</t>
  </si>
  <si>
    <t xml:space="preserve"> RF Cell line automation solution for top-tier automotive customer</t>
  </si>
  <si>
    <t>None</t>
  </si>
  <si>
    <t>Audio Tester and Audio Shield Box solution</t>
  </si>
  <si>
    <t>Currently engaged in our first major on-the-line automation project with Apple (Meatloaf)</t>
  </si>
  <si>
    <t>1. Experience in automotive display assembly station with 2D lasers in 50 micron accuracy (off the line)</t>
  </si>
  <si>
    <t xml:space="preserve">For over 10 years, we have worked with Apple's RF testing team as the primary POR vendor for shield boxes across all major product lines for both R&amp;D and MP. We have been through countless projects, supporting global sites from NPI to MP without issues.  
</t>
  </si>
  <si>
    <t xml:space="preserve"> In May 2025, we successfully completed MP validation for V57 MLB fixtures for Apple.</t>
  </si>
  <si>
    <t>FCT experience with top-tier automotive customers.</t>
  </si>
  <si>
    <t>Throughout our 30-year experience in the field including over 10 years of partnership with Apple, we have designed our product to meet each customer's needs.</t>
  </si>
  <si>
    <t xml:space="preserve">For over 10 years, we have worked with Apple's RF testing team as the primary POR vendor for shield boxes across all major product lines for both R&amp;D and MP. We have been through countless projects, supporting global sites from NPI to MP without issues.  </t>
  </si>
  <si>
    <t xml:space="preserve">Over the past 12 months, we have achieved MP validation as the leading MLB fixture supplier for Apple in India. </t>
  </si>
  <si>
    <t>In addition, we are currently engaged in our first major on-the-line automation project with Apple (Meatloaf).</t>
  </si>
  <si>
    <t>VMM</t>
  </si>
  <si>
    <t>Confocal Laser Displacement Sensor</t>
  </si>
  <si>
    <t>Growth Areas include: automation capabilities, automotive-related capabiliities (e.g., evse, hi-voltage)</t>
  </si>
  <si>
    <t>Core Offerings: Hardware Test Equipment incl. Shield boxes, FCT testers, SMT/MLB fixtures, and related components and accessories (e.g., antenna, absorbers)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</si>
</sst>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8">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10</xdr:col>
      <xdr:colOff>520700</xdr:colOff>
      <xdr:row>31</xdr:row>
      <xdr:rowOff>47853</xdr:rowOff>
    </xdr:to>
    <xdr:pic>
      <xdr:nvPicPr>
        <xdr:cNvPr id="2" name="Picture 1">
          <a:extLst>
            <a:ext uri="{FF2B5EF4-FFF2-40B4-BE49-F238E27FC236}">
              <a16:creationId xmlns:a16="http://schemas.microsoft.com/office/drawing/2014/main" id="{82DDA76C-4684-22DA-7518-A21AF2170256}"/>
            </a:ext>
          </a:extLst>
        </xdr:cNvPr>
        <xdr:cNvPicPr>
          <a:picLocks noChangeAspect="1"/>
        </xdr:cNvPicPr>
      </xdr:nvPicPr>
      <xdr:blipFill>
        <a:blip xmlns:r="http://schemas.openxmlformats.org/officeDocument/2006/relationships" r:embed="rId1"/>
        <a:stretch>
          <a:fillRect/>
        </a:stretch>
      </xdr:blipFill>
      <xdr:spPr>
        <a:xfrm>
          <a:off x="406400" y="2997200"/>
          <a:ext cx="9753600" cy="492465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14" sqref="B14"/>
    </sheetView>
  </sheetViews>
  <sheetFormatPr baseColWidth="10" defaultRowHeight="20"/>
  <cols>
    <col min="1" max="1" width="10.83203125" style="51"/>
    <col min="2" max="2" width="200.83203125" style="10" customWidth="1"/>
    <col min="3" max="16384" width="10.83203125" style="51"/>
  </cols>
  <sheetData>
    <row r="2" spans="2:2" ht="22">
      <c r="B2" s="8" t="s">
        <v>214</v>
      </c>
    </row>
    <row r="3" spans="2:2" ht="22">
      <c r="B3" s="44" t="s">
        <v>174</v>
      </c>
    </row>
    <row r="4" spans="2:2" ht="84">
      <c r="B4" s="9" t="s">
        <v>113</v>
      </c>
    </row>
    <row r="5" spans="2:2" ht="22">
      <c r="B5" s="44" t="s">
        <v>175</v>
      </c>
    </row>
    <row r="6" spans="2:2" ht="42">
      <c r="B6" s="9" t="s">
        <v>114</v>
      </c>
    </row>
    <row r="7" spans="2:2" ht="22">
      <c r="B7" s="44" t="s">
        <v>176</v>
      </c>
    </row>
    <row r="8" spans="2:2" ht="294">
      <c r="B8" s="9" t="s">
        <v>294</v>
      </c>
    </row>
    <row r="9" spans="2:2" ht="22">
      <c r="B9" s="44" t="s">
        <v>177</v>
      </c>
    </row>
    <row r="10" spans="2:2" ht="22">
      <c r="B10" s="9" t="s">
        <v>180</v>
      </c>
    </row>
    <row r="11" spans="2:2" ht="22">
      <c r="B11" s="44" t="s">
        <v>178</v>
      </c>
    </row>
    <row r="12" spans="2:2" ht="42">
      <c r="B12" s="9" t="s">
        <v>115</v>
      </c>
    </row>
    <row r="13" spans="2:2" ht="22">
      <c r="B13" s="44" t="s">
        <v>179</v>
      </c>
    </row>
    <row r="14" spans="2:2" ht="84">
      <c r="B14" s="72" t="s">
        <v>317</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3" workbookViewId="0">
      <selection activeCell="B28" sqref="B28"/>
    </sheetView>
  </sheetViews>
  <sheetFormatPr baseColWidth="10" defaultRowHeight="20"/>
  <cols>
    <col min="1" max="1" width="10.83203125" style="51"/>
    <col min="2" max="2" width="200.83203125" style="10" customWidth="1"/>
    <col min="3" max="16384" width="10.83203125" style="51"/>
  </cols>
  <sheetData>
    <row r="2" spans="2:2" ht="22">
      <c r="B2" s="8" t="s">
        <v>116</v>
      </c>
    </row>
    <row r="3" spans="2:2" ht="22">
      <c r="B3" s="43" t="s">
        <v>160</v>
      </c>
    </row>
    <row r="4" spans="2:2" ht="42">
      <c r="B4" s="9" t="s">
        <v>117</v>
      </c>
    </row>
    <row r="5" spans="2:2" ht="22">
      <c r="B5" s="44" t="s">
        <v>161</v>
      </c>
    </row>
    <row r="6" spans="2:2" ht="42">
      <c r="B6" s="9" t="s">
        <v>118</v>
      </c>
    </row>
    <row r="7" spans="2:2" ht="22">
      <c r="B7" s="44" t="s">
        <v>162</v>
      </c>
    </row>
    <row r="8" spans="2:2" ht="64">
      <c r="B8" s="9" t="s">
        <v>181</v>
      </c>
    </row>
    <row r="9" spans="2:2" ht="22">
      <c r="B9" s="44" t="s">
        <v>163</v>
      </c>
    </row>
    <row r="10" spans="2:2" ht="42">
      <c r="B10" s="9" t="s">
        <v>119</v>
      </c>
    </row>
    <row r="11" spans="2:2" ht="22">
      <c r="B11" s="44" t="s">
        <v>164</v>
      </c>
    </row>
    <row r="12" spans="2:2" ht="105">
      <c r="B12" s="9" t="s">
        <v>120</v>
      </c>
    </row>
    <row r="13" spans="2:2" ht="22">
      <c r="B13" s="44" t="s">
        <v>165</v>
      </c>
    </row>
    <row r="14" spans="2:2" ht="84">
      <c r="B14" s="9" t="s">
        <v>121</v>
      </c>
    </row>
    <row r="15" spans="2:2" ht="22">
      <c r="B15" s="44" t="s">
        <v>166</v>
      </c>
    </row>
    <row r="16" spans="2:2" ht="168">
      <c r="B16" s="9" t="s">
        <v>122</v>
      </c>
    </row>
    <row r="17" spans="2:2" ht="22">
      <c r="B17" s="44" t="s">
        <v>167</v>
      </c>
    </row>
    <row r="18" spans="2:2" ht="42">
      <c r="B18" s="9" t="s">
        <v>123</v>
      </c>
    </row>
    <row r="19" spans="2:2" ht="22">
      <c r="B19" s="44" t="s">
        <v>168</v>
      </c>
    </row>
    <row r="20" spans="2:2" ht="105">
      <c r="B20" s="9" t="s">
        <v>124</v>
      </c>
    </row>
    <row r="21" spans="2:2" ht="22">
      <c r="B21" s="44" t="s">
        <v>169</v>
      </c>
    </row>
    <row r="22" spans="2:2" ht="63">
      <c r="B22" s="9" t="s">
        <v>125</v>
      </c>
    </row>
    <row r="23" spans="2:2" ht="22">
      <c r="B23" s="44" t="s">
        <v>170</v>
      </c>
    </row>
    <row r="24" spans="2:2" ht="210">
      <c r="B24" s="9" t="s">
        <v>126</v>
      </c>
    </row>
    <row r="25" spans="2:2" ht="22">
      <c r="B25" s="44" t="s">
        <v>171</v>
      </c>
    </row>
    <row r="26" spans="2:2" ht="147">
      <c r="B26" s="9" t="s">
        <v>127</v>
      </c>
    </row>
    <row r="27" spans="2:2" ht="22">
      <c r="B27" s="44" t="s">
        <v>172</v>
      </c>
    </row>
    <row r="28" spans="2:2" ht="42">
      <c r="B28" s="9" t="s">
        <v>128</v>
      </c>
    </row>
    <row r="29" spans="2:2" ht="22">
      <c r="B29" s="44" t="s">
        <v>173</v>
      </c>
    </row>
    <row r="30" spans="2:2" ht="42">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baseColWidth="10" defaultRowHeight="20"/>
  <cols>
    <col min="1" max="1" width="10.83203125" style="51"/>
    <col min="2" max="2" width="141.5" style="10" customWidth="1"/>
    <col min="3" max="3" width="40.83203125" style="13" customWidth="1"/>
    <col min="4" max="16384" width="10.83203125" style="51"/>
  </cols>
  <sheetData>
    <row r="2" spans="2:3" ht="22">
      <c r="B2" s="8" t="s">
        <v>130</v>
      </c>
      <c r="C2" s="11"/>
    </row>
    <row r="3" spans="2:3" ht="22">
      <c r="B3" s="43" t="s">
        <v>151</v>
      </c>
      <c r="C3" s="11"/>
    </row>
    <row r="4" spans="2:3" ht="210">
      <c r="B4" s="12" t="s">
        <v>131</v>
      </c>
      <c r="C4" s="50"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zoomScaleNormal="100" workbookViewId="0">
      <selection activeCell="C5" sqref="C5"/>
    </sheetView>
  </sheetViews>
  <sheetFormatPr baseColWidth="10"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236</v>
      </c>
    </row>
    <row r="2" spans="1:7" ht="26" customHeight="1">
      <c r="A2" s="15">
        <v>1</v>
      </c>
      <c r="B2" s="16" t="s">
        <v>132</v>
      </c>
      <c r="C2" s="17">
        <v>45796</v>
      </c>
    </row>
    <row r="3" spans="1:7" ht="26" customHeight="1">
      <c r="A3" s="15">
        <v>2</v>
      </c>
      <c r="B3" s="16" t="s">
        <v>14</v>
      </c>
      <c r="C3" s="18" t="s">
        <v>320</v>
      </c>
    </row>
    <row r="4" spans="1:7" ht="26" customHeight="1">
      <c r="A4" s="15">
        <v>3</v>
      </c>
      <c r="B4" s="16" t="s">
        <v>13</v>
      </c>
      <c r="C4" s="18" t="s">
        <v>320</v>
      </c>
      <c r="E4" s="19"/>
    </row>
    <row r="5" spans="1:7" ht="26" customHeight="1">
      <c r="A5" s="15">
        <v>4</v>
      </c>
      <c r="B5" s="16" t="s">
        <v>133</v>
      </c>
      <c r="C5" s="18" t="s">
        <v>321</v>
      </c>
      <c r="E5" s="19"/>
    </row>
    <row r="6" spans="1:7" ht="26" customHeight="1">
      <c r="A6" s="15">
        <v>5</v>
      </c>
      <c r="B6" s="16" t="s">
        <v>0</v>
      </c>
      <c r="C6" s="20" t="s">
        <v>322</v>
      </c>
      <c r="E6" s="19"/>
    </row>
    <row r="7" spans="1:7" ht="26" customHeight="1">
      <c r="A7" s="15">
        <v>6</v>
      </c>
      <c r="B7" s="16" t="s">
        <v>1</v>
      </c>
      <c r="C7" s="18" t="s">
        <v>105</v>
      </c>
      <c r="E7" s="19"/>
    </row>
    <row r="8" spans="1:7" ht="26" customHeight="1">
      <c r="A8" s="15">
        <v>7</v>
      </c>
      <c r="B8" s="16" t="s">
        <v>2</v>
      </c>
      <c r="C8" s="18" t="s">
        <v>323</v>
      </c>
    </row>
    <row r="9" spans="1:7" ht="26" customHeight="1">
      <c r="A9" s="15">
        <v>8</v>
      </c>
      <c r="B9" s="16" t="s">
        <v>134</v>
      </c>
      <c r="C9" s="18"/>
    </row>
    <row r="10" spans="1:7" ht="26" customHeight="1">
      <c r="A10" s="15">
        <v>9</v>
      </c>
      <c r="B10" s="16" t="s">
        <v>5</v>
      </c>
      <c r="C10" s="18"/>
    </row>
    <row r="11" spans="1:7">
      <c r="A11" s="15">
        <v>10</v>
      </c>
      <c r="B11" s="16" t="s">
        <v>3</v>
      </c>
      <c r="C11" s="18">
        <v>1993</v>
      </c>
    </row>
    <row r="12" spans="1:7">
      <c r="A12" s="15">
        <v>11</v>
      </c>
      <c r="B12" s="16" t="s">
        <v>4</v>
      </c>
      <c r="C12" s="18">
        <v>2011</v>
      </c>
      <c r="F12" s="21"/>
    </row>
    <row r="15" spans="1:7" ht="40">
      <c r="B15" s="24" t="s">
        <v>135</v>
      </c>
      <c r="C15" s="25" t="s">
        <v>136</v>
      </c>
      <c r="D15" s="25" t="s">
        <v>19</v>
      </c>
      <c r="E15" s="25" t="s">
        <v>112</v>
      </c>
      <c r="F15" s="25" t="s">
        <v>20</v>
      </c>
      <c r="G15" s="26" t="s">
        <v>137</v>
      </c>
    </row>
    <row r="16" spans="1:7" ht="20">
      <c r="B16" s="27" t="s">
        <v>21</v>
      </c>
      <c r="C16" s="18" t="s">
        <v>324</v>
      </c>
      <c r="D16" s="18" t="s">
        <v>325</v>
      </c>
      <c r="E16" s="18" t="s">
        <v>326</v>
      </c>
      <c r="F16" s="20" t="s">
        <v>330</v>
      </c>
      <c r="G16" s="28" t="s">
        <v>333</v>
      </c>
    </row>
    <row r="17" spans="2:7" ht="20">
      <c r="B17" s="27" t="s">
        <v>138</v>
      </c>
      <c r="C17" s="18" t="s">
        <v>327</v>
      </c>
      <c r="D17" s="18" t="s">
        <v>328</v>
      </c>
      <c r="E17" s="18" t="s">
        <v>329</v>
      </c>
      <c r="F17" s="20" t="s">
        <v>331</v>
      </c>
      <c r="G17" s="28" t="s">
        <v>332</v>
      </c>
    </row>
    <row r="18" spans="2:7" ht="20">
      <c r="B18" s="27" t="s">
        <v>139</v>
      </c>
      <c r="C18" s="18" t="s">
        <v>334</v>
      </c>
      <c r="D18" s="18" t="s">
        <v>335</v>
      </c>
      <c r="E18" s="18" t="s">
        <v>326</v>
      </c>
      <c r="F18" s="20" t="s">
        <v>336</v>
      </c>
      <c r="G18" s="28" t="s">
        <v>337</v>
      </c>
    </row>
    <row r="19" spans="2:7" ht="20">
      <c r="B19" s="27" t="s">
        <v>140</v>
      </c>
      <c r="C19" s="18" t="s">
        <v>345</v>
      </c>
      <c r="D19" s="18" t="s">
        <v>346</v>
      </c>
      <c r="E19" s="18" t="s">
        <v>326</v>
      </c>
      <c r="F19" s="20" t="s">
        <v>348</v>
      </c>
      <c r="G19" s="28" t="s">
        <v>347</v>
      </c>
    </row>
    <row r="20" spans="2:7" ht="20">
      <c r="B20" s="29" t="s">
        <v>141</v>
      </c>
      <c r="C20" s="22" t="s">
        <v>338</v>
      </c>
      <c r="D20" s="22" t="s">
        <v>339</v>
      </c>
      <c r="E20" s="18" t="s">
        <v>329</v>
      </c>
      <c r="F20" s="23" t="s">
        <v>340</v>
      </c>
      <c r="G20" s="28" t="s">
        <v>341</v>
      </c>
    </row>
    <row r="21" spans="2:7" ht="20">
      <c r="B21" s="27" t="s">
        <v>142</v>
      </c>
      <c r="C21" s="18" t="s">
        <v>342</v>
      </c>
      <c r="D21" s="18" t="s">
        <v>349</v>
      </c>
      <c r="E21" s="18" t="s">
        <v>326</v>
      </c>
      <c r="F21" s="20" t="s">
        <v>343</v>
      </c>
      <c r="G21" s="28" t="s">
        <v>344</v>
      </c>
    </row>
    <row r="22" spans="2:7">
      <c r="B22" s="27" t="s">
        <v>143</v>
      </c>
      <c r="C22" s="18"/>
      <c r="D22" s="22"/>
      <c r="E22" s="18"/>
      <c r="F22" s="20"/>
      <c r="G22" s="28"/>
    </row>
    <row r="23" spans="2:7">
      <c r="B23" s="27" t="s">
        <v>144</v>
      </c>
      <c r="C23" s="18"/>
      <c r="D23" s="22"/>
      <c r="E23" s="18"/>
      <c r="F23" s="20"/>
      <c r="G23" s="28"/>
    </row>
    <row r="24" spans="2:7" ht="20">
      <c r="B24" s="27" t="s">
        <v>212</v>
      </c>
      <c r="C24" s="18" t="s">
        <v>350</v>
      </c>
      <c r="D24" s="18" t="s">
        <v>351</v>
      </c>
      <c r="E24" s="18" t="s">
        <v>68</v>
      </c>
      <c r="F24" s="20" t="s">
        <v>352</v>
      </c>
      <c r="G24" s="28" t="s">
        <v>353</v>
      </c>
    </row>
    <row r="25" spans="2:7">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E9" sqref="E9"/>
    </sheetView>
  </sheetViews>
  <sheetFormatPr baseColWidth="10" defaultRowHeight="16"/>
  <cols>
    <col min="1" max="1" width="4.83203125" customWidth="1"/>
    <col min="2" max="2" width="53.83203125" customWidth="1"/>
    <col min="3" max="8" width="28.1640625" customWidth="1"/>
    <col min="9" max="16384" width="10.8320312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c r="D3" s="61"/>
      <c r="E3" s="61"/>
      <c r="F3" s="61"/>
      <c r="G3" s="61"/>
      <c r="H3" s="61"/>
    </row>
    <row r="4" spans="2:9" ht="51" customHeight="1">
      <c r="B4" s="33" t="s">
        <v>10</v>
      </c>
      <c r="C4" s="61">
        <v>26</v>
      </c>
      <c r="D4" s="61">
        <v>15</v>
      </c>
      <c r="E4" s="61">
        <v>14</v>
      </c>
      <c r="F4" s="61">
        <v>17</v>
      </c>
      <c r="G4" s="61">
        <v>23</v>
      </c>
      <c r="H4" s="61">
        <v>30</v>
      </c>
      <c r="I4" s="4"/>
    </row>
    <row r="5" spans="2:9" ht="51" customHeight="1">
      <c r="B5" s="33" t="s">
        <v>11</v>
      </c>
      <c r="C5" s="61">
        <v>12</v>
      </c>
      <c r="D5" s="61">
        <v>4</v>
      </c>
      <c r="E5" s="61">
        <v>3</v>
      </c>
      <c r="F5" s="61">
        <v>2</v>
      </c>
      <c r="G5" s="61">
        <v>2</v>
      </c>
      <c r="H5" s="61">
        <v>3</v>
      </c>
      <c r="I5" s="4" t="s">
        <v>18</v>
      </c>
    </row>
    <row r="6" spans="2:9" ht="51" customHeight="1">
      <c r="B6" s="33" t="s">
        <v>287</v>
      </c>
      <c r="C6" s="61">
        <v>5</v>
      </c>
      <c r="D6" s="61">
        <v>3</v>
      </c>
      <c r="E6" s="61">
        <v>1</v>
      </c>
      <c r="F6" s="61">
        <v>5</v>
      </c>
      <c r="G6" s="61">
        <v>7</v>
      </c>
      <c r="H6" s="61">
        <v>10</v>
      </c>
      <c r="I6" s="2" t="s">
        <v>150</v>
      </c>
    </row>
    <row r="8" spans="2:9" ht="19">
      <c r="B8" s="16" t="s">
        <v>145</v>
      </c>
      <c r="C8" s="16">
        <v>2023</v>
      </c>
      <c r="D8" s="16">
        <v>2023</v>
      </c>
      <c r="E8" s="16">
        <v>2024</v>
      </c>
      <c r="F8" s="16" t="s">
        <v>210</v>
      </c>
      <c r="G8" s="16" t="s">
        <v>146</v>
      </c>
      <c r="H8" s="16" t="s">
        <v>147</v>
      </c>
    </row>
    <row r="9" spans="2:9" ht="19">
      <c r="B9" s="33" t="s">
        <v>148</v>
      </c>
      <c r="C9" s="62"/>
      <c r="D9" s="62"/>
      <c r="E9" s="62"/>
      <c r="F9" s="62"/>
      <c r="G9" s="62"/>
      <c r="H9" s="62"/>
    </row>
    <row r="10" spans="2:9" ht="19">
      <c r="B10" s="33" t="s">
        <v>149</v>
      </c>
      <c r="C10" s="62"/>
      <c r="D10" s="62"/>
      <c r="E10" s="62"/>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B1" zoomScaleNormal="100" workbookViewId="0">
      <selection activeCell="C3" sqref="C3"/>
    </sheetView>
  </sheetViews>
  <sheetFormatPr baseColWidth="10" defaultColWidth="10.83203125" defaultRowHeight="26" customHeight="1"/>
  <cols>
    <col min="1" max="1" width="6.1640625" style="66"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4"/>
      <c r="B1" s="34" t="s">
        <v>296</v>
      </c>
    </row>
    <row r="2" spans="1:8" s="35" customFormat="1" ht="56" customHeight="1">
      <c r="A2" s="65"/>
      <c r="B2" s="16"/>
      <c r="C2" s="16" t="s">
        <v>15</v>
      </c>
      <c r="D2" s="36" t="s">
        <v>107</v>
      </c>
      <c r="E2" s="36" t="s">
        <v>108</v>
      </c>
      <c r="F2" s="36" t="s">
        <v>109</v>
      </c>
      <c r="G2" s="36" t="s">
        <v>110</v>
      </c>
      <c r="H2" s="36" t="s">
        <v>111</v>
      </c>
    </row>
    <row r="3" spans="1:8" ht="60" customHeight="1">
      <c r="A3" s="66">
        <v>1</v>
      </c>
      <c r="B3" s="16" t="s">
        <v>152</v>
      </c>
      <c r="C3" s="37" t="s">
        <v>320</v>
      </c>
      <c r="D3" s="37" t="s">
        <v>358</v>
      </c>
      <c r="E3" s="37" t="s">
        <v>360</v>
      </c>
      <c r="F3" s="18"/>
      <c r="G3" s="18"/>
      <c r="H3" s="18"/>
    </row>
    <row r="4" spans="1:8" ht="60" customHeight="1">
      <c r="A4" s="66">
        <v>2</v>
      </c>
      <c r="B4" s="16" t="s">
        <v>153</v>
      </c>
      <c r="C4" s="18" t="s">
        <v>354</v>
      </c>
      <c r="D4" s="18" t="s">
        <v>354</v>
      </c>
      <c r="E4" s="18" t="s">
        <v>361</v>
      </c>
      <c r="F4" s="18"/>
      <c r="G4" s="53"/>
      <c r="H4" s="18"/>
    </row>
    <row r="5" spans="1:8" ht="60" customHeight="1">
      <c r="A5" s="66">
        <v>3</v>
      </c>
      <c r="B5" s="16" t="s">
        <v>154</v>
      </c>
      <c r="C5" s="18" t="s">
        <v>321</v>
      </c>
      <c r="D5" s="18" t="s">
        <v>357</v>
      </c>
      <c r="E5" s="18" t="s">
        <v>362</v>
      </c>
      <c r="F5" s="18"/>
      <c r="G5" s="18"/>
      <c r="H5" s="18"/>
    </row>
    <row r="6" spans="1:8" ht="60" customHeight="1">
      <c r="A6" s="66">
        <v>4</v>
      </c>
      <c r="B6" s="36" t="s">
        <v>155</v>
      </c>
      <c r="C6" s="18"/>
      <c r="D6" s="18" t="s">
        <v>355</v>
      </c>
      <c r="E6" s="18" t="s">
        <v>363</v>
      </c>
      <c r="F6" s="18"/>
      <c r="G6" s="18"/>
      <c r="H6" s="18"/>
    </row>
    <row r="7" spans="1:8" ht="86" customHeight="1">
      <c r="A7" s="66">
        <v>5</v>
      </c>
      <c r="B7" s="36" t="s">
        <v>156</v>
      </c>
      <c r="C7" s="18"/>
      <c r="D7" s="18" t="s">
        <v>356</v>
      </c>
      <c r="E7" s="18" t="s">
        <v>364</v>
      </c>
      <c r="F7" s="18"/>
      <c r="G7" s="18"/>
      <c r="H7" s="18"/>
    </row>
    <row r="8" spans="1:8" ht="86" customHeight="1">
      <c r="A8" s="66">
        <v>6</v>
      </c>
      <c r="B8" s="36" t="s">
        <v>157</v>
      </c>
      <c r="C8" s="18"/>
      <c r="D8" s="18" t="s">
        <v>359</v>
      </c>
      <c r="E8" s="18" t="s">
        <v>323</v>
      </c>
      <c r="F8" s="18"/>
      <c r="G8" s="18"/>
      <c r="H8" s="18"/>
    </row>
    <row r="9" spans="1:8" ht="60" customHeight="1">
      <c r="A9" s="66">
        <v>7</v>
      </c>
      <c r="B9" s="16" t="s">
        <v>158</v>
      </c>
      <c r="C9" s="38"/>
      <c r="D9" s="38">
        <v>10000</v>
      </c>
      <c r="E9" s="39">
        <v>1000</v>
      </c>
      <c r="F9" s="39"/>
      <c r="G9" s="39"/>
      <c r="H9" s="39"/>
    </row>
    <row r="10" spans="1:8" ht="60" customHeight="1">
      <c r="A10" s="66">
        <v>8</v>
      </c>
      <c r="B10" s="36" t="s">
        <v>279</v>
      </c>
      <c r="C10" s="38">
        <v>176</v>
      </c>
      <c r="D10" s="38"/>
      <c r="E10" s="39">
        <v>53</v>
      </c>
      <c r="F10" s="39"/>
      <c r="G10" s="39"/>
      <c r="H10" s="39"/>
    </row>
    <row r="11" spans="1:8" ht="60" customHeight="1">
      <c r="A11" s="66">
        <v>9</v>
      </c>
      <c r="B11" s="36" t="s">
        <v>208</v>
      </c>
      <c r="C11" s="18"/>
      <c r="D11" s="18"/>
      <c r="E11" s="18"/>
      <c r="F11" s="18"/>
      <c r="G11" s="18"/>
      <c r="H11" s="18"/>
    </row>
    <row r="12" spans="1:8" ht="60" customHeight="1">
      <c r="A12" s="66">
        <v>10</v>
      </c>
      <c r="B12" s="36" t="s">
        <v>207</v>
      </c>
      <c r="C12" s="18"/>
      <c r="D12" s="18"/>
      <c r="E12" s="18"/>
      <c r="F12" s="18"/>
      <c r="G12" s="18"/>
      <c r="H12" s="18"/>
    </row>
    <row r="13" spans="1:8" ht="60" customHeight="1">
      <c r="A13" s="66">
        <v>11</v>
      </c>
      <c r="B13" s="36" t="s">
        <v>280</v>
      </c>
      <c r="C13" s="18"/>
      <c r="D13" s="18">
        <v>20</v>
      </c>
      <c r="E13" s="18"/>
      <c r="F13" s="18"/>
      <c r="G13" s="18"/>
      <c r="H13" s="18"/>
    </row>
    <row r="14" spans="1:8" ht="60" customHeight="1">
      <c r="A14" s="66">
        <v>12</v>
      </c>
      <c r="B14" s="36" t="s">
        <v>205</v>
      </c>
      <c r="C14" s="18"/>
      <c r="D14" s="18" t="s">
        <v>36</v>
      </c>
      <c r="E14" s="18"/>
      <c r="F14" s="18"/>
      <c r="G14" s="18"/>
      <c r="H14" s="18"/>
    </row>
    <row r="15" spans="1:8" ht="60" customHeight="1">
      <c r="A15" s="66">
        <v>13</v>
      </c>
      <c r="B15" s="36" t="s">
        <v>283</v>
      </c>
      <c r="C15" s="18"/>
      <c r="D15" s="18" t="s">
        <v>36</v>
      </c>
      <c r="E15" s="18"/>
      <c r="F15" s="18"/>
      <c r="G15" s="18"/>
      <c r="H15" s="18"/>
    </row>
    <row r="16" spans="1:8" ht="60" customHeight="1">
      <c r="A16" s="66">
        <v>14</v>
      </c>
      <c r="B16" s="36" t="s">
        <v>206</v>
      </c>
      <c r="C16" s="18"/>
      <c r="D16" s="18" t="s">
        <v>365</v>
      </c>
      <c r="E16" s="18"/>
      <c r="F16" s="18"/>
      <c r="G16" s="18"/>
      <c r="H16" s="18"/>
    </row>
    <row r="18" spans="1:8" ht="61" customHeight="1">
      <c r="A18" s="66">
        <v>15</v>
      </c>
      <c r="B18" s="77" t="s">
        <v>229</v>
      </c>
      <c r="C18" s="77"/>
      <c r="D18" s="78"/>
      <c r="E18" s="79"/>
      <c r="F18" s="79"/>
      <c r="G18" s="79"/>
      <c r="H18" s="80"/>
    </row>
    <row r="19" spans="1:8" ht="61" customHeight="1">
      <c r="A19" s="66">
        <v>16</v>
      </c>
      <c r="B19" s="77" t="s">
        <v>215</v>
      </c>
      <c r="C19" s="77"/>
      <c r="D19" s="78"/>
      <c r="E19" s="79"/>
      <c r="F19" s="79"/>
      <c r="G19" s="79"/>
      <c r="H19" s="80"/>
    </row>
    <row r="20" spans="1:8" ht="61" customHeight="1">
      <c r="A20" s="66">
        <v>17</v>
      </c>
      <c r="B20" s="77" t="s">
        <v>202</v>
      </c>
      <c r="C20" s="77"/>
      <c r="D20" s="78"/>
      <c r="E20" s="79"/>
      <c r="F20" s="79"/>
      <c r="G20" s="79"/>
      <c r="H20" s="80"/>
    </row>
    <row r="21" spans="1:8" ht="61" customHeight="1">
      <c r="A21" s="66">
        <v>18</v>
      </c>
      <c r="B21" s="77" t="s">
        <v>159</v>
      </c>
      <c r="C21" s="77"/>
      <c r="D21" s="78"/>
      <c r="E21" s="79"/>
      <c r="F21" s="79"/>
      <c r="G21" s="79"/>
      <c r="H21" s="80"/>
    </row>
    <row r="22" spans="1:8" ht="61" customHeight="1">
      <c r="A22" s="66">
        <v>19</v>
      </c>
      <c r="B22" s="77" t="s">
        <v>203</v>
      </c>
      <c r="C22" s="77"/>
      <c r="D22" s="78"/>
      <c r="E22" s="79"/>
      <c r="F22" s="79"/>
      <c r="G22" s="79"/>
      <c r="H22" s="80"/>
    </row>
    <row r="23" spans="1:8" ht="61" customHeight="1">
      <c r="A23" s="66">
        <v>20</v>
      </c>
      <c r="B23" s="81" t="s">
        <v>227</v>
      </c>
      <c r="C23" s="82"/>
      <c r="D23" s="40"/>
      <c r="E23" s="41"/>
      <c r="F23" s="41"/>
      <c r="G23" s="41"/>
      <c r="H23" s="42"/>
    </row>
    <row r="24" spans="1:8" ht="61" customHeight="1">
      <c r="A24" s="66">
        <v>21</v>
      </c>
      <c r="B24" s="81" t="s">
        <v>228</v>
      </c>
      <c r="C24" s="82"/>
      <c r="D24" s="40"/>
      <c r="E24" s="41"/>
      <c r="F24" s="41"/>
      <c r="G24" s="41"/>
      <c r="H24" s="42"/>
    </row>
    <row r="25" spans="1:8" ht="187.75" customHeight="1">
      <c r="A25" s="66">
        <v>22</v>
      </c>
      <c r="B25" s="77" t="s">
        <v>204</v>
      </c>
      <c r="C25" s="77"/>
      <c r="D25" s="78"/>
      <c r="E25" s="79"/>
      <c r="F25" s="79"/>
      <c r="G25" s="79"/>
      <c r="H25" s="80"/>
    </row>
    <row r="26" spans="1:8" ht="61" customHeight="1"/>
    <row r="27" spans="1:8" ht="61" customHeight="1"/>
    <row r="28" spans="1:8" ht="61" customHeight="1"/>
    <row r="29" spans="1:8" ht="61"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A4" sqref="A4"/>
    </sheetView>
  </sheetViews>
  <sheetFormatPr baseColWidth="10"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5" t="s">
        <v>297</v>
      </c>
    </row>
    <row r="2" spans="2:10" ht="50" customHeight="1">
      <c r="B2" s="46"/>
      <c r="C2" s="47" t="s">
        <v>6</v>
      </c>
      <c r="D2" s="47" t="s">
        <v>7</v>
      </c>
      <c r="E2" s="47" t="s">
        <v>8</v>
      </c>
      <c r="F2" s="47" t="s">
        <v>16</v>
      </c>
      <c r="G2" s="47" t="s">
        <v>17</v>
      </c>
      <c r="H2" s="47" t="s">
        <v>182</v>
      </c>
      <c r="I2" s="47" t="s">
        <v>217</v>
      </c>
      <c r="J2" s="47" t="s">
        <v>218</v>
      </c>
    </row>
    <row r="3" spans="2:10" ht="50" customHeight="1">
      <c r="B3" s="47" t="s">
        <v>183</v>
      </c>
      <c r="C3" s="73" t="s">
        <v>74</v>
      </c>
      <c r="D3" s="73" t="s">
        <v>366</v>
      </c>
      <c r="E3" s="73" t="s">
        <v>367</v>
      </c>
      <c r="F3" s="73" t="s">
        <v>368</v>
      </c>
      <c r="G3" s="73" t="s">
        <v>68</v>
      </c>
      <c r="H3" s="73" t="s">
        <v>103</v>
      </c>
      <c r="I3" s="73" t="s">
        <v>96</v>
      </c>
      <c r="J3" s="73" t="s">
        <v>329</v>
      </c>
    </row>
    <row r="4" spans="2:10" ht="50" customHeight="1">
      <c r="B4" s="48" t="s">
        <v>265</v>
      </c>
      <c r="C4" s="73"/>
      <c r="D4" s="73"/>
      <c r="E4" s="73"/>
      <c r="F4" s="73"/>
      <c r="G4" s="73"/>
      <c r="H4" s="73"/>
      <c r="I4" s="73"/>
      <c r="J4" s="73"/>
    </row>
    <row r="5" spans="2:10" ht="50" customHeight="1">
      <c r="B5" s="48" t="s">
        <v>264</v>
      </c>
      <c r="C5" s="73"/>
      <c r="D5" s="73"/>
      <c r="E5" s="73"/>
      <c r="F5" s="73"/>
      <c r="G5" s="73"/>
      <c r="H5" s="73"/>
      <c r="I5" s="73"/>
      <c r="J5" s="73"/>
    </row>
    <row r="6" spans="2:10" ht="50" customHeight="1">
      <c r="B6" s="48" t="s">
        <v>266</v>
      </c>
      <c r="C6" s="73"/>
      <c r="D6" s="73"/>
      <c r="E6" s="73"/>
      <c r="F6" s="73"/>
      <c r="G6" s="73"/>
      <c r="H6" s="73"/>
      <c r="I6" s="73"/>
      <c r="J6" s="73"/>
    </row>
    <row r="7" spans="2:10" ht="50" customHeight="1">
      <c r="B7" s="48" t="s">
        <v>267</v>
      </c>
      <c r="C7" s="73"/>
      <c r="D7" s="73"/>
      <c r="E7" s="73"/>
      <c r="F7" s="73"/>
      <c r="G7" s="73"/>
      <c r="H7" s="73"/>
      <c r="I7" s="73"/>
      <c r="J7" s="73"/>
    </row>
    <row r="8" spans="2:10" ht="50" customHeight="1">
      <c r="B8" s="48" t="s">
        <v>216</v>
      </c>
      <c r="C8" s="73"/>
      <c r="D8" s="73"/>
      <c r="E8" s="73"/>
      <c r="F8" s="73"/>
      <c r="G8" s="73"/>
      <c r="H8" s="73"/>
      <c r="I8" s="73"/>
      <c r="J8" s="73"/>
    </row>
    <row r="9" spans="2:10" ht="50" customHeight="1">
      <c r="B9" s="48" t="s">
        <v>299</v>
      </c>
      <c r="C9" s="73"/>
      <c r="D9" s="73"/>
      <c r="E9" s="73"/>
      <c r="F9" s="73"/>
      <c r="G9" s="73"/>
      <c r="H9" s="73"/>
      <c r="I9" s="73"/>
      <c r="J9" s="73"/>
    </row>
    <row r="10" spans="2:10" ht="50" customHeight="1">
      <c r="B10" s="67" t="s">
        <v>293</v>
      </c>
      <c r="C10" s="73"/>
      <c r="D10" s="73"/>
      <c r="E10" s="73"/>
      <c r="F10" s="73"/>
      <c r="G10" s="73"/>
      <c r="H10" s="73"/>
      <c r="I10" s="73"/>
      <c r="J10" s="73"/>
    </row>
    <row r="11" spans="2:10" ht="50" customHeight="1">
      <c r="B11" s="48" t="s">
        <v>106</v>
      </c>
      <c r="C11" s="74"/>
      <c r="D11" s="74"/>
      <c r="E11" s="74"/>
      <c r="F11" s="73"/>
      <c r="G11" s="73"/>
      <c r="H11" s="73"/>
      <c r="I11" s="73"/>
      <c r="J11" s="73"/>
    </row>
    <row r="12" spans="2:10" ht="50" customHeight="1">
      <c r="B12" s="48" t="s">
        <v>201</v>
      </c>
      <c r="C12" s="75"/>
      <c r="D12" s="76"/>
      <c r="E12" s="76"/>
      <c r="F12" s="76"/>
      <c r="G12" s="76"/>
      <c r="H12" s="76"/>
      <c r="I12" s="76"/>
      <c r="J12" s="76"/>
    </row>
    <row r="14" spans="2:10" ht="50" customHeight="1">
      <c r="B14" s="83" t="s">
        <v>184</v>
      </c>
      <c r="C14" s="83"/>
      <c r="D14" s="83"/>
    </row>
    <row r="15" spans="2:10" ht="50" customHeight="1">
      <c r="B15" s="16" t="s">
        <v>185</v>
      </c>
      <c r="C15" s="83" t="s">
        <v>186</v>
      </c>
      <c r="D15" s="83"/>
    </row>
    <row r="16" spans="2:10" ht="50" customHeight="1">
      <c r="B16" s="49" t="s">
        <v>187</v>
      </c>
      <c r="C16" s="84" t="s">
        <v>188</v>
      </c>
      <c r="D16" s="84"/>
    </row>
    <row r="17" spans="2:4" ht="50" customHeight="1">
      <c r="B17" s="85" t="s">
        <v>189</v>
      </c>
      <c r="C17" s="85" t="s">
        <v>190</v>
      </c>
      <c r="D17" s="85"/>
    </row>
    <row r="18" spans="2:4" ht="50" customHeight="1">
      <c r="B18" s="85"/>
      <c r="C18" s="85" t="s">
        <v>191</v>
      </c>
      <c r="D18" s="85"/>
    </row>
    <row r="19" spans="2:4" ht="50" customHeight="1">
      <c r="B19" s="85"/>
      <c r="C19" s="85" t="s">
        <v>192</v>
      </c>
      <c r="D19" s="85"/>
    </row>
    <row r="20" spans="2:4" ht="50" customHeight="1">
      <c r="B20" s="85"/>
      <c r="C20" s="85" t="s">
        <v>193</v>
      </c>
      <c r="D20" s="85"/>
    </row>
    <row r="21" spans="2:4" ht="50" customHeight="1">
      <c r="B21" s="85" t="s">
        <v>194</v>
      </c>
      <c r="C21" s="85" t="s">
        <v>195</v>
      </c>
      <c r="D21" s="85"/>
    </row>
    <row r="22" spans="2:4" ht="50" customHeight="1">
      <c r="B22" s="85"/>
      <c r="C22" s="85" t="s">
        <v>196</v>
      </c>
      <c r="D22" s="85"/>
    </row>
    <row r="23" spans="2:4" ht="50" customHeight="1">
      <c r="B23" s="85"/>
      <c r="C23" s="85" t="s">
        <v>197</v>
      </c>
      <c r="D23" s="85"/>
    </row>
    <row r="24" spans="2:4" ht="50" customHeight="1">
      <c r="B24" s="85" t="s">
        <v>198</v>
      </c>
      <c r="C24" s="85" t="s">
        <v>199</v>
      </c>
      <c r="D24" s="85"/>
    </row>
    <row r="25" spans="2:4" ht="50" customHeight="1">
      <c r="B25" s="85"/>
      <c r="C25" s="85" t="s">
        <v>200</v>
      </c>
      <c r="D25" s="85"/>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Normal="100" workbookViewId="0">
      <selection activeCell="G6" sqref="G6"/>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4" t="s">
        <v>291</v>
      </c>
    </row>
    <row r="2" spans="2:11" ht="67" customHeight="1">
      <c r="B2" s="33"/>
      <c r="C2" s="16">
        <v>2022</v>
      </c>
      <c r="D2" s="16">
        <v>2023</v>
      </c>
      <c r="E2" s="16">
        <v>2024</v>
      </c>
      <c r="F2" s="16" t="s">
        <v>210</v>
      </c>
      <c r="G2" s="16" t="s">
        <v>146</v>
      </c>
      <c r="H2" s="16" t="s">
        <v>147</v>
      </c>
      <c r="I2" s="16" t="s">
        <v>211</v>
      </c>
      <c r="J2" s="16" t="s">
        <v>209</v>
      </c>
    </row>
    <row r="3" spans="2:11" ht="67" customHeight="1">
      <c r="B3" s="16" t="s">
        <v>268</v>
      </c>
      <c r="C3" s="39">
        <v>186</v>
      </c>
      <c r="D3" s="39">
        <v>187</v>
      </c>
      <c r="E3" s="39">
        <v>2</v>
      </c>
      <c r="F3" s="39">
        <v>2</v>
      </c>
      <c r="G3" s="39"/>
      <c r="H3" s="39"/>
      <c r="I3" s="39"/>
      <c r="J3" s="63"/>
    </row>
    <row r="4" spans="2:11" ht="67" customHeight="1">
      <c r="B4" s="36" t="s">
        <v>269</v>
      </c>
      <c r="C4" s="39"/>
      <c r="D4" s="39"/>
      <c r="E4" s="39">
        <v>86</v>
      </c>
      <c r="F4" s="39">
        <f>132-45+2</f>
        <v>89</v>
      </c>
      <c r="G4" s="39"/>
      <c r="H4" s="39"/>
      <c r="I4" s="39"/>
      <c r="J4" s="63"/>
    </row>
    <row r="5" spans="2:11" ht="67" customHeight="1">
      <c r="B5" s="16" t="s">
        <v>270</v>
      </c>
      <c r="C5" s="39"/>
      <c r="D5" s="39"/>
      <c r="E5" s="39">
        <v>42</v>
      </c>
      <c r="F5" s="39">
        <f>42+18+14</f>
        <v>74</v>
      </c>
      <c r="G5" s="39"/>
      <c r="H5" s="39"/>
      <c r="I5" s="39"/>
      <c r="J5" s="63"/>
    </row>
    <row r="6" spans="2:11" ht="67" customHeight="1">
      <c r="B6" s="16" t="s">
        <v>271</v>
      </c>
      <c r="C6" s="39"/>
      <c r="D6" s="39"/>
      <c r="E6" s="39">
        <v>35</v>
      </c>
      <c r="F6" s="39">
        <f>35</f>
        <v>35</v>
      </c>
      <c r="G6" s="39"/>
      <c r="H6" s="39"/>
      <c r="I6" s="39"/>
      <c r="J6" s="63"/>
      <c r="K6" s="4" t="s">
        <v>219</v>
      </c>
    </row>
    <row r="7" spans="2:11" ht="67" customHeight="1">
      <c r="B7" s="16" t="s">
        <v>272</v>
      </c>
      <c r="C7" s="39"/>
      <c r="D7" s="39"/>
      <c r="E7" s="39"/>
      <c r="F7" s="39"/>
      <c r="G7" s="39"/>
      <c r="H7" s="39"/>
      <c r="I7" s="39"/>
      <c r="J7" s="63"/>
    </row>
    <row r="8" spans="2:11" ht="67" customHeight="1">
      <c r="B8" s="16" t="s">
        <v>273</v>
      </c>
      <c r="C8" s="39"/>
      <c r="D8" s="39"/>
      <c r="E8" s="39"/>
      <c r="F8" s="39"/>
      <c r="G8" s="39"/>
      <c r="H8" s="39"/>
      <c r="I8" s="39"/>
      <c r="J8" s="63"/>
    </row>
    <row r="9" spans="2:11" ht="67" customHeight="1">
      <c r="B9" s="16" t="s">
        <v>274</v>
      </c>
      <c r="C9" s="39"/>
      <c r="D9" s="39"/>
      <c r="E9" s="39"/>
      <c r="F9" s="39"/>
      <c r="G9" s="39"/>
      <c r="H9" s="39"/>
      <c r="I9" s="39"/>
      <c r="J9" s="63"/>
    </row>
    <row r="10" spans="2:11" ht="67" customHeight="1">
      <c r="B10" s="36" t="s">
        <v>288</v>
      </c>
      <c r="C10" s="39"/>
      <c r="D10" s="39"/>
      <c r="E10" s="39"/>
      <c r="F10" s="39"/>
      <c r="G10" s="39"/>
      <c r="H10" s="39"/>
      <c r="I10" s="39"/>
      <c r="J10" s="63"/>
    </row>
    <row r="11" spans="2:11" ht="67" customHeight="1">
      <c r="B11" s="16" t="s">
        <v>289</v>
      </c>
      <c r="C11" s="39"/>
      <c r="D11" s="39"/>
      <c r="E11" s="39">
        <v>58</v>
      </c>
      <c r="F11" s="39">
        <v>58</v>
      </c>
      <c r="G11" s="39"/>
      <c r="H11" s="39"/>
      <c r="I11" s="39"/>
      <c r="J11" s="63"/>
    </row>
    <row r="12" spans="2:11" ht="67" customHeight="1">
      <c r="B12" s="16" t="s">
        <v>290</v>
      </c>
      <c r="C12" s="39"/>
      <c r="D12" s="39"/>
      <c r="E12" s="39">
        <v>4</v>
      </c>
      <c r="F12" s="39">
        <v>4</v>
      </c>
      <c r="G12" s="39"/>
      <c r="H12" s="39"/>
      <c r="I12" s="39"/>
      <c r="J12" s="63"/>
    </row>
    <row r="13" spans="2:11" ht="67" customHeight="1">
      <c r="B13" s="16" t="s">
        <v>212</v>
      </c>
      <c r="C13" s="39"/>
      <c r="D13" s="39"/>
      <c r="E13" s="39"/>
      <c r="F13" s="39"/>
      <c r="G13" s="39"/>
      <c r="H13" s="39"/>
      <c r="I13" s="39"/>
      <c r="J13" s="63"/>
    </row>
    <row r="14" spans="2:11" ht="67" customHeight="1">
      <c r="B14" s="16" t="s">
        <v>212</v>
      </c>
      <c r="C14" s="39"/>
      <c r="D14" s="39"/>
      <c r="E14" s="39"/>
      <c r="F14" s="39"/>
      <c r="G14" s="39"/>
      <c r="H14" s="39"/>
      <c r="I14" s="39"/>
      <c r="J14" s="63"/>
    </row>
    <row r="15" spans="2:11" ht="67" customHeight="1">
      <c r="B15" s="16" t="s">
        <v>212</v>
      </c>
      <c r="C15" s="39"/>
      <c r="D15" s="39"/>
      <c r="E15" s="39"/>
      <c r="F15" s="39"/>
      <c r="G15" s="39"/>
      <c r="H15" s="39"/>
      <c r="I15" s="39"/>
      <c r="J15" s="63"/>
    </row>
    <row r="16" spans="2:11" ht="19">
      <c r="B16" s="54" t="s">
        <v>220</v>
      </c>
      <c r="C16" s="55">
        <f t="shared" ref="C16:I16" si="0">SUM(C3:C15)</f>
        <v>186</v>
      </c>
      <c r="D16" s="55">
        <f t="shared" si="0"/>
        <v>187</v>
      </c>
      <c r="E16" s="55">
        <f t="shared" si="0"/>
        <v>227</v>
      </c>
      <c r="F16" s="55">
        <f t="shared" si="0"/>
        <v>262</v>
      </c>
      <c r="G16" s="55">
        <f t="shared" si="0"/>
        <v>0</v>
      </c>
      <c r="H16" s="55">
        <f t="shared" si="0"/>
        <v>0</v>
      </c>
      <c r="I16" s="55">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N27" sqref="N27"/>
    </sheetView>
  </sheetViews>
  <sheetFormatPr baseColWidth="10" defaultColWidth="10.83203125" defaultRowHeight="16"/>
  <cols>
    <col min="1" max="1" width="5.33203125" customWidth="1"/>
    <col min="2" max="2" width="34.5" customWidth="1"/>
  </cols>
  <sheetData>
    <row r="2" spans="2:11" ht="47" customHeight="1">
      <c r="B2" s="86" t="s">
        <v>318</v>
      </c>
      <c r="C2" s="86"/>
      <c r="D2" s="86"/>
      <c r="E2" s="86"/>
      <c r="F2" s="86"/>
      <c r="G2" s="86"/>
      <c r="H2" s="86"/>
      <c r="I2" s="86"/>
      <c r="J2" s="86"/>
      <c r="K2" s="86"/>
    </row>
    <row r="3" spans="2:11" ht="47" customHeight="1">
      <c r="B3" s="86"/>
      <c r="C3" s="86"/>
      <c r="D3" s="86"/>
      <c r="E3" s="86"/>
      <c r="F3" s="86"/>
      <c r="G3" s="86"/>
      <c r="H3" s="86"/>
      <c r="I3" s="86"/>
      <c r="J3" s="86"/>
      <c r="K3" s="86"/>
    </row>
    <row r="4" spans="2:11" ht="47" customHeight="1">
      <c r="B4" s="86"/>
      <c r="C4" s="86"/>
      <c r="D4" s="86"/>
      <c r="E4" s="86"/>
      <c r="F4" s="86"/>
      <c r="G4" s="86"/>
      <c r="H4" s="86"/>
      <c r="I4" s="86"/>
      <c r="J4" s="86"/>
      <c r="K4" s="86"/>
    </row>
    <row r="5" spans="2:11" ht="47" customHeight="1">
      <c r="B5" s="86"/>
      <c r="C5" s="86"/>
      <c r="D5" s="86"/>
      <c r="E5" s="86"/>
      <c r="F5" s="86"/>
      <c r="G5" s="86"/>
      <c r="H5" s="86"/>
      <c r="I5" s="86"/>
      <c r="J5" s="86"/>
      <c r="K5" s="86"/>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80" zoomScaleNormal="80" workbookViewId="0">
      <selection activeCell="S10" sqref="S10"/>
    </sheetView>
  </sheetViews>
  <sheetFormatPr baseColWidth="10"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249</v>
      </c>
    </row>
    <row r="2" spans="2:23" ht="60" customHeight="1">
      <c r="B2" s="68" t="s">
        <v>242</v>
      </c>
      <c r="C2" s="87" t="s">
        <v>244</v>
      </c>
      <c r="D2" s="87"/>
      <c r="E2" s="87"/>
      <c r="F2" s="87"/>
      <c r="G2" s="87" t="s">
        <v>245</v>
      </c>
      <c r="H2" s="87"/>
      <c r="I2" s="87"/>
      <c r="J2" s="87"/>
      <c r="K2" s="87"/>
      <c r="L2" s="87" t="s">
        <v>308</v>
      </c>
      <c r="M2" s="87"/>
      <c r="N2" s="87"/>
      <c r="O2" s="87"/>
      <c r="P2" s="87"/>
      <c r="Q2" s="87"/>
      <c r="R2" s="87"/>
      <c r="S2" s="87" t="s">
        <v>246</v>
      </c>
      <c r="T2" s="87"/>
      <c r="U2" s="87"/>
      <c r="V2" s="87"/>
    </row>
    <row r="3" spans="2:23" ht="60" customHeight="1">
      <c r="B3" s="16" t="s">
        <v>243</v>
      </c>
      <c r="C3" s="69" t="s">
        <v>247</v>
      </c>
      <c r="D3" s="69" t="s">
        <v>300</v>
      </c>
      <c r="E3" s="69" t="s">
        <v>237</v>
      </c>
      <c r="F3" s="69" t="s">
        <v>295</v>
      </c>
      <c r="G3" s="69" t="s">
        <v>41</v>
      </c>
      <c r="H3" s="69" t="s">
        <v>248</v>
      </c>
      <c r="I3" s="69" t="s">
        <v>238</v>
      </c>
      <c r="J3" s="69" t="s">
        <v>239</v>
      </c>
      <c r="K3" s="69" t="s">
        <v>292</v>
      </c>
      <c r="L3" s="69" t="s">
        <v>309</v>
      </c>
      <c r="M3" s="70" t="s">
        <v>315</v>
      </c>
      <c r="N3" s="69" t="s">
        <v>310</v>
      </c>
      <c r="O3" s="69" t="s">
        <v>314</v>
      </c>
      <c r="P3" s="69" t="s">
        <v>311</v>
      </c>
      <c r="Q3" s="69" t="s">
        <v>312</v>
      </c>
      <c r="R3" s="69" t="s">
        <v>313</v>
      </c>
      <c r="S3" s="69" t="s">
        <v>24</v>
      </c>
      <c r="T3" s="69" t="s">
        <v>240</v>
      </c>
      <c r="U3" s="69" t="s">
        <v>298</v>
      </c>
      <c r="V3" s="69" t="s">
        <v>241</v>
      </c>
      <c r="W3" s="16" t="s">
        <v>209</v>
      </c>
    </row>
    <row r="4" spans="2:23" ht="60" customHeight="1">
      <c r="B4" s="16" t="s">
        <v>256</v>
      </c>
      <c r="C4" s="39" t="s">
        <v>36</v>
      </c>
      <c r="D4" s="39" t="s">
        <v>36</v>
      </c>
      <c r="E4" s="39" t="s">
        <v>36</v>
      </c>
      <c r="F4" s="39" t="s">
        <v>36</v>
      </c>
      <c r="G4" s="39" t="s">
        <v>37</v>
      </c>
      <c r="H4" s="39" t="s">
        <v>37</v>
      </c>
      <c r="I4" s="39" t="s">
        <v>37</v>
      </c>
      <c r="J4" s="39" t="s">
        <v>37</v>
      </c>
      <c r="K4" s="39" t="s">
        <v>37</v>
      </c>
      <c r="L4" s="39" t="s">
        <v>37</v>
      </c>
      <c r="M4" s="39" t="s">
        <v>37</v>
      </c>
      <c r="N4" s="39" t="s">
        <v>37</v>
      </c>
      <c r="O4" s="39" t="s">
        <v>37</v>
      </c>
      <c r="P4" s="39" t="s">
        <v>37</v>
      </c>
      <c r="Q4" s="39" t="s">
        <v>37</v>
      </c>
      <c r="R4" s="39" t="s">
        <v>36</v>
      </c>
      <c r="S4" s="39" t="s">
        <v>36</v>
      </c>
      <c r="T4" s="39" t="s">
        <v>37</v>
      </c>
      <c r="U4" s="39" t="s">
        <v>37</v>
      </c>
      <c r="V4" s="39" t="s">
        <v>37</v>
      </c>
      <c r="W4" s="63" t="s">
        <v>383</v>
      </c>
    </row>
    <row r="5" spans="2:23" ht="60" customHeight="1">
      <c r="B5" s="36" t="s">
        <v>276</v>
      </c>
      <c r="C5" s="39" t="s">
        <v>369</v>
      </c>
      <c r="D5" s="39" t="s">
        <v>369</v>
      </c>
      <c r="E5" s="39" t="s">
        <v>369</v>
      </c>
      <c r="F5" s="39" t="s">
        <v>371</v>
      </c>
      <c r="G5" s="39" t="s">
        <v>372</v>
      </c>
      <c r="H5" s="39" t="s">
        <v>372</v>
      </c>
      <c r="I5" s="39" t="s">
        <v>372</v>
      </c>
      <c r="J5" s="39" t="s">
        <v>372</v>
      </c>
      <c r="K5" s="39" t="s">
        <v>372</v>
      </c>
      <c r="L5" s="39" t="s">
        <v>372</v>
      </c>
      <c r="M5" s="39" t="s">
        <v>372</v>
      </c>
      <c r="N5" s="39" t="s">
        <v>372</v>
      </c>
      <c r="O5" s="39" t="s">
        <v>372</v>
      </c>
      <c r="P5" s="39" t="s">
        <v>372</v>
      </c>
      <c r="Q5" s="39" t="s">
        <v>372</v>
      </c>
      <c r="R5" s="39" t="s">
        <v>370</v>
      </c>
      <c r="S5" s="39" t="s">
        <v>369</v>
      </c>
      <c r="T5" s="39" t="s">
        <v>372</v>
      </c>
      <c r="U5" s="39" t="s">
        <v>372</v>
      </c>
      <c r="V5" s="39" t="s">
        <v>372</v>
      </c>
      <c r="W5" s="63" t="s">
        <v>384</v>
      </c>
    </row>
    <row r="6" spans="2:23" ht="60" customHeight="1">
      <c r="B6" s="36" t="s">
        <v>257</v>
      </c>
      <c r="C6" s="39" t="s">
        <v>37</v>
      </c>
      <c r="D6" s="39" t="s">
        <v>37</v>
      </c>
      <c r="E6" s="39" t="s">
        <v>37</v>
      </c>
      <c r="F6" s="39" t="s">
        <v>37</v>
      </c>
      <c r="G6" s="39" t="s">
        <v>372</v>
      </c>
      <c r="H6" s="39" t="s">
        <v>372</v>
      </c>
      <c r="I6" s="39" t="s">
        <v>372</v>
      </c>
      <c r="J6" s="39" t="s">
        <v>372</v>
      </c>
      <c r="K6" s="39" t="s">
        <v>372</v>
      </c>
      <c r="L6" s="39" t="s">
        <v>372</v>
      </c>
      <c r="M6" s="39" t="s">
        <v>372</v>
      </c>
      <c r="N6" s="39" t="s">
        <v>372</v>
      </c>
      <c r="O6" s="39" t="s">
        <v>372</v>
      </c>
      <c r="P6" s="39" t="s">
        <v>372</v>
      </c>
      <c r="Q6" s="39" t="s">
        <v>372</v>
      </c>
      <c r="R6" s="39" t="s">
        <v>37</v>
      </c>
      <c r="S6" s="39" t="s">
        <v>37</v>
      </c>
      <c r="T6" s="39" t="s">
        <v>37</v>
      </c>
      <c r="U6" s="39" t="s">
        <v>37</v>
      </c>
      <c r="V6" s="39" t="s">
        <v>37</v>
      </c>
      <c r="W6" s="63" t="s">
        <v>385</v>
      </c>
    </row>
    <row r="7" spans="2:23" ht="60" customHeight="1">
      <c r="B7" s="36" t="s">
        <v>22</v>
      </c>
      <c r="C7" s="39"/>
      <c r="D7" s="39"/>
      <c r="E7" s="39"/>
      <c r="F7" s="39"/>
      <c r="G7" s="39" t="s">
        <v>379</v>
      </c>
      <c r="H7" s="39" t="s">
        <v>379</v>
      </c>
      <c r="I7" s="39" t="s">
        <v>379</v>
      </c>
      <c r="J7" s="39" t="s">
        <v>379</v>
      </c>
      <c r="K7" s="39" t="s">
        <v>379</v>
      </c>
      <c r="L7" s="39" t="s">
        <v>379</v>
      </c>
      <c r="M7" s="39" t="s">
        <v>379</v>
      </c>
      <c r="N7" s="39" t="s">
        <v>379</v>
      </c>
      <c r="O7" s="39" t="s">
        <v>379</v>
      </c>
      <c r="P7" s="39" t="s">
        <v>379</v>
      </c>
      <c r="Q7" s="39" t="s">
        <v>379</v>
      </c>
      <c r="R7" s="39"/>
      <c r="S7" s="39" t="s">
        <v>379</v>
      </c>
      <c r="T7" s="39" t="s">
        <v>379</v>
      </c>
      <c r="U7" s="39" t="s">
        <v>379</v>
      </c>
      <c r="V7" s="39" t="s">
        <v>379</v>
      </c>
      <c r="W7" s="63"/>
    </row>
    <row r="8" spans="2:23" ht="60" customHeight="1">
      <c r="B8" s="36" t="s">
        <v>275</v>
      </c>
      <c r="C8" s="39"/>
      <c r="D8" s="39"/>
      <c r="E8" s="39"/>
      <c r="F8" s="39"/>
      <c r="G8" s="39" t="s">
        <v>379</v>
      </c>
      <c r="H8" s="39" t="s">
        <v>379</v>
      </c>
      <c r="I8" s="39" t="s">
        <v>379</v>
      </c>
      <c r="J8" s="39" t="s">
        <v>379</v>
      </c>
      <c r="K8" s="39" t="s">
        <v>379</v>
      </c>
      <c r="L8" s="39" t="s">
        <v>379</v>
      </c>
      <c r="M8" s="39" t="s">
        <v>379</v>
      </c>
      <c r="N8" s="39" t="s">
        <v>379</v>
      </c>
      <c r="O8" s="39" t="s">
        <v>379</v>
      </c>
      <c r="P8" s="39" t="s">
        <v>379</v>
      </c>
      <c r="Q8" s="39" t="s">
        <v>379</v>
      </c>
      <c r="R8" s="39">
        <v>3</v>
      </c>
      <c r="S8" s="39">
        <v>1</v>
      </c>
      <c r="T8" s="39" t="s">
        <v>379</v>
      </c>
      <c r="U8" s="39" t="s">
        <v>379</v>
      </c>
      <c r="V8" s="39" t="s">
        <v>379</v>
      </c>
      <c r="W8" s="63"/>
    </row>
    <row r="9" spans="2:23" ht="60" customHeight="1">
      <c r="B9" s="36" t="s">
        <v>258</v>
      </c>
      <c r="C9" s="39" t="s">
        <v>382</v>
      </c>
      <c r="D9" s="39"/>
      <c r="E9" s="39" t="s">
        <v>378</v>
      </c>
      <c r="F9" s="39" t="s">
        <v>373</v>
      </c>
      <c r="G9" s="39" t="s">
        <v>379</v>
      </c>
      <c r="H9" s="39" t="s">
        <v>379</v>
      </c>
      <c r="I9" s="39" t="s">
        <v>379</v>
      </c>
      <c r="J9" s="39" t="s">
        <v>379</v>
      </c>
      <c r="K9" s="39" t="s">
        <v>379</v>
      </c>
      <c r="L9" s="39" t="s">
        <v>379</v>
      </c>
      <c r="M9" s="39" t="s">
        <v>379</v>
      </c>
      <c r="N9" s="39" t="s">
        <v>379</v>
      </c>
      <c r="O9" s="39" t="s">
        <v>379</v>
      </c>
      <c r="P9" s="39" t="s">
        <v>379</v>
      </c>
      <c r="Q9" s="39" t="s">
        <v>379</v>
      </c>
      <c r="R9" s="39" t="s">
        <v>380</v>
      </c>
      <c r="S9" s="39" t="s">
        <v>390</v>
      </c>
      <c r="T9" s="39" t="s">
        <v>379</v>
      </c>
      <c r="U9" s="39" t="s">
        <v>379</v>
      </c>
      <c r="V9" s="39" t="s">
        <v>379</v>
      </c>
      <c r="W9" s="63"/>
    </row>
    <row r="10" spans="2:23" ht="60" customHeight="1">
      <c r="B10" s="36" t="s">
        <v>307</v>
      </c>
      <c r="C10" s="39"/>
      <c r="D10" s="39"/>
      <c r="E10" s="39"/>
      <c r="F10" s="39"/>
      <c r="G10" s="39" t="s">
        <v>379</v>
      </c>
      <c r="H10" s="39" t="s">
        <v>379</v>
      </c>
      <c r="I10" s="39" t="s">
        <v>379</v>
      </c>
      <c r="J10" s="39" t="s">
        <v>379</v>
      </c>
      <c r="K10" s="39" t="s">
        <v>379</v>
      </c>
      <c r="L10" s="39" t="s">
        <v>379</v>
      </c>
      <c r="M10" s="39" t="s">
        <v>379</v>
      </c>
      <c r="N10" s="39" t="s">
        <v>379</v>
      </c>
      <c r="O10" s="39" t="s">
        <v>379</v>
      </c>
      <c r="P10" s="39" t="s">
        <v>379</v>
      </c>
      <c r="Q10" s="39" t="s">
        <v>379</v>
      </c>
      <c r="R10" s="39"/>
      <c r="S10" s="39" t="s">
        <v>379</v>
      </c>
      <c r="T10" s="39" t="s">
        <v>379</v>
      </c>
      <c r="U10" s="39" t="s">
        <v>379</v>
      </c>
      <c r="V10" s="39" t="s">
        <v>379</v>
      </c>
      <c r="W10" s="63"/>
    </row>
    <row r="11" spans="2:23" ht="60" customHeight="1">
      <c r="B11" s="36" t="s">
        <v>277</v>
      </c>
      <c r="C11" s="39"/>
      <c r="D11" s="39"/>
      <c r="E11" s="39"/>
      <c r="F11" s="39"/>
      <c r="G11" s="71" t="s">
        <v>379</v>
      </c>
      <c r="H11" s="39" t="s">
        <v>379</v>
      </c>
      <c r="I11" s="39" t="s">
        <v>379</v>
      </c>
      <c r="J11" s="39" t="s">
        <v>379</v>
      </c>
      <c r="K11" s="39" t="s">
        <v>379</v>
      </c>
      <c r="L11" s="39" t="s">
        <v>379</v>
      </c>
      <c r="M11" s="39" t="s">
        <v>379</v>
      </c>
      <c r="N11" s="39" t="s">
        <v>379</v>
      </c>
      <c r="O11" s="39" t="s">
        <v>379</v>
      </c>
      <c r="P11" s="39" t="s">
        <v>379</v>
      </c>
      <c r="Q11" s="39" t="s">
        <v>379</v>
      </c>
      <c r="R11" s="39"/>
      <c r="S11" s="39" t="s">
        <v>379</v>
      </c>
      <c r="T11" s="39" t="s">
        <v>379</v>
      </c>
      <c r="U11" s="39" t="s">
        <v>379</v>
      </c>
      <c r="V11" s="39" t="s">
        <v>379</v>
      </c>
      <c r="W11" s="63"/>
    </row>
    <row r="12" spans="2:23" ht="60" customHeight="1">
      <c r="B12" s="16" t="s">
        <v>259</v>
      </c>
      <c r="C12" s="39"/>
      <c r="D12" s="39"/>
      <c r="E12" s="39"/>
      <c r="F12" s="39"/>
      <c r="G12" s="39" t="s">
        <v>379</v>
      </c>
      <c r="H12" s="39" t="s">
        <v>379</v>
      </c>
      <c r="I12" s="39" t="s">
        <v>379</v>
      </c>
      <c r="J12" s="39" t="s">
        <v>379</v>
      </c>
      <c r="K12" s="39" t="s">
        <v>379</v>
      </c>
      <c r="L12" s="39" t="s">
        <v>379</v>
      </c>
      <c r="M12" s="39" t="s">
        <v>379</v>
      </c>
      <c r="N12" s="39" t="s">
        <v>379</v>
      </c>
      <c r="O12" s="39" t="s">
        <v>379</v>
      </c>
      <c r="P12" s="39" t="s">
        <v>379</v>
      </c>
      <c r="Q12" s="39" t="s">
        <v>379</v>
      </c>
      <c r="R12" s="39"/>
      <c r="S12" s="39" t="s">
        <v>379</v>
      </c>
      <c r="T12" s="39" t="s">
        <v>379</v>
      </c>
      <c r="U12" s="39" t="s">
        <v>379</v>
      </c>
      <c r="V12" s="39" t="s">
        <v>379</v>
      </c>
      <c r="W12" s="63"/>
    </row>
    <row r="13" spans="2:23" ht="60" customHeight="1">
      <c r="B13" s="36" t="s">
        <v>254</v>
      </c>
      <c r="C13" s="39"/>
      <c r="D13" s="39"/>
      <c r="E13" s="39"/>
      <c r="F13" s="39"/>
      <c r="G13" s="39" t="s">
        <v>379</v>
      </c>
      <c r="H13" s="39" t="s">
        <v>379</v>
      </c>
      <c r="I13" s="39" t="s">
        <v>379</v>
      </c>
      <c r="J13" s="39" t="s">
        <v>379</v>
      </c>
      <c r="K13" s="39" t="s">
        <v>379</v>
      </c>
      <c r="L13" s="39" t="s">
        <v>379</v>
      </c>
      <c r="M13" s="39" t="s">
        <v>379</v>
      </c>
      <c r="N13" s="39" t="s">
        <v>379</v>
      </c>
      <c r="O13" s="39" t="s">
        <v>379</v>
      </c>
      <c r="P13" s="39" t="s">
        <v>379</v>
      </c>
      <c r="Q13" s="39" t="s">
        <v>379</v>
      </c>
      <c r="R13" s="39"/>
      <c r="S13" s="39" t="s">
        <v>391</v>
      </c>
      <c r="T13" s="39" t="s">
        <v>379</v>
      </c>
      <c r="U13" s="39" t="s">
        <v>379</v>
      </c>
      <c r="V13" s="39" t="s">
        <v>379</v>
      </c>
      <c r="W13" s="63"/>
    </row>
    <row r="14" spans="2:23" ht="60" customHeight="1">
      <c r="B14" s="16" t="s">
        <v>250</v>
      </c>
      <c r="C14" s="39"/>
      <c r="D14" s="39"/>
      <c r="E14" s="39"/>
      <c r="F14" s="39"/>
      <c r="G14" s="39" t="s">
        <v>379</v>
      </c>
      <c r="H14" s="39" t="s">
        <v>379</v>
      </c>
      <c r="I14" s="39" t="s">
        <v>379</v>
      </c>
      <c r="J14" s="39" t="s">
        <v>379</v>
      </c>
      <c r="K14" s="39" t="s">
        <v>379</v>
      </c>
      <c r="L14" s="39" t="s">
        <v>379</v>
      </c>
      <c r="M14" s="39" t="s">
        <v>379</v>
      </c>
      <c r="N14" s="39" t="s">
        <v>379</v>
      </c>
      <c r="O14" s="39" t="s">
        <v>379</v>
      </c>
      <c r="P14" s="39" t="s">
        <v>379</v>
      </c>
      <c r="Q14" s="39" t="s">
        <v>379</v>
      </c>
      <c r="R14" s="39"/>
      <c r="S14" s="39" t="s">
        <v>379</v>
      </c>
      <c r="T14" s="39" t="s">
        <v>379</v>
      </c>
      <c r="U14" s="39" t="s">
        <v>379</v>
      </c>
      <c r="V14" s="39" t="s">
        <v>379</v>
      </c>
      <c r="W14" s="63"/>
    </row>
    <row r="15" spans="2:23" ht="60" customHeight="1">
      <c r="B15" s="16" t="s">
        <v>253</v>
      </c>
      <c r="C15" s="39"/>
      <c r="D15" s="39"/>
      <c r="E15" s="39"/>
      <c r="F15" s="39"/>
      <c r="G15" s="39" t="s">
        <v>379</v>
      </c>
      <c r="H15" s="39" t="s">
        <v>379</v>
      </c>
      <c r="I15" s="39" t="s">
        <v>379</v>
      </c>
      <c r="J15" s="39" t="s">
        <v>379</v>
      </c>
      <c r="K15" s="39" t="s">
        <v>379</v>
      </c>
      <c r="L15" s="39" t="s">
        <v>379</v>
      </c>
      <c r="M15" s="39" t="s">
        <v>379</v>
      </c>
      <c r="N15" s="39" t="s">
        <v>379</v>
      </c>
      <c r="O15" s="39" t="s">
        <v>379</v>
      </c>
      <c r="P15" s="39" t="s">
        <v>379</v>
      </c>
      <c r="Q15" s="39" t="s">
        <v>379</v>
      </c>
      <c r="R15" s="39"/>
      <c r="S15" s="39" t="s">
        <v>379</v>
      </c>
      <c r="T15" s="39" t="s">
        <v>379</v>
      </c>
      <c r="U15" s="39" t="s">
        <v>379</v>
      </c>
      <c r="V15" s="39" t="s">
        <v>379</v>
      </c>
      <c r="W15" s="63"/>
    </row>
    <row r="16" spans="2:23" ht="60" customHeight="1">
      <c r="B16" s="36" t="s">
        <v>255</v>
      </c>
      <c r="C16" s="39" t="s">
        <v>323</v>
      </c>
      <c r="D16" s="39" t="s">
        <v>381</v>
      </c>
      <c r="E16" s="39" t="s">
        <v>376</v>
      </c>
      <c r="F16" s="39" t="s">
        <v>377</v>
      </c>
      <c r="G16" s="39" t="s">
        <v>379</v>
      </c>
      <c r="H16" s="39" t="s">
        <v>379</v>
      </c>
      <c r="I16" s="39" t="s">
        <v>379</v>
      </c>
      <c r="J16" s="39" t="s">
        <v>379</v>
      </c>
      <c r="K16" s="39" t="s">
        <v>379</v>
      </c>
      <c r="L16" s="39" t="s">
        <v>379</v>
      </c>
      <c r="M16" s="39" t="s">
        <v>379</v>
      </c>
      <c r="N16" s="39" t="s">
        <v>379</v>
      </c>
      <c r="O16" s="39" t="s">
        <v>379</v>
      </c>
      <c r="P16" s="39" t="s">
        <v>379</v>
      </c>
      <c r="Q16" s="39" t="s">
        <v>379</v>
      </c>
      <c r="R16" s="39"/>
      <c r="S16" s="39" t="s">
        <v>379</v>
      </c>
      <c r="T16" s="39" t="s">
        <v>379</v>
      </c>
      <c r="U16" s="39" t="s">
        <v>379</v>
      </c>
      <c r="V16" s="39" t="s">
        <v>379</v>
      </c>
      <c r="W16" s="63"/>
    </row>
    <row r="17" spans="2:23" ht="60" customHeight="1">
      <c r="B17" s="16" t="s">
        <v>251</v>
      </c>
      <c r="C17" s="39" t="s">
        <v>323</v>
      </c>
      <c r="D17" s="39" t="s">
        <v>323</v>
      </c>
      <c r="E17" s="39" t="s">
        <v>374</v>
      </c>
      <c r="F17" s="39" t="s">
        <v>374</v>
      </c>
      <c r="G17" s="39" t="s">
        <v>379</v>
      </c>
      <c r="H17" s="39" t="s">
        <v>379</v>
      </c>
      <c r="I17" s="39" t="s">
        <v>379</v>
      </c>
      <c r="J17" s="39" t="s">
        <v>379</v>
      </c>
      <c r="K17" s="39" t="s">
        <v>379</v>
      </c>
      <c r="L17" s="39" t="s">
        <v>379</v>
      </c>
      <c r="M17" s="39" t="s">
        <v>379</v>
      </c>
      <c r="N17" s="39" t="s">
        <v>379</v>
      </c>
      <c r="O17" s="39" t="s">
        <v>379</v>
      </c>
      <c r="P17" s="39" t="s">
        <v>379</v>
      </c>
      <c r="Q17" s="39" t="s">
        <v>379</v>
      </c>
      <c r="R17" s="39"/>
      <c r="S17" s="39" t="s">
        <v>379</v>
      </c>
      <c r="T17" s="39" t="s">
        <v>379</v>
      </c>
      <c r="U17" s="39" t="s">
        <v>379</v>
      </c>
      <c r="V17" s="39" t="s">
        <v>379</v>
      </c>
      <c r="W17" s="63"/>
    </row>
    <row r="18" spans="2:23" ht="60" customHeight="1">
      <c r="B18" s="16" t="s">
        <v>252</v>
      </c>
      <c r="C18" s="39" t="s">
        <v>323</v>
      </c>
      <c r="D18" s="39" t="s">
        <v>323</v>
      </c>
      <c r="E18" s="39" t="s">
        <v>375</v>
      </c>
      <c r="F18" s="39" t="s">
        <v>375</v>
      </c>
      <c r="G18" s="39" t="s">
        <v>379</v>
      </c>
      <c r="H18" s="39" t="s">
        <v>379</v>
      </c>
      <c r="I18" s="39" t="s">
        <v>379</v>
      </c>
      <c r="J18" s="39" t="s">
        <v>379</v>
      </c>
      <c r="K18" s="39" t="s">
        <v>379</v>
      </c>
      <c r="L18" s="39" t="s">
        <v>379</v>
      </c>
      <c r="M18" s="39" t="s">
        <v>379</v>
      </c>
      <c r="N18" s="39" t="s">
        <v>379</v>
      </c>
      <c r="O18" s="39" t="s">
        <v>379</v>
      </c>
      <c r="P18" s="39" t="s">
        <v>379</v>
      </c>
      <c r="Q18" s="39" t="s">
        <v>379</v>
      </c>
      <c r="R18" s="39"/>
      <c r="S18" s="39" t="s">
        <v>379</v>
      </c>
      <c r="T18" s="39" t="s">
        <v>379</v>
      </c>
      <c r="U18" s="39" t="s">
        <v>379</v>
      </c>
      <c r="V18" s="39" t="s">
        <v>379</v>
      </c>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zoomScale="140" zoomScaleNormal="140" workbookViewId="0">
      <selection activeCell="E22" sqref="E22"/>
    </sheetView>
  </sheetViews>
  <sheetFormatPr baseColWidth="10" defaultColWidth="10.83203125" defaultRowHeight="16"/>
  <cols>
    <col min="1" max="1" width="5.5" customWidth="1"/>
  </cols>
  <sheetData>
    <row r="3" spans="2:11" ht="34" customHeight="1">
      <c r="B3" s="86" t="s">
        <v>226</v>
      </c>
      <c r="C3" s="86"/>
      <c r="D3" s="86"/>
      <c r="E3" s="86"/>
      <c r="F3" s="86"/>
      <c r="G3" s="86"/>
      <c r="H3" s="86"/>
      <c r="I3" s="86"/>
      <c r="J3" s="86"/>
      <c r="K3" s="86"/>
    </row>
    <row r="4" spans="2:11" ht="34" customHeight="1">
      <c r="B4" s="86"/>
      <c r="C4" s="86"/>
      <c r="D4" s="86"/>
      <c r="E4" s="86"/>
      <c r="F4" s="86"/>
      <c r="G4" s="86"/>
      <c r="H4" s="86"/>
      <c r="I4" s="86"/>
      <c r="J4" s="86"/>
      <c r="K4" s="86"/>
    </row>
    <row r="5" spans="2:11" ht="34" customHeight="1">
      <c r="B5" s="86"/>
      <c r="C5" s="86"/>
      <c r="D5" s="86"/>
      <c r="E5" s="86"/>
      <c r="F5" s="86"/>
      <c r="G5" s="86"/>
      <c r="H5" s="86"/>
      <c r="I5" s="86"/>
      <c r="J5" s="86"/>
      <c r="K5" s="86"/>
    </row>
    <row r="6" spans="2:11" ht="34" customHeight="1">
      <c r="B6" s="86"/>
      <c r="C6" s="86"/>
      <c r="D6" s="86"/>
      <c r="E6" s="86"/>
      <c r="F6" s="86"/>
      <c r="G6" s="86"/>
      <c r="H6" s="86"/>
      <c r="I6" s="86"/>
      <c r="J6" s="86"/>
      <c r="K6" s="86"/>
    </row>
    <row r="12" spans="2:11">
      <c r="B12" t="s">
        <v>386</v>
      </c>
    </row>
    <row r="13" spans="2:11">
      <c r="B13" t="s">
        <v>387</v>
      </c>
    </row>
    <row r="14" spans="2:11">
      <c r="B14" t="s">
        <v>388</v>
      </c>
    </row>
    <row r="15" spans="2:11">
      <c r="B15" t="s">
        <v>389</v>
      </c>
    </row>
    <row r="17" spans="2:2">
      <c r="B17" t="s">
        <v>393</v>
      </c>
    </row>
    <row r="18" spans="2:2">
      <c r="B18" t="s">
        <v>392</v>
      </c>
    </row>
    <row r="21" spans="2:2">
      <c r="B21" s="60"/>
    </row>
    <row r="24" spans="2:2">
      <c r="B24" s="60"/>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C28" sqref="C28"/>
    </sheetView>
  </sheetViews>
  <sheetFormatPr baseColWidth="10" defaultRowHeight="20"/>
  <cols>
    <col min="1" max="1" width="4.1640625" style="57" customWidth="1"/>
    <col min="2" max="2" width="200.83203125" style="10" customWidth="1"/>
    <col min="3" max="3" width="67.5" style="13" customWidth="1"/>
    <col min="4" max="16384" width="10.83203125" style="51"/>
  </cols>
  <sheetData>
    <row r="2" spans="2:4" ht="22">
      <c r="B2" s="8" t="s">
        <v>235</v>
      </c>
      <c r="C2" s="11"/>
    </row>
    <row r="3" spans="2:4" ht="22">
      <c r="B3" s="44" t="s">
        <v>233</v>
      </c>
      <c r="C3" s="59"/>
    </row>
    <row r="4" spans="2:4" ht="22">
      <c r="B4" s="58" t="s">
        <v>262</v>
      </c>
      <c r="C4" s="59"/>
    </row>
    <row r="5" spans="2:4" ht="63">
      <c r="B5" s="56" t="s">
        <v>285</v>
      </c>
      <c r="C5" s="50" t="s">
        <v>36</v>
      </c>
      <c r="D5" s="52" t="s">
        <v>286</v>
      </c>
    </row>
    <row r="6" spans="2:4" ht="22">
      <c r="B6" s="58" t="s">
        <v>261</v>
      </c>
      <c r="C6" s="59"/>
      <c r="D6" s="52"/>
    </row>
    <row r="7" spans="2:4" ht="63">
      <c r="B7" s="56" t="s">
        <v>223</v>
      </c>
      <c r="C7" s="50" t="s">
        <v>36</v>
      </c>
      <c r="D7" s="52" t="s">
        <v>278</v>
      </c>
    </row>
    <row r="8" spans="2:4" ht="22">
      <c r="B8" s="58" t="s">
        <v>260</v>
      </c>
      <c r="C8" s="59"/>
    </row>
    <row r="9" spans="2:4" ht="63">
      <c r="B9" s="56" t="s">
        <v>224</v>
      </c>
      <c r="C9" s="50" t="s">
        <v>36</v>
      </c>
    </row>
    <row r="10" spans="2:4" ht="22">
      <c r="B10" s="58" t="s">
        <v>281</v>
      </c>
      <c r="C10" s="59"/>
    </row>
    <row r="11" spans="2:4" ht="63">
      <c r="B11" s="56" t="s">
        <v>282</v>
      </c>
      <c r="C11" s="50" t="s">
        <v>36</v>
      </c>
    </row>
    <row r="12" spans="2:4" ht="22">
      <c r="B12" s="44" t="s">
        <v>232</v>
      </c>
      <c r="C12" s="59"/>
    </row>
    <row r="13" spans="2:4" ht="22">
      <c r="B13" s="58" t="s">
        <v>234</v>
      </c>
      <c r="C13" s="59"/>
    </row>
    <row r="14" spans="2:4" ht="42">
      <c r="B14" s="56" t="s">
        <v>221</v>
      </c>
      <c r="C14" s="50"/>
    </row>
    <row r="15" spans="2:4" ht="22">
      <c r="B15" s="58" t="s">
        <v>230</v>
      </c>
      <c r="C15" s="59"/>
    </row>
    <row r="16" spans="2:4" ht="42">
      <c r="B16" s="56" t="s">
        <v>222</v>
      </c>
      <c r="C16" s="50"/>
    </row>
    <row r="17" spans="2:3" ht="22">
      <c r="B17" s="58" t="s">
        <v>231</v>
      </c>
      <c r="C17" s="59"/>
    </row>
    <row r="18" spans="2:3" ht="42">
      <c r="B18" s="56" t="s">
        <v>225</v>
      </c>
      <c r="C18" s="50"/>
    </row>
    <row r="19" spans="2:3" ht="22">
      <c r="B19" s="58" t="s">
        <v>263</v>
      </c>
      <c r="C19" s="59"/>
    </row>
    <row r="20" spans="2:3" ht="63">
      <c r="B20" s="56" t="s">
        <v>284</v>
      </c>
      <c r="C20" s="50"/>
    </row>
    <row r="21" spans="2:3" ht="22">
      <c r="B21" s="58" t="s">
        <v>301</v>
      </c>
      <c r="C21" s="59"/>
    </row>
    <row r="22" spans="2:3" ht="63">
      <c r="B22" s="56" t="s">
        <v>303</v>
      </c>
      <c r="C22" s="50" t="s">
        <v>36</v>
      </c>
    </row>
    <row r="23" spans="2:3" ht="22">
      <c r="B23" s="58" t="s">
        <v>306</v>
      </c>
      <c r="C23" s="59"/>
    </row>
    <row r="24" spans="2:3" ht="84">
      <c r="B24" s="56" t="s">
        <v>304</v>
      </c>
      <c r="C24" s="50" t="s">
        <v>36</v>
      </c>
    </row>
    <row r="25" spans="2:3" ht="22">
      <c r="B25" s="58" t="s">
        <v>302</v>
      </c>
      <c r="C25" s="59"/>
    </row>
    <row r="26" spans="2:3" ht="84">
      <c r="B26" s="56" t="s">
        <v>305</v>
      </c>
      <c r="C26" s="50" t="s">
        <v>36</v>
      </c>
    </row>
    <row r="27" spans="2:3" ht="22">
      <c r="B27" s="58" t="s">
        <v>316</v>
      </c>
      <c r="C27" s="59"/>
    </row>
    <row r="28" spans="2:3" ht="84">
      <c r="B28" s="56" t="s">
        <v>319</v>
      </c>
      <c r="C28" s="50"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Tescom</cp:lastModifiedBy>
  <cp:lastPrinted>2018-09-13T16:04:18Z</cp:lastPrinted>
  <dcterms:created xsi:type="dcterms:W3CDTF">2018-09-10T17:18:27Z</dcterms:created>
  <dcterms:modified xsi:type="dcterms:W3CDTF">2025-05-20T03:46:23Z</dcterms:modified>
</cp:coreProperties>
</file>