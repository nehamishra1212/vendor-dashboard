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e5ee51a154651a73/AUTOTECH/PROJECT/DU AN 2025/APPLE/"/>
    </mc:Choice>
  </mc:AlternateContent>
  <xr:revisionPtr revIDLastSave="348" documentId="8_{1F92AEA8-A6E6-425E-B122-4BD477D2B318}" xr6:coauthVersionLast="47" xr6:coauthVersionMax="47" xr10:uidLastSave="{B6FB18B6-7F5D-4127-8E1A-0B0C04F15967}"/>
  <bookViews>
    <workbookView xWindow="-110" yWindow="-110" windowWidth="19420" windowHeight="11500" activeTab="3" xr2:uid="{4147CBFF-0AFE-A94D-87F9-B08C0CBCF0E5}"/>
  </bookViews>
  <sheets>
    <sheet name="1. Introduction" sheetId="9" r:id="rId1"/>
    <sheet name="2. RFI Rules of Engagement" sheetId="10" r:id="rId2"/>
    <sheet name="3. FRI Terms &amp; Conditions" sheetId="11" r:id="rId3"/>
    <sheet name="4. General Company Information" sheetId="2" r:id="rId4"/>
    <sheet name="5. Financials Info" sheetId="5" r:id="rId5"/>
    <sheet name="6. Assembly and Supply chain" sheetId="3" r:id="rId6"/>
    <sheet name="7.OSS-Onsite service &amp; support" sheetId="8" r:id="rId7"/>
    <sheet name="8a. Headcount Summary" sheetId="4" r:id="rId8"/>
    <sheet name="8b. Project Management Process" sheetId="6" r:id="rId9"/>
    <sheet name="9a. Technical Capabilities" sheetId="12" r:id="rId10"/>
    <sheet name="9b. Technical roadmap" sheetId="7"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2" l="1"/>
  <c r="B2" i="1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<sst xmlns="http://schemas.openxmlformats.org/spreadsheetml/2006/main" count="606" uniqueCount="339">
  <si>
    <t xml:space="preserve">RFI Submission Date </t>
  </si>
  <si>
    <t>Official Legal Name</t>
  </si>
  <si>
    <t>Parent Company Official Name</t>
  </si>
  <si>
    <t>HQ Location</t>
  </si>
  <si>
    <t>Website</t>
  </si>
  <si>
    <t>Public/Private</t>
  </si>
  <si>
    <t>Ticker Symbol (if Public)</t>
  </si>
  <si>
    <t>Type</t>
  </si>
  <si>
    <t>Total # of Employees</t>
  </si>
  <si>
    <t>Year Founded</t>
  </si>
  <si>
    <t>First Year of Engagement with Apple</t>
  </si>
  <si>
    <t>Please fill in all fields to complete this section.</t>
  </si>
  <si>
    <t>Title</t>
  </si>
  <si>
    <t>Country of Residence</t>
  </si>
  <si>
    <t>Email</t>
  </si>
  <si>
    <t>CEO or President</t>
  </si>
  <si>
    <t>Commercial DRI / Apple Executive Contact</t>
  </si>
  <si>
    <t>Name (First, Last)</t>
  </si>
  <si>
    <t xml:space="preserve">Contact Number (include country code - e.g. USA +1) </t>
  </si>
  <si>
    <t>Company HQ</t>
  </si>
  <si>
    <t>Manufacturing Location 1</t>
  </si>
  <si>
    <t>Manufacturing Location 2</t>
  </si>
  <si>
    <t>Manufacturing Location 3</t>
  </si>
  <si>
    <t>Manufacturing Location 4</t>
  </si>
  <si>
    <t>Manufacturing Location 5</t>
  </si>
  <si>
    <t>Current Apple Programs Supported
 (List Program Name or N/A)</t>
  </si>
  <si>
    <t>Facility Floor Space (Square Meters)</t>
    <phoneticPr fontId="8" type="noConversion"/>
  </si>
  <si>
    <t>Please fill in at least all fields for Company HQ and Main Manufacturing Location to complete this section.</t>
  </si>
  <si>
    <t xml:space="preserve">Total Project Management </t>
  </si>
  <si>
    <t>Total Production</t>
  </si>
  <si>
    <t>Total OSS</t>
  </si>
  <si>
    <t>Key Area Leaders (Example : CEO, COO, CFO etc)</t>
  </si>
  <si>
    <t>Operations Leader</t>
  </si>
  <si>
    <t xml:space="preserve">Finance </t>
  </si>
  <si>
    <t>Supply chain</t>
  </si>
  <si>
    <t>Engineering</t>
  </si>
  <si>
    <t>Project Management</t>
  </si>
  <si>
    <t>Production</t>
  </si>
  <si>
    <t xml:space="preserve">City and Country </t>
  </si>
  <si>
    <t>Full Address</t>
  </si>
  <si>
    <t>Facility Name (if any)</t>
  </si>
  <si>
    <t>EQ Type manufactured in above location for Apple
(Dispense, Pick and place, Assembly, Die Attach, Wire Bond, Test, etc)</t>
  </si>
  <si>
    <t>EQ Type manufactured in above location for other customers
(Dispense, Pick and place, Assembly, Die Attach, Wire Bond, Test, etc)</t>
  </si>
  <si>
    <t>Weekly Manufacturing Capacity
(by volume of units shipped)</t>
  </si>
  <si>
    <t>Customer Base served from this location (City and Country of the customer)</t>
  </si>
  <si>
    <t>Are there any Global expansion plans in the future for Manufacturing? Please explain in detail</t>
  </si>
  <si>
    <t>What are all the key subcomponenet vendors used and where are they located (city, country)</t>
  </si>
  <si>
    <t>What are the key supply chain tactics being followed?</t>
  </si>
  <si>
    <t xml:space="preserve">Are there any inhouse machining / job shop capacity? If so please explain in details in terms of machines available (CNC, Mill, Lathe, EDM Weld etc etc), volume produced </t>
  </si>
  <si>
    <t xml:space="preserve">Any previous issues faced in shipping to certain countries </t>
  </si>
  <si>
    <t>What are the supply chain resiliency plan to ensure no distruption in supply</t>
  </si>
  <si>
    <t>Please fill in Headcount information</t>
  </si>
  <si>
    <t>Comments</t>
  </si>
  <si>
    <t>Quality</t>
  </si>
  <si>
    <t>Shipping and Logictis</t>
  </si>
  <si>
    <t>Please fill in all fields with year end numbers to complete this section. (only numbers are allowed to be inputted)</t>
  </si>
  <si>
    <t>Company Total Revenue (USD)</t>
  </si>
  <si>
    <t>Apple Direct Generated Revenue (USD)</t>
  </si>
  <si>
    <t>Gross Profit</t>
  </si>
  <si>
    <t>Operating Profit</t>
  </si>
  <si>
    <t>2026 (expected)</t>
  </si>
  <si>
    <t>2027 (expected)</t>
  </si>
  <si>
    <t>*Enter Data in USD in millions</t>
  </si>
  <si>
    <t>Market Cap (USD)</t>
  </si>
  <si>
    <r>
      <t xml:space="preserve">Use the blank page to detail your company's project management process.
</t>
    </r>
    <r>
      <rPr>
        <sz val="14"/>
        <rFont val="Calibri"/>
        <family val="2"/>
      </rPr>
      <t>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rFont val="Calibri"/>
        <family val="2"/>
      </rPr>
      <t xml:space="preserve">
</t>
    </r>
  </si>
  <si>
    <t>Use the blank page to detail your company's technical roadmap for apple or other customers</t>
  </si>
  <si>
    <t>Region 1</t>
  </si>
  <si>
    <t>Region 2</t>
  </si>
  <si>
    <t>Region 3</t>
  </si>
  <si>
    <t>Region 4</t>
  </si>
  <si>
    <t>Region 5</t>
  </si>
  <si>
    <t>Glossary</t>
  </si>
  <si>
    <t>Term</t>
  </si>
  <si>
    <t>Definition</t>
  </si>
  <si>
    <t>Total Field Service Engineers - L1</t>
  </si>
  <si>
    <t>Level</t>
  </si>
  <si>
    <t>After passing exam, must fulfill the folllowing requirements below:</t>
  </si>
  <si>
    <t>Total Field Service Engineers - L2</t>
  </si>
  <si>
    <t>L3</t>
  </si>
  <si>
    <t>1. Familiar electrical and mechanical related specialty</t>
  </si>
  <si>
    <t>Total Field Service Engineers - L3</t>
  </si>
  <si>
    <t>2. Familiar SW edit, and parameter SW modification</t>
  </si>
  <si>
    <t>Support Capabilities in Region - Total # of Units</t>
  </si>
  <si>
    <t>3. Can analyze the data independently, find the root cause, to improve downtime by top issue</t>
  </si>
  <si>
    <t>Hiring difficulty in Region (high/Medium/low)</t>
  </si>
  <si>
    <t>4. Also can be independently training for all people</t>
  </si>
  <si>
    <t>Training Time (wks)</t>
  </si>
  <si>
    <t>L2</t>
  </si>
  <si>
    <t>1. At least six months equipment maintenance expereince, familiar with principles of equipment operation</t>
  </si>
  <si>
    <t>Attrition Rate</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</si>
  <si>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</si>
  <si>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</si>
  <si>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</si>
  <si>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</si>
  <si>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</si>
  <si>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Region 6</t>
  </si>
  <si>
    <t>Region Country</t>
  </si>
  <si>
    <t>Vietnam Autotech Machinery Joint Stock Company</t>
  </si>
  <si>
    <t>N/A</t>
  </si>
  <si>
    <t xml:space="preserve">No 11-15, Street 17, VSIP Industrial Park, Dai Dong commune, Tien Du district, Bac Ninh, Vietnam </t>
  </si>
  <si>
    <t>https://auto-tech.vn/</t>
  </si>
  <si>
    <t>Private</t>
  </si>
  <si>
    <t>Joint Stock Company</t>
  </si>
  <si>
    <t>Huong Pham Thi</t>
  </si>
  <si>
    <t>CEO</t>
  </si>
  <si>
    <t>Vietnam</t>
  </si>
  <si>
    <t>huongpt@auto-tech.vn</t>
  </si>
  <si>
    <t>(84) 903.232.625</t>
  </si>
  <si>
    <t>Hach Pham Dinh</t>
  </si>
  <si>
    <t>CPO</t>
  </si>
  <si>
    <t>hachpd@auto-tech.vn</t>
  </si>
  <si>
    <t>(84) 935.383.696</t>
  </si>
  <si>
    <t>Linh Tran Thi Ho</t>
  </si>
  <si>
    <t>Manager</t>
  </si>
  <si>
    <t>linhtth@auto-tech.vn</t>
  </si>
  <si>
    <t>(84) 971.085.599</t>
  </si>
  <si>
    <t>Nhinh Nguyen Van</t>
  </si>
  <si>
    <t>nhinhnv@auto-tech.vn</t>
  </si>
  <si>
    <t>(84) 973 278 236</t>
  </si>
  <si>
    <t>Nam Vu Tu</t>
  </si>
  <si>
    <t>nam.vt@auto-tech.vn</t>
  </si>
  <si>
    <t>(84) 963.376.434</t>
  </si>
  <si>
    <t>Long Nguyen Van</t>
  </si>
  <si>
    <t>longnv@auto-tech.vn</t>
  </si>
  <si>
    <t>(84) 936.022.821</t>
  </si>
  <si>
    <t>Trang Trinh Thi</t>
  </si>
  <si>
    <t>trangtt@auto-tech.vn</t>
  </si>
  <si>
    <t>(84) 941 838 636</t>
  </si>
  <si>
    <t>Khiem Nguyen Thanh</t>
  </si>
  <si>
    <t>khiemnt@auto-tech.vn</t>
  </si>
  <si>
    <t>(84) 912 421 856</t>
  </si>
  <si>
    <t>Luu Nguyen Cong</t>
  </si>
  <si>
    <t>luunc@auto-tech.vn</t>
  </si>
  <si>
    <t>(84) 969 446 368</t>
  </si>
  <si>
    <t>2025 (expected)</t>
  </si>
  <si>
    <t xml:space="preserve">
Autotech Bac Ninh Factory</t>
  </si>
  <si>
    <t xml:space="preserve">
Autotech Binh Duong Factory</t>
  </si>
  <si>
    <t>Bac Ninh Province, Vietnam</t>
  </si>
  <si>
    <t>Thu Dau Mot City, Binh Duong Province, Vietnam</t>
  </si>
  <si>
    <t>No.11 &amp; 15, Street 17, VSIP Industrial Park, Dai Dong Commune, Tien Du District, Bac Ninh Province, Vietnam</t>
  </si>
  <si>
    <t>Block C, Advanced Manufacturing Center- EIU, NO.2 Nam Ky Khoi Nghia street, Hoa Phu Ward, Thu Dau Mot City, Binh Duong Province, Vietnam</t>
  </si>
  <si>
    <t>Apro. 12,000 m² ( 2 factories)</t>
  </si>
  <si>
    <t>2.300 m²</t>
  </si>
  <si>
    <t>We have been implementing expansion plans for our manufacturing operations and providing automation solutions to international markets. As of now, we have been focusing on developing markets in the Asia region, including South Korea, India, Thailand, Japan, and Singapore. In addition, we are also exploring opportunities to expand into other Asian markets and further into regions such as Europe and North America.</t>
  </si>
  <si>
    <t>Currently, we have established a reliable and sustainable network of key component suppliers such as Misumi (Bac Ninh, Vietnam), SMC Corporation (Bac Ninh, Vietnam), Yamazen (Ho Chi Minh, Vietnam), Son Long (Hanoi, Vietnam), Deakhon Vina (Bac Ninh, Vietnam), Beevision (Hanoi, Vietnam), Rio International (Korean), Sebong Vina (Bac Ninh, Vietnam), DH Industrial (Hanoi, Vietnam), Keyence (Hanoi, Vietnam), etc.. In addition, we continue to focus on expanding our supplier network with a diverse range of products, aiming to build a stable supplier ecosystem that grows together for the benefit of our shared customers.</t>
  </si>
  <si>
    <t>We implement a range of supply chain strategies to ensure stability, efficiency, and to effectively meet the needs of our customers. Specifically:
1. Optimizing the Global Supply Network: We build and maintain strong relationships with strategic partners and diversify our supply sources across various regions to ensure flexibility in meeting customer demands, minimizing risks, and mitigating market volatility.
2. Ensuring Quality and Adherence to High Standards: We are committed to delivering products of the highest quality and complying with the strict requirements of our customers, from production processes to necessary certifications. This helps protect your brand and ensures customer satisfaction.
3. Transparent and Efficient Supply Chain Management: We are focused on implementing digital systems to enhance the real-time management of supply chain operations, ensuring that all shipments and components are delivered on time, minimizing delays and unforeseen issues.
4. Flexibility in Inventory and Transportation Management: We apply inventory management methods such as Just-in-Time (JIT) and Lean Supply Chain to minimize storage costs and optimize delivery processes, ensuring that products are always available when your company needs them.
5. Commitment to Sustainability and Social Responsibility: We are committed to developing sustainable supply chain strategies, including reducing environmental impact, using recycled materials, and adhering to ethical principles across our entire supply chain. We comply with the Responsible Business Alliance (RBA) standards within our industry. 
6. Additionally, we have established and strictly adhere to systems including ISO 9000:2015, ISO 14000:2015, and ISO 27000:2021 in supply chain management to ensure stability, consistency, and sustainability in our operations.</t>
  </si>
  <si>
    <t>We have extensive in-house machining capabilities, including CNC machines, milling machines, lathes, and EDM welding, (Including: OKUMA CNC Machining CenterMCR-5ACII, Horizontal Lathe GENOS-L400II-E, Machining CenterSPEEDIO-W1000XD1, YUKIWA Fixture TableSTT135, YUKIWA Rotary TableJNC170L-BCM32M, BROTHER CNC Machining CenterS500X2; CNC LatheGENOS-L2000-E; BROTHER CNC Machining CenterS500X2; BROTHER CNC Machining CenterM300X3RD). Our CNC machining workshop is dedicated to high-precision manufacturing, with 30-40% of its capacity focused on producing jigs and tools. Additionally, 100% of our machine welding frames are fabricated in-house at Autotech, ensuring superior quality control and optimized production efficiency.</t>
  </si>
  <si>
    <t>1. Multi-layered approach for supply chain resiliency:
To ensure supply chain resiliency and prevent disruptions, we have implemented a multi-layered approach. This includes maintaining strategic inventory levels for critical components, diversifying suppliers across different regions, and using real-time monitoring systems through the Base and Bravo platforms.
2. Strong logistics partnerships for flexible shipping options:
Additionally, we have established strong relationships with multiple logistics partners to provide flexible shipping options, mitigating risks associated with transportation delays.
3. Proactive risk management strategies:
Our proactive risk management strategies ensure stable production and timely deliveries to our customers.
4. In-house manufacturing control:
We have also taken control of certain production stages, such as frame machining, by investing in modern machining systems. This enables us to control quality, production schedules, and meet customer requirements, reducing dependence on external factors.
5. Competitive advantage through cost optimization:
This also helps us increase competitiveness by optimizing pricing for our customers.</t>
  </si>
  <si>
    <t>- Inspection: SMC, Nidec Tosok, Omron
- Cleanning Machines: Nidec Tosok
- Assembly Machines: SMC, Nidec Tosok, Omron, P&amp;G
- Loader/Unloader Machines: Nidec Tosok, P&amp;G, Omron
- Boxing, Capping machines, Packing and palletizing: P&amp;G, Dan-on Food, Vinamilk</t>
  </si>
  <si>
    <t>- Inspection: Samsung, Dreamtech, KCI, Mektec, Mektec, Brico, 
- Attach Machines: Samsung, Dreamtech, KCI, Mektec, Samjin,…
- Cleanning Machines: Dreamtech, KCI, JMT..
- Assembly Lines/ machines: Samsung, Dreamtech, Mektec, Nanofilm, Samjin, ...
- Loader/Unloader Machines: Samsung, Dreamtech, KCI, Almus, KCI,….
- Transfer system: Samsung, Dreamtech, KCI, Almus, KCI,….
- Boxing, Packing and palletizing: Vinamilk, Cozy, Taixin
- Welding lines/ machines: Vinfast, Yamaha...</t>
  </si>
  <si>
    <t>Average: 12-&gt;15 machines/ weeks</t>
  </si>
  <si>
    <t>Average: 2 machines/ weeks</t>
  </si>
  <si>
    <t>Vietnam, Canada, Mexico, India, Japan, Korean market</t>
  </si>
  <si>
    <t>We have previously exported automation machines to Canada, Mexico, Japan, South Korea, and India. In the past, we encountered challenges with customs clearance delays in certain regions and fluctuations in shipping costs due to global supply chain disruptions. To mitigate these issues, we have optimized our logistics strategies and diversified our shipping partners to ensure smoother deliveries.</t>
  </si>
  <si>
    <t>R&amp;D</t>
  </si>
  <si>
    <t>Others (Back-office's members)</t>
  </si>
  <si>
    <t>Total Engineering (Include of Mechanical designing, Electrical designing, PLC, PC, Robot, Vision Engineers)</t>
  </si>
  <si>
    <t>Please fill in all fields for regions serviced to complete this section (Our structure for OSS team currently)</t>
  </si>
  <si>
    <t>Vietnam (Main region)</t>
  </si>
  <si>
    <t>India (Main region)</t>
  </si>
  <si>
    <t>Japan (in case support is needed there)</t>
  </si>
  <si>
    <t>Korea (in case support is needed there)</t>
  </si>
  <si>
    <t>Canada (in case support is needed there)</t>
  </si>
  <si>
    <t>10-&gt;15 (At the same time)</t>
  </si>
  <si>
    <t>Medium</t>
  </si>
  <si>
    <t>High</t>
  </si>
  <si>
    <t>1/ 1 unit</t>
  </si>
  <si>
    <t>2-&gt;4(At the same time)</t>
  </si>
  <si>
    <t>AUTOTECH Technical Road Map</t>
    <phoneticPr fontId="4" type="noConversion"/>
  </si>
  <si>
    <t>No.</t>
  </si>
  <si>
    <t>Biz Area</t>
    <phoneticPr fontId="4" type="noConversion"/>
  </si>
  <si>
    <t>Process</t>
    <phoneticPr fontId="4" type="noConversion"/>
  </si>
  <si>
    <t>~ Year 2023</t>
    <phoneticPr fontId="4" type="noConversion"/>
  </si>
  <si>
    <t>Year 2024</t>
    <phoneticPr fontId="4" type="noConversion"/>
  </si>
  <si>
    <t>Year 2025</t>
  </si>
  <si>
    <t>Year 2026</t>
  </si>
  <si>
    <t>Year 2027</t>
  </si>
  <si>
    <t>Single Process Automation</t>
    <phoneticPr fontId="4" type="noConversion"/>
  </si>
  <si>
    <t>Multi Process Automation</t>
    <phoneticPr fontId="4" type="noConversion"/>
  </si>
  <si>
    <t xml:space="preserve">Lami Full Process Design </t>
    <phoneticPr fontId="4" type="noConversion"/>
  </si>
  <si>
    <t>Full Process Automation</t>
    <phoneticPr fontId="4" type="noConversion"/>
  </si>
  <si>
    <t>ATT Independent Automation</t>
    <phoneticPr fontId="4" type="noConversion"/>
  </si>
  <si>
    <t>Mobile Phone
(OLED)</t>
    <phoneticPr fontId="4" type="noConversion"/>
  </si>
  <si>
    <t xml:space="preserve">SMT / PBA Area
LD / ULD Area
OLED Module </t>
    <phoneticPr fontId="4" type="noConversion"/>
  </si>
  <si>
    <t xml:space="preserve">FCCB to Carrier Loading
Tape Attch Line
Standard Loading/Unloading
Lami Input Automatin
Carrier Film / Tape Attach
AMT/MTP Inspection 
Foldable Inspection Full Automation
OQC Sorting </t>
    <phoneticPr fontId="4" type="noConversion"/>
  </si>
  <si>
    <t>UT Tape Attach 
UT Connector Inspection 
CO2 Cleaning MC
PBA Sub b'd Assembly
Upgrade LD/ULD
UTG Cassette Change MC</t>
    <phoneticPr fontId="4" type="noConversion"/>
  </si>
  <si>
    <t>Tape Attach Improvement
Hot Bar Bonding MC
UTG 2G Cassette Change MC
Foldable OQC Sorting
LAMI Full Line Design
Inspection Full Process Design</t>
    <phoneticPr fontId="4" type="noConversion"/>
  </si>
  <si>
    <t xml:space="preserve">Hot Bar Bonding Full Line
LAMI Full Autonation
Bending Automation
Inspection Full Automation
</t>
    <phoneticPr fontId="4" type="noConversion"/>
  </si>
  <si>
    <t>ATT Specific Full Process MC
(Assembly + Inspection)</t>
    <phoneticPr fontId="4" type="noConversion"/>
  </si>
  <si>
    <t>L1: 6 months
L2: 2 years
L3: 3-&gt;4 years</t>
  </si>
  <si>
    <t>NA (Do not use local staff yet)</t>
  </si>
  <si>
    <t>2% (almost with under 24 months working employees)</t>
  </si>
  <si>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</si>
  <si>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</si>
  <si>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</si>
  <si>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</si>
  <si>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</si>
  <si>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</si>
  <si>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</si>
  <si>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</si>
  <si>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</si>
  <si>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</si>
  <si>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</si>
  <si>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</si>
  <si>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</si>
  <si>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</si>
  <si>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</si>
  <si>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</si>
  <si>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</si>
  <si>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</si>
  <si>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</si>
  <si>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</si>
  <si>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</si>
  <si>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</si>
  <si>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</si>
  <si>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</si>
  <si>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</si>
  <si>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</si>
  <si>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</si>
  <si>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</si>
  <si>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</si>
  <si>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</si>
  <si>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</si>
  <si>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</si>
  <si>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</si>
  <si>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</si>
  <si>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</si>
  <si>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</si>
  <si>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</si>
  <si>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</si>
  <si>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</si>
  <si>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</si>
  <si>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</si>
  <si>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</si>
  <si>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</si>
  <si>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</si>
  <si>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</si>
  <si>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</si>
  <si>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Apple Indirect Generated Revenue (USD)</t>
  </si>
  <si>
    <t>Please fill in Technical Capabilties information by Category and Sub-Category.</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</si>
  <si>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</si>
  <si>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</si>
  <si>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</si>
  <si>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</si>
  <si>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</si>
  <si>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</si>
  <si>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</si>
  <si>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</si>
  <si>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</si>
  <si>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</si>
  <si>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</si>
  <si>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</si>
  <si>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</si>
  <si>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</si>
  <si>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</si>
  <si>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</si>
  <si>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</si>
  <si>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</si>
  <si>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</si>
  <si>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</si>
  <si>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</si>
  <si>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</si>
  <si>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</si>
  <si>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</si>
  <si>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</si>
  <si>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</si>
  <si>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</si>
  <si>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Outsourced?</t>
  </si>
  <si>
    <t>Core Competencies</t>
  </si>
  <si>
    <t>Dedicated Resourcing (HC)
(PM, Engineering, Production, OSS, etc.)</t>
  </si>
  <si>
    <t>Equipment Type &amp; Key Technologies</t>
  </si>
  <si>
    <t>Key Components &amp; Average Annual Spend ($M)
(Prefernce for off the shelf components)</t>
  </si>
  <si>
    <t xml:space="preserve">Typcical Development &amp; Equipment Lead Times
(RFP to DFM, KO to ETA, ETA to SAT, OEE, etc.) </t>
  </si>
  <si>
    <t>Competitive Advantage(s)</t>
  </si>
  <si>
    <t>Applicable Project Experience
(Year, Machine Description &amp; QTY, Spend, Timeline)</t>
  </si>
  <si>
    <t>Client / Reference</t>
  </si>
  <si>
    <t>Client / Reference Email</t>
  </si>
  <si>
    <t>Applicable Apple Experience
(Year, Machine Description &amp; QTY, Spend, Timeline)</t>
  </si>
  <si>
    <t>Apple DRI Name</t>
  </si>
  <si>
    <t>Apple DRI Email</t>
  </si>
  <si>
    <t>No</t>
  </si>
  <si>
    <t>"- Strong expertise in system integration for FATP (Final Assembly, Test, and Pack) production lines.
- Full in-house capability from mechanical design to electrical control and software integration.
- Proven success with large-scale deployment for mobile device assembly lines</t>
  </si>
  <si>
    <t>Turnkey automation lines, Modular manufacturing systems, FATP assembly line integration, MES connectivity, SCADA system integration.</t>
  </si>
  <si>
    <t>Key Components: Robots, Control panels, Servo motors, Linear actuators, Safety devices, PLCs,  Industrial computers.
It takes around $14M</t>
  </si>
  <si>
    <t>RFP to DFM: 2-&gt;3 weeks 
KO to ETA: 6-&gt;8 weeks
ETA to SAT: 
- 2-&gt;3 weeks for the first machine
- 5-&gt;7 days for next machines
SAT to Ship Out: 3-&gt;5 days
Setup and Hand over to customers: 2-&gt;3 weeks</t>
  </si>
  <si>
    <t>"	- Flexible and scalable system design tailored to customer-specific manufacturing needs.
- Strong experience with FATP lines for mobile devices and electronics.
- Fast response engineering team for design changes and project customization.</t>
  </si>
  <si>
    <t>Please see in the file "Autotech machines'
Sheet: Experience- Machine list</t>
  </si>
  <si>
    <t>"- Specialized in Siemens, Mitsubishi, and Omron PLC programming.
- Custom HMI (Human Machine Interface) development for complex automation lines.
- Experience integrating multi-platform software systems (MES, SCADA) with production machines.</t>
  </si>
  <si>
    <t>"- Extensive experience in designing and manufacturing custom automation systems for electronics and semiconductor industries.
- Expertise in modular machine design to allow fast product changeover.
- High flexibility in adapting solutions to customer's evolving needs.</t>
  </si>
  <si>
    <t>"- Strong capability in fixture/jig design for precision assembly and functional testing.
- In-house fabrication workshop with CNC machining, surface finishing, and quality control capabilities.</t>
  </si>
  <si>
    <t>"- Experienced in automated precision fluid dispensing systems for glue, adhesive, and conformal coating processes.
- Ability to integrate dispense control with vision inspection and curing systems.</t>
  </si>
  <si>
    <t>"- Developing partnerships with leading laser technology providers.
- Capability in laser marking and laser cutting integration into automation lines.</t>
  </si>
  <si>
    <t>"	- Expertise in precision robotic pick-and-place systems for small component assembly.
- Vacuum gripper and mechanical gripper solutions tailored to component types.</t>
  </si>
  <si>
    <t>"- Full turnkey solutions for semi-automatic and fully automatic assembly processes.
- Proficient in micro-assembly for electronic and electromechanical products.</t>
  </si>
  <si>
    <t>"	- Strong internal capability in vision inspection system development.
- Object detection, surface defect inspection, dimensional measurement with AI enhancement.
- Experience with Cognex, Keyence, Omron vision platforms.</t>
  </si>
  <si>
    <t>"	- In-house design and optimization of specialized lighting systems for vision inspection applications (coaxial, backlight, dome light setups).</t>
  </si>
  <si>
    <t>"	- Initial adoption phase. Exploring AI/ML integration in visual defect detection and predictive maintenance models.</t>
  </si>
  <si>
    <t>PLC control panels, HMI software development, MES interface modules, Remote monitoring systems, Industrial network protocols (Ethernet/IP, Profinet, Modbus).</t>
  </si>
  <si>
    <t>Custom robotic assembly cells, High-precision handling systems, Multi-axis gantry systems, Smart material handling, Flexible manufacturing systems (FMS).</t>
  </si>
  <si>
    <t>Precision jigs and fixtures, Assembly nests, Test fixtures, Functional test stations, Ergonomic workstations.</t>
  </si>
  <si>
    <t>Automated adhesive dispensing systems, Precision volumetric dispensers, Jet dispensing modules, UV curing systems.</t>
  </si>
  <si>
    <t>Laser marking systems, Laser cutting systems, Laser engraving machines, Integrated laser safety enclosures.</t>
  </si>
  <si>
    <t>Robotic pick-and-place systems, High-speed SMT (surface-mount technology) handling, Vacuum grippers, Adaptive end-effectors.</t>
  </si>
  <si>
    <t>Fully-automatic assembly stations, Semi-automatic workcells, Press-fit assembly equipment, Screw driving systems, Ultrasonic welding integration.</t>
  </si>
  <si>
    <t>2D/3D vision inspection systems, Surface defect detection, Dimensional measurement</t>
  </si>
  <si>
    <t>Coaxial lighting systems, Dome lighting systems, Backlighting modules for inspection, Specialized LED lighting design.</t>
  </si>
  <si>
    <t>(Developing) AI-based defect detection systems, Predictive maintenance models, Machine learning analytics for process optimization.</t>
  </si>
  <si>
    <t>Key Components: PLC CPUs, HMI screens, Industrial network modules, Control software licenses.
Spend: Included in System Integration spend.</t>
  </si>
  <si>
    <t>Key Components: Robotic arms (Fanuc, Yaskawa), Precision ball screws, Pneumatic components, Conveyors.
Spend: Included in System Integration spend.</t>
  </si>
  <si>
    <t>Key Components: Precision valves, Fluid dispensers, Controllers, UV curing lamps.
Spend: Minor, typically project-specific (Estimated &lt;$0.2M annually).</t>
  </si>
  <si>
    <t>Key Components: Machined aluminum, Steel plates, Precision locating pins, Surface treatment (anodizing, plating).
Spend: ~3-&gt;5 % of revenue (Estimated $1M)</t>
  </si>
  <si>
    <t>Key Components: Laser modules, Galvo scanners, Laser safety enclosures.
Spend: Minor for current phase, higher with future projects (Estimated &lt;$0.2M annually).</t>
  </si>
  <si>
    <t>Key Components: Robotic pick-and-place units, End effectors, Vacuum generators.
Spend: Included in Custom Automation spend.</t>
  </si>
  <si>
    <t>Key Components: Press units, Screw drivers (automatic), Ultrasonic welders, Grippers.
Spend: Included in System Integration spend.</t>
  </si>
  <si>
    <t>Key Components: Industrial cameras (Cognex, Keyence), Lenses, Lighting modules.
Spend: Part of Inspection Equipment budget</t>
  </si>
  <si>
    <t>Key Components: Coaxial lighting, Backlights, Dome lights.
Spend: Included in Machine Vision budget.</t>
  </si>
  <si>
    <t>Key Components: GPU computing modules, AI cameras, Software platforms.
Spend: Early stage investment, minimal currently.</t>
  </si>
  <si>
    <t>RFP to DFM: 2-&gt;3 weeks 
ETA to SAT:  Follow testing plan of manufacturing stage
- 2-&gt;3 weeks for the first machine
- 5-&gt;7 days for next machines</t>
  </si>
  <si>
    <t>RFP to DFM: 1-2 weeks (depend on the compleixty and the quantity of types of fixtures)
KO to ETA: 1-3 weeks (depend on the compleixty and the quantity of types of fixtures)
ETA to SAT: 
- 1 week</t>
  </si>
  <si>
    <t>"- In-house software and PLC programming capability.
- Expertise across multiple platforms (Siemens, Mitsubishi, Omron).
- Seamless integration with MES, SCADA, and customer IT systems</t>
  </si>
  <si>
    <t>"- High customization capability for diverse product families.
- Modular machine designs enabling quick model changeover and scalability.
- Proven record of high-speed and high-precision automation solutions.</t>
  </si>
  <si>
    <t>"- Full in-house fixture design and fabrication facilities ensuring fast turnaround and precision.
- Strong DFM (Design for Manufacturing) approach, minimizing rework and downtime.</t>
  </si>
  <si>
    <t>"- High-precision dispensing systems with integrated vision alignment.
- Strong process control ensuring dispensing accuracy and repeatability.</t>
  </si>
  <si>
    <t>"- Flexibility to integrate different laser technologies based on application needs.
- Customized laser process development and safety compliance management.</t>
  </si>
  <si>
    <t>"- High-speed pick-and-place solutions optimized for small, fragile, or complex parts.
- Adaptive gripper technologies to handle various component sizes and shapes.</t>
  </si>
  <si>
    <t>"- Proven ability to design, build, and commission high-complexity assembly lines.
- Turnkey project management with short cycle time delivery.</t>
  </si>
  <si>
    <t>Follow lead times of system integration</t>
  </si>
  <si>
    <t>Please see in the file "Autotech machines'</t>
  </si>
  <si>
    <t>"- Strong vision system development with 2D/3D inspection capabilities.
- Advanced defect detection algorithms and flexible integration with robots and conveyors.</t>
  </si>
  <si>
    <t>- In-house design of customized lighting solutions optimized for complex vision inspection tasks.
- Ability to tailor lighting systems for different material reflectivity and surface conditions.</t>
  </si>
  <si>
    <t>"- Exploring AI/ML applications in defect detection and predictive maintenance.
- Early investment in building AI-enhanced automation systems.</t>
  </si>
  <si>
    <t>Most of the customers who order machines also order fixtures for the machines from us.</t>
  </si>
  <si>
    <t>Mectek, Almus, Brico</t>
  </si>
  <si>
    <t>Mectek, Dreamtech, KCI, DNEC, Samjin</t>
  </si>
  <si>
    <t>Samsung, KCI, Dreamtech, Samjin</t>
  </si>
  <si>
    <t xml:space="preserve"> Samsung, Dreamtech, KCI, Mektec, Mektec, Brico</t>
  </si>
  <si>
    <t xml:space="preserve"> Samsung, Mektec, SMC</t>
  </si>
  <si>
    <t>- Inspection: Samsung, Dreamtech, KCI, Mektec, SMC, Brico, 
- Attach Machines: Samsung, Dreamtech, KCI, Mektec, Samjin,…
- Cleanning Machines: Dreamtech, KCI, JMT..
- Assembly Lines/ machines: Samsung, Dreamtech, Mektec, Nanofilm, Samjin, ...
- Loader/Unloader Machines: Samsung, Dreamtech, KCI, Almus, KCI,….
- Transfer system: Samsung, Dreamtech, KCI, Almus, KCI,….
- Boxing, Packing and palletizing: Vinamilk, Cozy, Taixin
- Welding lines/ machines: Vinfast, Yamaha...</t>
  </si>
  <si>
    <t>Can't 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</si>
</sst>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43" formatCode="_-* #,##0.00_-;\-* #,##0.00_-;_-* &quot;-&quot;??_-;_-@_-"/>
    <numFmt numFmtId="164" formatCode="_-[$$-409]* #,##0_ ;_-[$$-409]* \-#,##0\ ;_-[$$-409]* &quot;-&quot;??_ ;_-@_ "/>
    <numFmt numFmtId="165" formatCode="&quot;$&quot;#,##0"/>
    <numFmt numFmtId="166" formatCode="_-[$$-409]* #,##0_ ;_-[$$-409]* \-#,##0\ ;_-[$$-409]* &quot;-&quot;_ ;_-@_ "/>
    <numFmt numFmtId="167" formatCode="_-* #,##0_-;\-* #,##0_-;_-* &quot;-&quot;??_-;_-@_-"/>
  </numFmts>
  <fonts count="26">
    <font>
      <sz val="12"/>
      <color theme="1"/>
      <name val="Aptos Narrow"/>
      <family val="2"/>
      <scheme val="minor"/>
    </font>
    <font>
      <sz val="12"/>
      <color theme="1"/>
      <name val="Aptos Narrow"/>
      <family val="2"/>
      <scheme val="minor"/>
    </font>
    <font>
      <u/>
      <sz val="12"/>
      <color theme="10"/>
      <name val="Aptos Narrow"/>
      <family val="2"/>
      <scheme val="minor"/>
    </font>
    <font>
      <b/>
      <sz val="14"/>
      <color theme="0"/>
      <name val="Calibri"/>
      <family val="2"/>
    </font>
    <font>
      <sz val="14"/>
      <name val="Calibri"/>
      <family val="2"/>
    </font>
    <font>
      <sz val="14"/>
      <color theme="1"/>
      <name val="Calibri"/>
      <family val="2"/>
    </font>
    <font>
      <b/>
      <sz val="14"/>
      <color theme="1"/>
      <name val="Calibri"/>
      <family val="2"/>
    </font>
    <font>
      <b/>
      <sz val="12"/>
      <color theme="0"/>
      <name val="Calibri"/>
      <family val="2"/>
    </font>
    <font>
      <sz val="14"/>
      <color theme="1"/>
      <name val="Helvetica Neue"/>
      <family val="2"/>
    </font>
    <font>
      <sz val="12"/>
      <color theme="1"/>
      <name val="Helvetica Neue"/>
      <family val="2"/>
    </font>
    <font>
      <b/>
      <sz val="14"/>
      <color theme="1"/>
      <name val="Helvetica Neue"/>
      <family val="2"/>
    </font>
    <font>
      <sz val="14"/>
      <color theme="0"/>
      <name val="Calibri"/>
      <family val="2"/>
    </font>
    <font>
      <b/>
      <sz val="14"/>
      <name val="Calibri"/>
      <family val="2"/>
    </font>
    <font>
      <sz val="12"/>
      <color theme="0"/>
      <name val="Helvetica Neue"/>
      <family val="2"/>
    </font>
    <font>
      <b/>
      <sz val="12"/>
      <color theme="0"/>
      <name val="Helvetica Neue"/>
      <family val="2"/>
    </font>
    <font>
      <sz val="14"/>
      <color rgb="FFFF0000"/>
      <name val="Calibri"/>
      <family val="2"/>
    </font>
    <font>
      <b/>
      <sz val="20"/>
      <color theme="1"/>
      <name val="Times New Roman"/>
      <family val="1"/>
    </font>
    <font>
      <sz val="11"/>
      <color theme="1"/>
      <name val="Times New Roman"/>
      <family val="1"/>
    </font>
    <font>
      <b/>
      <sz val="20"/>
      <color theme="1"/>
      <name val="맑은 고딕"/>
      <family val="1"/>
      <charset val="129"/>
    </font>
    <font>
      <sz val="20"/>
      <color theme="1"/>
      <name val="Times New Roman"/>
      <family val="1"/>
    </font>
    <font>
      <b/>
      <sz val="16"/>
      <color theme="1"/>
      <name val="SF Hello Regular"/>
    </font>
    <font>
      <sz val="16"/>
      <color theme="1"/>
      <name val="SF Hello Regular"/>
    </font>
    <font>
      <sz val="16"/>
      <color theme="0"/>
      <name val="SF Hello Regular"/>
    </font>
    <font>
      <b/>
      <sz val="16"/>
      <color theme="0"/>
      <name val="SF Hello Regular"/>
    </font>
    <font>
      <b/>
      <sz val="16"/>
      <color rgb="FFFF0000"/>
      <name val="SF Hello Regular"/>
    </font>
    <font>
      <sz val="16"/>
      <name val="SF Hello Regular"/>
    </font>
  </fonts>
  <fills count="12">
    <fill>
      <patternFill patternType="none"/>
    </fill>
    <fill>
      <patternFill patternType="gray125"/>
    </fill>
    <fill>
      <patternFill patternType="solid">
        <fgColor rgb="FF4F81BD"/>
        <bgColor indexed="64"/>
      </patternFill>
    </fill>
    <fill>
      <patternFill patternType="solid">
        <fgColor theme="4" tint="0.79998168889431442"/>
        <bgColor indexed="64"/>
      </patternFill>
    </fill>
    <fill>
      <patternFill patternType="solid">
        <fgColor theme="0"/>
        <bgColor indexed="64"/>
      </patternFill>
    </fill>
    <fill>
      <patternFill patternType="solid">
        <fgColor rgb="FF4E81BD"/>
        <bgColor indexed="64"/>
      </patternFill>
    </fill>
    <fill>
      <patternFill patternType="solid">
        <fgColor rgb="FFD9E1F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tint="-0.14999847407452621"/>
        <bgColor indexed="64"/>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s>
  <cellStyleXfs count="5">
    <xf numFmtId="0" fontId="0" fillId="0" borderId="0"/>
    <xf numFmtId="0" fontId="2" fillId="0" borderId="0" applyNumberFormat="0" applyFill="0" applyBorder="0" applyAlignment="0" applyProtection="0"/>
    <xf numFmtId="41" fontId="1" fillId="0" borderId="0" applyFont="0" applyFill="0" applyBorder="0" applyAlignment="0" applyProtection="0">
      <alignment vertical="center"/>
    </xf>
    <xf numFmtId="43" fontId="1" fillId="0" borderId="0" applyFont="0" applyFill="0" applyBorder="0" applyAlignment="0" applyProtection="0"/>
    <xf numFmtId="0" fontId="1" fillId="0" borderId="0"/>
  </cellStyleXfs>
  <cellXfs count="85">
    <xf numFmtId="0" fontId="0" fillId="0" borderId="0" xfId="0"/>
    <xf numFmtId="0" fontId="5" fillId="0" borderId="0" xfId="0" applyFont="1" applyAlignment="1">
      <alignment horizontal="center" vertical="center"/>
    </xf>
    <xf numFmtId="164" fontId="5" fillId="0" borderId="0" xfId="0" applyNumberFormat="1" applyFont="1" applyAlignment="1">
      <alignment horizontal="center" vertical="center"/>
    </xf>
    <xf numFmtId="0" fontId="5" fillId="0" borderId="0" xfId="0" applyFont="1" applyAlignment="1">
      <alignment horizontal="left" vertical="center"/>
    </xf>
    <xf numFmtId="0" fontId="6" fillId="4" borderId="0" xfId="0" applyFont="1" applyFill="1" applyAlignment="1">
      <alignment horizontal="lef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7" fillId="2" borderId="3" xfId="0" applyFont="1" applyFill="1" applyBorder="1" applyAlignment="1">
      <alignment horizontal="center" vertical="center"/>
    </xf>
    <xf numFmtId="0" fontId="4" fillId="3" borderId="4" xfId="0" applyFont="1" applyFill="1" applyBorder="1" applyAlignment="1" applyProtection="1">
      <alignment horizontal="center" vertical="center" wrapText="1"/>
      <protection locked="0"/>
    </xf>
    <xf numFmtId="0" fontId="2" fillId="3" borderId="4" xfId="1" applyFill="1" applyBorder="1" applyAlignment="1" applyProtection="1">
      <alignment horizontal="center" vertical="center" wrapText="1"/>
      <protection locked="0"/>
    </xf>
    <xf numFmtId="0" fontId="4" fillId="3" borderId="4" xfId="0" quotePrefix="1" applyFont="1" applyFill="1" applyBorder="1" applyAlignment="1" applyProtection="1">
      <alignment horizontal="center" vertical="center" wrapText="1"/>
      <protection locked="0"/>
    </xf>
    <xf numFmtId="0" fontId="3" fillId="2" borderId="4" xfId="0" applyFont="1" applyFill="1" applyBorder="1" applyAlignment="1">
      <alignment horizontal="center" vertical="center"/>
    </xf>
    <xf numFmtId="14" fontId="4" fillId="3" borderId="4" xfId="0" applyNumberFormat="1" applyFont="1" applyFill="1" applyBorder="1" applyAlignment="1" applyProtection="1">
      <alignment horizontal="center" vertical="center" wrapText="1"/>
      <protection locked="0"/>
    </xf>
    <xf numFmtId="0" fontId="3" fillId="2" borderId="4" xfId="0" applyFont="1" applyFill="1" applyBorder="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xf>
    <xf numFmtId="1" fontId="4" fillId="3" borderId="4" xfId="0" applyNumberFormat="1" applyFont="1" applyFill="1" applyBorder="1" applyAlignment="1" applyProtection="1">
      <alignment horizontal="center" vertical="center" wrapText="1"/>
      <protection locked="0"/>
    </xf>
    <xf numFmtId="0" fontId="10" fillId="4" borderId="0" xfId="0" applyFont="1" applyFill="1" applyAlignment="1">
      <alignment horizontal="left" vertical="center"/>
    </xf>
    <xf numFmtId="0" fontId="9" fillId="0" borderId="0" xfId="0" applyFont="1" applyAlignment="1">
      <alignment horizontal="center" vertical="center" wrapText="1"/>
    </xf>
    <xf numFmtId="0" fontId="11" fillId="2" borderId="4" xfId="0" applyFont="1" applyFill="1" applyBorder="1" applyAlignment="1">
      <alignment horizontal="center" vertical="center"/>
    </xf>
    <xf numFmtId="0" fontId="9" fillId="0" borderId="0" xfId="0" applyFont="1"/>
    <xf numFmtId="0" fontId="7" fillId="2" borderId="5" xfId="0" applyFont="1" applyFill="1" applyBorder="1" applyAlignment="1">
      <alignment horizontal="center" vertical="center"/>
    </xf>
    <xf numFmtId="0" fontId="4" fillId="3" borderId="6" xfId="0" applyFont="1" applyFill="1" applyBorder="1" applyAlignment="1" applyProtection="1">
      <alignment horizontal="center" vertical="center" wrapText="1"/>
      <protection locked="0"/>
    </xf>
    <xf numFmtId="0" fontId="2" fillId="3" borderId="6" xfId="1" applyFill="1" applyBorder="1" applyAlignment="1" applyProtection="1">
      <alignment horizontal="center" vertical="center" wrapText="1"/>
      <protection locked="0"/>
    </xf>
    <xf numFmtId="0" fontId="4" fillId="3" borderId="6" xfId="0" quotePrefix="1" applyFont="1" applyFill="1" applyBorder="1" applyAlignment="1" applyProtection="1">
      <alignment horizontal="center" vertical="center" wrapText="1"/>
      <protection locked="0"/>
    </xf>
    <xf numFmtId="0" fontId="7" fillId="2" borderId="4" xfId="0" applyFont="1" applyFill="1" applyBorder="1" applyAlignment="1">
      <alignment horizontal="center" vertical="center"/>
    </xf>
    <xf numFmtId="0" fontId="10" fillId="0" borderId="0" xfId="0" applyFont="1" applyAlignment="1">
      <alignment horizontal="left" vertical="center"/>
    </xf>
    <xf numFmtId="165" fontId="4" fillId="3" borderId="4" xfId="0" applyNumberFormat="1" applyFont="1" applyFill="1" applyBorder="1" applyAlignment="1" applyProtection="1">
      <alignment horizontal="center" vertical="center" wrapText="1"/>
      <protection locked="0"/>
    </xf>
    <xf numFmtId="166" fontId="4" fillId="3" borderId="4" xfId="0" applyNumberFormat="1" applyFont="1" applyFill="1" applyBorder="1" applyAlignment="1" applyProtection="1">
      <alignment horizontal="center" vertical="center" wrapText="1"/>
      <protection locked="0"/>
    </xf>
    <xf numFmtId="166" fontId="4" fillId="3" borderId="4" xfId="2" applyNumberFormat="1" applyFont="1" applyFill="1" applyBorder="1" applyAlignment="1" applyProtection="1">
      <alignment horizontal="center" vertical="center" wrapText="1"/>
      <protection locked="0"/>
    </xf>
    <xf numFmtId="0" fontId="13" fillId="5" borderId="4" xfId="0" applyFont="1" applyFill="1" applyBorder="1" applyAlignment="1">
      <alignment horizontal="center" vertical="center"/>
    </xf>
    <xf numFmtId="0" fontId="14" fillId="5" borderId="4" xfId="0" applyFont="1" applyFill="1" applyBorder="1" applyAlignment="1">
      <alignment horizontal="center" vertical="center" wrapText="1"/>
    </xf>
    <xf numFmtId="0" fontId="14" fillId="5" borderId="4"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0" fontId="5" fillId="7" borderId="4" xfId="0" applyFont="1" applyFill="1" applyBorder="1" applyAlignment="1">
      <alignment horizontal="center" vertical="center" wrapText="1"/>
    </xf>
    <xf numFmtId="167" fontId="4" fillId="3" borderId="4" xfId="3" applyNumberFormat="1" applyFont="1" applyFill="1" applyBorder="1" applyAlignment="1" applyProtection="1">
      <alignment horizontal="center" vertical="center" wrapText="1"/>
      <protection locked="0"/>
    </xf>
    <xf numFmtId="0" fontId="5" fillId="0" borderId="4" xfId="0" quotePrefix="1" applyFont="1" applyBorder="1" applyAlignment="1">
      <alignment horizontal="left" vertical="center" wrapText="1"/>
    </xf>
    <xf numFmtId="0" fontId="9" fillId="6" borderId="4" xfId="0" applyFont="1" applyFill="1" applyBorder="1" applyAlignment="1">
      <alignment horizontal="center" vertical="center" wrapText="1"/>
    </xf>
    <xf numFmtId="0" fontId="17" fillId="0" borderId="0" xfId="0" applyFont="1"/>
    <xf numFmtId="0" fontId="17" fillId="0" borderId="0" xfId="0" applyFont="1" applyAlignment="1">
      <alignment wrapText="1"/>
    </xf>
    <xf numFmtId="0" fontId="16" fillId="0" borderId="4" xfId="0" applyFont="1" applyBorder="1" applyAlignment="1">
      <alignment horizontal="center" vertical="center" wrapText="1"/>
    </xf>
    <xf numFmtId="0" fontId="19" fillId="10" borderId="4" xfId="0" applyFont="1" applyFill="1" applyBorder="1" applyAlignment="1">
      <alignment horizontal="center" vertical="center"/>
    </xf>
    <xf numFmtId="0" fontId="19" fillId="10" borderId="4" xfId="0" applyFont="1" applyFill="1" applyBorder="1" applyAlignment="1">
      <alignment horizontal="center" vertical="center" wrapText="1"/>
    </xf>
    <xf numFmtId="0" fontId="9" fillId="0" borderId="4" xfId="0" applyFont="1" applyBorder="1" applyAlignment="1">
      <alignment horizontal="left" vertical="center" wrapText="1"/>
    </xf>
    <xf numFmtId="0" fontId="20" fillId="11" borderId="4" xfId="4" applyFont="1" applyFill="1" applyBorder="1" applyAlignment="1">
      <alignment horizontal="left" vertical="top" wrapText="1"/>
    </xf>
    <xf numFmtId="0" fontId="21" fillId="0" borderId="0" xfId="0" applyFont="1"/>
    <xf numFmtId="0" fontId="22" fillId="2" borderId="4" xfId="4" applyFont="1" applyFill="1" applyBorder="1" applyAlignment="1">
      <alignment horizontal="left" vertical="top" wrapText="1"/>
    </xf>
    <xf numFmtId="0" fontId="21" fillId="0" borderId="4" xfId="0" applyFont="1" applyBorder="1" applyAlignment="1">
      <alignment horizontal="left" vertical="top" wrapText="1"/>
    </xf>
    <xf numFmtId="0" fontId="25" fillId="0" borderId="4" xfId="0" applyFont="1" applyBorder="1" applyAlignment="1">
      <alignment horizontal="left" vertical="top" wrapText="1"/>
    </xf>
    <xf numFmtId="0" fontId="21" fillId="0" borderId="0" xfId="0" applyFont="1" applyAlignment="1">
      <alignment horizontal="left" wrapText="1"/>
    </xf>
    <xf numFmtId="0" fontId="22" fillId="2" borderId="4" xfId="4" applyFont="1" applyFill="1" applyBorder="1" applyAlignment="1">
      <alignment horizontal="left" vertical="top" wrapText="1" indent="1"/>
    </xf>
    <xf numFmtId="0" fontId="20" fillId="11" borderId="4" xfId="4" applyFont="1" applyFill="1" applyBorder="1" applyAlignment="1">
      <alignment horizontal="left" vertical="center" wrapText="1"/>
    </xf>
    <xf numFmtId="0" fontId="21" fillId="0" borderId="4" xfId="0" applyFont="1" applyBorder="1" applyAlignment="1">
      <alignment horizontal="left" wrapText="1"/>
    </xf>
    <xf numFmtId="14" fontId="25" fillId="3" borderId="4" xfId="0" applyNumberFormat="1" applyFont="1" applyFill="1" applyBorder="1" applyAlignment="1" applyProtection="1">
      <alignment horizontal="center" vertical="center" wrapText="1"/>
      <protection locked="0"/>
    </xf>
    <xf numFmtId="0" fontId="21" fillId="0" borderId="0" xfId="0" applyFont="1" applyAlignment="1">
      <alignment horizontal="left" vertical="center"/>
    </xf>
    <xf numFmtId="0" fontId="3" fillId="2" borderId="7" xfId="0" applyFont="1" applyFill="1" applyBorder="1" applyAlignment="1">
      <alignment horizontal="center" vertical="center"/>
    </xf>
    <xf numFmtId="0" fontId="3" fillId="2" borderId="10" xfId="0" applyFont="1" applyFill="1" applyBorder="1" applyAlignment="1">
      <alignment horizontal="center" vertical="center" wrapText="1"/>
    </xf>
    <xf numFmtId="1" fontId="4" fillId="3" borderId="4" xfId="0" applyNumberFormat="1" applyFont="1" applyFill="1" applyBorder="1" applyAlignment="1" applyProtection="1">
      <alignment vertical="center" wrapText="1"/>
      <protection locked="0"/>
    </xf>
    <xf numFmtId="1" fontId="4" fillId="3" borderId="4" xfId="0" quotePrefix="1" applyNumberFormat="1" applyFont="1" applyFill="1" applyBorder="1" applyAlignment="1" applyProtection="1">
      <alignment horizontal="center" vertical="center" wrapText="1"/>
      <protection locked="0"/>
    </xf>
    <xf numFmtId="0" fontId="9" fillId="0" borderId="0" xfId="0" applyFont="1" applyAlignment="1">
      <alignment wrapText="1"/>
    </xf>
    <xf numFmtId="0" fontId="0" fillId="0" borderId="0" xfId="0" applyAlignment="1">
      <alignment wrapText="1"/>
    </xf>
    <xf numFmtId="1" fontId="4" fillId="3" borderId="4" xfId="0" applyNumberFormat="1" applyFont="1" applyFill="1" applyBorder="1" applyAlignment="1" applyProtection="1">
      <alignment horizontal="left" vertical="center" wrapText="1"/>
      <protection locked="0"/>
    </xf>
    <xf numFmtId="1" fontId="4" fillId="3" borderId="4" xfId="0" quotePrefix="1" applyNumberFormat="1" applyFont="1" applyFill="1" applyBorder="1" applyAlignment="1" applyProtection="1">
      <alignment horizontal="left" vertical="center" wrapText="1"/>
      <protection locked="0"/>
    </xf>
    <xf numFmtId="0" fontId="3" fillId="2" borderId="4" xfId="0" applyFont="1" applyFill="1" applyBorder="1" applyAlignment="1">
      <alignment horizontal="left" vertical="center" wrapText="1"/>
    </xf>
    <xf numFmtId="0" fontId="4" fillId="3" borderId="7" xfId="0" applyFont="1" applyFill="1" applyBorder="1" applyAlignment="1" applyProtection="1">
      <alignment horizontal="left" vertical="center" wrapText="1"/>
      <protection locked="0"/>
    </xf>
    <xf numFmtId="0" fontId="4" fillId="3" borderId="8" xfId="0" applyFont="1" applyFill="1" applyBorder="1" applyAlignment="1" applyProtection="1">
      <alignment horizontal="left" vertical="center" wrapText="1"/>
      <protection locked="0"/>
    </xf>
    <xf numFmtId="0" fontId="4" fillId="3" borderId="9" xfId="0" applyFont="1" applyFill="1" applyBorder="1" applyAlignment="1" applyProtection="1">
      <alignment horizontal="left" vertical="center" wrapText="1"/>
      <protection locked="0"/>
    </xf>
    <xf numFmtId="0" fontId="4" fillId="3" borderId="7" xfId="0" applyFont="1" applyFill="1" applyBorder="1" applyAlignment="1" applyProtection="1">
      <alignment horizontal="center" vertical="center" wrapText="1"/>
      <protection locked="0"/>
    </xf>
    <xf numFmtId="0" fontId="4" fillId="3" borderId="9" xfId="0" applyFont="1" applyFill="1" applyBorder="1" applyAlignment="1" applyProtection="1">
      <alignment horizontal="center" vertical="center" wrapText="1"/>
      <protection locked="0"/>
    </xf>
    <xf numFmtId="0" fontId="15" fillId="9" borderId="7" xfId="0" applyFont="1" applyFill="1" applyBorder="1" applyAlignment="1" applyProtection="1">
      <alignment horizontal="left" vertical="center" wrapText="1"/>
      <protection locked="0"/>
    </xf>
    <xf numFmtId="0" fontId="15" fillId="9" borderId="8" xfId="0" applyFont="1" applyFill="1" applyBorder="1" applyAlignment="1" applyProtection="1">
      <alignment horizontal="left" vertical="center" wrapText="1"/>
      <protection locked="0"/>
    </xf>
    <xf numFmtId="0" fontId="15" fillId="9" borderId="9" xfId="0" applyFont="1" applyFill="1" applyBorder="1" applyAlignment="1" applyProtection="1">
      <alignment horizontal="left" vertical="center" wrapText="1"/>
      <protection locked="0"/>
    </xf>
    <xf numFmtId="0" fontId="3" fillId="2" borderId="4" xfId="0" applyFont="1" applyFill="1" applyBorder="1" applyAlignment="1">
      <alignment horizontal="center" vertical="center"/>
    </xf>
    <xf numFmtId="0" fontId="4" fillId="8" borderId="4"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3" fillId="2" borderId="11" xfId="0" applyFont="1" applyFill="1" applyBorder="1" applyAlignment="1">
      <alignment horizontal="center" vertical="center"/>
    </xf>
    <xf numFmtId="0" fontId="16" fillId="0" borderId="0" xfId="0" applyFont="1" applyAlignment="1">
      <alignment horizontal="left" vertical="center"/>
    </xf>
    <xf numFmtId="0" fontId="16" fillId="0" borderId="6" xfId="0" applyFont="1" applyBorder="1" applyAlignment="1">
      <alignment horizontal="center" vertical="center" wrapText="1"/>
    </xf>
    <xf numFmtId="0" fontId="16" fillId="0" borderId="10"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10" xfId="0" applyFont="1" applyBorder="1" applyAlignment="1">
      <alignment horizontal="center" vertical="center" wrapText="1"/>
    </xf>
  </cellXfs>
  <cellStyles count="5">
    <cellStyle name="Comma" xfId="3" builtinId="3"/>
    <cellStyle name="Comma [0] 2" xfId="2" xr:uid="{D7AAF594-4FB4-BD48-8F67-E49F0AA4AAC4}"/>
    <cellStyle name="Hyperlink" xfId="1" builtinId="8"/>
    <cellStyle name="Normal" xfId="0" builtinId="0"/>
    <cellStyle name="Normal 2" xfId="4" xr:uid="{2557B9CA-3E4B-4927-B0A5-6ADE6FEA670F}"/>
  </cellStyles>
  <dxfs count="13">
    <dxf>
      <font>
        <strike val="0"/>
        <color theme="1"/>
      </font>
      <fill>
        <patternFill>
          <bgColor theme="0"/>
        </patternFill>
      </fill>
    </dxf>
    <dxf>
      <font>
        <strike val="0"/>
        <color theme="1"/>
      </font>
      <fill>
        <patternFill>
          <bgColor theme="0"/>
        </patternFill>
      </fill>
    </dxf>
    <dxf>
      <fill>
        <patternFill>
          <bgColor rgb="FFD9E1F2"/>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17717</xdr:colOff>
      <xdr:row>5</xdr:row>
      <xdr:rowOff>79374</xdr:rowOff>
    </xdr:from>
    <xdr:to>
      <xdr:col>10</xdr:col>
      <xdr:colOff>753872</xdr:colOff>
      <xdr:row>83</xdr:row>
      <xdr:rowOff>95249</xdr:rowOff>
    </xdr:to>
    <xdr:pic>
      <xdr:nvPicPr>
        <xdr:cNvPr id="2" name="Picture 1">
          <a:extLst>
            <a:ext uri="{FF2B5EF4-FFF2-40B4-BE49-F238E27FC236}">
              <a16:creationId xmlns:a16="http://schemas.microsoft.com/office/drawing/2014/main" id="{8015B2C7-B148-4A04-1E2F-A8960C0F0176}"/>
            </a:ext>
          </a:extLst>
        </xdr:cNvPr>
        <xdr:cNvPicPr>
          <a:picLocks noChangeAspect="1"/>
        </xdr:cNvPicPr>
      </xdr:nvPicPr>
      <xdr:blipFill>
        <a:blip xmlns:r="http://schemas.openxmlformats.org/officeDocument/2006/relationships" r:embed="rId1"/>
        <a:stretch>
          <a:fillRect/>
        </a:stretch>
      </xdr:blipFill>
      <xdr:spPr>
        <a:xfrm>
          <a:off x="427292" y="2679699"/>
          <a:ext cx="9842055" cy="15617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8" Type="http://schemas.openxmlformats.org/officeDocument/2006/relationships/hyperlink" Target="mailto:longnv@auto-tech.vn" TargetMode="External"/><Relationship Id="rId3" Type="http://schemas.openxmlformats.org/officeDocument/2006/relationships/hyperlink" Target="mailto:huongpt@auto-tech.vn" TargetMode="External"/><Relationship Id="rId7" Type="http://schemas.openxmlformats.org/officeDocument/2006/relationships/hyperlink" Target="mailto:nam.vt@auto-tech.vn" TargetMode="External"/><Relationship Id="rId12" Type="http://schemas.openxmlformats.org/officeDocument/2006/relationships/printerSettings" Target="../printerSettings/printerSettings1.bin"/><Relationship Id="rId2" Type="http://schemas.openxmlformats.org/officeDocument/2006/relationships/hyperlink" Target="mailto:huongpt@auto-tech.vn" TargetMode="External"/><Relationship Id="rId1" Type="http://schemas.openxmlformats.org/officeDocument/2006/relationships/hyperlink" Target="https://auto-tech.vn/" TargetMode="External"/><Relationship Id="rId6" Type="http://schemas.openxmlformats.org/officeDocument/2006/relationships/hyperlink" Target="mailto:nhinhnv@auto-tech.vn" TargetMode="External"/><Relationship Id="rId11" Type="http://schemas.openxmlformats.org/officeDocument/2006/relationships/hyperlink" Target="mailto:luunc@auto-tech.vn" TargetMode="External"/><Relationship Id="rId5" Type="http://schemas.openxmlformats.org/officeDocument/2006/relationships/hyperlink" Target="mailto:linhtth@auto-tech.vn" TargetMode="External"/><Relationship Id="rId10" Type="http://schemas.openxmlformats.org/officeDocument/2006/relationships/hyperlink" Target="mailto:khiemnt@auto-tech.vn" TargetMode="External"/><Relationship Id="rId4" Type="http://schemas.openxmlformats.org/officeDocument/2006/relationships/hyperlink" Target="mailto:hachpd@auto-tech.vn" TargetMode="External"/><Relationship Id="rId9" Type="http://schemas.openxmlformats.org/officeDocument/2006/relationships/hyperlink" Target="mailto:trangtt@auto-tech.vn"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663E8-2343-4048-A665-38D831085927}">
  <sheetPr>
    <tabColor rgb="FFFFFF00"/>
  </sheetPr>
  <dimension ref="B2:B14"/>
  <sheetViews>
    <sheetView zoomScale="70" zoomScaleNormal="70" workbookViewId="0">
      <selection activeCell="B8" sqref="B8"/>
    </sheetView>
  </sheetViews>
  <sheetFormatPr defaultColWidth="10.83203125" defaultRowHeight="20"/>
  <cols>
    <col min="1" max="1" width="10.83203125" style="48"/>
    <col min="2" max="2" width="200.83203125" style="52" customWidth="1"/>
    <col min="3" max="16384" width="10.83203125" style="48"/>
  </cols>
  <sheetData>
    <row r="2" spans="2:2">
      <c r="B2" s="47" t="s">
        <v>192</v>
      </c>
    </row>
    <row r="3" spans="2:2">
      <c r="B3" s="49" t="s">
        <v>193</v>
      </c>
    </row>
    <row r="4" spans="2:2" ht="80">
      <c r="B4" s="50" t="s">
        <v>194</v>
      </c>
    </row>
    <row r="5" spans="2:2">
      <c r="B5" s="49" t="s">
        <v>195</v>
      </c>
    </row>
    <row r="6" spans="2:2" ht="40">
      <c r="B6" s="50" t="s">
        <v>196</v>
      </c>
    </row>
    <row r="7" spans="2:2">
      <c r="B7" s="49" t="s">
        <v>197</v>
      </c>
    </row>
    <row r="8" spans="2:2" ht="280">
      <c r="B8" s="50" t="s">
        <v>198</v>
      </c>
    </row>
    <row r="9" spans="2:2">
      <c r="B9" s="49" t="s">
        <v>199</v>
      </c>
    </row>
    <row r="10" spans="2:2">
      <c r="B10" s="50" t="s">
        <v>200</v>
      </c>
    </row>
    <row r="11" spans="2:2">
      <c r="B11" s="49" t="s">
        <v>201</v>
      </c>
    </row>
    <row r="12" spans="2:2" ht="40">
      <c r="B12" s="50" t="s">
        <v>202</v>
      </c>
    </row>
    <row r="13" spans="2:2">
      <c r="B13" s="49" t="s">
        <v>203</v>
      </c>
    </row>
    <row r="14" spans="2:2" ht="80">
      <c r="B14" s="51" t="s">
        <v>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B85A8-AD09-4EC5-B7C2-1AE64CED959F}">
  <sheetPr>
    <tabColor rgb="FFFFFF00"/>
  </sheetPr>
  <dimension ref="B2:B30"/>
  <sheetViews>
    <sheetView topLeftCell="A7" zoomScale="85" zoomScaleNormal="85" workbookViewId="0">
      <selection activeCell="D14" sqref="D14"/>
    </sheetView>
  </sheetViews>
  <sheetFormatPr defaultColWidth="10.83203125" defaultRowHeight="20"/>
  <cols>
    <col min="1" max="1" width="10.83203125" style="48"/>
    <col min="2" max="2" width="200.83203125" style="52" customWidth="1"/>
    <col min="3" max="16384" width="10.83203125" style="48"/>
  </cols>
  <sheetData>
    <row r="2" spans="2:2">
      <c r="B2" s="47" t="s">
        <v>205</v>
      </c>
    </row>
    <row r="3" spans="2:2">
      <c r="B3" s="53" t="s">
        <v>206</v>
      </c>
    </row>
    <row r="4" spans="2:2" ht="40">
      <c r="B4" s="50" t="s">
        <v>207</v>
      </c>
    </row>
    <row r="5" spans="2:2">
      <c r="B5" s="49" t="s">
        <v>208</v>
      </c>
    </row>
    <row r="6" spans="2:2" ht="40">
      <c r="B6" s="50" t="s">
        <v>209</v>
      </c>
    </row>
    <row r="7" spans="2:2">
      <c r="B7" s="49" t="s">
        <v>210</v>
      </c>
    </row>
    <row r="8" spans="2:2" ht="60">
      <c r="B8" s="50" t="s">
        <v>211</v>
      </c>
    </row>
    <row r="9" spans="2:2">
      <c r="B9" s="49" t="s">
        <v>212</v>
      </c>
    </row>
    <row r="10" spans="2:2" ht="40">
      <c r="B10" s="50" t="s">
        <v>213</v>
      </c>
    </row>
    <row r="11" spans="2:2">
      <c r="B11" s="49" t="s">
        <v>214</v>
      </c>
    </row>
    <row r="12" spans="2:2" ht="120">
      <c r="B12" s="50" t="s">
        <v>215</v>
      </c>
    </row>
    <row r="13" spans="2:2">
      <c r="B13" s="49" t="s">
        <v>216</v>
      </c>
    </row>
    <row r="14" spans="2:2" ht="80">
      <c r="B14" s="50" t="s">
        <v>217</v>
      </c>
    </row>
    <row r="15" spans="2:2">
      <c r="B15" s="49" t="s">
        <v>218</v>
      </c>
    </row>
    <row r="16" spans="2:2" ht="160">
      <c r="B16" s="50" t="s">
        <v>219</v>
      </c>
    </row>
    <row r="17" spans="2:2">
      <c r="B17" s="49" t="s">
        <v>220</v>
      </c>
    </row>
    <row r="18" spans="2:2" ht="60">
      <c r="B18" s="50" t="s">
        <v>221</v>
      </c>
    </row>
    <row r="19" spans="2:2">
      <c r="B19" s="49" t="s">
        <v>222</v>
      </c>
    </row>
    <row r="20" spans="2:2" ht="120">
      <c r="B20" s="50" t="s">
        <v>223</v>
      </c>
    </row>
    <row r="21" spans="2:2">
      <c r="B21" s="49" t="s">
        <v>224</v>
      </c>
    </row>
    <row r="22" spans="2:2" ht="60">
      <c r="B22" s="50" t="s">
        <v>225</v>
      </c>
    </row>
    <row r="23" spans="2:2">
      <c r="B23" s="49" t="s">
        <v>226</v>
      </c>
    </row>
    <row r="24" spans="2:2" ht="200">
      <c r="B24" s="50" t="s">
        <v>227</v>
      </c>
    </row>
    <row r="25" spans="2:2">
      <c r="B25" s="49" t="s">
        <v>228</v>
      </c>
    </row>
    <row r="26" spans="2:2" ht="160">
      <c r="B26" s="50" t="s">
        <v>229</v>
      </c>
    </row>
    <row r="27" spans="2:2">
      <c r="B27" s="49" t="s">
        <v>230</v>
      </c>
    </row>
    <row r="28" spans="2:2" ht="40">
      <c r="B28" s="50" t="s">
        <v>231</v>
      </c>
    </row>
    <row r="29" spans="2:2">
      <c r="B29" s="49" t="s">
        <v>232</v>
      </c>
    </row>
    <row r="30" spans="2:2" ht="40">
      <c r="B30" s="50" t="s">
        <v>233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152D3-4A86-4CD8-B26D-916CAFA848FD}">
  <sheetPr>
    <tabColor rgb="FFFFFF00"/>
  </sheetPr>
  <dimension ref="B2:C4"/>
  <sheetViews>
    <sheetView workbookViewId="0">
      <selection activeCell="B9" sqref="B9"/>
    </sheetView>
  </sheetViews>
  <sheetFormatPr defaultColWidth="10.83203125" defaultRowHeight="20"/>
  <cols>
    <col min="1" max="1" width="10.83203125" style="48"/>
    <col min="2" max="2" width="141.5" style="52" customWidth="1"/>
    <col min="3" max="3" width="40.83203125" style="57" customWidth="1"/>
    <col min="4" max="16384" width="10.83203125" style="48"/>
  </cols>
  <sheetData>
    <row r="2" spans="2:3">
      <c r="B2" s="47" t="s">
        <v>234</v>
      </c>
      <c r="C2" s="54"/>
    </row>
    <row r="3" spans="2:3">
      <c r="B3" s="53" t="s">
        <v>235</v>
      </c>
      <c r="C3" s="54"/>
    </row>
    <row r="4" spans="2:3" ht="200">
      <c r="B4" s="55" t="s">
        <v>236</v>
      </c>
      <c r="C4" s="56" t="s">
        <v>237</v>
      </c>
    </row>
  </sheetData>
  <conditionalFormatting sqref="C4">
    <cfRule type="containsText" dxfId="12" priority="1" operator="containsText" text="Yes">
      <formula>NOT(ISERROR(SEARCH("Yes",C4)))</formula>
    </cfRule>
    <cfRule type="containsText" dxfId="11" priority="2" operator="containsText" text="No">
      <formula>NOT(ISERROR(SEARCH("No",C4)))</formula>
    </cfRule>
    <cfRule type="notContainsBlanks" dxfId="10" priority="3" stopIfTrue="1">
      <formula>LEN(TRIM(C4))&gt;0</formula>
    </cfRule>
  </conditionalFormatting>
  <dataValidations count="1">
    <dataValidation type="list" allowBlank="1" showInputMessage="1" showErrorMessage="1" sqref="C4" xr:uid="{BDE3DE77-6CD0-41CD-8A4C-458EF9D2A32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04546-99F2-3640-B399-EFCEFB763D26}">
  <dimension ref="A1:G26"/>
  <sheetViews>
    <sheetView showGridLines="0" tabSelected="1" zoomScale="55" zoomScaleNormal="55" workbookViewId="0">
      <selection activeCell="G9" sqref="G9"/>
    </sheetView>
  </sheetViews>
  <sheetFormatPr defaultColWidth="10.83203125" defaultRowHeight="18.5"/>
  <cols>
    <col min="1" max="1" width="3.5" style="1" customWidth="1"/>
    <col min="2" max="2" width="74.6640625" style="1" customWidth="1"/>
    <col min="3" max="4" width="29.1640625" style="1" customWidth="1"/>
    <col min="5" max="5" width="30.33203125" style="1" bestFit="1" customWidth="1"/>
    <col min="6" max="6" width="29.1640625" style="1" customWidth="1"/>
    <col min="7" max="7" width="38.33203125" style="1" customWidth="1"/>
    <col min="8" max="9" width="29.1640625" style="1" customWidth="1"/>
    <col min="10" max="11" width="10.83203125" style="1" customWidth="1"/>
    <col min="12" max="16384" width="10.83203125" style="1"/>
  </cols>
  <sheetData>
    <row r="1" spans="1:7" ht="34" customHeight="1">
      <c r="B1" s="4" t="s">
        <v>11</v>
      </c>
    </row>
    <row r="2" spans="1:7" ht="34" customHeight="1">
      <c r="A2" s="1">
        <v>1</v>
      </c>
      <c r="B2" s="12" t="s">
        <v>0</v>
      </c>
      <c r="C2" s="13">
        <v>45749</v>
      </c>
    </row>
    <row r="3" spans="1:7" ht="34" customHeight="1">
      <c r="A3" s="1">
        <v>2</v>
      </c>
      <c r="B3" s="12" t="s">
        <v>1</v>
      </c>
      <c r="C3" s="9" t="s">
        <v>97</v>
      </c>
    </row>
    <row r="4" spans="1:7" ht="34" customHeight="1">
      <c r="A4" s="1">
        <v>3</v>
      </c>
      <c r="B4" s="12" t="s">
        <v>2</v>
      </c>
      <c r="C4" s="9" t="s">
        <v>98</v>
      </c>
      <c r="E4" s="2"/>
    </row>
    <row r="5" spans="1:7" ht="34" customHeight="1">
      <c r="A5" s="1">
        <v>4</v>
      </c>
      <c r="B5" s="12" t="s">
        <v>3</v>
      </c>
      <c r="C5" s="9" t="s">
        <v>99</v>
      </c>
      <c r="E5" s="2"/>
    </row>
    <row r="6" spans="1:7" ht="34" customHeight="1">
      <c r="A6" s="1">
        <v>5</v>
      </c>
      <c r="B6" s="12" t="s">
        <v>4</v>
      </c>
      <c r="C6" s="10" t="s">
        <v>100</v>
      </c>
      <c r="E6" s="2"/>
    </row>
    <row r="7" spans="1:7" ht="34" customHeight="1">
      <c r="A7" s="1">
        <v>6</v>
      </c>
      <c r="B7" s="12" t="s">
        <v>5</v>
      </c>
      <c r="C7" s="9" t="s">
        <v>101</v>
      </c>
      <c r="E7" s="2"/>
    </row>
    <row r="8" spans="1:7" ht="34" customHeight="1">
      <c r="A8" s="1">
        <v>7</v>
      </c>
      <c r="B8" s="12" t="s">
        <v>6</v>
      </c>
      <c r="C8" s="9" t="s">
        <v>98</v>
      </c>
    </row>
    <row r="9" spans="1:7" ht="34" customHeight="1">
      <c r="A9" s="1">
        <v>8</v>
      </c>
      <c r="B9" s="12" t="s">
        <v>7</v>
      </c>
      <c r="C9" s="9" t="s">
        <v>102</v>
      </c>
    </row>
    <row r="10" spans="1:7" ht="34" customHeight="1">
      <c r="A10" s="1">
        <v>9</v>
      </c>
      <c r="B10" s="12" t="s">
        <v>8</v>
      </c>
      <c r="C10" s="9">
        <v>314</v>
      </c>
    </row>
    <row r="11" spans="1:7" ht="34" customHeight="1">
      <c r="A11" s="1">
        <v>10</v>
      </c>
      <c r="B11" s="12" t="s">
        <v>9</v>
      </c>
      <c r="C11" s="9">
        <v>2013</v>
      </c>
    </row>
    <row r="12" spans="1:7" ht="34" customHeight="1">
      <c r="A12" s="1">
        <v>11</v>
      </c>
      <c r="B12" s="12" t="s">
        <v>10</v>
      </c>
      <c r="C12" s="9">
        <v>2025</v>
      </c>
      <c r="F12" s="3"/>
    </row>
    <row r="14" spans="1:7" ht="19" thickBot="1"/>
    <row r="15" spans="1:7" ht="37">
      <c r="B15" s="5" t="s">
        <v>31</v>
      </c>
      <c r="C15" s="6" t="s">
        <v>17</v>
      </c>
      <c r="D15" s="6" t="s">
        <v>12</v>
      </c>
      <c r="E15" s="6" t="s">
        <v>13</v>
      </c>
      <c r="F15" s="6" t="s">
        <v>14</v>
      </c>
      <c r="G15" s="7" t="s">
        <v>18</v>
      </c>
    </row>
    <row r="16" spans="1:7" ht="33" customHeight="1">
      <c r="B16" s="8" t="s">
        <v>15</v>
      </c>
      <c r="C16" s="9" t="s">
        <v>103</v>
      </c>
      <c r="D16" s="9" t="s">
        <v>104</v>
      </c>
      <c r="E16" s="9" t="s">
        <v>105</v>
      </c>
      <c r="F16" s="10" t="s">
        <v>106</v>
      </c>
      <c r="G16" s="11" t="s">
        <v>107</v>
      </c>
    </row>
    <row r="17" spans="2:7" ht="33" customHeight="1">
      <c r="B17" s="8" t="s">
        <v>16</v>
      </c>
      <c r="C17" s="9" t="s">
        <v>103</v>
      </c>
      <c r="D17" s="9" t="s">
        <v>104</v>
      </c>
      <c r="E17" s="9" t="s">
        <v>105</v>
      </c>
      <c r="F17" s="10" t="s">
        <v>106</v>
      </c>
      <c r="G17" s="11" t="s">
        <v>107</v>
      </c>
    </row>
    <row r="18" spans="2:7" ht="33" customHeight="1">
      <c r="B18" s="8" t="s">
        <v>32</v>
      </c>
      <c r="C18" s="9" t="s">
        <v>108</v>
      </c>
      <c r="D18" s="9" t="s">
        <v>109</v>
      </c>
      <c r="E18" s="9" t="s">
        <v>105</v>
      </c>
      <c r="F18" s="10" t="s">
        <v>110</v>
      </c>
      <c r="G18" s="11" t="s">
        <v>111</v>
      </c>
    </row>
    <row r="19" spans="2:7" ht="33" customHeight="1">
      <c r="B19" s="8" t="s">
        <v>33</v>
      </c>
      <c r="C19" s="9" t="s">
        <v>112</v>
      </c>
      <c r="D19" s="23" t="s">
        <v>113</v>
      </c>
      <c r="E19" s="9" t="s">
        <v>105</v>
      </c>
      <c r="F19" s="10" t="s">
        <v>114</v>
      </c>
      <c r="G19" s="11" t="s">
        <v>115</v>
      </c>
    </row>
    <row r="20" spans="2:7" ht="33" customHeight="1">
      <c r="B20" s="22" t="s">
        <v>35</v>
      </c>
      <c r="C20" s="23" t="s">
        <v>116</v>
      </c>
      <c r="D20" s="23" t="s">
        <v>113</v>
      </c>
      <c r="E20" s="23" t="s">
        <v>105</v>
      </c>
      <c r="F20" s="24" t="s">
        <v>117</v>
      </c>
      <c r="G20" s="25" t="s">
        <v>118</v>
      </c>
    </row>
    <row r="21" spans="2:7" ht="33" customHeight="1">
      <c r="B21" s="26" t="s">
        <v>34</v>
      </c>
      <c r="C21" s="9" t="s">
        <v>119</v>
      </c>
      <c r="D21" s="23" t="s">
        <v>113</v>
      </c>
      <c r="E21" s="23" t="s">
        <v>105</v>
      </c>
      <c r="F21" s="10" t="s">
        <v>120</v>
      </c>
      <c r="G21" s="11" t="s">
        <v>121</v>
      </c>
    </row>
    <row r="22" spans="2:7" ht="33" customHeight="1">
      <c r="B22" s="26" t="s">
        <v>36</v>
      </c>
      <c r="C22" s="9" t="s">
        <v>122</v>
      </c>
      <c r="D22" s="23" t="s">
        <v>113</v>
      </c>
      <c r="E22" s="23" t="s">
        <v>105</v>
      </c>
      <c r="F22" s="10" t="s">
        <v>123</v>
      </c>
      <c r="G22" s="11" t="s">
        <v>124</v>
      </c>
    </row>
    <row r="23" spans="2:7" ht="33" customHeight="1">
      <c r="B23" s="26" t="s">
        <v>36</v>
      </c>
      <c r="C23" s="9" t="s">
        <v>125</v>
      </c>
      <c r="D23" s="23" t="s">
        <v>113</v>
      </c>
      <c r="E23" s="23" t="s">
        <v>105</v>
      </c>
      <c r="F23" s="10" t="s">
        <v>126</v>
      </c>
      <c r="G23" s="11" t="s">
        <v>127</v>
      </c>
    </row>
    <row r="24" spans="2:7" ht="33" customHeight="1">
      <c r="B24" s="26" t="s">
        <v>37</v>
      </c>
      <c r="C24" s="9" t="s">
        <v>128</v>
      </c>
      <c r="D24" s="9" t="s">
        <v>109</v>
      </c>
      <c r="E24" s="23" t="s">
        <v>105</v>
      </c>
      <c r="F24" s="10" t="s">
        <v>129</v>
      </c>
      <c r="G24" s="11" t="s">
        <v>130</v>
      </c>
    </row>
    <row r="25" spans="2:7" ht="33" customHeight="1">
      <c r="B25" s="26" t="s">
        <v>37</v>
      </c>
      <c r="C25" s="9" t="s">
        <v>131</v>
      </c>
      <c r="D25" s="9" t="s">
        <v>113</v>
      </c>
      <c r="E25" s="23" t="s">
        <v>105</v>
      </c>
      <c r="F25" s="10" t="s">
        <v>132</v>
      </c>
      <c r="G25" s="11" t="s">
        <v>133</v>
      </c>
    </row>
    <row r="26" spans="2:7">
      <c r="B26" s="26"/>
      <c r="C26" s="9"/>
      <c r="D26" s="9"/>
      <c r="E26" s="9"/>
      <c r="F26" s="10"/>
      <c r="G26" s="11"/>
    </row>
  </sheetData>
  <sheetProtection selectLockedCells="1" sort="0" autoFilter="0"/>
  <conditionalFormatting sqref="C2:C12">
    <cfRule type="notContainsBlanks" dxfId="9" priority="2">
      <formula>LEN(TRIM(C2))&gt;0</formula>
    </cfRule>
  </conditionalFormatting>
  <conditionalFormatting sqref="C16:G26">
    <cfRule type="notContainsBlanks" dxfId="8" priority="1">
      <formula>LEN(TRIM(C16))&gt;0</formula>
    </cfRule>
  </conditionalFormatting>
  <hyperlinks>
    <hyperlink ref="C6" r:id="rId1" xr:uid="{9A00636A-7800-4BBA-B921-5687E664A3DC}"/>
    <hyperlink ref="F16" r:id="rId2" xr:uid="{3F70BB68-B1D8-4336-AC4D-A8CC36527945}"/>
    <hyperlink ref="F17" r:id="rId3" xr:uid="{77472319-50F8-4DF7-8E70-4A47B4A2459F}"/>
    <hyperlink ref="F18" r:id="rId4" xr:uid="{1E4B308A-B4D3-470D-8C6D-4A7225CAF1DF}"/>
    <hyperlink ref="F19" r:id="rId5" xr:uid="{D4B08260-B784-4A61-8BB2-56431680AA7E}"/>
    <hyperlink ref="F20" r:id="rId6" xr:uid="{52E70705-FC3F-4856-9965-50CA3106FAE0}"/>
    <hyperlink ref="F21" r:id="rId7" xr:uid="{1989BDA0-42E2-4A8B-A346-1749E0EEB0B5}"/>
    <hyperlink ref="F22" r:id="rId8" xr:uid="{DD415AEE-3CEC-493D-BF1B-D6D4C4E2BBB3}"/>
    <hyperlink ref="F23" r:id="rId9" xr:uid="{87B0E56A-EDBA-4CA2-82C3-FBC72C449C4A}"/>
    <hyperlink ref="F24" r:id="rId10" xr:uid="{E744B087-35DF-42A7-88C5-F7E538C57FE3}"/>
    <hyperlink ref="F25" r:id="rId11" xr:uid="{11BFE3A5-84EF-4C34-A79B-03A795A53B2B}"/>
  </hyperlinks>
  <pageMargins left="0.7" right="0.7" top="0.75" bottom="0.75" header="0.3" footer="0.3"/>
  <pageSetup paperSize="9"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CFD42-FE8B-FD4B-A32E-AB0E38B6C41E}">
  <dimension ref="B1:K10"/>
  <sheetViews>
    <sheetView showGridLines="0" zoomScale="70" zoomScaleNormal="70" workbookViewId="0">
      <selection activeCell="E5" sqref="E5"/>
    </sheetView>
  </sheetViews>
  <sheetFormatPr defaultColWidth="10.83203125" defaultRowHeight="16"/>
  <cols>
    <col min="1" max="1" width="4.83203125" customWidth="1"/>
    <col min="2" max="2" width="53.83203125" customWidth="1"/>
    <col min="3" max="11" width="28.1640625" customWidth="1"/>
  </cols>
  <sheetData>
    <row r="1" spans="2:11" ht="40" customHeight="1">
      <c r="B1" s="4" t="s">
        <v>55</v>
      </c>
    </row>
    <row r="2" spans="2:11" ht="36" customHeight="1">
      <c r="B2" s="12" t="s">
        <v>62</v>
      </c>
      <c r="C2" s="12">
        <v>2019</v>
      </c>
      <c r="D2" s="12">
        <v>2020</v>
      </c>
      <c r="E2" s="12">
        <v>2021</v>
      </c>
      <c r="F2" s="12">
        <v>2022</v>
      </c>
      <c r="G2" s="12">
        <v>2023</v>
      </c>
      <c r="H2" s="12">
        <v>2024</v>
      </c>
      <c r="I2" s="12" t="s">
        <v>134</v>
      </c>
      <c r="J2" s="12" t="s">
        <v>60</v>
      </c>
      <c r="K2" s="12" t="s">
        <v>61</v>
      </c>
    </row>
    <row r="3" spans="2:11" ht="36" customHeight="1">
      <c r="B3" s="20" t="s">
        <v>63</v>
      </c>
      <c r="C3" s="28"/>
      <c r="D3" s="28"/>
      <c r="E3" s="28"/>
      <c r="F3" s="28"/>
      <c r="G3" s="28"/>
      <c r="H3" s="28"/>
      <c r="I3" s="28"/>
      <c r="J3" s="28"/>
      <c r="K3" s="28"/>
    </row>
    <row r="4" spans="2:11" ht="36" customHeight="1">
      <c r="B4" s="20" t="s">
        <v>56</v>
      </c>
      <c r="C4" s="29">
        <v>32200000</v>
      </c>
      <c r="D4" s="29">
        <v>26700000</v>
      </c>
      <c r="E4" s="29">
        <v>17240000</v>
      </c>
      <c r="F4" s="29">
        <v>21030000</v>
      </c>
      <c r="G4" s="29">
        <v>15490000</v>
      </c>
      <c r="H4" s="29">
        <v>11966000</v>
      </c>
      <c r="I4" s="29">
        <v>16800000</v>
      </c>
      <c r="J4" s="29">
        <v>18480000</v>
      </c>
      <c r="K4" s="29">
        <v>20328000</v>
      </c>
    </row>
    <row r="5" spans="2:11" ht="36" customHeight="1">
      <c r="B5" s="20" t="s">
        <v>57</v>
      </c>
      <c r="C5" s="29"/>
      <c r="D5" s="29"/>
      <c r="E5" s="29"/>
      <c r="F5" s="29"/>
      <c r="G5" s="29"/>
      <c r="H5" s="29"/>
      <c r="I5" s="29"/>
      <c r="J5" s="29"/>
      <c r="K5" s="29"/>
    </row>
    <row r="6" spans="2:11" ht="36" customHeight="1">
      <c r="B6" s="20" t="s">
        <v>238</v>
      </c>
      <c r="C6" s="29"/>
      <c r="D6" s="29"/>
      <c r="E6" s="29"/>
      <c r="F6" s="29"/>
      <c r="G6" s="29"/>
      <c r="H6" s="29"/>
      <c r="I6" s="29"/>
      <c r="J6" s="29"/>
      <c r="K6" s="29"/>
    </row>
    <row r="7" spans="2:11" ht="36" customHeight="1"/>
    <row r="8" spans="2:11" ht="36" customHeight="1">
      <c r="B8" s="12" t="s">
        <v>62</v>
      </c>
      <c r="C8" s="12">
        <v>2019</v>
      </c>
      <c r="D8" s="12">
        <v>2020</v>
      </c>
      <c r="E8" s="12">
        <v>2021</v>
      </c>
      <c r="F8" s="12">
        <v>2022</v>
      </c>
      <c r="G8" s="12">
        <v>2023</v>
      </c>
      <c r="H8" s="12">
        <v>2024</v>
      </c>
      <c r="I8" s="12" t="s">
        <v>134</v>
      </c>
      <c r="J8" s="12" t="s">
        <v>60</v>
      </c>
      <c r="K8" s="12" t="s">
        <v>61</v>
      </c>
    </row>
    <row r="9" spans="2:11" ht="36" customHeight="1">
      <c r="B9" s="20" t="s">
        <v>58</v>
      </c>
      <c r="C9" s="30">
        <v>3071774.8396800002</v>
      </c>
      <c r="D9" s="30">
        <v>3852544.6881200001</v>
      </c>
      <c r="E9" s="30">
        <v>2727854.1170800002</v>
      </c>
      <c r="F9" s="30">
        <v>3258806.7600400001</v>
      </c>
      <c r="G9" s="30">
        <v>2409928.2236000001</v>
      </c>
      <c r="H9" s="30">
        <v>1116741.7987200001</v>
      </c>
      <c r="I9" s="38">
        <v>2688000</v>
      </c>
      <c r="J9" s="38">
        <v>2956800</v>
      </c>
      <c r="K9" s="38">
        <v>3252480</v>
      </c>
    </row>
    <row r="10" spans="2:11" ht="36" customHeight="1">
      <c r="B10" s="20" t="s">
        <v>59</v>
      </c>
      <c r="C10" s="30">
        <v>513787.94412</v>
      </c>
      <c r="D10" s="30">
        <v>1433523.61644</v>
      </c>
      <c r="E10" s="30">
        <v>1102117.7925199999</v>
      </c>
      <c r="F10" s="30">
        <v>1165108.5967999999</v>
      </c>
      <c r="G10" s="30">
        <v>229513.42872</v>
      </c>
      <c r="H10" s="30">
        <v>-1169779.11616</v>
      </c>
      <c r="I10" s="38">
        <v>1008000</v>
      </c>
      <c r="J10" s="38">
        <v>1108800</v>
      </c>
      <c r="K10" s="38">
        <v>1626240</v>
      </c>
    </row>
  </sheetData>
  <conditionalFormatting sqref="C3:K6">
    <cfRule type="notContainsBlanks" dxfId="7" priority="2">
      <formula>LEN(TRIM(C3))&gt;0</formula>
    </cfRule>
  </conditionalFormatting>
  <conditionalFormatting sqref="C9:K10">
    <cfRule type="notContainsBlanks" dxfId="6" priority="1">
      <formula>LEN(TRIM(C9))&gt;0</formula>
    </cfRule>
  </conditionalFormatting>
  <dataValidations count="1">
    <dataValidation type="decimal" operator="greaterThan" allowBlank="1" showInputMessage="1" showErrorMessage="1" sqref="C3:K6 C9:K10" xr:uid="{D84B4CD2-B548-4103-BD8F-03B27A09564F}">
      <formula1>0</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CC92-7C3B-BA4F-BA08-B6FE180901D4}">
  <dimension ref="A1:H22"/>
  <sheetViews>
    <sheetView showGridLines="0" topLeftCell="B3" zoomScale="70" zoomScaleNormal="70" workbookViewId="0">
      <selection activeCell="E8" sqref="E8"/>
    </sheetView>
  </sheetViews>
  <sheetFormatPr defaultColWidth="15.6640625" defaultRowHeight="26" customHeight="1"/>
  <cols>
    <col min="1" max="1" width="6.1640625" style="16" customWidth="1"/>
    <col min="2" max="2" width="59" style="15" customWidth="1"/>
    <col min="3" max="3" width="38.25" style="16" customWidth="1"/>
    <col min="4" max="4" width="37.1640625" style="19" customWidth="1"/>
    <col min="5" max="8" width="38.5" style="19" customWidth="1"/>
    <col min="9" max="11" width="29.1640625" style="16" customWidth="1"/>
    <col min="12" max="16384" width="15.6640625" style="16"/>
  </cols>
  <sheetData>
    <row r="1" spans="1:8" s="1" customFormat="1" ht="51" customHeight="1">
      <c r="B1" s="18" t="s">
        <v>27</v>
      </c>
    </row>
    <row r="2" spans="1:8" s="15" customFormat="1" ht="56" customHeight="1">
      <c r="B2" s="12"/>
      <c r="C2" s="12" t="s">
        <v>19</v>
      </c>
      <c r="D2" s="14" t="s">
        <v>20</v>
      </c>
      <c r="E2" s="14" t="s">
        <v>21</v>
      </c>
      <c r="F2" s="14" t="s">
        <v>22</v>
      </c>
      <c r="G2" s="14" t="s">
        <v>23</v>
      </c>
      <c r="H2" s="14" t="s">
        <v>24</v>
      </c>
    </row>
    <row r="3" spans="1:8" ht="60" customHeight="1">
      <c r="A3" s="16">
        <v>1</v>
      </c>
      <c r="B3" s="12" t="s">
        <v>40</v>
      </c>
      <c r="C3" s="9" t="s">
        <v>135</v>
      </c>
      <c r="D3" s="9" t="s">
        <v>136</v>
      </c>
      <c r="E3" s="9"/>
      <c r="F3" s="9"/>
      <c r="G3" s="9"/>
      <c r="H3" s="9"/>
    </row>
    <row r="4" spans="1:8" ht="60" customHeight="1">
      <c r="A4" s="16">
        <v>2</v>
      </c>
      <c r="B4" s="12" t="s">
        <v>38</v>
      </c>
      <c r="C4" s="9" t="s">
        <v>137</v>
      </c>
      <c r="D4" s="9" t="s">
        <v>138</v>
      </c>
      <c r="E4" s="9"/>
      <c r="F4" s="9"/>
      <c r="G4" s="9"/>
      <c r="H4" s="9"/>
    </row>
    <row r="5" spans="1:8" ht="106" customHeight="1">
      <c r="A5" s="16">
        <v>3</v>
      </c>
      <c r="B5" s="12" t="s">
        <v>39</v>
      </c>
      <c r="C5" s="9" t="s">
        <v>139</v>
      </c>
      <c r="D5" s="9" t="s">
        <v>140</v>
      </c>
      <c r="E5" s="9"/>
      <c r="F5" s="9"/>
      <c r="G5" s="9"/>
      <c r="H5" s="9"/>
    </row>
    <row r="6" spans="1:8" ht="60" customHeight="1">
      <c r="A6" s="16">
        <v>4</v>
      </c>
      <c r="B6" s="14" t="s">
        <v>25</v>
      </c>
      <c r="C6" s="9" t="s">
        <v>98</v>
      </c>
      <c r="D6" s="9" t="s">
        <v>98</v>
      </c>
      <c r="E6" s="9"/>
      <c r="F6" s="9"/>
      <c r="G6" s="9"/>
      <c r="H6" s="9"/>
    </row>
    <row r="7" spans="1:8" ht="86" customHeight="1">
      <c r="A7" s="16">
        <v>5</v>
      </c>
      <c r="B7" s="14" t="s">
        <v>41</v>
      </c>
      <c r="C7" s="9" t="s">
        <v>98</v>
      </c>
      <c r="D7" s="9" t="s">
        <v>98</v>
      </c>
      <c r="E7" s="9"/>
      <c r="F7" s="9"/>
      <c r="G7" s="9"/>
      <c r="H7" s="9"/>
    </row>
    <row r="8" spans="1:8" ht="359" customHeight="1">
      <c r="A8" s="16">
        <v>6</v>
      </c>
      <c r="B8" s="14" t="s">
        <v>42</v>
      </c>
      <c r="C8" s="39" t="s">
        <v>149</v>
      </c>
      <c r="D8" s="39" t="s">
        <v>148</v>
      </c>
      <c r="E8" s="9"/>
      <c r="F8" s="9"/>
      <c r="G8" s="9"/>
      <c r="H8" s="9"/>
    </row>
    <row r="9" spans="1:8" ht="60" customHeight="1">
      <c r="A9" s="16">
        <v>7</v>
      </c>
      <c r="B9" s="12" t="s">
        <v>26</v>
      </c>
      <c r="C9" s="9" t="s">
        <v>141</v>
      </c>
      <c r="D9" s="17" t="s">
        <v>142</v>
      </c>
      <c r="E9" s="17"/>
      <c r="F9" s="17"/>
      <c r="G9" s="17"/>
      <c r="H9" s="17"/>
    </row>
    <row r="10" spans="1:8" ht="60" customHeight="1">
      <c r="A10" s="16">
        <v>8</v>
      </c>
      <c r="B10" s="14" t="s">
        <v>43</v>
      </c>
      <c r="C10" s="9" t="s">
        <v>150</v>
      </c>
      <c r="D10" s="9" t="s">
        <v>151</v>
      </c>
      <c r="E10" s="9"/>
      <c r="F10" s="9"/>
      <c r="G10" s="9"/>
      <c r="H10" s="9"/>
    </row>
    <row r="11" spans="1:8" ht="60" customHeight="1">
      <c r="A11" s="16">
        <v>9</v>
      </c>
      <c r="B11" s="14" t="s">
        <v>44</v>
      </c>
      <c r="C11" s="70" t="s">
        <v>152</v>
      </c>
      <c r="D11" s="71"/>
      <c r="E11" s="9"/>
      <c r="F11" s="9"/>
      <c r="G11" s="9"/>
      <c r="H11" s="9"/>
    </row>
    <row r="13" spans="1:8" ht="61" customHeight="1">
      <c r="A13" s="16">
        <v>10</v>
      </c>
      <c r="B13" s="66" t="s">
        <v>45</v>
      </c>
      <c r="C13" s="66"/>
      <c r="D13" s="67" t="s">
        <v>143</v>
      </c>
      <c r="E13" s="68"/>
      <c r="F13" s="68"/>
      <c r="G13" s="68"/>
      <c r="H13" s="69"/>
    </row>
    <row r="14" spans="1:8" ht="96" customHeight="1">
      <c r="A14" s="16">
        <v>11</v>
      </c>
      <c r="B14" s="66" t="s">
        <v>46</v>
      </c>
      <c r="C14" s="66"/>
      <c r="D14" s="67" t="s">
        <v>144</v>
      </c>
      <c r="E14" s="68"/>
      <c r="F14" s="68"/>
      <c r="G14" s="68"/>
      <c r="H14" s="69"/>
    </row>
    <row r="15" spans="1:8" ht="61" customHeight="1">
      <c r="A15" s="16">
        <v>12</v>
      </c>
      <c r="B15" s="66" t="s">
        <v>49</v>
      </c>
      <c r="C15" s="66"/>
      <c r="D15" s="67" t="s">
        <v>153</v>
      </c>
      <c r="E15" s="68"/>
      <c r="F15" s="68"/>
      <c r="G15" s="68"/>
      <c r="H15" s="69"/>
    </row>
    <row r="16" spans="1:8" ht="353" customHeight="1">
      <c r="A16" s="16">
        <v>13</v>
      </c>
      <c r="B16" s="66" t="s">
        <v>47</v>
      </c>
      <c r="C16" s="66"/>
      <c r="D16" s="67" t="s">
        <v>145</v>
      </c>
      <c r="E16" s="68"/>
      <c r="F16" s="68"/>
      <c r="G16" s="68"/>
      <c r="H16" s="69"/>
    </row>
    <row r="17" spans="1:8" ht="111" customHeight="1">
      <c r="A17" s="16">
        <v>14</v>
      </c>
      <c r="B17" s="66" t="s">
        <v>48</v>
      </c>
      <c r="C17" s="66"/>
      <c r="D17" s="72" t="s">
        <v>146</v>
      </c>
      <c r="E17" s="73"/>
      <c r="F17" s="73"/>
      <c r="G17" s="73"/>
      <c r="H17" s="74"/>
    </row>
    <row r="18" spans="1:8" ht="263" customHeight="1">
      <c r="A18" s="16">
        <v>15</v>
      </c>
      <c r="B18" s="66" t="s">
        <v>50</v>
      </c>
      <c r="C18" s="66"/>
      <c r="D18" s="67" t="s">
        <v>147</v>
      </c>
      <c r="E18" s="68"/>
      <c r="F18" s="68"/>
      <c r="G18" s="68"/>
      <c r="H18" s="69"/>
    </row>
    <row r="19" spans="1:8" ht="61" customHeight="1"/>
    <row r="20" spans="1:8" ht="61" customHeight="1"/>
    <row r="21" spans="1:8" ht="61" customHeight="1"/>
    <row r="22" spans="1:8" ht="61" customHeight="1"/>
  </sheetData>
  <sheetProtection selectLockedCells="1"/>
  <mergeCells count="13">
    <mergeCell ref="C11:D11"/>
    <mergeCell ref="B16:C16"/>
    <mergeCell ref="D16:H16"/>
    <mergeCell ref="B17:C17"/>
    <mergeCell ref="D17:H17"/>
    <mergeCell ref="B18:C18"/>
    <mergeCell ref="D18:H18"/>
    <mergeCell ref="B13:C13"/>
    <mergeCell ref="D13:H13"/>
    <mergeCell ref="B14:C14"/>
    <mergeCell ref="D14:H14"/>
    <mergeCell ref="B15:C15"/>
    <mergeCell ref="D15:H15"/>
  </mergeCells>
  <conditionalFormatting sqref="C3:H7 E8:H8 C9:H10 C11 E11:H11">
    <cfRule type="notContainsBlanks" dxfId="5" priority="2">
      <formula>LEN(TRIM(C3))&gt;0</formula>
    </cfRule>
  </conditionalFormatting>
  <conditionalFormatting sqref="D13:D18">
    <cfRule type="notContainsBlanks" dxfId="4" priority="1">
      <formula>LEN(TRIM(D13))&gt;0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5489-9EF2-C744-A2C8-B0A0EA39DDCF}">
  <dimension ref="B1:H23"/>
  <sheetViews>
    <sheetView showGridLines="0" topLeftCell="A12" zoomScale="55" zoomScaleNormal="55" workbookViewId="0">
      <selection activeCell="H17" sqref="H16:H17"/>
    </sheetView>
  </sheetViews>
  <sheetFormatPr defaultColWidth="10.83203125" defaultRowHeight="50" customHeight="1"/>
  <cols>
    <col min="1" max="1" width="5.1640625" style="16" customWidth="1"/>
    <col min="2" max="2" width="49.6640625" style="16" customWidth="1"/>
    <col min="3" max="8" width="32.6640625" style="16" customWidth="1"/>
    <col min="9" max="10" width="10.83203125" style="16"/>
    <col min="11" max="11" width="76.6640625" style="16" customWidth="1"/>
    <col min="12" max="16384" width="10.83203125" style="16"/>
  </cols>
  <sheetData>
    <row r="1" spans="2:8" ht="50" customHeight="1">
      <c r="B1" s="27" t="s">
        <v>157</v>
      </c>
    </row>
    <row r="2" spans="2:8" ht="50" customHeight="1">
      <c r="B2" s="31"/>
      <c r="C2" s="32" t="s">
        <v>66</v>
      </c>
      <c r="D2" s="32" t="s">
        <v>67</v>
      </c>
      <c r="E2" s="32" t="s">
        <v>68</v>
      </c>
      <c r="F2" s="32" t="s">
        <v>69</v>
      </c>
      <c r="G2" s="32" t="s">
        <v>70</v>
      </c>
      <c r="H2" s="32" t="s">
        <v>95</v>
      </c>
    </row>
    <row r="3" spans="2:8" ht="50" customHeight="1">
      <c r="B3" s="33" t="s">
        <v>96</v>
      </c>
      <c r="C3" s="34" t="s">
        <v>158</v>
      </c>
      <c r="D3" s="34" t="s">
        <v>159</v>
      </c>
      <c r="E3" s="40" t="s">
        <v>160</v>
      </c>
      <c r="F3" s="40" t="s">
        <v>161</v>
      </c>
      <c r="G3" s="40" t="s">
        <v>162</v>
      </c>
      <c r="H3" s="35"/>
    </row>
    <row r="4" spans="2:8" ht="50" customHeight="1">
      <c r="B4" s="33" t="s">
        <v>74</v>
      </c>
      <c r="C4" s="35">
        <v>5</v>
      </c>
      <c r="D4" s="35">
        <v>1</v>
      </c>
      <c r="E4" s="35" t="s">
        <v>166</v>
      </c>
      <c r="F4" s="35" t="s">
        <v>166</v>
      </c>
      <c r="G4" s="35" t="s">
        <v>166</v>
      </c>
      <c r="H4" s="35"/>
    </row>
    <row r="5" spans="2:8" ht="50" customHeight="1">
      <c r="B5" s="33" t="s">
        <v>77</v>
      </c>
      <c r="C5" s="35">
        <v>8</v>
      </c>
      <c r="D5" s="35">
        <v>2</v>
      </c>
      <c r="E5" s="35" t="s">
        <v>166</v>
      </c>
      <c r="F5" s="35" t="s">
        <v>166</v>
      </c>
      <c r="G5" s="35" t="s">
        <v>166</v>
      </c>
      <c r="H5" s="35"/>
    </row>
    <row r="6" spans="2:8" ht="50" customHeight="1">
      <c r="B6" s="33" t="s">
        <v>80</v>
      </c>
      <c r="C6" s="35">
        <v>13</v>
      </c>
      <c r="D6" s="35">
        <v>2</v>
      </c>
      <c r="E6" s="35">
        <v>0</v>
      </c>
      <c r="F6" s="35">
        <v>0</v>
      </c>
      <c r="G6" s="35">
        <v>0</v>
      </c>
      <c r="H6" s="35"/>
    </row>
    <row r="7" spans="2:8" ht="50" customHeight="1">
      <c r="B7" s="33" t="s">
        <v>82</v>
      </c>
      <c r="C7" s="35" t="s">
        <v>163</v>
      </c>
      <c r="D7" s="35" t="s">
        <v>167</v>
      </c>
      <c r="E7" s="35">
        <v>1</v>
      </c>
      <c r="F7" s="35">
        <v>1</v>
      </c>
      <c r="G7" s="35">
        <v>1</v>
      </c>
      <c r="H7" s="35"/>
    </row>
    <row r="8" spans="2:8" ht="50" customHeight="1">
      <c r="B8" s="33" t="s">
        <v>84</v>
      </c>
      <c r="C8" s="35" t="s">
        <v>164</v>
      </c>
      <c r="D8" s="35" t="s">
        <v>165</v>
      </c>
      <c r="E8" s="35" t="s">
        <v>165</v>
      </c>
      <c r="F8" s="35" t="s">
        <v>164</v>
      </c>
      <c r="G8" s="35" t="s">
        <v>165</v>
      </c>
      <c r="H8" s="35"/>
    </row>
    <row r="9" spans="2:8" ht="50" customHeight="1">
      <c r="B9" s="33" t="s">
        <v>86</v>
      </c>
      <c r="C9" s="46" t="s">
        <v>189</v>
      </c>
      <c r="D9" s="36" t="s">
        <v>190</v>
      </c>
      <c r="E9" s="36" t="s">
        <v>190</v>
      </c>
      <c r="F9" s="36" t="s">
        <v>190</v>
      </c>
      <c r="G9" s="36" t="s">
        <v>190</v>
      </c>
      <c r="H9" s="35"/>
    </row>
    <row r="10" spans="2:8" ht="50" customHeight="1">
      <c r="B10" s="33" t="s">
        <v>89</v>
      </c>
      <c r="C10" s="36" t="s">
        <v>191</v>
      </c>
      <c r="D10" s="36" t="s">
        <v>190</v>
      </c>
      <c r="E10" s="36" t="s">
        <v>190</v>
      </c>
      <c r="F10" s="36" t="s">
        <v>190</v>
      </c>
      <c r="G10" s="36" t="s">
        <v>190</v>
      </c>
      <c r="H10" s="35"/>
    </row>
    <row r="12" spans="2:8" ht="59" customHeight="1">
      <c r="B12" s="75" t="s">
        <v>71</v>
      </c>
      <c r="C12" s="75"/>
      <c r="D12" s="75"/>
    </row>
    <row r="13" spans="2:8" ht="59" customHeight="1">
      <c r="B13" s="12" t="s">
        <v>72</v>
      </c>
      <c r="C13" s="75" t="s">
        <v>73</v>
      </c>
      <c r="D13" s="75"/>
    </row>
    <row r="14" spans="2:8" ht="59" customHeight="1">
      <c r="B14" s="37" t="s">
        <v>75</v>
      </c>
      <c r="C14" s="77" t="s">
        <v>76</v>
      </c>
      <c r="D14" s="77"/>
    </row>
    <row r="15" spans="2:8" ht="59" customHeight="1">
      <c r="B15" s="76" t="s">
        <v>78</v>
      </c>
      <c r="C15" s="76" t="s">
        <v>79</v>
      </c>
      <c r="D15" s="76"/>
    </row>
    <row r="16" spans="2:8" ht="59" customHeight="1">
      <c r="B16" s="76"/>
      <c r="C16" s="76" t="s">
        <v>81</v>
      </c>
      <c r="D16" s="76"/>
    </row>
    <row r="17" spans="2:4" ht="59" customHeight="1">
      <c r="B17" s="76"/>
      <c r="C17" s="76" t="s">
        <v>83</v>
      </c>
      <c r="D17" s="76"/>
    </row>
    <row r="18" spans="2:4" ht="59" customHeight="1">
      <c r="B18" s="76"/>
      <c r="C18" s="76" t="s">
        <v>85</v>
      </c>
      <c r="D18" s="76"/>
    </row>
    <row r="19" spans="2:4" ht="59" customHeight="1">
      <c r="B19" s="76" t="s">
        <v>87</v>
      </c>
      <c r="C19" s="76" t="s">
        <v>88</v>
      </c>
      <c r="D19" s="76"/>
    </row>
    <row r="20" spans="2:4" ht="59" customHeight="1">
      <c r="B20" s="76"/>
      <c r="C20" s="76" t="s">
        <v>90</v>
      </c>
      <c r="D20" s="76"/>
    </row>
    <row r="21" spans="2:4" ht="59" customHeight="1">
      <c r="B21" s="76"/>
      <c r="C21" s="76" t="s">
        <v>91</v>
      </c>
      <c r="D21" s="76"/>
    </row>
    <row r="22" spans="2:4" ht="59" customHeight="1">
      <c r="B22" s="76" t="s">
        <v>92</v>
      </c>
      <c r="C22" s="76" t="s">
        <v>93</v>
      </c>
      <c r="D22" s="76"/>
    </row>
    <row r="23" spans="2:4" ht="59" customHeight="1">
      <c r="B23" s="76"/>
      <c r="C23" s="76" t="s">
        <v>94</v>
      </c>
      <c r="D23" s="76"/>
    </row>
  </sheetData>
  <mergeCells count="15">
    <mergeCell ref="C23:D23"/>
    <mergeCell ref="B15:B18"/>
    <mergeCell ref="B19:B21"/>
    <mergeCell ref="B22:B23"/>
    <mergeCell ref="C14:D14"/>
    <mergeCell ref="C18:D18"/>
    <mergeCell ref="C19:D19"/>
    <mergeCell ref="C20:D20"/>
    <mergeCell ref="C21:D21"/>
    <mergeCell ref="C22:D22"/>
    <mergeCell ref="B12:D12"/>
    <mergeCell ref="C13:D13"/>
    <mergeCell ref="C15:D15"/>
    <mergeCell ref="C16:D16"/>
    <mergeCell ref="C17:D17"/>
  </mergeCells>
  <conditionalFormatting sqref="C3:H10">
    <cfRule type="containsBlanks" dxfId="3" priority="1">
      <formula>LEN(TRIM(C3))=0</formula>
    </cfRule>
    <cfRule type="containsText" dxfId="2" priority="2" operator="containsText" text="&quot;&quot;">
      <formula>NOT(ISERROR(SEARCH("""""",C3)))</formula>
    </cfRule>
  </conditionalFormatting>
  <pageMargins left="0.7" right="0.7" top="0.75" bottom="0.75" header="0.3" footer="0.3"/>
  <pageSetup scale="4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1537-36F7-0841-A1F4-132E6DCD5F66}">
  <dimension ref="B1:G11"/>
  <sheetViews>
    <sheetView showGridLines="0" zoomScale="55" zoomScaleNormal="55" workbookViewId="0">
      <selection activeCell="C3" sqref="C3:C10"/>
    </sheetView>
  </sheetViews>
  <sheetFormatPr defaultColWidth="10.83203125" defaultRowHeight="15.5"/>
  <cols>
    <col min="1" max="1" width="4.1640625" style="21" customWidth="1"/>
    <col min="2" max="2" width="51.5" style="21" customWidth="1"/>
    <col min="3" max="6" width="29.1640625" style="21" customWidth="1"/>
    <col min="7" max="7" width="57.83203125" style="21" customWidth="1"/>
    <col min="8" max="8" width="31.33203125" style="21" bestFit="1" customWidth="1"/>
    <col min="9" max="12" width="29.1640625" style="21" customWidth="1"/>
    <col min="13" max="16384" width="10.83203125" style="21"/>
  </cols>
  <sheetData>
    <row r="1" spans="2:7" ht="67" customHeight="1">
      <c r="B1" s="18" t="s">
        <v>51</v>
      </c>
    </row>
    <row r="2" spans="2:7" ht="67" customHeight="1">
      <c r="B2" s="20"/>
      <c r="C2" s="12">
        <v>2025</v>
      </c>
      <c r="D2" s="12">
        <v>2026</v>
      </c>
      <c r="E2" s="12">
        <v>2027</v>
      </c>
      <c r="F2" s="12">
        <v>2028</v>
      </c>
      <c r="G2" s="12" t="s">
        <v>52</v>
      </c>
    </row>
    <row r="3" spans="2:7" ht="67" customHeight="1">
      <c r="B3" s="12" t="s">
        <v>28</v>
      </c>
      <c r="C3" s="17">
        <v>6</v>
      </c>
      <c r="D3" s="17">
        <v>8</v>
      </c>
      <c r="E3" s="17">
        <v>8</v>
      </c>
      <c r="F3" s="17">
        <v>10</v>
      </c>
      <c r="G3" s="17"/>
    </row>
    <row r="4" spans="2:7" ht="67" customHeight="1">
      <c r="B4" s="14" t="s">
        <v>156</v>
      </c>
      <c r="C4" s="17">
        <v>110</v>
      </c>
      <c r="D4" s="17">
        <v>110</v>
      </c>
      <c r="E4" s="17">
        <v>120</v>
      </c>
      <c r="F4" s="17">
        <v>120</v>
      </c>
      <c r="G4" s="17"/>
    </row>
    <row r="5" spans="2:7" ht="67" customHeight="1">
      <c r="B5" s="12" t="s">
        <v>29</v>
      </c>
      <c r="C5" s="17">
        <v>98</v>
      </c>
      <c r="D5" s="17">
        <v>98</v>
      </c>
      <c r="E5" s="17">
        <v>98</v>
      </c>
      <c r="F5" s="17">
        <v>100</v>
      </c>
      <c r="G5" s="17"/>
    </row>
    <row r="6" spans="2:7" ht="67" customHeight="1">
      <c r="B6" s="12" t="s">
        <v>30</v>
      </c>
      <c r="C6" s="17">
        <v>35</v>
      </c>
      <c r="D6" s="17">
        <v>40</v>
      </c>
      <c r="E6" s="17">
        <v>45</v>
      </c>
      <c r="F6" s="17">
        <v>45</v>
      </c>
      <c r="G6" s="17"/>
    </row>
    <row r="7" spans="2:7" ht="67" customHeight="1">
      <c r="B7" s="12" t="s">
        <v>34</v>
      </c>
      <c r="C7" s="17">
        <v>8</v>
      </c>
      <c r="D7" s="17">
        <v>8</v>
      </c>
      <c r="E7" s="17">
        <v>8</v>
      </c>
      <c r="F7" s="17">
        <v>8</v>
      </c>
      <c r="G7" s="17"/>
    </row>
    <row r="8" spans="2:7" ht="67" customHeight="1">
      <c r="B8" s="12" t="s">
        <v>53</v>
      </c>
      <c r="C8" s="17">
        <v>9</v>
      </c>
      <c r="D8" s="17">
        <v>9</v>
      </c>
      <c r="E8" s="17">
        <v>9</v>
      </c>
      <c r="F8" s="17">
        <v>9</v>
      </c>
      <c r="G8" s="17"/>
    </row>
    <row r="9" spans="2:7" ht="67" customHeight="1">
      <c r="B9" s="12" t="s">
        <v>54</v>
      </c>
      <c r="C9" s="17">
        <v>5</v>
      </c>
      <c r="D9" s="17">
        <v>5</v>
      </c>
      <c r="E9" s="17">
        <v>5</v>
      </c>
      <c r="F9" s="17">
        <v>5</v>
      </c>
      <c r="G9" s="17"/>
    </row>
    <row r="10" spans="2:7" ht="67" customHeight="1">
      <c r="B10" s="12" t="s">
        <v>154</v>
      </c>
      <c r="C10" s="17">
        <v>5</v>
      </c>
      <c r="D10" s="17">
        <v>8</v>
      </c>
      <c r="E10" s="17">
        <v>10</v>
      </c>
      <c r="F10" s="17">
        <v>10</v>
      </c>
      <c r="G10" s="17"/>
    </row>
    <row r="11" spans="2:7" ht="67" customHeight="1">
      <c r="B11" s="12" t="s">
        <v>155</v>
      </c>
      <c r="C11" s="17">
        <v>38</v>
      </c>
      <c r="D11" s="17">
        <v>38</v>
      </c>
      <c r="E11" s="17">
        <v>38</v>
      </c>
      <c r="F11" s="17">
        <v>38</v>
      </c>
      <c r="G11" s="17"/>
    </row>
  </sheetData>
  <sheetProtection selectLockedCells="1"/>
  <conditionalFormatting sqref="C3:G11">
    <cfRule type="notContainsBlanks" dxfId="1" priority="1">
      <formula>LEN(TRIM(C3))&gt;0</formula>
    </cfRule>
  </conditionalFormatting>
  <dataValidations count="2">
    <dataValidation type="decimal" operator="greaterThan" allowBlank="1" showInputMessage="1" showErrorMessage="1" sqref="C3:G6" xr:uid="{32EB44EB-6C84-2C45-9C04-EB8A59CE0A38}">
      <formula1>0</formula1>
    </dataValidation>
    <dataValidation type="decimal" allowBlank="1" showInputMessage="1" showErrorMessage="1" sqref="C7:G11" xr:uid="{0B5BCFFC-BF67-2C4B-B299-DD1157A107CF}">
      <formula1>-100</formula1>
      <formula2>100</formula2>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1F43-7130-7C4A-9A39-4AC8D36CD29C}">
  <dimension ref="B2:K5"/>
  <sheetViews>
    <sheetView showGridLines="0" topLeftCell="A50" zoomScale="85" zoomScaleNormal="85" workbookViewId="0">
      <selection activeCell="M85" sqref="M85"/>
    </sheetView>
  </sheetViews>
  <sheetFormatPr defaultColWidth="10.6640625" defaultRowHeight="16"/>
  <cols>
    <col min="1" max="1" width="5.33203125" customWidth="1"/>
    <col min="2" max="2" width="34.5" customWidth="1"/>
  </cols>
  <sheetData>
    <row r="2" spans="2:11" ht="47" customHeight="1">
      <c r="B2" s="78" t="s">
        <v>64</v>
      </c>
      <c r="C2" s="78"/>
      <c r="D2" s="78"/>
      <c r="E2" s="78"/>
      <c r="F2" s="78"/>
      <c r="G2" s="78"/>
      <c r="H2" s="78"/>
      <c r="I2" s="78"/>
      <c r="J2" s="78"/>
      <c r="K2" s="78"/>
    </row>
    <row r="3" spans="2:11" ht="47" customHeight="1">
      <c r="B3" s="78"/>
      <c r="C3" s="78"/>
      <c r="D3" s="78"/>
      <c r="E3" s="78"/>
      <c r="F3" s="78"/>
      <c r="G3" s="78"/>
      <c r="H3" s="78"/>
      <c r="I3" s="78"/>
      <c r="J3" s="78"/>
      <c r="K3" s="78"/>
    </row>
    <row r="4" spans="2:11" ht="47" customHeight="1">
      <c r="B4" s="78"/>
      <c r="C4" s="78"/>
      <c r="D4" s="78"/>
      <c r="E4" s="78"/>
      <c r="F4" s="78"/>
      <c r="G4" s="78"/>
      <c r="H4" s="78"/>
      <c r="I4" s="78"/>
      <c r="J4" s="78"/>
      <c r="K4" s="78"/>
    </row>
    <row r="5" spans="2:11" ht="47" customHeight="1">
      <c r="B5" s="78"/>
      <c r="C5" s="78"/>
      <c r="D5" s="78"/>
      <c r="E5" s="78"/>
      <c r="F5" s="78"/>
      <c r="G5" s="78"/>
      <c r="H5" s="78"/>
      <c r="I5" s="78"/>
      <c r="J5" s="78"/>
      <c r="K5" s="78"/>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6A040-ABDF-4449-B594-074BF3687B47}">
  <dimension ref="A1:W18"/>
  <sheetViews>
    <sheetView zoomScale="85" zoomScaleNormal="85" workbookViewId="0">
      <pane xSplit="2" ySplit="3" topLeftCell="C12" activePane="bottomRight" state="frozen"/>
      <selection pane="topRight" activeCell="C1" sqref="C1"/>
      <selection pane="bottomLeft" activeCell="A4" sqref="A4"/>
      <selection pane="bottomRight" activeCell="C16" sqref="C16:V18"/>
    </sheetView>
  </sheetViews>
  <sheetFormatPr defaultColWidth="10.6640625" defaultRowHeight="16"/>
  <cols>
    <col min="1" max="1" width="4.1640625" style="21" customWidth="1"/>
    <col min="2" max="2" width="51.5" style="21" customWidth="1"/>
    <col min="3" max="3" width="30.9140625" style="21" customWidth="1"/>
    <col min="4" max="4" width="31.1640625" style="21" customWidth="1"/>
    <col min="5" max="5" width="30.6640625" style="21" customWidth="1"/>
    <col min="6" max="6" width="31.75" style="21" customWidth="1"/>
    <col min="7" max="22" width="25.75" style="21" customWidth="1"/>
    <col min="23" max="23" width="57.83203125" style="21" customWidth="1"/>
  </cols>
  <sheetData>
    <row r="1" spans="1:23" ht="18">
      <c r="B1" s="18" t="s">
        <v>239</v>
      </c>
    </row>
    <row r="2" spans="1:23" ht="18.5">
      <c r="B2" s="58" cm="1">
        <f t="array" aca="1" ref="B2" ca="1">B2:W18</f>
        <v>0</v>
      </c>
      <c r="C2" s="79" t="s">
        <v>240</v>
      </c>
      <c r="D2" s="79"/>
      <c r="E2" s="79"/>
      <c r="F2" s="79"/>
      <c r="G2" s="79" t="s">
        <v>241</v>
      </c>
      <c r="H2" s="79"/>
      <c r="I2" s="79"/>
      <c r="J2" s="79"/>
      <c r="K2" s="79"/>
      <c r="L2" s="79" t="s">
        <v>242</v>
      </c>
      <c r="M2" s="79"/>
      <c r="N2" s="79"/>
      <c r="O2" s="79"/>
      <c r="P2" s="79"/>
      <c r="Q2" s="79"/>
      <c r="R2" s="79"/>
      <c r="S2" s="79" t="s">
        <v>243</v>
      </c>
      <c r="T2" s="79"/>
      <c r="U2" s="79"/>
      <c r="V2" s="79"/>
    </row>
    <row r="3" spans="1:23" s="63" customFormat="1" ht="37">
      <c r="A3" s="62"/>
      <c r="B3" s="14" t="s">
        <v>244</v>
      </c>
      <c r="C3" s="59" t="s">
        <v>245</v>
      </c>
      <c r="D3" s="59" t="s">
        <v>246</v>
      </c>
      <c r="E3" s="59" t="s">
        <v>247</v>
      </c>
      <c r="F3" s="59" t="s">
        <v>248</v>
      </c>
      <c r="G3" s="59" t="s">
        <v>249</v>
      </c>
      <c r="H3" s="59" t="s">
        <v>250</v>
      </c>
      <c r="I3" s="59" t="s">
        <v>251</v>
      </c>
      <c r="J3" s="59" t="s">
        <v>252</v>
      </c>
      <c r="K3" s="59" t="s">
        <v>253</v>
      </c>
      <c r="L3" s="59" t="s">
        <v>254</v>
      </c>
      <c r="M3" s="59" t="s">
        <v>255</v>
      </c>
      <c r="N3" s="59" t="s">
        <v>256</v>
      </c>
      <c r="O3" s="59" t="s">
        <v>257</v>
      </c>
      <c r="P3" s="59" t="s">
        <v>258</v>
      </c>
      <c r="Q3" s="59" t="s">
        <v>259</v>
      </c>
      <c r="R3" s="59" t="s">
        <v>260</v>
      </c>
      <c r="S3" s="59" t="s">
        <v>261</v>
      </c>
      <c r="T3" s="59" t="s">
        <v>262</v>
      </c>
      <c r="U3" s="59" t="s">
        <v>263</v>
      </c>
      <c r="V3" s="59" t="s">
        <v>264</v>
      </c>
      <c r="W3" s="14" t="s">
        <v>52</v>
      </c>
    </row>
    <row r="4" spans="1:23" ht="18.5">
      <c r="B4" s="12" t="s">
        <v>265</v>
      </c>
      <c r="C4" s="17" t="s">
        <v>237</v>
      </c>
      <c r="D4" s="17" t="s">
        <v>237</v>
      </c>
      <c r="E4" s="17" t="s">
        <v>237</v>
      </c>
      <c r="F4" s="17" t="s">
        <v>237</v>
      </c>
      <c r="G4" s="17" t="s">
        <v>237</v>
      </c>
      <c r="H4" s="17" t="s">
        <v>237</v>
      </c>
      <c r="I4" s="17" t="s">
        <v>280</v>
      </c>
      <c r="J4" s="17" t="s">
        <v>237</v>
      </c>
      <c r="K4" s="17" t="s">
        <v>237</v>
      </c>
      <c r="L4" s="17" t="s">
        <v>280</v>
      </c>
      <c r="M4" s="17" t="s">
        <v>237</v>
      </c>
      <c r="N4" s="17" t="s">
        <v>280</v>
      </c>
      <c r="O4" s="17" t="s">
        <v>280</v>
      </c>
      <c r="P4" s="17" t="s">
        <v>280</v>
      </c>
      <c r="Q4" s="17" t="s">
        <v>280</v>
      </c>
      <c r="R4" s="17" t="s">
        <v>280</v>
      </c>
      <c r="S4" s="17" t="s">
        <v>237</v>
      </c>
      <c r="T4" s="17" t="s">
        <v>237</v>
      </c>
      <c r="U4" s="17" t="s">
        <v>280</v>
      </c>
      <c r="V4" s="17" t="s">
        <v>237</v>
      </c>
      <c r="W4" s="60"/>
    </row>
    <row r="5" spans="1:23" ht="18.5">
      <c r="B5" s="14" t="s">
        <v>266</v>
      </c>
      <c r="C5" s="17" t="s">
        <v>165</v>
      </c>
      <c r="D5" s="17" t="s">
        <v>165</v>
      </c>
      <c r="E5" s="17" t="s">
        <v>165</v>
      </c>
      <c r="F5" s="17" t="s">
        <v>165</v>
      </c>
      <c r="G5" s="17" t="s">
        <v>164</v>
      </c>
      <c r="H5" s="17" t="s">
        <v>164</v>
      </c>
      <c r="I5" s="17" t="s">
        <v>98</v>
      </c>
      <c r="J5" s="17" t="s">
        <v>165</v>
      </c>
      <c r="K5" s="17" t="s">
        <v>165</v>
      </c>
      <c r="L5" s="17" t="s">
        <v>98</v>
      </c>
      <c r="M5" s="17" t="s">
        <v>164</v>
      </c>
      <c r="N5" s="17" t="s">
        <v>98</v>
      </c>
      <c r="O5" s="17" t="s">
        <v>98</v>
      </c>
      <c r="P5" s="17" t="s">
        <v>98</v>
      </c>
      <c r="Q5" s="17" t="s">
        <v>98</v>
      </c>
      <c r="R5" s="17" t="s">
        <v>98</v>
      </c>
      <c r="S5" s="17" t="s">
        <v>165</v>
      </c>
      <c r="T5" s="17" t="s">
        <v>164</v>
      </c>
      <c r="U5" s="17" t="s">
        <v>98</v>
      </c>
      <c r="V5" s="17" t="s">
        <v>165</v>
      </c>
      <c r="W5" s="60"/>
    </row>
    <row r="6" spans="1:23" ht="18.5">
      <c r="B6" s="14" t="s">
        <v>267</v>
      </c>
      <c r="C6" s="17" t="s">
        <v>280</v>
      </c>
      <c r="D6" s="17" t="s">
        <v>237</v>
      </c>
      <c r="E6" s="17" t="s">
        <v>280</v>
      </c>
      <c r="F6" s="17" t="s">
        <v>237</v>
      </c>
      <c r="G6" s="17" t="s">
        <v>237</v>
      </c>
      <c r="H6" s="17" t="s">
        <v>237</v>
      </c>
      <c r="I6" s="17" t="s">
        <v>237</v>
      </c>
      <c r="J6" s="17" t="s">
        <v>280</v>
      </c>
      <c r="K6" s="17" t="s">
        <v>280</v>
      </c>
      <c r="L6" s="17" t="s">
        <v>237</v>
      </c>
      <c r="M6" s="17" t="s">
        <v>280</v>
      </c>
      <c r="N6" s="17" t="s">
        <v>280</v>
      </c>
      <c r="O6" s="17" t="s">
        <v>280</v>
      </c>
      <c r="P6" s="17" t="s">
        <v>237</v>
      </c>
      <c r="Q6" s="17" t="s">
        <v>237</v>
      </c>
      <c r="R6" s="17" t="s">
        <v>280</v>
      </c>
      <c r="S6" s="17" t="s">
        <v>237</v>
      </c>
      <c r="T6" s="17" t="s">
        <v>237</v>
      </c>
      <c r="U6" s="17" t="s">
        <v>280</v>
      </c>
      <c r="V6" s="17" t="s">
        <v>237</v>
      </c>
      <c r="W6" s="60"/>
    </row>
    <row r="7" spans="1:23" ht="222">
      <c r="B7" s="14" t="s">
        <v>268</v>
      </c>
      <c r="C7" s="64" t="s">
        <v>281</v>
      </c>
      <c r="D7" s="64" t="s">
        <v>287</v>
      </c>
      <c r="E7" s="64" t="s">
        <v>288</v>
      </c>
      <c r="F7" s="64" t="s">
        <v>289</v>
      </c>
      <c r="G7" s="64" t="s">
        <v>290</v>
      </c>
      <c r="H7" s="64" t="s">
        <v>291</v>
      </c>
      <c r="I7" s="17" t="s">
        <v>98</v>
      </c>
      <c r="J7" s="64" t="s">
        <v>292</v>
      </c>
      <c r="K7" s="64" t="s">
        <v>293</v>
      </c>
      <c r="L7" s="17" t="s">
        <v>98</v>
      </c>
      <c r="M7" s="17" t="s">
        <v>98</v>
      </c>
      <c r="N7" s="17" t="s">
        <v>98</v>
      </c>
      <c r="O7" s="17" t="s">
        <v>98</v>
      </c>
      <c r="P7" s="17" t="s">
        <v>98</v>
      </c>
      <c r="Q7" s="17" t="s">
        <v>98</v>
      </c>
      <c r="R7" s="17" t="s">
        <v>98</v>
      </c>
      <c r="S7" s="64" t="s">
        <v>294</v>
      </c>
      <c r="T7" s="64" t="s">
        <v>295</v>
      </c>
      <c r="U7" s="17" t="s">
        <v>98</v>
      </c>
      <c r="V7" s="64" t="s">
        <v>296</v>
      </c>
      <c r="W7" s="60"/>
    </row>
    <row r="8" spans="1:23" ht="43" customHeight="1">
      <c r="B8" s="14" t="s">
        <v>269</v>
      </c>
      <c r="C8" s="17">
        <v>50</v>
      </c>
      <c r="D8" s="17">
        <v>20</v>
      </c>
      <c r="E8" s="17">
        <v>239</v>
      </c>
      <c r="F8" s="17">
        <v>50</v>
      </c>
      <c r="G8" s="17">
        <v>5</v>
      </c>
      <c r="H8" s="17">
        <v>3</v>
      </c>
      <c r="I8" s="17"/>
      <c r="J8" s="17">
        <v>8</v>
      </c>
      <c r="K8" s="17">
        <v>10</v>
      </c>
      <c r="L8" s="17"/>
      <c r="M8" s="17"/>
      <c r="N8" s="17"/>
      <c r="O8" s="17"/>
      <c r="P8" s="17"/>
      <c r="Q8" s="17"/>
      <c r="R8" s="17"/>
      <c r="S8" s="17">
        <v>8</v>
      </c>
      <c r="T8" s="17">
        <v>5</v>
      </c>
      <c r="U8" s="60"/>
      <c r="V8" s="17">
        <v>3</v>
      </c>
      <c r="W8" s="60"/>
    </row>
    <row r="9" spans="1:23" ht="129.5">
      <c r="B9" s="14" t="s">
        <v>270</v>
      </c>
      <c r="C9" s="65" t="s">
        <v>282</v>
      </c>
      <c r="D9" s="64" t="s">
        <v>297</v>
      </c>
      <c r="E9" s="64" t="s">
        <v>298</v>
      </c>
      <c r="F9" s="64" t="s">
        <v>299</v>
      </c>
      <c r="G9" s="64" t="s">
        <v>300</v>
      </c>
      <c r="H9" s="64" t="s">
        <v>301</v>
      </c>
      <c r="I9" s="17" t="s">
        <v>98</v>
      </c>
      <c r="J9" s="64" t="s">
        <v>302</v>
      </c>
      <c r="K9" s="64" t="s">
        <v>303</v>
      </c>
      <c r="L9" s="17" t="s">
        <v>98</v>
      </c>
      <c r="M9" s="17" t="s">
        <v>98</v>
      </c>
      <c r="N9" s="17" t="s">
        <v>98</v>
      </c>
      <c r="O9" s="17" t="s">
        <v>98</v>
      </c>
      <c r="P9" s="17" t="s">
        <v>98</v>
      </c>
      <c r="Q9" s="17" t="s">
        <v>98</v>
      </c>
      <c r="R9" s="17" t="s">
        <v>98</v>
      </c>
      <c r="S9" s="64" t="s">
        <v>304</v>
      </c>
      <c r="T9" s="64" t="s">
        <v>305</v>
      </c>
      <c r="U9" s="17" t="s">
        <v>98</v>
      </c>
      <c r="V9" s="64" t="s">
        <v>306</v>
      </c>
      <c r="W9" s="60"/>
    </row>
    <row r="10" spans="1:23" ht="155" customHeight="1">
      <c r="B10" s="14" t="s">
        <v>271</v>
      </c>
      <c r="C10" s="64" t="s">
        <v>283</v>
      </c>
      <c r="D10" s="64" t="s">
        <v>307</v>
      </c>
      <c r="E10" s="64" t="s">
        <v>308</v>
      </c>
      <c r="F10" s="64" t="s">
        <v>310</v>
      </c>
      <c r="G10" s="64" t="s">
        <v>309</v>
      </c>
      <c r="H10" s="64" t="s">
        <v>311</v>
      </c>
      <c r="I10" s="17" t="s">
        <v>98</v>
      </c>
      <c r="J10" s="64" t="s">
        <v>312</v>
      </c>
      <c r="K10" s="64" t="s">
        <v>313</v>
      </c>
      <c r="L10" s="17" t="s">
        <v>98</v>
      </c>
      <c r="M10" s="17" t="s">
        <v>98</v>
      </c>
      <c r="N10" s="17" t="s">
        <v>98</v>
      </c>
      <c r="O10" s="17" t="s">
        <v>98</v>
      </c>
      <c r="P10" s="17" t="s">
        <v>98</v>
      </c>
      <c r="Q10" s="17" t="s">
        <v>98</v>
      </c>
      <c r="R10" s="17" t="s">
        <v>98</v>
      </c>
      <c r="S10" s="64" t="s">
        <v>314</v>
      </c>
      <c r="T10" s="64" t="s">
        <v>315</v>
      </c>
      <c r="U10" s="17" t="s">
        <v>98</v>
      </c>
      <c r="V10" s="64" t="s">
        <v>316</v>
      </c>
      <c r="W10" s="60"/>
    </row>
    <row r="11" spans="1:23" ht="166.5">
      <c r="B11" s="14" t="s">
        <v>272</v>
      </c>
      <c r="C11" s="64" t="s">
        <v>284</v>
      </c>
      <c r="D11" s="64" t="s">
        <v>317</v>
      </c>
      <c r="E11" s="64" t="s">
        <v>284</v>
      </c>
      <c r="F11" s="64" t="s">
        <v>318</v>
      </c>
      <c r="G11" s="61" t="s">
        <v>326</v>
      </c>
      <c r="H11" s="17" t="s">
        <v>326</v>
      </c>
      <c r="I11" s="17"/>
      <c r="J11" s="17" t="s">
        <v>326</v>
      </c>
      <c r="K11" s="17" t="s">
        <v>326</v>
      </c>
      <c r="L11" s="17" t="s">
        <v>98</v>
      </c>
      <c r="M11" s="17" t="s">
        <v>98</v>
      </c>
      <c r="N11" s="17" t="s">
        <v>98</v>
      </c>
      <c r="O11" s="17" t="s">
        <v>98</v>
      </c>
      <c r="P11" s="17" t="s">
        <v>98</v>
      </c>
      <c r="Q11" s="17" t="s">
        <v>98</v>
      </c>
      <c r="R11" s="17" t="s">
        <v>98</v>
      </c>
      <c r="S11" s="64" t="s">
        <v>326</v>
      </c>
      <c r="T11" s="64" t="s">
        <v>326</v>
      </c>
      <c r="U11" s="17" t="s">
        <v>98</v>
      </c>
      <c r="V11" s="64" t="s">
        <v>326</v>
      </c>
      <c r="W11" s="60"/>
    </row>
    <row r="12" spans="1:23" ht="185">
      <c r="B12" s="12" t="s">
        <v>273</v>
      </c>
      <c r="C12" s="64" t="s">
        <v>285</v>
      </c>
      <c r="D12" s="64" t="s">
        <v>319</v>
      </c>
      <c r="E12" s="64" t="s">
        <v>320</v>
      </c>
      <c r="F12" s="64" t="s">
        <v>321</v>
      </c>
      <c r="G12" s="64" t="s">
        <v>322</v>
      </c>
      <c r="H12" s="64" t="s">
        <v>323</v>
      </c>
      <c r="I12" s="17" t="s">
        <v>98</v>
      </c>
      <c r="J12" s="64" t="s">
        <v>324</v>
      </c>
      <c r="K12" s="64" t="s">
        <v>325</v>
      </c>
      <c r="L12" s="17" t="s">
        <v>98</v>
      </c>
      <c r="M12" s="17" t="s">
        <v>98</v>
      </c>
      <c r="N12" s="17" t="s">
        <v>98</v>
      </c>
      <c r="O12" s="17" t="s">
        <v>98</v>
      </c>
      <c r="P12" s="17" t="s">
        <v>98</v>
      </c>
      <c r="Q12" s="17" t="s">
        <v>98</v>
      </c>
      <c r="R12" s="17" t="s">
        <v>98</v>
      </c>
      <c r="S12" s="64" t="s">
        <v>328</v>
      </c>
      <c r="T12" s="65" t="s">
        <v>329</v>
      </c>
      <c r="U12" s="17" t="s">
        <v>98</v>
      </c>
      <c r="V12" s="64" t="s">
        <v>330</v>
      </c>
      <c r="W12" s="60"/>
    </row>
    <row r="13" spans="1:23" ht="74">
      <c r="B13" s="14" t="s">
        <v>274</v>
      </c>
      <c r="C13" s="64" t="s">
        <v>286</v>
      </c>
      <c r="D13" s="64" t="s">
        <v>327</v>
      </c>
      <c r="E13" s="64" t="s">
        <v>327</v>
      </c>
      <c r="F13" s="64" t="s">
        <v>327</v>
      </c>
      <c r="G13" s="64" t="s">
        <v>327</v>
      </c>
      <c r="H13" s="64" t="s">
        <v>327</v>
      </c>
      <c r="I13" s="17" t="s">
        <v>98</v>
      </c>
      <c r="J13" s="64" t="s">
        <v>327</v>
      </c>
      <c r="K13" s="64" t="s">
        <v>327</v>
      </c>
      <c r="L13" s="17" t="s">
        <v>98</v>
      </c>
      <c r="M13" s="17" t="s">
        <v>98</v>
      </c>
      <c r="N13" s="17" t="s">
        <v>98</v>
      </c>
      <c r="O13" s="17" t="s">
        <v>98</v>
      </c>
      <c r="P13" s="17" t="s">
        <v>98</v>
      </c>
      <c r="Q13" s="17" t="s">
        <v>98</v>
      </c>
      <c r="R13" s="17" t="s">
        <v>98</v>
      </c>
      <c r="S13" s="64" t="s">
        <v>327</v>
      </c>
      <c r="T13" s="64" t="s">
        <v>327</v>
      </c>
      <c r="U13" s="17" t="s">
        <v>98</v>
      </c>
      <c r="V13" s="64" t="s">
        <v>327</v>
      </c>
      <c r="W13" s="60"/>
    </row>
    <row r="14" spans="1:23" ht="388.5">
      <c r="B14" s="12" t="s">
        <v>275</v>
      </c>
      <c r="C14" s="65" t="s">
        <v>337</v>
      </c>
      <c r="D14" s="65" t="s">
        <v>337</v>
      </c>
      <c r="E14" s="65" t="s">
        <v>337</v>
      </c>
      <c r="F14" s="64" t="s">
        <v>331</v>
      </c>
      <c r="G14" s="64" t="s">
        <v>333</v>
      </c>
      <c r="H14" s="64" t="s">
        <v>332</v>
      </c>
      <c r="I14" s="17" t="s">
        <v>98</v>
      </c>
      <c r="J14" s="64" t="s">
        <v>334</v>
      </c>
      <c r="K14" s="64" t="s">
        <v>333</v>
      </c>
      <c r="L14" s="17" t="s">
        <v>98</v>
      </c>
      <c r="M14" s="17" t="s">
        <v>98</v>
      </c>
      <c r="N14" s="17" t="s">
        <v>98</v>
      </c>
      <c r="O14" s="17" t="s">
        <v>98</v>
      </c>
      <c r="P14" s="17" t="s">
        <v>98</v>
      </c>
      <c r="Q14" s="17" t="s">
        <v>98</v>
      </c>
      <c r="R14" s="17" t="s">
        <v>98</v>
      </c>
      <c r="S14" s="64" t="s">
        <v>335</v>
      </c>
      <c r="T14" s="64" t="s">
        <v>335</v>
      </c>
      <c r="U14" s="17" t="s">
        <v>98</v>
      </c>
      <c r="V14" s="64" t="s">
        <v>336</v>
      </c>
      <c r="W14" s="60"/>
    </row>
    <row r="15" spans="1:23" ht="18.5">
      <c r="B15" s="12" t="s">
        <v>276</v>
      </c>
      <c r="C15" s="64" t="s">
        <v>338</v>
      </c>
      <c r="D15" s="64" t="s">
        <v>338</v>
      </c>
      <c r="E15" s="64" t="s">
        <v>338</v>
      </c>
      <c r="F15" s="64" t="s">
        <v>338</v>
      </c>
      <c r="G15" s="64" t="s">
        <v>338</v>
      </c>
      <c r="H15" s="64" t="s">
        <v>338</v>
      </c>
      <c r="I15" s="64" t="s">
        <v>338</v>
      </c>
      <c r="J15" s="64" t="s">
        <v>338</v>
      </c>
      <c r="K15" s="64" t="s">
        <v>338</v>
      </c>
      <c r="L15" s="64" t="s">
        <v>338</v>
      </c>
      <c r="M15" s="64" t="s">
        <v>338</v>
      </c>
      <c r="N15" s="64" t="s">
        <v>338</v>
      </c>
      <c r="O15" s="64" t="s">
        <v>338</v>
      </c>
      <c r="P15" s="64" t="s">
        <v>338</v>
      </c>
      <c r="Q15" s="64" t="s">
        <v>338</v>
      </c>
      <c r="R15" s="64" t="s">
        <v>338</v>
      </c>
      <c r="S15" s="64" t="s">
        <v>338</v>
      </c>
      <c r="T15" s="64" t="s">
        <v>338</v>
      </c>
      <c r="U15" s="64" t="s">
        <v>338</v>
      </c>
      <c r="V15" s="64" t="s">
        <v>338</v>
      </c>
      <c r="W15" s="60"/>
    </row>
    <row r="16" spans="1:23" ht="55.5">
      <c r="B16" s="14" t="s">
        <v>277</v>
      </c>
      <c r="C16" s="64" t="s">
        <v>98</v>
      </c>
      <c r="D16" s="64" t="s">
        <v>98</v>
      </c>
      <c r="E16" s="64" t="s">
        <v>98</v>
      </c>
      <c r="F16" s="64" t="s">
        <v>98</v>
      </c>
      <c r="G16" s="64" t="s">
        <v>98</v>
      </c>
      <c r="H16" s="64" t="s">
        <v>98</v>
      </c>
      <c r="I16" s="64" t="s">
        <v>98</v>
      </c>
      <c r="J16" s="64" t="s">
        <v>98</v>
      </c>
      <c r="K16" s="64" t="s">
        <v>98</v>
      </c>
      <c r="L16" s="64" t="s">
        <v>98</v>
      </c>
      <c r="M16" s="64" t="s">
        <v>98</v>
      </c>
      <c r="N16" s="64" t="s">
        <v>98</v>
      </c>
      <c r="O16" s="64" t="s">
        <v>98</v>
      </c>
      <c r="P16" s="64" t="s">
        <v>98</v>
      </c>
      <c r="Q16" s="64" t="s">
        <v>98</v>
      </c>
      <c r="R16" s="64" t="s">
        <v>98</v>
      </c>
      <c r="S16" s="64" t="s">
        <v>98</v>
      </c>
      <c r="T16" s="64" t="s">
        <v>98</v>
      </c>
      <c r="U16" s="64" t="s">
        <v>98</v>
      </c>
      <c r="V16" s="64" t="s">
        <v>98</v>
      </c>
      <c r="W16" s="60"/>
    </row>
    <row r="17" spans="2:23" ht="18.5">
      <c r="B17" s="12" t="s">
        <v>278</v>
      </c>
      <c r="C17" s="64" t="s">
        <v>98</v>
      </c>
      <c r="D17" s="64" t="s">
        <v>98</v>
      </c>
      <c r="E17" s="64" t="s">
        <v>98</v>
      </c>
      <c r="F17" s="64" t="s">
        <v>98</v>
      </c>
      <c r="G17" s="64" t="s">
        <v>98</v>
      </c>
      <c r="H17" s="64" t="s">
        <v>98</v>
      </c>
      <c r="I17" s="64" t="s">
        <v>98</v>
      </c>
      <c r="J17" s="64" t="s">
        <v>98</v>
      </c>
      <c r="K17" s="64" t="s">
        <v>98</v>
      </c>
      <c r="L17" s="64" t="s">
        <v>98</v>
      </c>
      <c r="M17" s="64" t="s">
        <v>98</v>
      </c>
      <c r="N17" s="64" t="s">
        <v>98</v>
      </c>
      <c r="O17" s="64" t="s">
        <v>98</v>
      </c>
      <c r="P17" s="64" t="s">
        <v>98</v>
      </c>
      <c r="Q17" s="64" t="s">
        <v>98</v>
      </c>
      <c r="R17" s="64" t="s">
        <v>98</v>
      </c>
      <c r="S17" s="64" t="s">
        <v>98</v>
      </c>
      <c r="T17" s="64" t="s">
        <v>98</v>
      </c>
      <c r="U17" s="64" t="s">
        <v>98</v>
      </c>
      <c r="V17" s="64" t="s">
        <v>98</v>
      </c>
      <c r="W17" s="60"/>
    </row>
    <row r="18" spans="2:23" ht="18.5">
      <c r="B18" s="12" t="s">
        <v>279</v>
      </c>
      <c r="C18" s="64" t="s">
        <v>98</v>
      </c>
      <c r="D18" s="64" t="s">
        <v>98</v>
      </c>
      <c r="E18" s="64" t="s">
        <v>98</v>
      </c>
      <c r="F18" s="64" t="s">
        <v>98</v>
      </c>
      <c r="G18" s="64" t="s">
        <v>98</v>
      </c>
      <c r="H18" s="64" t="s">
        <v>98</v>
      </c>
      <c r="I18" s="64" t="s">
        <v>98</v>
      </c>
      <c r="J18" s="64" t="s">
        <v>98</v>
      </c>
      <c r="K18" s="64" t="s">
        <v>98</v>
      </c>
      <c r="L18" s="64" t="s">
        <v>98</v>
      </c>
      <c r="M18" s="64" t="s">
        <v>98</v>
      </c>
      <c r="N18" s="64" t="s">
        <v>98</v>
      </c>
      <c r="O18" s="64" t="s">
        <v>98</v>
      </c>
      <c r="P18" s="64" t="s">
        <v>98</v>
      </c>
      <c r="Q18" s="64" t="s">
        <v>98</v>
      </c>
      <c r="R18" s="64" t="s">
        <v>98</v>
      </c>
      <c r="S18" s="64" t="s">
        <v>98</v>
      </c>
      <c r="T18" s="64" t="s">
        <v>98</v>
      </c>
      <c r="U18" s="64" t="s">
        <v>98</v>
      </c>
      <c r="V18" s="64" t="s">
        <v>98</v>
      </c>
      <c r="W18" s="60"/>
    </row>
  </sheetData>
  <mergeCells count="4">
    <mergeCell ref="C2:F2"/>
    <mergeCell ref="G2:K2"/>
    <mergeCell ref="L2:R2"/>
    <mergeCell ref="S2:V2"/>
  </mergeCells>
  <conditionalFormatting sqref="C4:W18">
    <cfRule type="notContainsBlanks" dxfId="0" priority="1" stopIfTrue="1">
      <formula>LEN(TRIM(C4))&gt;0</formula>
    </cfRule>
  </conditionalFormatting>
  <dataValidations disablePrompts="1" count="3">
    <dataValidation type="list" allowBlank="1" showInputMessage="1" showErrorMessage="1" sqref="C5:V5" xr:uid="{51B2FDA9-5076-4B83-9CFE-080A57238036}">
      <formula1>"High,Medium,Low,N/A"</formula1>
    </dataValidation>
    <dataValidation type="whole" operator="greaterThan" allowBlank="1" showInputMessage="1" showErrorMessage="1" sqref="C8:T8 V8" xr:uid="{9DC82E03-5399-4A3C-AC1C-157CA385106A}">
      <formula1>0</formula1>
    </dataValidation>
    <dataValidation type="list" allowBlank="1" showInputMessage="1" showErrorMessage="1" sqref="C4:V4 C6:V6" xr:uid="{474D1438-EB9E-47AB-80CD-C5E4F3A5B31E}">
      <formula1>"Yes,No"</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15A02-AD11-F04F-9D5D-8B9B332E70E5}">
  <dimension ref="B3:K12"/>
  <sheetViews>
    <sheetView showGridLines="0" topLeftCell="A3" zoomScale="55" zoomScaleNormal="55" workbookViewId="0">
      <selection activeCell="G21" sqref="G21"/>
    </sheetView>
  </sheetViews>
  <sheetFormatPr defaultColWidth="10.6640625" defaultRowHeight="16"/>
  <cols>
    <col min="1" max="1" width="5.5" customWidth="1"/>
    <col min="3" max="3" width="17.08203125" customWidth="1"/>
    <col min="4" max="4" width="32.6640625" customWidth="1"/>
    <col min="5" max="9" width="39.5" customWidth="1"/>
  </cols>
  <sheetData>
    <row r="3" spans="2:11" ht="34" customHeight="1">
      <c r="B3" s="78" t="s">
        <v>65</v>
      </c>
      <c r="C3" s="78"/>
      <c r="D3" s="78"/>
      <c r="E3" s="78"/>
      <c r="F3" s="78"/>
      <c r="G3" s="78"/>
      <c r="H3" s="78"/>
      <c r="I3" s="78"/>
      <c r="J3" s="78"/>
      <c r="K3" s="78"/>
    </row>
    <row r="4" spans="2:11" ht="34" customHeight="1">
      <c r="B4" s="78"/>
      <c r="C4" s="78"/>
      <c r="D4" s="78"/>
      <c r="E4" s="78"/>
      <c r="F4" s="78"/>
      <c r="G4" s="78"/>
      <c r="H4" s="78"/>
      <c r="I4" s="78"/>
      <c r="J4" s="78"/>
      <c r="K4" s="78"/>
    </row>
    <row r="5" spans="2:11" ht="34" customHeight="1">
      <c r="B5" s="78"/>
      <c r="C5" s="78"/>
      <c r="D5" s="78"/>
      <c r="E5" s="78"/>
      <c r="F5" s="78"/>
      <c r="G5" s="78"/>
      <c r="H5" s="78"/>
      <c r="I5" s="78"/>
      <c r="J5" s="78"/>
      <c r="K5" s="78"/>
    </row>
    <row r="6" spans="2:11" ht="34" customHeight="1">
      <c r="B6" s="78"/>
      <c r="C6" s="78"/>
      <c r="D6" s="78"/>
      <c r="E6" s="78"/>
      <c r="F6" s="78"/>
      <c r="G6" s="78"/>
      <c r="H6" s="78"/>
      <c r="I6" s="78"/>
      <c r="J6" s="78"/>
      <c r="K6" s="78"/>
    </row>
    <row r="8" spans="2:11" ht="25">
      <c r="B8" s="80" t="s">
        <v>168</v>
      </c>
      <c r="C8" s="80"/>
      <c r="D8" s="80"/>
      <c r="E8" s="80"/>
      <c r="F8" s="80"/>
      <c r="G8" s="80"/>
      <c r="H8" s="80"/>
      <c r="I8" s="41"/>
    </row>
    <row r="9" spans="2:11">
      <c r="B9" s="41"/>
      <c r="C9" s="41"/>
      <c r="D9" s="41"/>
      <c r="E9" s="41"/>
      <c r="F9" s="42"/>
      <c r="G9" s="41"/>
      <c r="H9" s="41"/>
      <c r="I9" s="41"/>
    </row>
    <row r="10" spans="2:11" ht="44" customHeight="1">
      <c r="B10" s="81" t="s">
        <v>169</v>
      </c>
      <c r="C10" s="83" t="s">
        <v>170</v>
      </c>
      <c r="D10" s="83" t="s">
        <v>171</v>
      </c>
      <c r="E10" s="43" t="s">
        <v>172</v>
      </c>
      <c r="F10" s="43" t="s">
        <v>173</v>
      </c>
      <c r="G10" s="43" t="s">
        <v>174</v>
      </c>
      <c r="H10" s="43" t="s">
        <v>175</v>
      </c>
      <c r="I10" s="43" t="s">
        <v>176</v>
      </c>
    </row>
    <row r="11" spans="2:11" ht="68" customHeight="1">
      <c r="B11" s="82"/>
      <c r="C11" s="84"/>
      <c r="D11" s="84"/>
      <c r="E11" s="43" t="s">
        <v>177</v>
      </c>
      <c r="F11" s="43" t="s">
        <v>178</v>
      </c>
      <c r="G11" s="43" t="s">
        <v>179</v>
      </c>
      <c r="H11" s="43" t="s">
        <v>180</v>
      </c>
      <c r="I11" s="43" t="s">
        <v>181</v>
      </c>
    </row>
    <row r="12" spans="2:11" ht="279.5" customHeight="1">
      <c r="B12" s="44">
        <v>1</v>
      </c>
      <c r="C12" s="45" t="s">
        <v>182</v>
      </c>
      <c r="D12" s="45" t="s">
        <v>183</v>
      </c>
      <c r="E12" s="45" t="s">
        <v>184</v>
      </c>
      <c r="F12" s="45" t="s">
        <v>185</v>
      </c>
      <c r="G12" s="45" t="s">
        <v>186</v>
      </c>
      <c r="H12" s="45" t="s">
        <v>187</v>
      </c>
      <c r="I12" s="45" t="s">
        <v>188</v>
      </c>
    </row>
  </sheetData>
  <mergeCells count="5">
    <mergeCell ref="B3:K6"/>
    <mergeCell ref="B8:H8"/>
    <mergeCell ref="B10:B11"/>
    <mergeCell ref="C10:C11"/>
    <mergeCell ref="D10: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 Introduction</vt:lpstr>
      <vt:lpstr>2. RFI Rules of Engagement</vt:lpstr>
      <vt:lpstr>3. FRI Terms &amp; Conditions</vt:lpstr>
      <vt:lpstr>4. General Company Information</vt:lpstr>
      <vt:lpstr>5. Financials Info</vt:lpstr>
      <vt:lpstr>6. Assembly and Supply chain</vt:lpstr>
      <vt:lpstr>7.OSS-Onsite service &amp; support</vt:lpstr>
      <vt:lpstr>8a. Headcount Summary</vt:lpstr>
      <vt:lpstr>8b. Project Management Process</vt:lpstr>
      <vt:lpstr>9a. Technical Capabilities</vt:lpstr>
      <vt:lpstr>9b. Technical roadmap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Laxman Subramanian</dc:creator>
  <cp:lastModifiedBy>Huong Pham Thi</cp:lastModifiedBy>
  <dcterms:created xsi:type="dcterms:W3CDTF">2025-03-18T02:01:45Z</dcterms:created>
  <dcterms:modified xsi:type="dcterms:W3CDTF">2025-04-28T11:30:58Z</dcterms:modified>
</cp:coreProperties>
</file>