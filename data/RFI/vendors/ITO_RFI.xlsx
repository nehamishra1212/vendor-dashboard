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Work\ABC\Ito\"/>
    </mc:Choice>
  </mc:AlternateContent>
  <xr:revisionPtr revIDLastSave="0" documentId="13_ncr:1_{E9AA25AD-84E2-4D52-BA52-16EE5BE98025}"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28680" yWindow="-120" windowWidth="29040" windowHeight="15720" tabRatio="826" activeTab="5"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<sst xmlns="http://schemas.openxmlformats.org/spreadsheetml/2006/main" count="622" uniqueCount="444">
  <si>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</si>
  <si>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</si>
  <si>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</si>
  <si>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</si>
  <si>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</si>
  <si>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</si>
  <si>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</si>
  <si>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</si>
  <si>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</si>
  <si>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</si>
  <si>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</si>
  <si>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</si>
  <si>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</si>
  <si>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</si>
  <si>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</si>
  <si>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</si>
  <si>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</si>
  <si>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</si>
  <si>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</si>
  <si>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</si>
  <si>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</si>
  <si>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</si>
  <si>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</si>
  <si>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</si>
  <si>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</si>
  <si>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</si>
  <si>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</si>
  <si>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</si>
  <si>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</si>
  <si>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</si>
  <si>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</si>
  <si>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</si>
  <si>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</si>
  <si>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</si>
  <si>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</si>
  <si>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</si>
  <si>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</si>
  <si>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</si>
  <si>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</si>
  <si>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</si>
  <si>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</si>
  <si>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</si>
  <si>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</si>
  <si>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</si>
  <si>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</si>
  <si>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</si>
  <si>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</si>
  <si>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</si>
  <si>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</si>
  <si>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</si>
  <si>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</si>
  <si>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</si>
  <si>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</si>
  <si>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</si>
  <si>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</si>
  <si>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</si>
  <si>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</si>
  <si>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</si>
  <si>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</si>
  <si>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</si>
  <si>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</si>
  <si>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</si>
  <si>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</si>
  <si>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</si>
  <si>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</si>
  <si>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</si>
  <si>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</si>
  <si>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</si>
  <si>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</si>
  <si>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</si>
  <si>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</si>
  <si>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</si>
  <si>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</si>
  <si>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</si>
  <si>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</si>
  <si>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</si>
  <si>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</si>
  <si>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</si>
  <si>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</si>
  <si>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</si>
  <si>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</si>
  <si>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</si>
  <si>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</si>
  <si>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</si>
  <si>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</si>
  <si>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</si>
  <si>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</si>
  <si>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</si>
  <si>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</si>
  <si>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</si>
  <si>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</si>
  <si>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</si>
  <si>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</si>
  <si>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</si>
  <si>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</si>
  <si>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</si>
  <si>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</si>
  <si>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</si>
  <si>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</si>
  <si>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</si>
  <si>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</si>
  <si>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</si>
  <si>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</si>
  <si>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</si>
  <si>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</si>
  <si>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</si>
  <si>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</si>
  <si>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</si>
  <si>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</si>
  <si>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</si>
  <si>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</si>
  <si>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</si>
  <si>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</si>
  <si>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</si>
  <si>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</si>
  <si>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</si>
  <si>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</si>
  <si>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</si>
  <si>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</si>
  <si>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</si>
  <si>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</si>
  <si>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</si>
  <si>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</si>
  <si>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</si>
  <si>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</si>
  <si>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</si>
  <si>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</si>
  <si>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</si>
  <si>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</si>
  <si>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</si>
  <si>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</si>
  <si>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</si>
  <si>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</si>
  <si>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</si>
  <si>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</si>
  <si>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</si>
  <si>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</si>
  <si>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</si>
  <si>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</si>
  <si>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</si>
  <si>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</si>
  <si>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</si>
  <si>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</si>
  <si>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</si>
  <si>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</si>
  <si>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</si>
  <si>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</si>
  <si>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</si>
  <si>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</si>
  <si>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</si>
  <si>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</si>
  <si>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</si>
  <si>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</si>
  <si>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</si>
  <si>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</si>
  <si>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</si>
  <si>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</si>
  <si>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</si>
  <si>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</si>
  <si>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</si>
  <si>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</si>
  <si>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</si>
  <si>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</si>
  <si>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</si>
  <si>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</si>
  <si>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</si>
  <si>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</si>
  <si>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</si>
  <si>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</si>
  <si>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</si>
  <si>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</si>
  <si>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</si>
  <si>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</si>
  <si>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</si>
  <si>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</si>
  <si>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</si>
  <si>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</si>
  <si>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</si>
  <si>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</si>
  <si>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</si>
  <si>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</si>
  <si>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</si>
  <si>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</si>
  <si>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</si>
  <si>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</si>
  <si>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</si>
  <si>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</si>
  <si>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</si>
  <si>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</si>
  <si>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</si>
  <si>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</si>
  <si>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</si>
  <si>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</si>
  <si>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</si>
  <si>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</si>
  <si>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</si>
  <si>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</si>
  <si>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</si>
  <si>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</si>
  <si>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</si>
  <si>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</si>
  <si>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</si>
  <si>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</si>
  <si>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</si>
  <si>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</si>
  <si>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</si>
  <si>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</si>
  <si>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</si>
  <si>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</si>
  <si>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</si>
  <si>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</si>
  <si>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</si>
  <si>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</si>
  <si>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</si>
  <si>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</si>
  <si>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</si>
  <si>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</si>
  <si>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</si>
  <si>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</si>
  <si>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</si>
  <si>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</si>
  <si>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</si>
  <si>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</si>
  <si>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</si>
  <si>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</si>
  <si>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</si>
  <si>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</si>
  <si>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</si>
  <si>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</si>
  <si>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</si>
  <si>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</si>
  <si>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</si>
  <si>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</si>
  <si>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</si>
  <si>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</si>
  <si>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</si>
  <si>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</si>
  <si>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</si>
  <si>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</si>
  <si>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</si>
  <si>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</si>
  <si>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</si>
  <si>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</si>
  <si>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</si>
  <si>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</si>
  <si>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</si>
  <si>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</si>
  <si>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</si>
  <si>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</si>
  <si>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</si>
  <si>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</si>
  <si>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</si>
  <si>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</si>
  <si>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</si>
  <si>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</si>
  <si>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</si>
  <si>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</si>
  <si>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</si>
  <si>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</si>
  <si>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</si>
  <si>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</si>
  <si>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</si>
  <si>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</si>
  <si>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</si>
  <si>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</si>
  <si>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</si>
  <si>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</si>
  <si>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</si>
  <si>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</si>
  <si>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</si>
  <si>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</si>
  <si>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</si>
  <si>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</si>
  <si>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</si>
  <si>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</si>
  <si>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</si>
  <si>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</si>
  <si>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</si>
  <si>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</si>
  <si>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</si>
  <si>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</si>
  <si>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</si>
  <si>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</si>
  <si>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</si>
  <si>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</si>
  <si>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</si>
  <si>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</si>
  <si>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</si>
  <si>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</si>
  <si>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</si>
  <si>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</si>
  <si>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</si>
  <si>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</si>
  <si>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</si>
  <si>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</si>
  <si>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</si>
  <si>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</si>
  <si>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</si>
  <si>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</si>
  <si>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</si>
  <si>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</si>
  <si>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</si>
  <si>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</si>
  <si>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</si>
  <si>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</si>
  <si>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</si>
  <si>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</si>
  <si>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</si>
  <si>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</si>
  <si>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</si>
  <si>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</si>
  <si>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</si>
  <si>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</si>
  <si>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</si>
  <si>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</si>
  <si>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</si>
  <si>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</si>
  <si>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</si>
  <si>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</si>
  <si>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</si>
  <si>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Ito Group Holdings Pte. Ltd.</t>
  </si>
  <si>
    <t>7 Purvis Street, #04-01, Singapore 188586</t>
  </si>
  <si>
    <t>www.ito-group.com</t>
  </si>
  <si>
    <t>Peter Opdahl</t>
  </si>
  <si>
    <t>CEO</t>
  </si>
  <si>
    <t>United States of America</t>
  </si>
  <si>
    <t>peter@ito-group.com</t>
  </si>
  <si>
    <t>+1-714-733-8839</t>
  </si>
  <si>
    <t>Long Woo</t>
  </si>
  <si>
    <t>Global Account Manager</t>
  </si>
  <si>
    <t>long.woo@ito-group.com</t>
  </si>
  <si>
    <t>+1-669-278-3622</t>
  </si>
  <si>
    <t>General Manager</t>
  </si>
  <si>
    <t>Sayuri Yagi</t>
  </si>
  <si>
    <t>CFO</t>
  </si>
  <si>
    <t>sayuri@ito-group.com</t>
  </si>
  <si>
    <t>+1-480-658-8411</t>
  </si>
  <si>
    <t>Jackson Nguyen</t>
  </si>
  <si>
    <t>Deputy General Manager</t>
  </si>
  <si>
    <t>+84-985888683</t>
  </si>
  <si>
    <t>jackson@ito-group.com</t>
  </si>
  <si>
    <t>Wendy Trang</t>
  </si>
  <si>
    <t>wendy@ito-group.com</t>
  </si>
  <si>
    <t>+84-908212176</t>
  </si>
  <si>
    <t>Ho Chi Minh City, Vietnam</t>
  </si>
  <si>
    <t>204, No Trang Long Street, Ward 12,
Binh Thanh District,Ho Chi Minh City, Vietnam.</t>
  </si>
  <si>
    <t xml:space="preserve">7, Purvis Street #04-01,
Singapore 188586  </t>
  </si>
  <si>
    <t>Takashi Suzuki</t>
  </si>
  <si>
    <t>Director of Operations</t>
  </si>
  <si>
    <t>suzuki@ito-group.com</t>
  </si>
  <si>
    <t>+81-8013581847</t>
  </si>
  <si>
    <t xml:space="preserve"> V67_V62_V63_V64_V68
V77_V72_V73_V74_V78_V79</t>
  </si>
  <si>
    <t>ACF Assembly</t>
  </si>
  <si>
    <t>N/A</t>
  </si>
  <si>
    <t>R&amp;D</t>
  </si>
  <si>
    <t xml:space="preserve">ACF Assembly / Loader/Unloader / Dispensing / Vision Inspection / Pick and Place / Thermal Interface Material / Screw fastening /Micro-welding /labelling / pack-out/ Plasma Cleaning/ UV cure/ Thermal cure/ Solder reflow/ Film lamination/ Maglev transport/ SECS/GEM integration. </t>
  </si>
  <si>
    <t xml:space="preserve">Singapore, Vietnam, USA, Portland, China. </t>
  </si>
  <si>
    <t>Bangalore, India</t>
  </si>
  <si>
    <t>Second Floor, ‘Winsor F4’ 75/1B, Hulimavu, Bannerghatta Road, Bangalore 560076, India</t>
  </si>
  <si>
    <t>Mesa, Arizona</t>
  </si>
  <si>
    <t>952 E. Baseline Rd., Suite 106, Mesa, AZ 85204 U.S.A.</t>
  </si>
  <si>
    <t>Bangkok, Thailand</t>
  </si>
  <si>
    <t>656/7, Unit A, 3rd Floor, Green Tower, Rama 4 Road, Klongton, Klongtoey,
Bangkok 10110, Thailand</t>
  </si>
  <si>
    <t>High</t>
  </si>
  <si>
    <t>Low</t>
  </si>
  <si>
    <t>Japan, China</t>
  </si>
  <si>
    <t>Demand forecasting</t>
  </si>
  <si>
    <t>We have In-house CNC machining capabilities. We operate a total of 9 CNC machines with 20um machining accuracy, producing over 95% of the machine parts required for our own equipment.</t>
  </si>
  <si>
    <t>PLC, HMI,C++</t>
  </si>
  <si>
    <t>Modular platforms, flexible feeding, maglev systems</t>
  </si>
  <si>
    <t>Concept &gt; DFM &gt; Machining/Assembly</t>
  </si>
  <si>
    <t>Medium</t>
  </si>
  <si>
    <t>PLC (Siemens, Omron, Mitsubishi, Keyence) &amp; PC-based control (C++, C#). MES integration, SEC/GEM, motion control, HMI/SCADA.</t>
  </si>
  <si>
    <t>Turnkey automation systems integrating mechanical, electrical, software, and vision subsystems</t>
  </si>
  <si>
    <t>Tailor-made machines for unique processes, including modular maglev platforms, single-purpose stations, and semi-auto systems.</t>
  </si>
  <si>
    <t>High-precision glue, UV resin, thermal pad dispensing using 3rd-party heads (e.g., Musashi) integrated into custom machines.</t>
  </si>
  <si>
    <t>Laser marking and systems with safety class compliance and vision alignment.</t>
  </si>
  <si>
    <t>Surface treatment via plasma integration</t>
  </si>
  <si>
    <t>SCARA, single-axis, or maglev-based P&amp;P systems for component handling and placement.</t>
  </si>
  <si>
    <t>Semi-auto and fully automatic screw tightening, pressing, labeling, and other joining processes.</t>
  </si>
  <si>
    <t>~$300K (PLCs, HMIs, I/O modules)</t>
  </si>
  <si>
    <t>~$700K (Motors, controllers, SCARA arms, vision cameras)</t>
  </si>
  <si>
    <t>~$400K (Maglev modules, modular end effectors, sensors)</t>
  </si>
  <si>
    <t>~$150K (Aluminum profiles, pneumatic components, linear guides)</t>
  </si>
  <si>
    <t>RFP to DFM: 2w, KO to ETA: 6–8w, ETA to SAT: 4w (Total: 12–14 weeks)</t>
  </si>
  <si>
    <t>Flexible platforms, fast integration, in-house control &amp; vision</t>
  </si>
  <si>
    <t>Sonion/Jabil/Sharp</t>
  </si>
  <si>
    <t>Strong team with PLC, PC, MES, SECS/GEM experience</t>
  </si>
  <si>
    <t>2022: PC+MES control for Sharp Label Line ($250K)</t>
  </si>
  <si>
    <t>Modular &amp; scalable systems (SCARA, maglev, gantry)</t>
  </si>
  <si>
    <t>RFP to DFM: 1w, KO to ETA: 2–3w, ETA to SAT: 2w (Total: 5–6 weeks)</t>
  </si>
  <si>
    <t>2024: Maglev Multi-station Platform ($3M, 5 months)</t>
  </si>
  <si>
    <t>Resources are allocated dynamically based on project load and timing. Shared team structure includes: 4 PMs, 16 Engineers (8 Mechanical, 8 Software), 35 Production, 26 OSS, with support from R&amp;D, Supply Chain, and Logistics when needed.</t>
  </si>
  <si>
    <t>In-house DFM, jig design, and precision machining</t>
  </si>
  <si>
    <t>2023: SCARA Platform Line $1.2M, 4 months)</t>
  </si>
  <si>
    <t>2022: Screw tightening jig/fixture, 200pcs, $600K, 2 months</t>
  </si>
  <si>
    <t>Jabil</t>
  </si>
  <si>
    <t>Basic functionality covered by internal team or modules</t>
  </si>
  <si>
    <t>Musashi integration, flexible resin/glue dispensing</t>
  </si>
  <si>
    <t>Class-1 safety compliance with vision alignment</t>
  </si>
  <si>
    <t>Integrated plasma for surface prep in clean processes</t>
  </si>
  <si>
    <t>Vision-guided pick &amp; place with SCARA/single-axis/maglev</t>
  </si>
  <si>
    <t>Full range: screw, press, label with brand drivers</t>
  </si>
  <si>
    <t>Internal Use</t>
  </si>
  <si>
    <t>OCR, defect detect, 3D measurement, high integration</t>
  </si>
  <si>
    <t>2024: UV Glue for Jabil Lens Assembly (3 systems, $350K)</t>
  </si>
  <si>
    <t>2023: Sharp laser marking (4 lines, $500K)</t>
  </si>
  <si>
    <t>2022: Plasma prep for camera bonding (2 sets, $200K)</t>
  </si>
  <si>
    <t>2023: Component attach in iPhone sub-module (4 cells, $450K)</t>
  </si>
  <si>
    <t>2024: AirPods screw press station (10 lines, $1.5M)</t>
  </si>
  <si>
    <t>Not Applicable</t>
  </si>
  <si>
    <t>2022: Sharp OCR inspection (6 units, $750K)</t>
  </si>
  <si>
    <t>Sonion</t>
  </si>
  <si>
    <t>Mitsumi</t>
  </si>
  <si>
    <t>Jabil/Sharp</t>
  </si>
  <si>
    <t>Jabil/Sharp/Sonion</t>
  </si>
  <si>
    <t>Technology platforms include SCARA robots, gantry systems, maglev conveyors, PC/PLC-based controls, laser marking, vision systems, and modular process units (dispensing, screw tightening, labeling, etc.).</t>
  </si>
  <si>
    <t>$50K–150K depending on project scope. Key components: actuators, servo motors, cameras, PLCs, drivers, dispense heads, sensors, lighting modules, and frames.</t>
  </si>
  <si>
    <t>Epson, Nagano, Japan ($300K spent)
Mitsubishi,Tokyo, Japan ($600K spent)
Keyence, Osaka, Japan ($350Kspent)</t>
  </si>
  <si>
    <t xml:space="preserve">~$100K </t>
  </si>
  <si>
    <t xml:space="preserve">~$150K </t>
  </si>
  <si>
    <t xml:space="preserve">~$30K </t>
  </si>
  <si>
    <t>Ito Vietnam Factory</t>
  </si>
  <si>
    <t>Japan Assembly Partner</t>
  </si>
  <si>
    <t>Ito India Lab</t>
  </si>
  <si>
    <t>Ito America Lab</t>
  </si>
  <si>
    <t>Ito Thailand Lab</t>
  </si>
  <si>
    <t>Motion control, robot &amp; vision integration
Short lead time and cost effective</t>
  </si>
  <si>
    <t xml:space="preserve">Precise laser position up to +/-5um </t>
  </si>
  <si>
    <t xml:space="preserve">Pick and place the component size range from 0.5mm diameter to 20mmx10mm square with accuracy up to +/-5um.  </t>
  </si>
  <si>
    <t>Capable of handling products from as large as 2 meters to as small as 0.65 mm in diameter. Our solutions include both air pulse and jetting types, tailored to meet customer specifications and requirements.</t>
  </si>
  <si>
    <t>In-line Atomspheric Plasma 
N2/Air plasma with low cost and low contamination</t>
  </si>
  <si>
    <t>2020, ACF Attached, 5 standalone machines with loader/unloader, ~$200K</t>
  </si>
  <si>
    <t>jayden_hu@apple.com</t>
  </si>
  <si>
    <t>Jayden Hu</t>
  </si>
  <si>
    <t>Nagano Japan</t>
  </si>
  <si>
    <t xml:space="preserve">5-19-5, MINATO OKAYA, NAGANO, 394-0044 Japan </t>
  </si>
  <si>
    <t>System Integration</t>
  </si>
  <si>
    <t>No solid plan yet, but we are open to consider expanding our manufacturing sites to accommodate the customer's requirements.</t>
  </si>
  <si>
    <t>We follow ISO 9001:2015 system for IQC, IPQC and OQC</t>
  </si>
  <si>
    <t xml:space="preserve">For the outsourcing components, first of all we have been keeping the stronge partnership with our suppliers to ensure stable component supply. Second, we have diversified our supplier resources for the same category components, for example, we used both Keyence and Cognex vision system in our automation line. In addition, we also keep safety stock to mitigate the risk of unexpected delays. 
For machining components, we have in-house CNC machines which mainly serve the demand from our equipment manufacturing. We have also certified 2+ suppliers in case our in-house CNC machine cannot meet the production capacity requirement. </t>
  </si>
  <si>
    <t>Vietnam, China</t>
  </si>
  <si>
    <t>India, China</t>
  </si>
  <si>
    <t>We are working on ERPNext to manage the 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</si>
</sst>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8">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180975</xdr:colOff>
      <xdr:row>7</xdr:row>
      <xdr:rowOff>85725</xdr:rowOff>
    </xdr:from>
    <xdr:to>
      <xdr:col>17</xdr:col>
      <xdr:colOff>495300</xdr:colOff>
      <xdr:row>28</xdr:row>
      <xdr:rowOff>95250</xdr:rowOff>
    </xdr:to>
    <xdr:pic>
      <xdr:nvPicPr>
        <xdr:cNvPr id="3" name="Picture 2">
          <a:extLst>
            <a:ext uri="{FF2B5EF4-FFF2-40B4-BE49-F238E27FC236}">
              <a16:creationId xmlns:a16="http://schemas.microsoft.com/office/drawing/2014/main" id="{7E86A51D-7473-AA2C-A9DB-9C462DE04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3086100"/>
          <a:ext cx="15373350" cy="421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18</xdr:col>
      <xdr:colOff>137160</xdr:colOff>
      <xdr:row>92</xdr:row>
      <xdr:rowOff>83820</xdr:rowOff>
    </xdr:to>
    <xdr:sp macro="" textlink="">
      <xdr:nvSpPr>
        <xdr:cNvPr id="11265" name="Text Box 1">
          <a:extLst>
            <a:ext uri="{FF2B5EF4-FFF2-40B4-BE49-F238E27FC236}">
              <a16:creationId xmlns:a16="http://schemas.microsoft.com/office/drawing/2014/main" id="{BAF259A5-B5F0-BAE6-4019-0AC8A3E079E1}"/>
            </a:ext>
          </a:extLst>
        </xdr:cNvPr>
        <xdr:cNvSpPr txBox="1">
          <a:spLocks noChangeArrowheads="1"/>
        </xdr:cNvSpPr>
      </xdr:nvSpPr>
      <xdr:spPr bwMode="auto">
        <a:xfrm>
          <a:off x="419100" y="2499360"/>
          <a:ext cx="14127480" cy="167259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200" b="0" i="0" u="none" strike="noStrike" baseline="0">
              <a:solidFill>
                <a:srgbClr val="000000"/>
              </a:solidFill>
              <a:latin typeface="Calibri"/>
              <a:ea typeface="Calibri"/>
              <a:cs typeface="Calibri"/>
            </a:rPr>
            <a:t>IVN Technical Roadmap for Apple and Strategic Customers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Vision:</a:t>
          </a:r>
        </a:p>
        <a:p>
          <a:pPr algn="l" rtl="0">
            <a:defRPr sz="1000"/>
          </a:pPr>
          <a:r>
            <a:rPr lang="en-US" sz="1200" b="0" i="0" u="none" strike="noStrike" baseline="0">
              <a:solidFill>
                <a:srgbClr val="000000"/>
              </a:solidFill>
              <a:latin typeface="Calibri"/>
              <a:ea typeface="Calibri"/>
              <a:cs typeface="Calibri"/>
            </a:rPr>
            <a:t>To be a trusted and advanced automation solution provider for high-standard customers like Apple by delivering scalable, reliable, and innovative technologies that meet strict quality, process control, and traceability requirements.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1. Platform Development and Standardization</a:t>
          </a:r>
        </a:p>
        <a:p>
          <a:pPr algn="l" rtl="0">
            <a:defRPr sz="1000"/>
          </a:pPr>
          <a:r>
            <a:rPr lang="en-US" sz="1200" b="1" i="0" u="none" strike="noStrike" baseline="0">
              <a:solidFill>
                <a:srgbClr val="000000"/>
              </a:solidFill>
              <a:latin typeface="Calibri"/>
              <a:ea typeface="Calibri"/>
              <a:cs typeface="Calibri"/>
            </a:rPr>
            <a:t>Maglev Platform Development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Finalize market-ready version with 2 successful reference projects in 2025.</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Integrate advanced motion control (maglev linear transport, SCARA/cobot/single-axis end effectors).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Support high-precision applications: ACF bonding, micro-screw fastening, labeling, thermal pad placement, vision inspection, MES connection, and traceability.</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Build scalable modules for both standalone and connected line use.</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V-Star and SCARA Platforms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Continue refining platforms for high-speed pick &amp; place, screw driving, and tray feeding applications.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Modularize more end-effectors and feeding systems (flex feeder, bowl feeder, tray).</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Build backward compatibility for easy integration into customer lines.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2. Technology Capability Expansion</a:t>
          </a:r>
        </a:p>
        <a:p>
          <a:pPr algn="l" rtl="0">
            <a:defRPr sz="1000"/>
          </a:pPr>
          <a:r>
            <a:rPr lang="en-US" sz="1200" b="1" i="0" u="none" strike="noStrike" baseline="0">
              <a:solidFill>
                <a:srgbClr val="000000"/>
              </a:solidFill>
              <a:latin typeface="Calibri"/>
              <a:ea typeface="Calibri"/>
              <a:cs typeface="Calibri"/>
            </a:rPr>
            <a:t>Advanced Process Development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Expand internal R&amp;D into plasma, laser welding, micro-dispenser, and acoustic test systems.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Develop robust capability for button test, touch inspection, and optical character reading.</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Leverage PC-based software integration with MES, C++, and SEMI SECS/GEM protocols.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Test &amp; Inspection Automation</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Increase development of in-house camera/vision and optical inspection modules.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Build capability for inline measurement systems and closed-loop process control.</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Integrate defect classification using AI-assisted algorithms (partner or in-house).</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3. Apple Compliance and Process Maturity</a:t>
          </a:r>
        </a:p>
        <a:p>
          <a:pPr algn="l" rtl="0">
            <a:defRPr sz="1000"/>
          </a:pPr>
          <a:r>
            <a:rPr lang="en-US" sz="1200" b="1" i="0" u="none" strike="noStrike" baseline="0">
              <a:solidFill>
                <a:srgbClr val="000000"/>
              </a:solidFill>
              <a:latin typeface="Calibri"/>
              <a:ea typeface="Calibri"/>
              <a:cs typeface="Calibri"/>
            </a:rPr>
            <a:t>Code of Conduct Alignment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Fully align with Apple’s Supplier Code of Conduct (Labor, Ethics, Environment, Health &amp; Safety).</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Continuous internal scoring and action plan across forced labor, worker communication, EHS, and business integrity.</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Product Design and Documentation</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Enhance design traceability, standardize equipment documentation, and PFMEA processes.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Implement part ID tracking, torque traceability, cycle time monitoring, and user-based access control.</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Improve after-sales documentation and structured training packages.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4. Talent Development and Support System</a:t>
          </a:r>
        </a:p>
        <a:p>
          <a:pPr algn="l" rtl="0">
            <a:defRPr sz="1000"/>
          </a:pPr>
          <a:r>
            <a:rPr lang="en-US" sz="1200" b="1" i="0" u="none" strike="noStrike" baseline="0">
              <a:solidFill>
                <a:srgbClr val="000000"/>
              </a:solidFill>
              <a:latin typeface="Calibri"/>
              <a:ea typeface="Calibri"/>
              <a:cs typeface="Calibri"/>
            </a:rPr>
            <a:t>Support Team Structure (for Global Customers)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Build dedicated support team for key customers (Ito Offices, Apple projects).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Enable 3-6 month training rotation for fast-response, knowledgeable technical support.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Target 10% increase in successful implementations through better onboarding and faster issue resolution.</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Knowledge Base and Training</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Develop structured internal knowledge base for troubleshooting and standard designs.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Train next-generation engineers in project leadership, customer handling, and integration.</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5. Customer Roadmap Collaboration</a:t>
          </a:r>
        </a:p>
        <a:p>
          <a:pPr algn="l" rtl="0">
            <a:defRPr sz="1000"/>
          </a:pPr>
          <a:r>
            <a:rPr lang="en-US" sz="1200" b="1" i="0" u="none" strike="noStrike" baseline="0">
              <a:solidFill>
                <a:srgbClr val="000000"/>
              </a:solidFill>
              <a:latin typeface="Calibri"/>
              <a:ea typeface="Calibri"/>
              <a:cs typeface="Calibri"/>
            </a:rPr>
            <a:t>Early Engagement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Collaborate on DFM (Design for Manufacturing) early in customer project cycle.</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Co-develop pilot or proof-of-concept lines with Apple Tier-1 vendors.</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1" i="0" u="none" strike="noStrike" baseline="0">
              <a:solidFill>
                <a:srgbClr val="000000"/>
              </a:solidFill>
              <a:latin typeface="Calibri"/>
              <a:ea typeface="Calibri"/>
              <a:cs typeface="Calibri"/>
            </a:rPr>
            <a:t>Feedback Loop</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Create closed-loop system for field data feedback and continuous improvement.</a:t>
          </a:r>
        </a:p>
        <a:p>
          <a:pPr algn="l" rtl="0">
            <a:defRPr sz="1000"/>
          </a:pPr>
          <a:endParaRPr lang="en-US" sz="1200" b="0" i="0" u="none" strike="noStrike" baseline="0">
            <a:solidFill>
              <a:srgbClr val="000000"/>
            </a:solidFill>
            <a:latin typeface="Calibri"/>
            <a:ea typeface="Calibri"/>
            <a:cs typeface="Calibri"/>
          </a:endParaRPr>
        </a:p>
        <a:p>
          <a:pPr algn="l" rtl="0">
            <a:defRPr sz="1000"/>
          </a:pPr>
          <a:r>
            <a:rPr lang="en-US" sz="1200" b="0" i="0" u="none" strike="noStrike" baseline="0">
              <a:solidFill>
                <a:srgbClr val="000000"/>
              </a:solidFill>
              <a:latin typeface="Calibri"/>
              <a:ea typeface="Calibri"/>
              <a:cs typeface="Calibri"/>
            </a:rPr>
            <a:t>Enhance modular design based on customer feedback and process challenges.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6" sqref="B16"/>
    </sheetView>
  </sheetViews>
  <sheetFormatPr defaultColWidth="10.83203125" defaultRowHeight="20"/>
  <cols>
    <col min="1" max="1" width="10.83203125" style="51"/>
    <col min="2" max="2" width="200.83203125" style="10" customWidth="1"/>
    <col min="3" max="16384" width="10.83203125" style="51"/>
  </cols>
  <sheetData>
    <row r="2" spans="2:2">
      <c r="B2" s="8" t="s">
        <v>214</v>
      </c>
    </row>
    <row r="3" spans="2:2">
      <c r="B3" s="44" t="s">
        <v>174</v>
      </c>
    </row>
    <row r="4" spans="2:2" ht="80">
      <c r="B4" s="9" t="s">
        <v>113</v>
      </c>
    </row>
    <row r="5" spans="2:2">
      <c r="B5" s="44" t="s">
        <v>175</v>
      </c>
    </row>
    <row r="6" spans="2:2" ht="40">
      <c r="B6" s="9" t="s">
        <v>114</v>
      </c>
    </row>
    <row r="7" spans="2:2">
      <c r="B7" s="44" t="s">
        <v>176</v>
      </c>
    </row>
    <row r="8" spans="2:2" ht="280">
      <c r="B8" s="9" t="s">
        <v>294</v>
      </c>
    </row>
    <row r="9" spans="2:2">
      <c r="B9" s="44" t="s">
        <v>177</v>
      </c>
    </row>
    <row r="10" spans="2:2">
      <c r="B10" s="9" t="s">
        <v>180</v>
      </c>
    </row>
    <row r="11" spans="2:2">
      <c r="B11" s="44" t="s">
        <v>178</v>
      </c>
    </row>
    <row r="12" spans="2:2" ht="40">
      <c r="B12" s="9" t="s">
        <v>115</v>
      </c>
    </row>
    <row r="13" spans="2:2">
      <c r="B13" s="44" t="s">
        <v>179</v>
      </c>
    </row>
    <row r="14" spans="2:2" ht="80">
      <c r="B14" s="72"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B26" sqref="B26"/>
    </sheetView>
  </sheetViews>
  <sheetFormatPr defaultColWidth="10.83203125" defaultRowHeight="20"/>
  <cols>
    <col min="1" max="1" width="10.83203125" style="51"/>
    <col min="2" max="2" width="200.83203125" style="10" customWidth="1"/>
    <col min="3" max="16384" width="10.83203125" style="51"/>
  </cols>
  <sheetData>
    <row r="2" spans="2:2">
      <c r="B2" s="8" t="s">
        <v>116</v>
      </c>
    </row>
    <row r="3" spans="2:2">
      <c r="B3" s="43" t="s">
        <v>160</v>
      </c>
    </row>
    <row r="4" spans="2:2" ht="40">
      <c r="B4" s="9" t="s">
        <v>117</v>
      </c>
    </row>
    <row r="5" spans="2:2">
      <c r="B5" s="44" t="s">
        <v>161</v>
      </c>
    </row>
    <row r="6" spans="2:2" ht="40">
      <c r="B6" s="9" t="s">
        <v>118</v>
      </c>
    </row>
    <row r="7" spans="2:2">
      <c r="B7" s="44" t="s">
        <v>162</v>
      </c>
    </row>
    <row r="8" spans="2:2" ht="60">
      <c r="B8" s="9" t="s">
        <v>181</v>
      </c>
    </row>
    <row r="9" spans="2:2">
      <c r="B9" s="44" t="s">
        <v>163</v>
      </c>
    </row>
    <row r="10" spans="2:2" ht="40">
      <c r="B10" s="9" t="s">
        <v>119</v>
      </c>
    </row>
    <row r="11" spans="2:2">
      <c r="B11" s="44" t="s">
        <v>164</v>
      </c>
    </row>
    <row r="12" spans="2:2" ht="120">
      <c r="B12" s="9" t="s">
        <v>120</v>
      </c>
    </row>
    <row r="13" spans="2:2">
      <c r="B13" s="44" t="s">
        <v>165</v>
      </c>
    </row>
    <row r="14" spans="2:2" ht="80">
      <c r="B14" s="9" t="s">
        <v>121</v>
      </c>
    </row>
    <row r="15" spans="2:2">
      <c r="B15" s="44" t="s">
        <v>166</v>
      </c>
    </row>
    <row r="16" spans="2:2" ht="160">
      <c r="B16" s="9" t="s">
        <v>122</v>
      </c>
    </row>
    <row r="17" spans="2:2">
      <c r="B17" s="44" t="s">
        <v>167</v>
      </c>
    </row>
    <row r="18" spans="2:2" ht="60">
      <c r="B18" s="9" t="s">
        <v>123</v>
      </c>
    </row>
    <row r="19" spans="2:2">
      <c r="B19" s="44" t="s">
        <v>168</v>
      </c>
    </row>
    <row r="20" spans="2:2" ht="120">
      <c r="B20" s="9" t="s">
        <v>124</v>
      </c>
    </row>
    <row r="21" spans="2:2">
      <c r="B21" s="44" t="s">
        <v>169</v>
      </c>
    </row>
    <row r="22" spans="2:2" ht="60">
      <c r="B22" s="9" t="s">
        <v>125</v>
      </c>
    </row>
    <row r="23" spans="2:2">
      <c r="B23" s="44" t="s">
        <v>170</v>
      </c>
    </row>
    <row r="24" spans="2:2" ht="200">
      <c r="B24" s="9" t="s">
        <v>126</v>
      </c>
    </row>
    <row r="25" spans="2:2">
      <c r="B25" s="44" t="s">
        <v>171</v>
      </c>
    </row>
    <row r="26" spans="2:2" ht="160">
      <c r="B26" s="9" t="s">
        <v>127</v>
      </c>
    </row>
    <row r="27" spans="2:2">
      <c r="B27" s="44" t="s">
        <v>172</v>
      </c>
    </row>
    <row r="28" spans="2:2" ht="40">
      <c r="B28" s="9" t="s">
        <v>128</v>
      </c>
    </row>
    <row r="29" spans="2:2">
      <c r="B29" s="44" t="s">
        <v>173</v>
      </c>
    </row>
    <row r="30" spans="2:2" ht="40">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7" sqref="B7"/>
    </sheetView>
  </sheetViews>
  <sheetFormatPr defaultColWidth="10.83203125" defaultRowHeight="20"/>
  <cols>
    <col min="1" max="1" width="10.83203125" style="51"/>
    <col min="2" max="2" width="141.5" style="10" customWidth="1"/>
    <col min="3" max="3" width="40.83203125" style="13" customWidth="1"/>
    <col min="4" max="16384" width="10.83203125" style="51"/>
  </cols>
  <sheetData>
    <row r="2" spans="2:3">
      <c r="B2" s="8" t="s">
        <v>130</v>
      </c>
      <c r="C2" s="11"/>
    </row>
    <row r="3" spans="2:3">
      <c r="B3" s="43" t="s">
        <v>151</v>
      </c>
      <c r="C3" s="11"/>
    </row>
    <row r="4" spans="2:3" ht="200">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5" zoomScaleNormal="100" workbookViewId="0">
      <selection activeCell="D13" sqref="D13"/>
    </sheetView>
  </sheetViews>
  <sheetFormatPr defaultColWidth="10.83203125" defaultRowHeight="18.5"/>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236</v>
      </c>
    </row>
    <row r="2" spans="1:7" ht="26" customHeight="1">
      <c r="A2" s="15">
        <v>1</v>
      </c>
      <c r="B2" s="16" t="s">
        <v>132</v>
      </c>
      <c r="C2" s="17"/>
    </row>
    <row r="3" spans="1:7" ht="26" customHeight="1">
      <c r="A3" s="15">
        <v>2</v>
      </c>
      <c r="B3" s="16" t="s">
        <v>14</v>
      </c>
      <c r="C3" s="18" t="s">
        <v>320</v>
      </c>
    </row>
    <row r="4" spans="1:7" ht="26" customHeight="1">
      <c r="A4" s="15">
        <v>3</v>
      </c>
      <c r="B4" s="16" t="s">
        <v>13</v>
      </c>
      <c r="C4" s="18" t="s">
        <v>320</v>
      </c>
      <c r="E4" s="19"/>
    </row>
    <row r="5" spans="1:7" ht="26" customHeight="1">
      <c r="A5" s="15">
        <v>4</v>
      </c>
      <c r="B5" s="16" t="s">
        <v>133</v>
      </c>
      <c r="C5" s="18" t="s">
        <v>321</v>
      </c>
      <c r="E5" s="19"/>
    </row>
    <row r="6" spans="1:7" ht="26" customHeight="1">
      <c r="A6" s="15">
        <v>5</v>
      </c>
      <c r="B6" s="16" t="s">
        <v>0</v>
      </c>
      <c r="C6" s="20" t="s">
        <v>322</v>
      </c>
      <c r="E6" s="19"/>
    </row>
    <row r="7" spans="1:7" ht="26" customHeight="1">
      <c r="A7" s="15">
        <v>6</v>
      </c>
      <c r="B7" s="16" t="s">
        <v>1</v>
      </c>
      <c r="C7" s="18" t="s">
        <v>105</v>
      </c>
      <c r="E7" s="19"/>
    </row>
    <row r="8" spans="1:7" ht="26" customHeight="1">
      <c r="A8" s="15">
        <v>7</v>
      </c>
      <c r="B8" s="16" t="s">
        <v>2</v>
      </c>
      <c r="C8" s="18"/>
    </row>
    <row r="9" spans="1:7" ht="26" customHeight="1">
      <c r="A9" s="15">
        <v>8</v>
      </c>
      <c r="B9" s="16" t="s">
        <v>134</v>
      </c>
      <c r="C9" s="18"/>
    </row>
    <row r="10" spans="1:7" ht="26" customHeight="1">
      <c r="A10" s="15">
        <v>9</v>
      </c>
      <c r="B10" s="16" t="s">
        <v>5</v>
      </c>
      <c r="C10" s="18">
        <v>190</v>
      </c>
    </row>
    <row r="11" spans="1:7">
      <c r="A11" s="15">
        <v>10</v>
      </c>
      <c r="B11" s="16" t="s">
        <v>3</v>
      </c>
      <c r="C11" s="18">
        <v>1946</v>
      </c>
    </row>
    <row r="12" spans="1:7">
      <c r="A12" s="15">
        <v>11</v>
      </c>
      <c r="B12" s="16" t="s">
        <v>4</v>
      </c>
      <c r="C12" s="18">
        <v>2010</v>
      </c>
      <c r="F12" s="21"/>
    </row>
    <row r="15" spans="1:7" ht="37">
      <c r="B15" s="24" t="s">
        <v>135</v>
      </c>
      <c r="C15" s="25" t="s">
        <v>136</v>
      </c>
      <c r="D15" s="25" t="s">
        <v>19</v>
      </c>
      <c r="E15" s="25" t="s">
        <v>112</v>
      </c>
      <c r="F15" s="25" t="s">
        <v>20</v>
      </c>
      <c r="G15" s="26" t="s">
        <v>137</v>
      </c>
    </row>
    <row r="16" spans="1:7">
      <c r="B16" s="27" t="s">
        <v>21</v>
      </c>
      <c r="C16" s="18" t="s">
        <v>323</v>
      </c>
      <c r="D16" s="18" t="s">
        <v>324</v>
      </c>
      <c r="E16" s="18" t="s">
        <v>325</v>
      </c>
      <c r="F16" s="20" t="s">
        <v>326</v>
      </c>
      <c r="G16" s="28" t="s">
        <v>327</v>
      </c>
    </row>
    <row r="17" spans="2:7">
      <c r="B17" s="27" t="s">
        <v>138</v>
      </c>
      <c r="C17" s="18" t="s">
        <v>328</v>
      </c>
      <c r="D17" s="18" t="s">
        <v>329</v>
      </c>
      <c r="E17" s="18" t="s">
        <v>325</v>
      </c>
      <c r="F17" s="20" t="s">
        <v>330</v>
      </c>
      <c r="G17" s="28" t="s">
        <v>331</v>
      </c>
    </row>
    <row r="18" spans="2:7">
      <c r="B18" s="27" t="s">
        <v>139</v>
      </c>
      <c r="C18" s="18" t="s">
        <v>347</v>
      </c>
      <c r="D18" s="18" t="s">
        <v>348</v>
      </c>
      <c r="E18" s="18" t="s">
        <v>73</v>
      </c>
      <c r="F18" s="20" t="s">
        <v>349</v>
      </c>
      <c r="G18" s="28" t="s">
        <v>350</v>
      </c>
    </row>
    <row r="19" spans="2:7">
      <c r="B19" s="27" t="s">
        <v>140</v>
      </c>
      <c r="C19" s="18" t="s">
        <v>333</v>
      </c>
      <c r="D19" s="18" t="s">
        <v>334</v>
      </c>
      <c r="E19" s="18" t="s">
        <v>56</v>
      </c>
      <c r="F19" s="20" t="s">
        <v>335</v>
      </c>
      <c r="G19" s="28" t="s">
        <v>336</v>
      </c>
    </row>
    <row r="20" spans="2:7">
      <c r="B20" s="29" t="s">
        <v>141</v>
      </c>
      <c r="C20" s="22" t="s">
        <v>337</v>
      </c>
      <c r="D20" s="22" t="s">
        <v>338</v>
      </c>
      <c r="E20" s="18" t="s">
        <v>103</v>
      </c>
      <c r="F20" s="23" t="s">
        <v>340</v>
      </c>
      <c r="G20" s="28" t="s">
        <v>339</v>
      </c>
    </row>
    <row r="21" spans="2:7">
      <c r="B21" s="27" t="s">
        <v>142</v>
      </c>
      <c r="C21" s="18" t="s">
        <v>341</v>
      </c>
      <c r="D21" s="18" t="s">
        <v>332</v>
      </c>
      <c r="E21" s="18" t="s">
        <v>103</v>
      </c>
      <c r="F21" s="20" t="s">
        <v>342</v>
      </c>
      <c r="G21" s="28" t="s">
        <v>343</v>
      </c>
    </row>
    <row r="22" spans="2:7">
      <c r="B22" s="27" t="s">
        <v>143</v>
      </c>
      <c r="C22" s="18" t="s">
        <v>328</v>
      </c>
      <c r="D22" s="22" t="s">
        <v>329</v>
      </c>
      <c r="E22" s="18" t="s">
        <v>325</v>
      </c>
      <c r="F22" s="20" t="s">
        <v>330</v>
      </c>
      <c r="G22" s="28" t="s">
        <v>331</v>
      </c>
    </row>
    <row r="23" spans="2:7">
      <c r="B23" s="27" t="s">
        <v>144</v>
      </c>
      <c r="C23" s="18" t="s">
        <v>337</v>
      </c>
      <c r="D23" s="22" t="s">
        <v>338</v>
      </c>
      <c r="E23" s="18" t="s">
        <v>103</v>
      </c>
      <c r="F23" s="20" t="s">
        <v>340</v>
      </c>
      <c r="G23" s="28" t="s">
        <v>339</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85" zoomScaleNormal="85" workbookViewId="0">
      <selection activeCell="E17" sqref="E17"/>
    </sheetView>
  </sheetViews>
  <sheetFormatPr defaultColWidth="10.83203125" defaultRowHeight="15.5"/>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45.25</v>
      </c>
      <c r="D4" s="61">
        <v>41.8</v>
      </c>
      <c r="E4" s="61">
        <v>48.08</v>
      </c>
      <c r="F4" s="61">
        <v>58.47</v>
      </c>
      <c r="G4" s="61">
        <v>60</v>
      </c>
      <c r="H4" s="61">
        <v>70</v>
      </c>
      <c r="I4" s="4"/>
    </row>
    <row r="5" spans="2:9" ht="51" customHeight="1">
      <c r="B5" s="33" t="s">
        <v>11</v>
      </c>
      <c r="C5" s="61">
        <v>0.2</v>
      </c>
      <c r="D5" s="61">
        <v>0.15</v>
      </c>
      <c r="E5" s="61">
        <v>0.33</v>
      </c>
      <c r="F5" s="61">
        <v>0.3</v>
      </c>
      <c r="G5" s="61">
        <v>0.8</v>
      </c>
      <c r="H5" s="61">
        <v>0.8</v>
      </c>
      <c r="I5" s="4" t="s">
        <v>18</v>
      </c>
    </row>
    <row r="6" spans="2:9" ht="51" customHeight="1">
      <c r="B6" s="33" t="s">
        <v>287</v>
      </c>
      <c r="C6" s="61">
        <v>15.12</v>
      </c>
      <c r="D6" s="61">
        <v>11.71</v>
      </c>
      <c r="E6" s="61">
        <v>18.05</v>
      </c>
      <c r="F6" s="61">
        <v>3.5</v>
      </c>
      <c r="G6" s="61">
        <v>5</v>
      </c>
      <c r="H6" s="61">
        <v>5</v>
      </c>
      <c r="I6" s="2" t="s">
        <v>150</v>
      </c>
    </row>
    <row r="8" spans="2:9" ht="18.5">
      <c r="B8" s="16" t="s">
        <v>145</v>
      </c>
      <c r="C8" s="16">
        <v>2023</v>
      </c>
      <c r="D8" s="16">
        <v>2023</v>
      </c>
      <c r="E8" s="16">
        <v>2024</v>
      </c>
      <c r="F8" s="16" t="s">
        <v>210</v>
      </c>
      <c r="G8" s="16" t="s">
        <v>146</v>
      </c>
      <c r="H8" s="16" t="s">
        <v>147</v>
      </c>
    </row>
    <row r="9" spans="2:9" ht="18.5">
      <c r="B9" s="33" t="s">
        <v>148</v>
      </c>
      <c r="C9" s="62">
        <v>11.81</v>
      </c>
      <c r="D9" s="62">
        <v>10.36</v>
      </c>
      <c r="E9" s="62">
        <v>16.47</v>
      </c>
      <c r="F9" s="62">
        <v>11.57</v>
      </c>
      <c r="G9" s="62">
        <v>12</v>
      </c>
      <c r="H9" s="62">
        <v>15</v>
      </c>
    </row>
    <row r="10" spans="2:9" ht="18.5">
      <c r="B10" s="33" t="s">
        <v>149</v>
      </c>
      <c r="C10" s="62">
        <v>3.4</v>
      </c>
      <c r="D10" s="62">
        <v>2.2000000000000002</v>
      </c>
      <c r="E10" s="62">
        <v>7.9</v>
      </c>
      <c r="F10" s="62">
        <v>5.2</v>
      </c>
      <c r="G10" s="62">
        <v>5.5</v>
      </c>
      <c r="H10" s="62">
        <v>7.5</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abSelected="1" topLeftCell="A20" zoomScale="85" zoomScaleNormal="85" workbookViewId="0">
      <selection activeCell="D25" sqref="D25:H25"/>
    </sheetView>
  </sheetViews>
  <sheetFormatPr defaultColWidth="10.832031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4"/>
      <c r="B1" s="34" t="s">
        <v>296</v>
      </c>
    </row>
    <row r="2" spans="1:8" s="35" customFormat="1" ht="56" customHeight="1">
      <c r="A2" s="65"/>
      <c r="B2" s="16"/>
      <c r="C2" s="16" t="s">
        <v>15</v>
      </c>
      <c r="D2" s="36" t="s">
        <v>107</v>
      </c>
      <c r="E2" s="36" t="s">
        <v>108</v>
      </c>
      <c r="F2" s="36" t="s">
        <v>109</v>
      </c>
      <c r="G2" s="36" t="s">
        <v>110</v>
      </c>
      <c r="H2" s="36" t="s">
        <v>111</v>
      </c>
    </row>
    <row r="3" spans="1:8" ht="60" customHeight="1">
      <c r="A3" s="66">
        <v>1</v>
      </c>
      <c r="B3" s="16" t="s">
        <v>152</v>
      </c>
      <c r="C3" s="37" t="s">
        <v>320</v>
      </c>
      <c r="D3" s="37" t="s">
        <v>422</v>
      </c>
      <c r="E3" s="37" t="s">
        <v>423</v>
      </c>
      <c r="F3" s="18" t="s">
        <v>424</v>
      </c>
      <c r="G3" s="18" t="s">
        <v>425</v>
      </c>
      <c r="H3" s="18" t="s">
        <v>426</v>
      </c>
    </row>
    <row r="4" spans="1:8" ht="60" customHeight="1">
      <c r="A4" s="66">
        <v>2</v>
      </c>
      <c r="B4" s="16" t="s">
        <v>153</v>
      </c>
      <c r="C4" s="18" t="s">
        <v>91</v>
      </c>
      <c r="D4" s="18" t="s">
        <v>344</v>
      </c>
      <c r="E4" s="18" t="s">
        <v>435</v>
      </c>
      <c r="F4" s="18" t="s">
        <v>357</v>
      </c>
      <c r="G4" s="53" t="s">
        <v>359</v>
      </c>
      <c r="H4" s="18" t="s">
        <v>361</v>
      </c>
    </row>
    <row r="5" spans="1:8" ht="60" customHeight="1">
      <c r="A5" s="66">
        <v>3</v>
      </c>
      <c r="B5" s="16" t="s">
        <v>154</v>
      </c>
      <c r="C5" s="18" t="s">
        <v>346</v>
      </c>
      <c r="D5" s="18" t="s">
        <v>345</v>
      </c>
      <c r="E5" s="18" t="s">
        <v>436</v>
      </c>
      <c r="F5" s="18" t="s">
        <v>358</v>
      </c>
      <c r="G5" s="18" t="s">
        <v>360</v>
      </c>
      <c r="H5" s="18" t="s">
        <v>362</v>
      </c>
    </row>
    <row r="6" spans="1:8" ht="60" customHeight="1">
      <c r="A6" s="66">
        <v>4</v>
      </c>
      <c r="B6" s="36" t="s">
        <v>155</v>
      </c>
      <c r="C6" s="18" t="s">
        <v>351</v>
      </c>
      <c r="D6" s="18" t="s">
        <v>354</v>
      </c>
      <c r="E6" s="18" t="s">
        <v>353</v>
      </c>
      <c r="F6" s="18" t="s">
        <v>353</v>
      </c>
      <c r="G6" s="18" t="s">
        <v>354</v>
      </c>
      <c r="H6" s="18" t="s">
        <v>353</v>
      </c>
    </row>
    <row r="7" spans="1:8" ht="86" customHeight="1">
      <c r="A7" s="66">
        <v>5</v>
      </c>
      <c r="B7" s="36" t="s">
        <v>156</v>
      </c>
      <c r="C7" s="18" t="s">
        <v>353</v>
      </c>
      <c r="D7" s="18" t="s">
        <v>352</v>
      </c>
      <c r="E7" s="18" t="s">
        <v>353</v>
      </c>
      <c r="F7" s="18" t="s">
        <v>353</v>
      </c>
      <c r="G7" s="18" t="s">
        <v>353</v>
      </c>
      <c r="H7" s="18" t="s">
        <v>353</v>
      </c>
    </row>
    <row r="8" spans="1:8" ht="86" customHeight="1">
      <c r="A8" s="66">
        <v>6</v>
      </c>
      <c r="B8" s="36" t="s">
        <v>157</v>
      </c>
      <c r="C8" s="18" t="s">
        <v>353</v>
      </c>
      <c r="D8" s="18" t="s">
        <v>355</v>
      </c>
      <c r="E8" s="18" t="s">
        <v>437</v>
      </c>
      <c r="F8" s="18" t="s">
        <v>353</v>
      </c>
      <c r="G8" s="18" t="s">
        <v>353</v>
      </c>
      <c r="H8" s="18" t="s">
        <v>353</v>
      </c>
    </row>
    <row r="9" spans="1:8" ht="60" customHeight="1">
      <c r="A9" s="66">
        <v>7</v>
      </c>
      <c r="B9" s="16" t="s">
        <v>158</v>
      </c>
      <c r="C9" s="38" t="s">
        <v>353</v>
      </c>
      <c r="D9" s="38">
        <v>2600</v>
      </c>
      <c r="E9" s="39" t="s">
        <v>353</v>
      </c>
      <c r="F9" s="39" t="s">
        <v>353</v>
      </c>
      <c r="G9" s="39" t="s">
        <v>353</v>
      </c>
      <c r="H9" s="39" t="s">
        <v>353</v>
      </c>
    </row>
    <row r="10" spans="1:8" ht="60" customHeight="1">
      <c r="A10" s="66">
        <v>8</v>
      </c>
      <c r="B10" s="36" t="s">
        <v>279</v>
      </c>
      <c r="C10" s="38">
        <v>8</v>
      </c>
      <c r="D10" s="38">
        <v>100</v>
      </c>
      <c r="E10" s="39">
        <v>15</v>
      </c>
      <c r="F10" s="39">
        <v>9</v>
      </c>
      <c r="G10" s="39">
        <v>7</v>
      </c>
      <c r="H10" s="39">
        <v>9</v>
      </c>
    </row>
    <row r="11" spans="1:8" ht="60" customHeight="1">
      <c r="A11" s="66">
        <v>9</v>
      </c>
      <c r="B11" s="36" t="s">
        <v>208</v>
      </c>
      <c r="C11" s="18" t="s">
        <v>353</v>
      </c>
      <c r="D11" s="18">
        <v>12</v>
      </c>
      <c r="E11" s="18">
        <v>3</v>
      </c>
      <c r="F11" s="18" t="s">
        <v>353</v>
      </c>
      <c r="G11" s="18" t="s">
        <v>353</v>
      </c>
      <c r="H11" s="18" t="s">
        <v>353</v>
      </c>
    </row>
    <row r="12" spans="1:8" ht="60" customHeight="1">
      <c r="A12" s="66">
        <v>10</v>
      </c>
      <c r="B12" s="36" t="s">
        <v>207</v>
      </c>
      <c r="C12" s="18" t="s">
        <v>353</v>
      </c>
      <c r="D12" s="18">
        <v>15</v>
      </c>
      <c r="E12" s="18">
        <v>4</v>
      </c>
      <c r="F12" s="18" t="s">
        <v>353</v>
      </c>
      <c r="G12" s="18" t="s">
        <v>353</v>
      </c>
      <c r="H12" s="18" t="s">
        <v>353</v>
      </c>
    </row>
    <row r="13" spans="1:8" ht="60" customHeight="1">
      <c r="A13" s="66">
        <v>11</v>
      </c>
      <c r="B13" s="36" t="s">
        <v>280</v>
      </c>
      <c r="C13" s="18" t="s">
        <v>353</v>
      </c>
      <c r="D13" s="18">
        <v>10000000</v>
      </c>
      <c r="E13" s="18">
        <v>1000000</v>
      </c>
      <c r="F13" s="18" t="s">
        <v>353</v>
      </c>
      <c r="G13" s="18" t="s">
        <v>353</v>
      </c>
      <c r="H13" s="18" t="s">
        <v>353</v>
      </c>
    </row>
    <row r="14" spans="1:8" ht="60" customHeight="1">
      <c r="A14" s="66">
        <v>12</v>
      </c>
      <c r="B14" s="36" t="s">
        <v>205</v>
      </c>
      <c r="C14" s="18" t="s">
        <v>353</v>
      </c>
      <c r="D14" s="18" t="s">
        <v>37</v>
      </c>
      <c r="E14" s="18" t="s">
        <v>353</v>
      </c>
      <c r="F14" s="18" t="s">
        <v>353</v>
      </c>
      <c r="G14" s="18" t="s">
        <v>353</v>
      </c>
      <c r="H14" s="18" t="s">
        <v>353</v>
      </c>
    </row>
    <row r="15" spans="1:8" ht="60" customHeight="1">
      <c r="A15" s="66">
        <v>13</v>
      </c>
      <c r="B15" s="36" t="s">
        <v>283</v>
      </c>
      <c r="C15" s="18" t="s">
        <v>353</v>
      </c>
      <c r="D15" s="18" t="s">
        <v>37</v>
      </c>
      <c r="E15" s="18" t="s">
        <v>353</v>
      </c>
      <c r="F15" s="18" t="s">
        <v>353</v>
      </c>
      <c r="G15" s="18" t="s">
        <v>353</v>
      </c>
      <c r="H15" s="18" t="s">
        <v>353</v>
      </c>
    </row>
    <row r="16" spans="1:8" ht="60" customHeight="1">
      <c r="A16" s="66">
        <v>14</v>
      </c>
      <c r="B16" s="36" t="s">
        <v>206</v>
      </c>
      <c r="C16" s="18" t="s">
        <v>353</v>
      </c>
      <c r="D16" s="18" t="s">
        <v>356</v>
      </c>
      <c r="E16" s="18" t="s">
        <v>73</v>
      </c>
      <c r="F16" s="18" t="s">
        <v>353</v>
      </c>
      <c r="G16" s="18" t="s">
        <v>353</v>
      </c>
      <c r="H16" s="18" t="s">
        <v>353</v>
      </c>
    </row>
    <row r="18" spans="1:8" ht="61" customHeight="1">
      <c r="A18" s="66">
        <v>15</v>
      </c>
      <c r="B18" s="77" t="s">
        <v>229</v>
      </c>
      <c r="C18" s="77"/>
      <c r="D18" s="78" t="s">
        <v>438</v>
      </c>
      <c r="E18" s="79"/>
      <c r="F18" s="79"/>
      <c r="G18" s="79"/>
      <c r="H18" s="80"/>
    </row>
    <row r="19" spans="1:8" ht="61" customHeight="1">
      <c r="A19" s="66">
        <v>16</v>
      </c>
      <c r="B19" s="77" t="s">
        <v>215</v>
      </c>
      <c r="C19" s="77"/>
      <c r="D19" s="78" t="s">
        <v>418</v>
      </c>
      <c r="E19" s="79"/>
      <c r="F19" s="79"/>
      <c r="G19" s="79"/>
      <c r="H19" s="80"/>
    </row>
    <row r="20" spans="1:8" ht="61" customHeight="1">
      <c r="A20" s="66">
        <v>17</v>
      </c>
      <c r="B20" s="77" t="s">
        <v>202</v>
      </c>
      <c r="C20" s="77"/>
      <c r="D20" s="78" t="s">
        <v>37</v>
      </c>
      <c r="E20" s="79"/>
      <c r="F20" s="79"/>
      <c r="G20" s="79"/>
      <c r="H20" s="80"/>
    </row>
    <row r="21" spans="1:8" ht="61" customHeight="1">
      <c r="A21" s="66">
        <v>18</v>
      </c>
      <c r="B21" s="77" t="s">
        <v>159</v>
      </c>
      <c r="C21" s="77"/>
      <c r="D21" s="78" t="s">
        <v>366</v>
      </c>
      <c r="E21" s="79"/>
      <c r="F21" s="79"/>
      <c r="G21" s="79"/>
      <c r="H21" s="80"/>
    </row>
    <row r="22" spans="1:8" ht="61" customHeight="1">
      <c r="A22" s="66">
        <v>19</v>
      </c>
      <c r="B22" s="77" t="s">
        <v>203</v>
      </c>
      <c r="C22" s="77"/>
      <c r="D22" s="78" t="s">
        <v>367</v>
      </c>
      <c r="E22" s="79"/>
      <c r="F22" s="79"/>
      <c r="G22" s="79"/>
      <c r="H22" s="80"/>
    </row>
    <row r="23" spans="1:8" ht="61" customHeight="1">
      <c r="A23" s="66">
        <v>20</v>
      </c>
      <c r="B23" s="81" t="s">
        <v>227</v>
      </c>
      <c r="C23" s="82"/>
      <c r="D23" s="40" t="s">
        <v>439</v>
      </c>
      <c r="E23" s="41"/>
      <c r="F23" s="41"/>
      <c r="G23" s="41"/>
      <c r="H23" s="42"/>
    </row>
    <row r="24" spans="1:8" ht="61" customHeight="1">
      <c r="A24" s="66">
        <v>21</v>
      </c>
      <c r="B24" s="81" t="s">
        <v>228</v>
      </c>
      <c r="C24" s="82"/>
      <c r="D24" s="40" t="s">
        <v>443</v>
      </c>
      <c r="E24" s="41"/>
      <c r="F24" s="41"/>
      <c r="G24" s="41"/>
      <c r="H24" s="42"/>
    </row>
    <row r="25" spans="1:8" ht="187.75" customHeight="1">
      <c r="A25" s="66">
        <v>22</v>
      </c>
      <c r="B25" s="77" t="s">
        <v>204</v>
      </c>
      <c r="C25" s="77"/>
      <c r="D25" s="78" t="s">
        <v>440</v>
      </c>
      <c r="E25" s="79"/>
      <c r="F25" s="79"/>
      <c r="G25" s="79"/>
      <c r="H25" s="80"/>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70" zoomScaleNormal="70" workbookViewId="0">
      <selection activeCell="F15" sqref="F15"/>
    </sheetView>
  </sheetViews>
  <sheetFormatPr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297</v>
      </c>
    </row>
    <row r="2" spans="2:10" ht="50" customHeight="1">
      <c r="B2" s="46"/>
      <c r="C2" s="47" t="s">
        <v>6</v>
      </c>
      <c r="D2" s="47" t="s">
        <v>7</v>
      </c>
      <c r="E2" s="47" t="s">
        <v>8</v>
      </c>
      <c r="F2" s="47" t="s">
        <v>16</v>
      </c>
      <c r="G2" s="47" t="s">
        <v>17</v>
      </c>
      <c r="H2" s="47" t="s">
        <v>182</v>
      </c>
      <c r="I2" s="47" t="s">
        <v>217</v>
      </c>
      <c r="J2" s="47" t="s">
        <v>218</v>
      </c>
    </row>
    <row r="3" spans="2:10" ht="50" customHeight="1">
      <c r="B3" s="47" t="s">
        <v>183</v>
      </c>
      <c r="C3" s="73" t="s">
        <v>58</v>
      </c>
      <c r="D3" s="73" t="s">
        <v>103</v>
      </c>
      <c r="E3" s="73" t="s">
        <v>68</v>
      </c>
      <c r="F3" s="73" t="s">
        <v>73</v>
      </c>
      <c r="G3" s="73" t="s">
        <v>97</v>
      </c>
      <c r="H3" s="73"/>
      <c r="I3" s="73"/>
      <c r="J3" s="73"/>
    </row>
    <row r="4" spans="2:10" ht="50" customHeight="1">
      <c r="B4" s="48" t="s">
        <v>265</v>
      </c>
      <c r="C4" s="73"/>
      <c r="D4" s="73"/>
      <c r="E4" s="73"/>
      <c r="F4" s="73"/>
      <c r="G4" s="73"/>
      <c r="H4" s="73"/>
      <c r="I4" s="73"/>
      <c r="J4" s="73"/>
    </row>
    <row r="5" spans="2:10" ht="50" customHeight="1">
      <c r="B5" s="48" t="s">
        <v>264</v>
      </c>
      <c r="C5" s="73"/>
      <c r="D5" s="73"/>
      <c r="E5" s="73"/>
      <c r="F5" s="73"/>
      <c r="G5" s="73"/>
      <c r="H5" s="73"/>
      <c r="I5" s="73"/>
      <c r="J5" s="73"/>
    </row>
    <row r="6" spans="2:10" ht="50" customHeight="1">
      <c r="B6" s="48" t="s">
        <v>266</v>
      </c>
      <c r="C6" s="73">
        <v>12</v>
      </c>
      <c r="D6" s="73">
        <v>26</v>
      </c>
      <c r="E6" s="73">
        <v>4</v>
      </c>
      <c r="F6" s="73">
        <v>2</v>
      </c>
      <c r="G6" s="73">
        <v>3</v>
      </c>
      <c r="H6" s="73"/>
      <c r="I6" s="73"/>
      <c r="J6" s="73"/>
    </row>
    <row r="7" spans="2:10" ht="50" customHeight="1">
      <c r="B7" s="48" t="s">
        <v>267</v>
      </c>
      <c r="C7" s="73">
        <v>48</v>
      </c>
      <c r="D7" s="73">
        <v>104</v>
      </c>
      <c r="E7" s="73">
        <v>16</v>
      </c>
      <c r="F7" s="73">
        <v>8</v>
      </c>
      <c r="G7" s="73">
        <v>12</v>
      </c>
      <c r="H7" s="73"/>
      <c r="I7" s="73"/>
      <c r="J7" s="73"/>
    </row>
    <row r="8" spans="2:10" ht="50" customHeight="1">
      <c r="B8" s="48" t="s">
        <v>216</v>
      </c>
      <c r="C8" s="73" t="s">
        <v>363</v>
      </c>
      <c r="D8" s="73" t="s">
        <v>363</v>
      </c>
      <c r="E8" s="73" t="s">
        <v>363</v>
      </c>
      <c r="F8" s="73" t="s">
        <v>363</v>
      </c>
      <c r="G8" s="73" t="s">
        <v>363</v>
      </c>
      <c r="H8" s="73"/>
      <c r="I8" s="73"/>
      <c r="J8" s="73"/>
    </row>
    <row r="9" spans="2:10" ht="50" customHeight="1">
      <c r="B9" s="48" t="s">
        <v>299</v>
      </c>
      <c r="C9" s="73" t="s">
        <v>364</v>
      </c>
      <c r="D9" s="73" t="s">
        <v>364</v>
      </c>
      <c r="E9" s="73" t="s">
        <v>364</v>
      </c>
      <c r="F9" s="73" t="s">
        <v>364</v>
      </c>
      <c r="G9" s="73" t="s">
        <v>364</v>
      </c>
      <c r="H9" s="73"/>
      <c r="I9" s="73"/>
      <c r="J9" s="73"/>
    </row>
    <row r="10" spans="2:10" ht="50" customHeight="1">
      <c r="B10" s="67" t="s">
        <v>293</v>
      </c>
      <c r="C10" s="73" t="s">
        <v>58</v>
      </c>
      <c r="D10" s="73" t="s">
        <v>441</v>
      </c>
      <c r="E10" s="73" t="s">
        <v>442</v>
      </c>
      <c r="F10" s="73" t="s">
        <v>365</v>
      </c>
      <c r="G10" s="73" t="s">
        <v>97</v>
      </c>
      <c r="H10" s="73"/>
      <c r="I10" s="73"/>
      <c r="J10" s="73"/>
    </row>
    <row r="11" spans="2:10" ht="50" customHeight="1">
      <c r="B11" s="48" t="s">
        <v>106</v>
      </c>
      <c r="C11" s="74">
        <v>4</v>
      </c>
      <c r="D11" s="74">
        <v>4</v>
      </c>
      <c r="E11" s="74">
        <v>4</v>
      </c>
      <c r="F11" s="73">
        <v>4</v>
      </c>
      <c r="G11" s="73">
        <v>4</v>
      </c>
      <c r="H11" s="73"/>
      <c r="I11" s="73"/>
      <c r="J11" s="73"/>
    </row>
    <row r="12" spans="2:10" ht="50" customHeight="1">
      <c r="B12" s="48" t="s">
        <v>201</v>
      </c>
      <c r="C12" s="75">
        <v>0.02</v>
      </c>
      <c r="D12" s="76">
        <v>0.05</v>
      </c>
      <c r="E12" s="76">
        <v>0.02</v>
      </c>
      <c r="F12" s="76">
        <v>0.05</v>
      </c>
      <c r="G12" s="76">
        <v>0.02</v>
      </c>
      <c r="H12" s="76"/>
      <c r="I12" s="76"/>
      <c r="J12" s="76"/>
    </row>
    <row r="14" spans="2:10" ht="50" customHeight="1">
      <c r="B14" s="84" t="s">
        <v>184</v>
      </c>
      <c r="C14" s="84"/>
      <c r="D14" s="84"/>
    </row>
    <row r="15" spans="2:10" ht="50" customHeight="1">
      <c r="B15" s="16" t="s">
        <v>185</v>
      </c>
      <c r="C15" s="84" t="s">
        <v>186</v>
      </c>
      <c r="D15" s="84"/>
    </row>
    <row r="16" spans="2:10" ht="50" customHeight="1">
      <c r="B16" s="49" t="s">
        <v>187</v>
      </c>
      <c r="C16" s="85" t="s">
        <v>188</v>
      </c>
      <c r="D16" s="85"/>
    </row>
    <row r="17" spans="2:4" ht="50" customHeight="1">
      <c r="B17" s="83" t="s">
        <v>189</v>
      </c>
      <c r="C17" s="83" t="s">
        <v>190</v>
      </c>
      <c r="D17" s="83"/>
    </row>
    <row r="18" spans="2:4" ht="50" customHeight="1">
      <c r="B18" s="83"/>
      <c r="C18" s="83" t="s">
        <v>191</v>
      </c>
      <c r="D18" s="83"/>
    </row>
    <row r="19" spans="2:4" ht="50" customHeight="1">
      <c r="B19" s="83"/>
      <c r="C19" s="83" t="s">
        <v>192</v>
      </c>
      <c r="D19" s="83"/>
    </row>
    <row r="20" spans="2:4" ht="50" customHeight="1">
      <c r="B20" s="83"/>
      <c r="C20" s="83" t="s">
        <v>193</v>
      </c>
      <c r="D20" s="83"/>
    </row>
    <row r="21" spans="2:4" ht="50" customHeight="1">
      <c r="B21" s="83" t="s">
        <v>194</v>
      </c>
      <c r="C21" s="83" t="s">
        <v>195</v>
      </c>
      <c r="D21" s="83"/>
    </row>
    <row r="22" spans="2:4" ht="50" customHeight="1">
      <c r="B22" s="83"/>
      <c r="C22" s="83" t="s">
        <v>196</v>
      </c>
      <c r="D22" s="83"/>
    </row>
    <row r="23" spans="2:4" ht="50" customHeight="1">
      <c r="B23" s="83"/>
      <c r="C23" s="83" t="s">
        <v>197</v>
      </c>
      <c r="D23" s="83"/>
    </row>
    <row r="24" spans="2:4" ht="50" customHeight="1">
      <c r="B24" s="83" t="s">
        <v>198</v>
      </c>
      <c r="C24" s="83" t="s">
        <v>199</v>
      </c>
      <c r="D24" s="83"/>
    </row>
    <row r="25" spans="2:4" ht="50" customHeight="1">
      <c r="B25" s="83"/>
      <c r="C25" s="83" t="s">
        <v>200</v>
      </c>
      <c r="D25" s="83"/>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B8" zoomScale="70" zoomScaleNormal="70" workbookViewId="0">
      <selection activeCell="G9" sqref="G9"/>
    </sheetView>
  </sheetViews>
  <sheetFormatPr defaultColWidth="10.83203125" defaultRowHeight="15.5"/>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291</v>
      </c>
    </row>
    <row r="2" spans="2:11" ht="67" customHeight="1">
      <c r="B2" s="33"/>
      <c r="C2" s="16">
        <v>2022</v>
      </c>
      <c r="D2" s="16">
        <v>2023</v>
      </c>
      <c r="E2" s="16">
        <v>2024</v>
      </c>
      <c r="F2" s="16" t="s">
        <v>210</v>
      </c>
      <c r="G2" s="16" t="s">
        <v>146</v>
      </c>
      <c r="H2" s="16" t="s">
        <v>147</v>
      </c>
      <c r="I2" s="16" t="s">
        <v>211</v>
      </c>
      <c r="J2" s="16" t="s">
        <v>209</v>
      </c>
    </row>
    <row r="3" spans="2:11" ht="67" customHeight="1">
      <c r="B3" s="16" t="s">
        <v>268</v>
      </c>
      <c r="C3" s="39">
        <v>14</v>
      </c>
      <c r="D3" s="39">
        <v>14</v>
      </c>
      <c r="E3" s="39">
        <v>16</v>
      </c>
      <c r="F3" s="39">
        <v>16</v>
      </c>
      <c r="G3" s="39">
        <v>16</v>
      </c>
      <c r="H3" s="39">
        <v>16</v>
      </c>
      <c r="I3" s="39">
        <v>16</v>
      </c>
      <c r="J3" s="63"/>
    </row>
    <row r="4" spans="2:11" ht="67" customHeight="1">
      <c r="B4" s="36" t="s">
        <v>269</v>
      </c>
      <c r="C4" s="39">
        <v>28</v>
      </c>
      <c r="D4" s="39">
        <v>30</v>
      </c>
      <c r="E4" s="39">
        <v>34</v>
      </c>
      <c r="F4" s="39">
        <v>34</v>
      </c>
      <c r="G4" s="39">
        <v>34</v>
      </c>
      <c r="H4" s="39">
        <v>34</v>
      </c>
      <c r="I4" s="39">
        <v>34</v>
      </c>
      <c r="J4" s="63"/>
    </row>
    <row r="5" spans="2:11" ht="67" customHeight="1">
      <c r="B5" s="16" t="s">
        <v>270</v>
      </c>
      <c r="C5" s="39">
        <v>16</v>
      </c>
      <c r="D5" s="39">
        <v>20</v>
      </c>
      <c r="E5" s="39">
        <v>35</v>
      </c>
      <c r="F5" s="39">
        <v>38</v>
      </c>
      <c r="G5" s="39">
        <v>42</v>
      </c>
      <c r="H5" s="39">
        <v>45</v>
      </c>
      <c r="I5" s="39">
        <v>45</v>
      </c>
      <c r="J5" s="63"/>
    </row>
    <row r="6" spans="2:11" ht="67" customHeight="1">
      <c r="B6" s="16" t="s">
        <v>271</v>
      </c>
      <c r="C6" s="39">
        <v>26</v>
      </c>
      <c r="D6" s="39">
        <v>26</v>
      </c>
      <c r="E6" s="39">
        <v>36</v>
      </c>
      <c r="F6" s="39">
        <v>38</v>
      </c>
      <c r="G6" s="39">
        <v>40</v>
      </c>
      <c r="H6" s="39">
        <v>40</v>
      </c>
      <c r="I6" s="39">
        <v>40</v>
      </c>
      <c r="J6" s="63"/>
      <c r="K6" s="4" t="s">
        <v>219</v>
      </c>
    </row>
    <row r="7" spans="2:11" ht="67" customHeight="1">
      <c r="B7" s="16" t="s">
        <v>272</v>
      </c>
      <c r="C7" s="39">
        <v>9</v>
      </c>
      <c r="D7" s="39">
        <v>9</v>
      </c>
      <c r="E7" s="39">
        <v>9</v>
      </c>
      <c r="F7" s="39">
        <v>9</v>
      </c>
      <c r="G7" s="39">
        <v>9</v>
      </c>
      <c r="H7" s="39">
        <v>9</v>
      </c>
      <c r="I7" s="39">
        <v>9</v>
      </c>
      <c r="J7" s="63"/>
    </row>
    <row r="8" spans="2:11" ht="67" customHeight="1">
      <c r="B8" s="16" t="s">
        <v>273</v>
      </c>
      <c r="C8" s="39">
        <v>4</v>
      </c>
      <c r="D8" s="39">
        <v>4</v>
      </c>
      <c r="E8" s="39">
        <v>6</v>
      </c>
      <c r="F8" s="39">
        <v>6</v>
      </c>
      <c r="G8" s="39">
        <v>7</v>
      </c>
      <c r="H8" s="39">
        <v>7</v>
      </c>
      <c r="I8" s="39">
        <v>7</v>
      </c>
      <c r="J8" s="63"/>
    </row>
    <row r="9" spans="2:11" ht="67" customHeight="1">
      <c r="B9" s="16" t="s">
        <v>274</v>
      </c>
      <c r="C9" s="39">
        <v>8</v>
      </c>
      <c r="D9" s="39">
        <v>8</v>
      </c>
      <c r="E9" s="39">
        <v>9</v>
      </c>
      <c r="F9" s="39">
        <v>9</v>
      </c>
      <c r="G9" s="39">
        <v>9</v>
      </c>
      <c r="H9" s="39">
        <v>9</v>
      </c>
      <c r="I9" s="39">
        <v>9</v>
      </c>
      <c r="J9" s="63"/>
    </row>
    <row r="10" spans="2:11" ht="67" customHeight="1">
      <c r="B10" s="36" t="s">
        <v>288</v>
      </c>
      <c r="C10" s="39">
        <v>5</v>
      </c>
      <c r="D10" s="39">
        <v>5</v>
      </c>
      <c r="E10" s="39">
        <v>5</v>
      </c>
      <c r="F10" s="39">
        <v>5</v>
      </c>
      <c r="G10" s="39">
        <v>6</v>
      </c>
      <c r="H10" s="39">
        <v>6</v>
      </c>
      <c r="I10" s="39">
        <v>6</v>
      </c>
      <c r="J10" s="63"/>
    </row>
    <row r="11" spans="2:11" ht="67" customHeight="1">
      <c r="B11" s="16" t="s">
        <v>289</v>
      </c>
      <c r="C11" s="39">
        <v>28</v>
      </c>
      <c r="D11" s="39">
        <v>28</v>
      </c>
      <c r="E11" s="39">
        <v>28</v>
      </c>
      <c r="F11" s="39">
        <v>28</v>
      </c>
      <c r="G11" s="39">
        <v>29</v>
      </c>
      <c r="H11" s="39">
        <v>29</v>
      </c>
      <c r="I11" s="39">
        <v>29</v>
      </c>
      <c r="J11" s="63"/>
    </row>
    <row r="12" spans="2:11" ht="67" customHeight="1">
      <c r="B12" s="16" t="s">
        <v>290</v>
      </c>
      <c r="C12" s="39">
        <v>12</v>
      </c>
      <c r="D12" s="39">
        <v>12</v>
      </c>
      <c r="E12" s="39">
        <v>12</v>
      </c>
      <c r="F12" s="39">
        <v>12</v>
      </c>
      <c r="G12" s="39">
        <v>12</v>
      </c>
      <c r="H12" s="39">
        <v>12</v>
      </c>
      <c r="I12" s="39">
        <v>12</v>
      </c>
      <c r="J12" s="63"/>
    </row>
    <row r="13" spans="2:11" ht="67" customHeight="1">
      <c r="B13" s="16" t="s">
        <v>212</v>
      </c>
      <c r="C13" s="39"/>
      <c r="D13" s="39"/>
      <c r="E13" s="39"/>
      <c r="F13" s="39"/>
      <c r="G13" s="39"/>
      <c r="H13" s="39"/>
      <c r="I13" s="39"/>
      <c r="J13" s="63"/>
    </row>
    <row r="14" spans="2:11" ht="67" customHeight="1">
      <c r="B14" s="16" t="s">
        <v>212</v>
      </c>
      <c r="C14" s="39"/>
      <c r="D14" s="39"/>
      <c r="E14" s="39"/>
      <c r="F14" s="39"/>
      <c r="G14" s="39"/>
      <c r="H14" s="39"/>
      <c r="I14" s="39"/>
      <c r="J14" s="63"/>
    </row>
    <row r="15" spans="2:11" ht="67" customHeight="1">
      <c r="B15" s="16" t="s">
        <v>212</v>
      </c>
      <c r="C15" s="39"/>
      <c r="D15" s="39"/>
      <c r="E15" s="39"/>
      <c r="F15" s="39"/>
      <c r="G15" s="39"/>
      <c r="H15" s="39"/>
      <c r="I15" s="39"/>
      <c r="J15" s="63"/>
    </row>
    <row r="16" spans="2:11" ht="18.5">
      <c r="B16" s="54" t="s">
        <v>220</v>
      </c>
      <c r="C16" s="55">
        <f t="shared" ref="C16:I16" si="0">SUM(C3:C15)</f>
        <v>150</v>
      </c>
      <c r="D16" s="55">
        <f t="shared" si="0"/>
        <v>156</v>
      </c>
      <c r="E16" s="55">
        <f t="shared" si="0"/>
        <v>190</v>
      </c>
      <c r="F16" s="55">
        <f t="shared" si="0"/>
        <v>195</v>
      </c>
      <c r="G16" s="55">
        <f t="shared" si="0"/>
        <v>204</v>
      </c>
      <c r="H16" s="55">
        <f t="shared" si="0"/>
        <v>207</v>
      </c>
      <c r="I16" s="55">
        <f t="shared" si="0"/>
        <v>207</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M4" sqref="M4"/>
    </sheetView>
  </sheetViews>
  <sheetFormatPr defaultColWidth="10.83203125" defaultRowHeight="15.5"/>
  <cols>
    <col min="1" max="1" width="5.33203125" customWidth="1"/>
    <col min="2" max="2" width="34.5" customWidth="1"/>
  </cols>
  <sheetData>
    <row r="2" spans="2:11" ht="47" customHeight="1">
      <c r="B2" s="86" t="s">
        <v>318</v>
      </c>
      <c r="C2" s="86"/>
      <c r="D2" s="86"/>
      <c r="E2" s="86"/>
      <c r="F2" s="86"/>
      <c r="G2" s="86"/>
      <c r="H2" s="86"/>
      <c r="I2" s="86"/>
      <c r="J2" s="86"/>
      <c r="K2" s="86"/>
    </row>
    <row r="3" spans="2:11" ht="47" customHeight="1">
      <c r="B3" s="86"/>
      <c r="C3" s="86"/>
      <c r="D3" s="86"/>
      <c r="E3" s="86"/>
      <c r="F3" s="86"/>
      <c r="G3" s="86"/>
      <c r="H3" s="86"/>
      <c r="I3" s="86"/>
      <c r="J3" s="86"/>
      <c r="K3" s="86"/>
    </row>
    <row r="4" spans="2:11" ht="47" customHeight="1">
      <c r="B4" s="86"/>
      <c r="C4" s="86"/>
      <c r="D4" s="86"/>
      <c r="E4" s="86"/>
      <c r="F4" s="86"/>
      <c r="G4" s="86"/>
      <c r="H4" s="86"/>
      <c r="I4" s="86"/>
      <c r="J4" s="86"/>
      <c r="K4" s="86"/>
    </row>
    <row r="5" spans="2:11" ht="47" customHeight="1">
      <c r="B5" s="86"/>
      <c r="C5" s="86"/>
      <c r="D5" s="86"/>
      <c r="E5" s="86"/>
      <c r="F5" s="86"/>
      <c r="G5" s="86"/>
      <c r="H5" s="86"/>
      <c r="I5" s="86"/>
      <c r="J5" s="86"/>
      <c r="K5" s="86"/>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6" zoomScale="70" zoomScaleNormal="60" workbookViewId="0">
      <selection activeCell="H23" sqref="H23"/>
    </sheetView>
  </sheetViews>
  <sheetFormatPr defaultColWidth="10.6640625" defaultRowHeight="15.5"/>
  <cols>
    <col min="1" max="1" width="4.1640625" style="1" customWidth="1"/>
    <col min="2" max="2" width="51.5" style="1" customWidth="1"/>
    <col min="3" max="22" width="29.1640625" style="1" customWidth="1"/>
    <col min="23" max="23" width="57.83203125" style="1" customWidth="1"/>
  </cols>
  <sheetData>
    <row r="1" spans="2:23" ht="60" customHeight="1">
      <c r="B1" s="34" t="s">
        <v>249</v>
      </c>
    </row>
    <row r="2" spans="2:23" ht="60" customHeight="1">
      <c r="B2" s="68" t="s">
        <v>242</v>
      </c>
      <c r="C2" s="87" t="s">
        <v>244</v>
      </c>
      <c r="D2" s="87"/>
      <c r="E2" s="87"/>
      <c r="F2" s="87"/>
      <c r="G2" s="87" t="s">
        <v>245</v>
      </c>
      <c r="H2" s="87"/>
      <c r="I2" s="87"/>
      <c r="J2" s="87"/>
      <c r="K2" s="87"/>
      <c r="L2" s="87" t="s">
        <v>308</v>
      </c>
      <c r="M2" s="87"/>
      <c r="N2" s="87"/>
      <c r="O2" s="87"/>
      <c r="P2" s="87"/>
      <c r="Q2" s="87"/>
      <c r="R2" s="87"/>
      <c r="S2" s="87" t="s">
        <v>246</v>
      </c>
      <c r="T2" s="87"/>
      <c r="U2" s="87"/>
      <c r="V2" s="87"/>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t="s">
        <v>36</v>
      </c>
      <c r="D4" s="39" t="s">
        <v>36</v>
      </c>
      <c r="E4" s="39" t="s">
        <v>36</v>
      </c>
      <c r="F4" s="39" t="s">
        <v>36</v>
      </c>
      <c r="G4" s="39" t="s">
        <v>36</v>
      </c>
      <c r="H4" s="39" t="s">
        <v>36</v>
      </c>
      <c r="I4" s="39" t="s">
        <v>36</v>
      </c>
      <c r="J4" s="39" t="s">
        <v>36</v>
      </c>
      <c r="K4" s="39" t="s">
        <v>36</v>
      </c>
      <c r="L4" s="39" t="s">
        <v>37</v>
      </c>
      <c r="M4" s="39" t="s">
        <v>37</v>
      </c>
      <c r="N4" s="39" t="s">
        <v>37</v>
      </c>
      <c r="O4" s="39" t="s">
        <v>37</v>
      </c>
      <c r="P4" s="39" t="s">
        <v>37</v>
      </c>
      <c r="Q4" s="39" t="s">
        <v>37</v>
      </c>
      <c r="R4" s="39" t="s">
        <v>37</v>
      </c>
      <c r="S4" s="39" t="s">
        <v>36</v>
      </c>
      <c r="T4" s="39" t="s">
        <v>36</v>
      </c>
      <c r="U4" s="39" t="s">
        <v>37</v>
      </c>
      <c r="V4" s="39" t="s">
        <v>37</v>
      </c>
      <c r="W4" s="63"/>
    </row>
    <row r="5" spans="2:23" ht="60" customHeight="1">
      <c r="B5" s="36" t="s">
        <v>276</v>
      </c>
      <c r="C5" s="39" t="s">
        <v>363</v>
      </c>
      <c r="D5" s="39" t="s">
        <v>363</v>
      </c>
      <c r="E5" s="39" t="s">
        <v>363</v>
      </c>
      <c r="F5" s="39" t="s">
        <v>363</v>
      </c>
      <c r="G5" s="39" t="s">
        <v>36</v>
      </c>
      <c r="H5" s="39" t="s">
        <v>36</v>
      </c>
      <c r="I5" s="39" t="s">
        <v>371</v>
      </c>
      <c r="J5" s="39" t="s">
        <v>36</v>
      </c>
      <c r="K5" s="39" t="s">
        <v>36</v>
      </c>
      <c r="L5" s="39"/>
      <c r="M5" s="39"/>
      <c r="N5" s="39"/>
      <c r="O5" s="39"/>
      <c r="P5" s="39"/>
      <c r="Q5" s="39"/>
      <c r="R5" s="39"/>
      <c r="S5" s="39" t="s">
        <v>371</v>
      </c>
      <c r="T5" s="39" t="s">
        <v>371</v>
      </c>
      <c r="U5" s="39"/>
      <c r="V5" s="39"/>
      <c r="W5" s="63"/>
    </row>
    <row r="6" spans="2:23" ht="60" customHeight="1">
      <c r="B6" s="36" t="s">
        <v>257</v>
      </c>
      <c r="C6" s="39" t="s">
        <v>37</v>
      </c>
      <c r="D6" s="39" t="s">
        <v>37</v>
      </c>
      <c r="E6" s="39" t="s">
        <v>37</v>
      </c>
      <c r="F6" s="39" t="s">
        <v>37</v>
      </c>
      <c r="G6" s="39" t="s">
        <v>37</v>
      </c>
      <c r="H6" s="39" t="s">
        <v>37</v>
      </c>
      <c r="I6" s="39" t="s">
        <v>37</v>
      </c>
      <c r="J6" s="39" t="s">
        <v>37</v>
      </c>
      <c r="K6" s="39" t="s">
        <v>37</v>
      </c>
      <c r="L6" s="39"/>
      <c r="M6" s="39"/>
      <c r="N6" s="39"/>
      <c r="O6" s="39"/>
      <c r="P6" s="39"/>
      <c r="Q6" s="39"/>
      <c r="R6" s="39"/>
      <c r="S6" s="39" t="s">
        <v>37</v>
      </c>
      <c r="T6" s="39" t="s">
        <v>37</v>
      </c>
      <c r="U6" s="39"/>
      <c r="V6" s="39"/>
      <c r="W6" s="63"/>
    </row>
    <row r="7" spans="2:23" ht="60" customHeight="1">
      <c r="B7" s="36" t="s">
        <v>22</v>
      </c>
      <c r="C7" s="39" t="s">
        <v>427</v>
      </c>
      <c r="D7" s="39" t="s">
        <v>368</v>
      </c>
      <c r="E7" s="39" t="s">
        <v>369</v>
      </c>
      <c r="F7" s="39" t="s">
        <v>370</v>
      </c>
      <c r="G7" s="39" t="s">
        <v>430</v>
      </c>
      <c r="H7" s="39" t="s">
        <v>428</v>
      </c>
      <c r="I7" s="39" t="s">
        <v>431</v>
      </c>
      <c r="J7" s="39" t="s">
        <v>429</v>
      </c>
      <c r="K7" s="39" t="s">
        <v>370</v>
      </c>
      <c r="L7" s="39"/>
      <c r="M7" s="39"/>
      <c r="N7" s="39"/>
      <c r="O7" s="39"/>
      <c r="P7" s="39"/>
      <c r="Q7" s="39"/>
      <c r="R7" s="39"/>
      <c r="S7" s="39" t="s">
        <v>397</v>
      </c>
      <c r="T7" s="39" t="s">
        <v>397</v>
      </c>
      <c r="U7" s="39"/>
      <c r="V7" s="39"/>
      <c r="W7" s="63"/>
    </row>
    <row r="8" spans="2:23" ht="60" customHeight="1">
      <c r="B8" s="36" t="s">
        <v>275</v>
      </c>
      <c r="C8" s="39" t="s">
        <v>392</v>
      </c>
      <c r="D8" s="39" t="s">
        <v>392</v>
      </c>
      <c r="E8" s="39" t="s">
        <v>392</v>
      </c>
      <c r="F8" s="39" t="s">
        <v>392</v>
      </c>
      <c r="G8" s="39" t="s">
        <v>392</v>
      </c>
      <c r="H8" s="39" t="s">
        <v>392</v>
      </c>
      <c r="I8" s="39" t="s">
        <v>392</v>
      </c>
      <c r="J8" s="39" t="s">
        <v>392</v>
      </c>
      <c r="K8" s="39" t="s">
        <v>392</v>
      </c>
      <c r="L8" s="39"/>
      <c r="M8" s="39"/>
      <c r="N8" s="39"/>
      <c r="O8" s="39"/>
      <c r="P8" s="39"/>
      <c r="Q8" s="39"/>
      <c r="R8" s="39"/>
      <c r="S8" s="39" t="s">
        <v>392</v>
      </c>
      <c r="T8" s="39" t="s">
        <v>392</v>
      </c>
      <c r="U8" s="39"/>
      <c r="V8" s="39"/>
      <c r="W8" s="63"/>
    </row>
    <row r="9" spans="2:23" ht="60" customHeight="1">
      <c r="B9" s="36" t="s">
        <v>258</v>
      </c>
      <c r="C9" s="39" t="s">
        <v>373</v>
      </c>
      <c r="D9" s="39" t="s">
        <v>372</v>
      </c>
      <c r="E9" s="39" t="s">
        <v>374</v>
      </c>
      <c r="F9" s="39" t="s">
        <v>375</v>
      </c>
      <c r="G9" s="39" t="s">
        <v>375</v>
      </c>
      <c r="H9" s="39" t="s">
        <v>376</v>
      </c>
      <c r="I9" s="39" t="s">
        <v>377</v>
      </c>
      <c r="J9" s="39" t="s">
        <v>378</v>
      </c>
      <c r="K9" s="39" t="s">
        <v>379</v>
      </c>
      <c r="L9" s="39"/>
      <c r="M9" s="39"/>
      <c r="N9" s="39"/>
      <c r="O9" s="39"/>
      <c r="P9" s="39"/>
      <c r="Q9" s="39"/>
      <c r="R9" s="39"/>
      <c r="S9" s="39" t="s">
        <v>416</v>
      </c>
      <c r="T9" s="39" t="s">
        <v>416</v>
      </c>
      <c r="U9" s="39"/>
      <c r="V9" s="39"/>
      <c r="W9" s="63"/>
    </row>
    <row r="10" spans="2:23" ht="60" customHeight="1">
      <c r="B10" s="36" t="s">
        <v>307</v>
      </c>
      <c r="C10" s="39" t="s">
        <v>381</v>
      </c>
      <c r="D10" s="39" t="s">
        <v>380</v>
      </c>
      <c r="E10" s="39" t="s">
        <v>382</v>
      </c>
      <c r="F10" s="39" t="s">
        <v>383</v>
      </c>
      <c r="G10" s="39" t="s">
        <v>419</v>
      </c>
      <c r="H10" s="39" t="s">
        <v>420</v>
      </c>
      <c r="I10" s="39" t="s">
        <v>421</v>
      </c>
      <c r="J10" s="39" t="s">
        <v>421</v>
      </c>
      <c r="K10" s="39" t="s">
        <v>421</v>
      </c>
      <c r="L10" s="39"/>
      <c r="M10" s="39"/>
      <c r="N10" s="39"/>
      <c r="O10" s="39"/>
      <c r="P10" s="39"/>
      <c r="Q10" s="39"/>
      <c r="R10" s="39"/>
      <c r="S10" s="39" t="s">
        <v>417</v>
      </c>
      <c r="T10" s="39" t="s">
        <v>417</v>
      </c>
      <c r="U10" s="39"/>
      <c r="V10" s="39"/>
      <c r="W10" s="63"/>
    </row>
    <row r="11" spans="2:23" ht="60" customHeight="1">
      <c r="B11" s="36" t="s">
        <v>277</v>
      </c>
      <c r="C11" s="39" t="s">
        <v>384</v>
      </c>
      <c r="D11" s="39" t="s">
        <v>390</v>
      </c>
      <c r="E11" s="39" t="s">
        <v>384</v>
      </c>
      <c r="F11" s="39" t="s">
        <v>390</v>
      </c>
      <c r="G11" s="71" t="s">
        <v>384</v>
      </c>
      <c r="H11" s="39" t="s">
        <v>384</v>
      </c>
      <c r="I11" s="39" t="s">
        <v>384</v>
      </c>
      <c r="J11" s="39" t="s">
        <v>384</v>
      </c>
      <c r="K11" s="39" t="s">
        <v>384</v>
      </c>
      <c r="L11" s="39"/>
      <c r="M11" s="39"/>
      <c r="N11" s="39"/>
      <c r="O11" s="39"/>
      <c r="P11" s="39"/>
      <c r="Q11" s="39"/>
      <c r="R11" s="39"/>
      <c r="S11" s="39" t="s">
        <v>384</v>
      </c>
      <c r="T11" s="39" t="s">
        <v>384</v>
      </c>
      <c r="U11" s="39"/>
      <c r="V11" s="39"/>
      <c r="W11" s="63"/>
    </row>
    <row r="12" spans="2:23" ht="60" customHeight="1">
      <c r="B12" s="16" t="s">
        <v>259</v>
      </c>
      <c r="C12" s="39" t="s">
        <v>385</v>
      </c>
      <c r="D12" s="39" t="s">
        <v>387</v>
      </c>
      <c r="E12" s="39" t="s">
        <v>389</v>
      </c>
      <c r="F12" s="39" t="s">
        <v>393</v>
      </c>
      <c r="G12" s="39" t="s">
        <v>398</v>
      </c>
      <c r="H12" s="39" t="s">
        <v>399</v>
      </c>
      <c r="I12" s="39" t="s">
        <v>400</v>
      </c>
      <c r="J12" s="39" t="s">
        <v>401</v>
      </c>
      <c r="K12" s="39" t="s">
        <v>402</v>
      </c>
      <c r="L12" s="39"/>
      <c r="M12" s="39"/>
      <c r="N12" s="39"/>
      <c r="O12" s="39"/>
      <c r="P12" s="39"/>
      <c r="Q12" s="39"/>
      <c r="R12" s="39"/>
      <c r="S12" s="39" t="s">
        <v>404</v>
      </c>
      <c r="T12" s="39" t="s">
        <v>403</v>
      </c>
      <c r="U12" s="39"/>
      <c r="V12" s="39"/>
      <c r="W12" s="63"/>
    </row>
    <row r="13" spans="2:23" ht="60" customHeight="1">
      <c r="B13" s="36" t="s">
        <v>254</v>
      </c>
      <c r="C13" s="39" t="s">
        <v>394</v>
      </c>
      <c r="D13" s="39" t="s">
        <v>388</v>
      </c>
      <c r="E13" s="39" t="s">
        <v>391</v>
      </c>
      <c r="F13" s="39" t="s">
        <v>395</v>
      </c>
      <c r="G13" s="39" t="s">
        <v>405</v>
      </c>
      <c r="H13" s="39" t="s">
        <v>406</v>
      </c>
      <c r="I13" s="39" t="s">
        <v>407</v>
      </c>
      <c r="J13" s="39" t="s">
        <v>408</v>
      </c>
      <c r="K13" s="39" t="s">
        <v>409</v>
      </c>
      <c r="L13" s="39"/>
      <c r="M13" s="39"/>
      <c r="N13" s="39"/>
      <c r="O13" s="39"/>
      <c r="P13" s="39"/>
      <c r="Q13" s="39"/>
      <c r="R13" s="39"/>
      <c r="S13" s="39" t="s">
        <v>411</v>
      </c>
      <c r="T13" s="39" t="s">
        <v>410</v>
      </c>
      <c r="U13" s="39"/>
      <c r="V13" s="39"/>
      <c r="W13" s="63"/>
    </row>
    <row r="14" spans="2:23" ht="60" customHeight="1">
      <c r="B14" s="16" t="s">
        <v>250</v>
      </c>
      <c r="C14" s="39" t="s">
        <v>386</v>
      </c>
      <c r="D14" s="39" t="s">
        <v>386</v>
      </c>
      <c r="E14" s="39" t="s">
        <v>386</v>
      </c>
      <c r="F14" s="39" t="s">
        <v>396</v>
      </c>
      <c r="G14" s="39" t="s">
        <v>412</v>
      </c>
      <c r="H14" s="39" t="s">
        <v>396</v>
      </c>
      <c r="I14" s="39" t="s">
        <v>413</v>
      </c>
      <c r="J14" s="39" t="s">
        <v>415</v>
      </c>
      <c r="K14" s="39" t="s">
        <v>414</v>
      </c>
      <c r="L14" s="39"/>
      <c r="M14" s="39"/>
      <c r="N14" s="39"/>
      <c r="O14" s="39"/>
      <c r="P14" s="39"/>
      <c r="Q14" s="39"/>
      <c r="R14" s="39"/>
      <c r="S14" s="39"/>
      <c r="T14" s="39"/>
      <c r="U14" s="39"/>
      <c r="V14" s="39"/>
      <c r="W14" s="63"/>
    </row>
    <row r="15" spans="2:23" ht="60" customHeight="1">
      <c r="B15" s="16" t="s">
        <v>253</v>
      </c>
      <c r="C15" s="39"/>
      <c r="D15" s="39"/>
      <c r="E15" s="39"/>
      <c r="F15" s="39"/>
      <c r="G15" s="39"/>
      <c r="H15" s="39"/>
      <c r="I15" s="39"/>
      <c r="J15" s="39"/>
      <c r="K15" s="39"/>
      <c r="L15" s="39"/>
      <c r="M15" s="39"/>
      <c r="N15" s="39"/>
      <c r="O15" s="39"/>
      <c r="P15" s="39"/>
      <c r="Q15" s="39"/>
      <c r="R15" s="39"/>
      <c r="S15" s="39"/>
      <c r="T15" s="39"/>
      <c r="U15" s="39"/>
      <c r="V15" s="39"/>
      <c r="W15" s="63"/>
    </row>
    <row r="16" spans="2:23" ht="60" customHeight="1">
      <c r="B16" s="36" t="s">
        <v>255</v>
      </c>
      <c r="C16" s="39"/>
      <c r="D16" s="39"/>
      <c r="E16" s="39"/>
      <c r="F16" s="39"/>
      <c r="G16" s="39"/>
      <c r="H16" s="39"/>
      <c r="I16" s="39"/>
      <c r="J16" s="39" t="s">
        <v>432</v>
      </c>
      <c r="K16" s="39"/>
      <c r="L16" s="39"/>
      <c r="M16" s="39"/>
      <c r="N16" s="39"/>
      <c r="O16" s="39"/>
      <c r="P16" s="39"/>
      <c r="Q16" s="39"/>
      <c r="R16" s="39"/>
      <c r="S16" s="39"/>
      <c r="T16" s="39"/>
      <c r="U16" s="39"/>
      <c r="V16" s="39"/>
      <c r="W16" s="63"/>
    </row>
    <row r="17" spans="2:23" ht="60" customHeight="1">
      <c r="B17" s="16" t="s">
        <v>251</v>
      </c>
      <c r="C17" s="39"/>
      <c r="D17" s="39"/>
      <c r="E17" s="39"/>
      <c r="F17" s="39"/>
      <c r="G17" s="39"/>
      <c r="H17" s="39"/>
      <c r="I17" s="39"/>
      <c r="J17" s="39" t="s">
        <v>434</v>
      </c>
      <c r="K17" s="39"/>
      <c r="L17" s="39"/>
      <c r="M17" s="39"/>
      <c r="N17" s="39"/>
      <c r="O17" s="39"/>
      <c r="P17" s="39"/>
      <c r="Q17" s="39"/>
      <c r="R17" s="39"/>
      <c r="S17" s="39"/>
      <c r="T17" s="39"/>
      <c r="U17" s="39"/>
      <c r="V17" s="39"/>
      <c r="W17" s="63"/>
    </row>
    <row r="18" spans="2:23" ht="60" customHeight="1">
      <c r="B18" s="16" t="s">
        <v>252</v>
      </c>
      <c r="C18" s="39"/>
      <c r="D18" s="39"/>
      <c r="E18" s="39"/>
      <c r="F18" s="39"/>
      <c r="G18" s="39"/>
      <c r="H18" s="39"/>
      <c r="I18" s="39"/>
      <c r="J18" s="39" t="s">
        <v>433</v>
      </c>
      <c r="K18" s="39"/>
      <c r="L18" s="39"/>
      <c r="M18" s="39"/>
      <c r="N18" s="39"/>
      <c r="O18" s="39"/>
      <c r="P18" s="39"/>
      <c r="Q18" s="39"/>
      <c r="R18" s="39"/>
      <c r="S18" s="39"/>
      <c r="T18" s="39"/>
      <c r="U18" s="39"/>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35" workbookViewId="0">
      <selection activeCell="A24" activeCellId="1" sqref="S6 A24"/>
    </sheetView>
  </sheetViews>
  <sheetFormatPr defaultColWidth="10.83203125" defaultRowHeight="15.5"/>
  <cols>
    <col min="1" max="1" width="5.5" customWidth="1"/>
  </cols>
  <sheetData>
    <row r="3" spans="2:11" ht="34" customHeight="1">
      <c r="B3" s="86" t="s">
        <v>226</v>
      </c>
      <c r="C3" s="86"/>
      <c r="D3" s="86"/>
      <c r="E3" s="86"/>
      <c r="F3" s="86"/>
      <c r="G3" s="86"/>
      <c r="H3" s="86"/>
      <c r="I3" s="86"/>
      <c r="J3" s="86"/>
      <c r="K3" s="86"/>
    </row>
    <row r="4" spans="2:11" ht="34" customHeight="1">
      <c r="B4" s="86"/>
      <c r="C4" s="86"/>
      <c r="D4" s="86"/>
      <c r="E4" s="86"/>
      <c r="F4" s="86"/>
      <c r="G4" s="86"/>
      <c r="H4" s="86"/>
      <c r="I4" s="86"/>
      <c r="J4" s="86"/>
      <c r="K4" s="86"/>
    </row>
    <row r="5" spans="2:11" ht="34" customHeight="1">
      <c r="B5" s="86"/>
      <c r="C5" s="86"/>
      <c r="D5" s="86"/>
      <c r="E5" s="86"/>
      <c r="F5" s="86"/>
      <c r="G5" s="86"/>
      <c r="H5" s="86"/>
      <c r="I5" s="86"/>
      <c r="J5" s="86"/>
      <c r="K5" s="86"/>
    </row>
    <row r="6" spans="2:11" ht="34" customHeight="1">
      <c r="B6" s="86"/>
      <c r="C6" s="86"/>
      <c r="D6" s="86"/>
      <c r="E6" s="86"/>
      <c r="F6" s="86"/>
      <c r="G6" s="86"/>
      <c r="H6" s="86"/>
      <c r="I6" s="86"/>
      <c r="J6" s="86"/>
      <c r="K6" s="86"/>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70" zoomScaleNormal="70" workbookViewId="0">
      <selection activeCell="G10" sqref="G10"/>
    </sheetView>
  </sheetViews>
  <sheetFormatPr defaultColWidth="10.83203125" defaultRowHeight="20"/>
  <cols>
    <col min="1" max="1" width="4.1640625" style="57" customWidth="1"/>
    <col min="2" max="2" width="200.83203125" style="10" customWidth="1"/>
    <col min="3" max="3" width="67.5" style="13" customWidth="1"/>
    <col min="4" max="16384" width="10.83203125" style="51"/>
  </cols>
  <sheetData>
    <row r="2" spans="2:4">
      <c r="B2" s="8" t="s">
        <v>235</v>
      </c>
      <c r="C2" s="11"/>
    </row>
    <row r="3" spans="2:4">
      <c r="B3" s="44" t="s">
        <v>233</v>
      </c>
      <c r="C3" s="59"/>
    </row>
    <row r="4" spans="2:4">
      <c r="B4" s="58" t="s">
        <v>262</v>
      </c>
      <c r="C4" s="59"/>
    </row>
    <row r="5" spans="2:4" ht="60">
      <c r="B5" s="56" t="s">
        <v>285</v>
      </c>
      <c r="C5" s="50" t="s">
        <v>36</v>
      </c>
      <c r="D5" s="52" t="s">
        <v>286</v>
      </c>
    </row>
    <row r="6" spans="2:4">
      <c r="B6" s="58" t="s">
        <v>261</v>
      </c>
      <c r="C6" s="59"/>
      <c r="D6" s="52"/>
    </row>
    <row r="7" spans="2:4" ht="60">
      <c r="B7" s="56" t="s">
        <v>223</v>
      </c>
      <c r="C7" s="50" t="s">
        <v>36</v>
      </c>
      <c r="D7" s="52" t="s">
        <v>278</v>
      </c>
    </row>
    <row r="8" spans="2:4">
      <c r="B8" s="58" t="s">
        <v>260</v>
      </c>
      <c r="C8" s="59"/>
    </row>
    <row r="9" spans="2:4" ht="60">
      <c r="B9" s="56" t="s">
        <v>224</v>
      </c>
      <c r="C9" s="50" t="s">
        <v>36</v>
      </c>
    </row>
    <row r="10" spans="2:4">
      <c r="B10" s="58" t="s">
        <v>281</v>
      </c>
      <c r="C10" s="59"/>
    </row>
    <row r="11" spans="2:4" ht="60">
      <c r="B11" s="56" t="s">
        <v>282</v>
      </c>
      <c r="C11" s="50" t="s">
        <v>36</v>
      </c>
    </row>
    <row r="12" spans="2:4">
      <c r="B12" s="44" t="s">
        <v>232</v>
      </c>
      <c r="C12" s="59"/>
    </row>
    <row r="13" spans="2:4">
      <c r="B13" s="58" t="s">
        <v>234</v>
      </c>
      <c r="C13" s="59"/>
    </row>
    <row r="14" spans="2:4" ht="60">
      <c r="B14" s="56" t="s">
        <v>221</v>
      </c>
      <c r="C14" s="50" t="s">
        <v>36</v>
      </c>
    </row>
    <row r="15" spans="2:4">
      <c r="B15" s="58" t="s">
        <v>230</v>
      </c>
      <c r="C15" s="59"/>
    </row>
    <row r="16" spans="2:4" ht="60">
      <c r="B16" s="56" t="s">
        <v>222</v>
      </c>
      <c r="C16" s="50" t="s">
        <v>36</v>
      </c>
    </row>
    <row r="17" spans="2:3">
      <c r="B17" s="58" t="s">
        <v>231</v>
      </c>
      <c r="C17" s="59"/>
    </row>
    <row r="18" spans="2:3" ht="60">
      <c r="B18" s="56" t="s">
        <v>225</v>
      </c>
      <c r="C18" s="50" t="s">
        <v>36</v>
      </c>
    </row>
    <row r="19" spans="2:3">
      <c r="B19" s="58" t="s">
        <v>263</v>
      </c>
      <c r="C19" s="59"/>
    </row>
    <row r="20" spans="2:3" ht="60">
      <c r="B20" s="56" t="s">
        <v>284</v>
      </c>
      <c r="C20" s="50" t="s">
        <v>36</v>
      </c>
    </row>
    <row r="21" spans="2:3">
      <c r="B21" s="58" t="s">
        <v>301</v>
      </c>
      <c r="C21" s="59"/>
    </row>
    <row r="22" spans="2:3" ht="80">
      <c r="B22" s="56" t="s">
        <v>303</v>
      </c>
      <c r="C22" s="50" t="s">
        <v>36</v>
      </c>
    </row>
    <row r="23" spans="2:3">
      <c r="B23" s="58" t="s">
        <v>306</v>
      </c>
      <c r="C23" s="59"/>
    </row>
    <row r="24" spans="2:3" ht="80">
      <c r="B24" s="56" t="s">
        <v>304</v>
      </c>
      <c r="C24" s="50" t="s">
        <v>36</v>
      </c>
    </row>
    <row r="25" spans="2:3">
      <c r="B25" s="58" t="s">
        <v>302</v>
      </c>
      <c r="C25" s="59"/>
    </row>
    <row r="26" spans="2:3" ht="80">
      <c r="B26" s="56" t="s">
        <v>305</v>
      </c>
      <c r="C26" s="50" t="s">
        <v>36</v>
      </c>
    </row>
    <row r="27" spans="2:3">
      <c r="B27" s="58" t="s">
        <v>316</v>
      </c>
      <c r="C27" s="59"/>
    </row>
    <row r="28" spans="2:3" ht="80">
      <c r="B28" s="56" t="s">
        <v>319</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3203125" defaultRowHeight="15.5"/>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Long Woo</cp:lastModifiedBy>
  <cp:lastPrinted>2018-09-13T16:04:18Z</cp:lastPrinted>
  <dcterms:created xsi:type="dcterms:W3CDTF">2018-09-10T17:18:27Z</dcterms:created>
  <dcterms:modified xsi:type="dcterms:W3CDTF">2025-04-26T02:30:51Z</dcterms:modified>
</cp:coreProperties>
</file>