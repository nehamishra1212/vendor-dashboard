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9"/>
  <workbookPr/>
  <mc:AlternateContent xmlns:mc="http://schemas.openxmlformats.org/markup-compatibility/2006">
    <mc:Choice Requires="x15">
      <x15ac:absPath xmlns:x15ac="http://schemas.microsoft.com/office/spreadsheetml/2010/11/ac" url="/Users/nehamishra/vendor-dashboard/public/data/Pre-Engagement/"/>
    </mc:Choice>
  </mc:AlternateContent>
  <xr:revisionPtr revIDLastSave="0" documentId="13_ncr:1_{D52211E1-B2EA-4444-957E-2AA470B64228}" xr6:coauthVersionLast="47" xr6:coauthVersionMax="47" xr10:uidLastSave="{00000000-0000-0000-0000-000000000000}"/>
  <bookViews>
    <workbookView xWindow="0" yWindow="660" windowWidth="30240" windowHeight="18980" activeTab="2" xr2:uid="{00000000-000D-0000-FFFF-FFFF00000000}"/>
  </bookViews>
  <sheets>
    <sheet name="Export Summary" sheetId="1" r:id="rId1"/>
    <sheet name="Sheet 1 - Commercial Levers" sheetId="2" r:id="rId2"/>
    <sheet name="CPT Y2027 Brand New Station - T" sheetId="3" r:id="rId3"/>
    <sheet name="Y2027 NPI - PRM (Anna) - Resour" sheetId="4" r:id="rId4"/>
    <sheet name="Y2027 NPI - PRM (Anna) - Y2026 " sheetId="5" r:id="rId5"/>
    <sheet name="Y2027 NPI - Innorev (Fiona) - R" sheetId="6" r:id="rId6"/>
    <sheet name="Y2027 NPI - Innorev (Fiona) - Y" sheetId="7" r:id="rId7"/>
    <sheet name="Y2027 NPI - JLK (Sean) - Resour" sheetId="8" r:id="rId8"/>
    <sheet name="Y2027 NPI - JLK (Sean) - Y2026 " sheetId="9" r:id="rId9"/>
    <sheet name="Y2027 NPI - Cencorp (Rick) - Re" sheetId="10" r:id="rId10"/>
    <sheet name="Y2027 NPI - Cencorp (Rick) - Y2" sheetId="11" r:id="rId11"/>
    <sheet name="Y2027 NPI - Cencorp (Rick) - Y1" sheetId="12" r:id="rId12"/>
    <sheet name="Y2027 NPI - Cencorp (Rick) - Y3" sheetId="13" r:id="rId13"/>
    <sheet name="Y2027 NPI - HVS (Gene) - Resour" sheetId="14" r:id="rId14"/>
    <sheet name="Y2027 NPI - HVS (Gene) - Y2026 " sheetId="15" r:id="rId15"/>
    <sheet name="Y2027 NPI - Pantamaster (JS) - " sheetId="16" r:id="rId16"/>
    <sheet name="Y2027 NPI - Pantamaster (JS) -1" sheetId="17" r:id="rId17"/>
    <sheet name="Y2027 NPI - CYG (Rick) - Resour" sheetId="18" r:id="rId18"/>
    <sheet name="Y2027 NPI - CYG (Rick) - Y2026 " sheetId="19" r:id="rId19"/>
    <sheet name="Y2027 NPI - Nextas (Jessie) - R" sheetId="20" r:id="rId20"/>
    <sheet name="Y2027 NPI - Nextas (Jessie) - Y" sheetId="21" r:id="rId2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0" i="20" l="1" a="1"/>
  <c r="F10" i="20" s="1"/>
  <c r="F9" i="20" a="1"/>
  <c r="F9" i="20"/>
  <c r="F8" i="20" a="1"/>
  <c r="F8" i="20"/>
  <c r="F7" i="20" a="1"/>
  <c r="F7" i="20"/>
  <c r="F6" i="20" a="1"/>
  <c r="F6" i="20"/>
  <c r="F5" i="20" a="1"/>
  <c r="F5" i="20" s="1"/>
  <c r="F4" i="20" a="1"/>
  <c r="F4" i="20" s="1"/>
  <c r="F3" i="20" a="1"/>
  <c r="F3" i="20"/>
  <c r="C3" i="20" a="1"/>
  <c r="C3" i="20"/>
  <c r="E10" i="18" a="1"/>
  <c r="E10" i="18" s="1"/>
  <c r="F10" i="18" s="1" a="1"/>
  <c r="F10" i="18" s="1"/>
  <c r="E9" i="18" a="1"/>
  <c r="E9" i="18"/>
  <c r="F9" i="18" s="1" a="1"/>
  <c r="F9" i="18" s="1"/>
  <c r="F8" i="18" a="1"/>
  <c r="F8" i="18"/>
  <c r="E8" i="18" a="1"/>
  <c r="E8" i="18"/>
  <c r="E7" i="18" a="1"/>
  <c r="E7" i="18"/>
  <c r="F7" i="18" s="1" a="1"/>
  <c r="F7" i="18" s="1"/>
  <c r="E6" i="18" a="1"/>
  <c r="E6" i="18"/>
  <c r="F6" i="18" s="1" a="1"/>
  <c r="F6" i="18" s="1"/>
  <c r="E5" i="18" a="1"/>
  <c r="E5" i="18" s="1"/>
  <c r="F5" i="18" s="1" a="1"/>
  <c r="F5" i="18" s="1"/>
  <c r="E4" i="18" a="1"/>
  <c r="E4" i="18"/>
  <c r="F4" i="18" s="1" a="1"/>
  <c r="F4" i="18" s="1"/>
  <c r="F3" i="18" a="1"/>
  <c r="F3" i="18"/>
  <c r="E3" i="18" a="1"/>
  <c r="E3" i="18"/>
  <c r="F10" i="16" a="1"/>
  <c r="F10" i="16"/>
  <c r="F9" i="16" a="1"/>
  <c r="F9" i="16"/>
  <c r="F8" i="16" a="1"/>
  <c r="F8" i="16"/>
  <c r="F7" i="16" a="1"/>
  <c r="F7" i="16" s="1"/>
  <c r="F6" i="16" a="1"/>
  <c r="F6" i="16" s="1"/>
  <c r="F5" i="16" a="1"/>
  <c r="F5" i="16"/>
  <c r="F4" i="16" a="1"/>
  <c r="F4" i="16"/>
  <c r="F3" i="16" a="1"/>
  <c r="F3" i="16"/>
  <c r="C3" i="16" a="1"/>
  <c r="C3" i="16" s="1"/>
  <c r="H13" i="15" a="1"/>
  <c r="H13" i="15" s="1"/>
  <c r="H12" i="15" a="1"/>
  <c r="H12" i="15"/>
  <c r="H11" i="15" a="1"/>
  <c r="H11" i="15"/>
  <c r="G10" i="15" a="1"/>
  <c r="G10" i="15"/>
  <c r="F10" i="15" a="1"/>
  <c r="F10" i="15" s="1"/>
  <c r="E10" i="15" a="1"/>
  <c r="E10" i="15" s="1"/>
  <c r="C10" i="15" a="1"/>
  <c r="C10" i="15"/>
  <c r="G9" i="15" a="1"/>
  <c r="G9" i="15"/>
  <c r="F9" i="15" a="1"/>
  <c r="F9" i="15"/>
  <c r="E9" i="15" a="1"/>
  <c r="E9" i="15" s="1"/>
  <c r="C9" i="15" a="1"/>
  <c r="C9" i="15" s="1"/>
  <c r="H8" i="15" a="1"/>
  <c r="H8" i="15"/>
  <c r="G8" i="15" a="1"/>
  <c r="G8" i="15"/>
  <c r="F8" i="15" a="1"/>
  <c r="F8" i="15"/>
  <c r="E8" i="15" a="1"/>
  <c r="E8" i="15" s="1"/>
  <c r="C8" i="15" a="1"/>
  <c r="C8" i="15" s="1"/>
  <c r="H7" i="15" a="1"/>
  <c r="H7" i="15"/>
  <c r="G7" i="15" a="1"/>
  <c r="G7" i="15"/>
  <c r="F7" i="15" a="1"/>
  <c r="F7" i="15"/>
  <c r="E7" i="15" a="1"/>
  <c r="E7" i="15" s="1"/>
  <c r="C7" i="15" a="1"/>
  <c r="C7" i="15" s="1"/>
  <c r="H6" i="15" a="1"/>
  <c r="H6" i="15"/>
  <c r="G6" i="15" a="1"/>
  <c r="G6" i="15"/>
  <c r="G5" i="15" s="1" a="1"/>
  <c r="G5" i="15" s="1"/>
  <c r="F6" i="15" a="1"/>
  <c r="F6" i="15"/>
  <c r="F5" i="15" s="1" a="1"/>
  <c r="F5" i="15" s="1"/>
  <c r="E6" i="15" a="1"/>
  <c r="E6" i="15" s="1"/>
  <c r="E5" i="15" s="1" a="1"/>
  <c r="E5" i="15" s="1"/>
  <c r="C6" i="15" a="1"/>
  <c r="C6" i="15" s="1"/>
  <c r="C5" i="15" s="1" a="1"/>
  <c r="C5" i="15" s="1"/>
  <c r="D5" i="15" a="1"/>
  <c r="D5" i="15" s="1"/>
  <c r="F10" i="14" a="1"/>
  <c r="F10" i="14"/>
  <c r="F9" i="14" a="1"/>
  <c r="F9" i="14" s="1"/>
  <c r="F8" i="14" a="1"/>
  <c r="F8" i="14" s="1"/>
  <c r="F7" i="14" a="1"/>
  <c r="F7" i="14" s="1"/>
  <c r="F6" i="14" a="1"/>
  <c r="F6" i="14"/>
  <c r="F5" i="14" a="1"/>
  <c r="F5" i="14"/>
  <c r="F4" i="14" a="1"/>
  <c r="F4" i="14"/>
  <c r="F3" i="14" a="1"/>
  <c r="F3" i="14" s="1"/>
  <c r="C3" i="14" a="1"/>
  <c r="C3" i="14" s="1"/>
  <c r="G10" i="10" a="1"/>
  <c r="G10" i="10"/>
  <c r="F10" i="10" a="1"/>
  <c r="F10" i="10" s="1"/>
  <c r="H10" i="10" s="1" a="1"/>
  <c r="H10" i="10" s="1"/>
  <c r="C10" i="10" a="1"/>
  <c r="C10" i="10" s="1"/>
  <c r="F9" i="10" a="1"/>
  <c r="F9" i="10" s="1"/>
  <c r="F8" i="10" a="1"/>
  <c r="F8" i="10"/>
  <c r="C8" i="10" a="1"/>
  <c r="C8" i="10"/>
  <c r="G7" i="10" a="1"/>
  <c r="G7" i="10" s="1"/>
  <c r="F7" i="10" a="1"/>
  <c r="F7" i="10" s="1"/>
  <c r="G6" i="10" a="1"/>
  <c r="G6" i="10"/>
  <c r="F6" i="10" a="1"/>
  <c r="F6" i="10"/>
  <c r="H6" i="10" s="1" a="1"/>
  <c r="H6" i="10" s="1"/>
  <c r="G5" i="10" a="1"/>
  <c r="G5" i="10" s="1"/>
  <c r="H5" i="10" s="1" a="1"/>
  <c r="H5" i="10" s="1"/>
  <c r="F5" i="10" a="1"/>
  <c r="F5" i="10"/>
  <c r="G4" i="10" a="1"/>
  <c r="G4" i="10"/>
  <c r="F4" i="10" a="1"/>
  <c r="F4" i="10" s="1"/>
  <c r="H4" i="10" s="1" a="1"/>
  <c r="H4" i="10" s="1"/>
  <c r="G3" i="10" a="1"/>
  <c r="G3" i="10"/>
  <c r="F3" i="10" a="1"/>
  <c r="F3" i="10"/>
  <c r="H3" i="10" s="1" a="1"/>
  <c r="H3" i="10" s="1"/>
  <c r="C3" i="10" a="1"/>
  <c r="C3" i="10"/>
  <c r="G12" i="9" a="1"/>
  <c r="G12" i="9" s="1"/>
  <c r="G11" i="9" a="1"/>
  <c r="G11" i="9" s="1"/>
  <c r="G5" i="9" a="1"/>
  <c r="G5" i="9"/>
  <c r="E5" i="9" a="1"/>
  <c r="E5" i="9"/>
  <c r="D5" i="9" a="1"/>
  <c r="D5" i="9"/>
  <c r="F10" i="8" a="1"/>
  <c r="F10" i="8" s="1"/>
  <c r="F9" i="8" a="1"/>
  <c r="F9" i="8" s="1"/>
  <c r="F8" i="8" a="1"/>
  <c r="F8" i="8"/>
  <c r="F7" i="8" a="1"/>
  <c r="F7" i="8"/>
  <c r="F6" i="8" a="1"/>
  <c r="F6" i="8"/>
  <c r="F5" i="8" a="1"/>
  <c r="F5" i="8" s="1"/>
  <c r="D4" i="8" a="1"/>
  <c r="D4" i="8"/>
  <c r="F4" i="8" s="1" a="1"/>
  <c r="F4" i="8" s="1"/>
  <c r="F3" i="8" a="1"/>
  <c r="F3" i="8"/>
  <c r="C3" i="8" a="1"/>
  <c r="C3" i="8"/>
  <c r="F10" i="6" a="1"/>
  <c r="F10" i="6" s="1"/>
  <c r="F9" i="6" a="1"/>
  <c r="F9" i="6" s="1"/>
  <c r="F8" i="6" a="1"/>
  <c r="F8" i="6"/>
  <c r="F7" i="6" a="1"/>
  <c r="F7" i="6"/>
  <c r="F6" i="6" a="1"/>
  <c r="F6" i="6"/>
  <c r="F5" i="6" a="1"/>
  <c r="F5" i="6" s="1"/>
  <c r="F4" i="6" a="1"/>
  <c r="F4" i="6" s="1"/>
  <c r="F3" i="6" a="1"/>
  <c r="F3" i="6"/>
  <c r="C3" i="6" a="1"/>
  <c r="C3" i="6"/>
  <c r="H13" i="5" a="1"/>
  <c r="H13" i="5"/>
  <c r="E10" i="4" s="1" a="1"/>
  <c r="E10" i="4" s="1"/>
  <c r="H12" i="5" a="1"/>
  <c r="H12" i="5" s="1"/>
  <c r="E9" i="4" s="1" a="1"/>
  <c r="E9" i="4" s="1"/>
  <c r="H11" i="5" a="1"/>
  <c r="H11" i="5" s="1"/>
  <c r="E8" i="4" s="1" a="1"/>
  <c r="E8" i="4" s="1"/>
  <c r="G10" i="5" a="1"/>
  <c r="G10" i="5"/>
  <c r="F10" i="5" a="1"/>
  <c r="F10" i="5"/>
  <c r="E10" i="5" a="1"/>
  <c r="E10" i="5"/>
  <c r="C10" i="5" a="1"/>
  <c r="C10" i="5" s="1"/>
  <c r="E7" i="4" s="1" a="1"/>
  <c r="E7" i="4" s="1"/>
  <c r="G9" i="5" a="1"/>
  <c r="G9" i="5" s="1"/>
  <c r="F9" i="5" a="1"/>
  <c r="F9" i="5"/>
  <c r="E9" i="5" a="1"/>
  <c r="E9" i="5"/>
  <c r="C9" i="5" a="1"/>
  <c r="C9" i="5"/>
  <c r="H8" i="5" a="1"/>
  <c r="H8" i="5" s="1"/>
  <c r="G8" i="5" a="1"/>
  <c r="G8" i="5" s="1"/>
  <c r="F8" i="5" a="1"/>
  <c r="F8" i="5"/>
  <c r="E8" i="5" a="1"/>
  <c r="E8" i="5"/>
  <c r="C8" i="5" a="1"/>
  <c r="C8" i="5"/>
  <c r="H7" i="5" a="1"/>
  <c r="H7" i="5" s="1"/>
  <c r="G7" i="5" a="1"/>
  <c r="G7" i="5" s="1"/>
  <c r="F7" i="5" a="1"/>
  <c r="F7" i="5"/>
  <c r="E7" i="5" a="1"/>
  <c r="E7" i="5"/>
  <c r="C7" i="5" a="1"/>
  <c r="C7" i="5"/>
  <c r="H6" i="5" a="1"/>
  <c r="H6" i="5" s="1"/>
  <c r="G6" i="5" a="1"/>
  <c r="G6" i="5" s="1"/>
  <c r="F6" i="5" a="1"/>
  <c r="F6" i="5"/>
  <c r="F5" i="5" s="1" a="1"/>
  <c r="F5" i="5" s="1"/>
  <c r="E6" i="5" a="1"/>
  <c r="E6" i="5"/>
  <c r="E5" i="5" s="1" a="1"/>
  <c r="E5" i="5" s="1"/>
  <c r="C6" i="5" a="1"/>
  <c r="C6" i="5"/>
  <c r="D5" i="5" a="1"/>
  <c r="D5" i="5"/>
  <c r="E11" i="4" a="1"/>
  <c r="E11" i="4"/>
  <c r="F11" i="4" s="1" a="1"/>
  <c r="F11" i="4" s="1"/>
  <c r="D10" i="4" a="1"/>
  <c r="D10" i="4" s="1"/>
  <c r="D9" i="4" a="1"/>
  <c r="D9" i="4"/>
  <c r="F9" i="4" s="1" a="1"/>
  <c r="F9" i="4" s="1"/>
  <c r="D8" i="4" a="1"/>
  <c r="D8" i="4" s="1"/>
  <c r="F8" i="4" s="1" a="1"/>
  <c r="F8" i="4" s="1"/>
  <c r="D7" i="4" a="1"/>
  <c r="D7" i="4"/>
  <c r="D6" i="4" a="1"/>
  <c r="D6" i="4"/>
  <c r="F7" i="4" l="1" a="1"/>
  <c r="F7" i="4" s="1"/>
  <c r="C5" i="5" a="1"/>
  <c r="C5" i="5" s="1"/>
  <c r="G5" i="5" a="1"/>
  <c r="G5" i="5" s="1"/>
  <c r="H5" i="15" a="1"/>
  <c r="H5" i="15" s="1"/>
  <c r="H5" i="5" a="1"/>
  <c r="H5" i="5" s="1"/>
  <c r="E6" i="4" a="1"/>
  <c r="E6" i="4" s="1"/>
  <c r="F6" i="4" s="1" a="1"/>
  <c r="F6" i="4" s="1"/>
  <c r="F10" i="4" a="1"/>
  <c r="F10" i="4" s="1"/>
  <c r="H7" i="10" a="1"/>
  <c r="H7" i="10" s="1"/>
  <c r="E5" i="4" a="1"/>
  <c r="E5" i="4" s="1"/>
  <c r="F5" i="4" s="1" a="1"/>
  <c r="F5" i="4" s="1"/>
  <c r="C3" i="18" a="1"/>
  <c r="C3" i="18" s="1"/>
  <c r="E4" i="4" a="1"/>
  <c r="E4" i="4" s="1"/>
  <c r="F4" i="4" s="1" a="1"/>
  <c r="F4" i="4" s="1"/>
  <c r="E3" i="4" a="1"/>
  <c r="E3" i="4" s="1"/>
  <c r="F3" i="4" l="1" a="1"/>
  <c r="F3" i="4" s="1"/>
  <c r="C3" i="4" a="1"/>
  <c r="C3" i="4"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<sst xmlns="http://schemas.openxmlformats.org/spreadsheetml/2006/main" count="1480" uniqueCount="309">
  <si>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</si>
  <si>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</si>
  <si>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</si>
  <si>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</si>
  <si>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Sheet 1</t>
  </si>
  <si>
    <t>Commercial Levers</t>
  </si>
  <si>
    <t>Sheet 1 - Commercial Levers</t>
  </si>
  <si>
    <t>Vendor</t>
  </si>
  <si>
    <t>VN/CN cost parity</t>
  </si>
  <si>
    <t>Lot 0 items/cal kit reduction</t>
  </si>
  <si>
    <t>Labor/processing rates</t>
  </si>
  <si>
    <t>Retrofit</t>
  </si>
  <si>
    <t>Flat 10% reduction</t>
  </si>
  <si>
    <t>Common Module benchmark</t>
  </si>
  <si>
    <t>Cencorp</t>
  </si>
  <si>
    <t>Y</t>
  </si>
  <si>
    <t>JLK</t>
  </si>
  <si>
    <t>Innorev</t>
  </si>
  <si>
    <t>HVS</t>
  </si>
  <si>
    <t>VVDN</t>
  </si>
  <si>
    <t>PRM</t>
  </si>
  <si>
    <t>Penta</t>
  </si>
  <si>
    <t>Amp</t>
  </si>
  <si>
    <t>CYG</t>
  </si>
  <si>
    <t>Nextas</t>
  </si>
  <si>
    <t>Details</t>
  </si>
  <si>
    <t>Communicated as expectation; timeline pull in</t>
  </si>
  <si>
    <t xml:space="preserve">5%-10% cost reduction </t>
  </si>
  <si>
    <t>Meet targets from last year as NTE</t>
  </si>
  <si>
    <t>All conveyors 5% retrofit cost of NB (except gsm exceptions)</t>
  </si>
  <si>
    <t>CPT Y2027 Brand New Station</t>
  </si>
  <si>
    <t>TE Vendor Engagement Scope</t>
  </si>
  <si>
    <t>CPT Y2027 Brand New Station - T</t>
  </si>
  <si>
    <t>LOB</t>
  </si>
  <si>
    <t>Program</t>
  </si>
  <si>
    <t>Station</t>
  </si>
  <si>
    <t>Launch Timing</t>
  </si>
  <si>
    <t>Line Count</t>
  </si>
  <si>
    <t>CN/Global</t>
  </si>
  <si>
    <t>NPI Location</t>
  </si>
  <si>
    <t>MP Geo Impacted</t>
  </si>
  <si>
    <t>SPOR Lock Date</t>
  </si>
  <si>
    <t>Intercept EIH</t>
  </si>
  <si>
    <t>Trending GSSM Recommendation</t>
  </si>
  <si>
    <t>Station Resource/Capacity Supportability
(APO Fill - Y/N)</t>
  </si>
  <si>
    <t>Comments</t>
  </si>
  <si>
    <t>V7x</t>
  </si>
  <si>
    <t>ALS-P Conveyor</t>
  </si>
  <si>
    <t>Phone</t>
  </si>
  <si>
    <t>Fall’27</t>
  </si>
  <si>
    <t>China</t>
  </si>
  <si>
    <t>China/India</t>
  </si>
  <si>
    <t>P1 EIH Jun/M</t>
  </si>
  <si>
    <t xml:space="preserve">Y - Resource/ capability OK2Ssupport. </t>
  </si>
  <si>
    <t>1NB in P1, 1 in P2, 1 in EVT for conveyor; 3x each for standalone</t>
  </si>
  <si>
    <t>Global</t>
  </si>
  <si>
    <t>update based on Cencorp shared latest resource plan on 4/17</t>
  </si>
  <si>
    <t>Y - Leveraging 26 experience in ALSP but considering free-PRC and no BOM, can’t catch P1 timeline</t>
  </si>
  <si>
    <r>
      <rPr>
        <sz val="10"/>
        <color indexed="20"/>
        <rFont val="Helvetica Neue"/>
        <family val="2"/>
      </rPr>
      <t>N</t>
    </r>
    <r>
      <rPr>
        <sz val="10"/>
        <color indexed="8"/>
        <rFont val="Helvetica Neue"/>
        <family val="2"/>
      </rPr>
      <t xml:space="preserve"> (insufficient &amp; in-capable resource highlight by x-team during Y2026 iPhone Ramp)</t>
    </r>
  </si>
  <si>
    <t>IPO to input</t>
  </si>
  <si>
    <t>Odin conveyor</t>
  </si>
  <si>
    <r>
      <rPr>
        <sz val="10"/>
        <color indexed="20"/>
        <rFont val="Helvetica Neue"/>
        <family val="2"/>
      </rPr>
      <t xml:space="preserve">N </t>
    </r>
    <r>
      <rPr>
        <sz val="10"/>
        <color indexed="8"/>
        <rFont val="Helvetica Neue"/>
        <family val="2"/>
      </rPr>
      <t>- SQE limitation</t>
    </r>
  </si>
  <si>
    <t xml:space="preserve">Out for RFP </t>
  </si>
  <si>
    <t>Y - per Hemik this station is likely to be integrated into Clematis, but regardless it will be incremental design work for Cencorp</t>
  </si>
  <si>
    <r>
      <rPr>
        <sz val="10"/>
        <color indexed="20"/>
        <rFont val="Helvetica Neue"/>
        <family val="2"/>
      </rPr>
      <t>N</t>
    </r>
    <r>
      <rPr>
        <sz val="10"/>
        <color indexed="8"/>
        <rFont val="Helvetica Neue"/>
        <family val="2"/>
      </rPr>
      <t xml:space="preserve"> - PM and other resource limitation considering new design &amp; Free-PRC / China settlement in 2026</t>
    </r>
  </si>
  <si>
    <t>IQC AA stations</t>
  </si>
  <si>
    <t>CYG (already engaged)</t>
  </si>
  <si>
    <t>DCR/OS Tests</t>
  </si>
  <si>
    <t>SA-Barbie</t>
  </si>
  <si>
    <t>JLK or Cencorp</t>
  </si>
  <si>
    <t>Pentamaster</t>
  </si>
  <si>
    <t>J8x7</t>
  </si>
  <si>
    <t>DVI Conveyor RFP</t>
  </si>
  <si>
    <t>iPad</t>
  </si>
  <si>
    <t>China/Vietnam</t>
  </si>
  <si>
    <t>P2 EIH Jun/E</t>
  </si>
  <si>
    <t>B798</t>
  </si>
  <si>
    <t>ALL in One Case</t>
  </si>
  <si>
    <t>Audio</t>
  </si>
  <si>
    <t>Open</t>
  </si>
  <si>
    <t xml:space="preserve">Global </t>
  </si>
  <si>
    <t xml:space="preserve">No RFP received </t>
  </si>
  <si>
    <t>Not received RFP</t>
  </si>
  <si>
    <t xml:space="preserve">HVS </t>
  </si>
  <si>
    <t>Y - already aligned with CPT and list submitted / Capacity &amp; Resource ok to support (Produced in Korea for NPI build) - need to check station name</t>
  </si>
  <si>
    <t>Open Short</t>
  </si>
  <si>
    <t xml:space="preserve">IMU Camera </t>
  </si>
  <si>
    <t>Audio Conveyor</t>
  </si>
  <si>
    <t>Done</t>
  </si>
  <si>
    <t>N25x</t>
  </si>
  <si>
    <t>Conveyor Fact/Vent</t>
  </si>
  <si>
    <t>Watch</t>
  </si>
  <si>
    <t xml:space="preserve">Invited JLK Innorev Cencorp PRM Hyvision Pentamaster </t>
  </si>
  <si>
    <t xml:space="preserve">No, commercial reason as no profit </t>
  </si>
  <si>
    <r>
      <rPr>
        <sz val="10"/>
        <color indexed="20"/>
        <rFont val="Helvetica Neue"/>
        <family val="2"/>
      </rPr>
      <t xml:space="preserve">N </t>
    </r>
    <r>
      <rPr>
        <sz val="10"/>
        <color indexed="8"/>
        <rFont val="Helvetica Neue"/>
        <family val="2"/>
      </rPr>
      <t>(insufficient &amp; in-capable resource highlight by x-team during Y2026 iPhone Ramp)</t>
    </r>
  </si>
  <si>
    <r>
      <rPr>
        <sz val="10"/>
        <color indexed="20"/>
        <rFont val="Helvetica Neue"/>
        <family val="2"/>
      </rPr>
      <t xml:space="preserve">N </t>
    </r>
    <r>
      <rPr>
        <sz val="10"/>
        <color indexed="8"/>
        <rFont val="Helvetica Neue"/>
        <family val="2"/>
      </rPr>
      <t>- Aligned not to proceed (with Tyler)</t>
    </r>
  </si>
  <si>
    <t xml:space="preserve">Conveyor Cyan Rotary </t>
  </si>
  <si>
    <t>P1 Sept</t>
  </si>
  <si>
    <t>Out for RFP</t>
  </si>
  <si>
    <t>N (insufficient &amp; in-capable resource highlight by x-team during Y2026 iPhone Ramp)</t>
  </si>
  <si>
    <t>K12p</t>
  </si>
  <si>
    <t>Seasalt Conveyor</t>
  </si>
  <si>
    <t>Portables</t>
  </si>
  <si>
    <t>May Wk 3</t>
  </si>
  <si>
    <t>Y - Cencorp already planned the required resource early</t>
  </si>
  <si>
    <t>Amphenol</t>
  </si>
  <si>
    <t>Declined due to overloaded resources</t>
  </si>
  <si>
    <t>SPEA</t>
  </si>
  <si>
    <t>Declined due to disinterest</t>
  </si>
  <si>
    <t>Hyvision</t>
  </si>
  <si>
    <t>IVD</t>
  </si>
  <si>
    <t>Accepted but long lead time</t>
  </si>
  <si>
    <t>Q181</t>
  </si>
  <si>
    <t>POC Conveyor</t>
  </si>
  <si>
    <t>Aug Wk 1</t>
  </si>
  <si>
    <t>Sept Wk 1</t>
  </si>
  <si>
    <t>Y2027 NPI - PRM (Anna)</t>
  </si>
  <si>
    <t>Resource Availability for Y2027 NPI Support</t>
  </si>
  <si>
    <t>Y2027 NPI - PRM (Anna) - Resour</t>
  </si>
  <si>
    <t>SI Name</t>
  </si>
  <si>
    <t>Resource</t>
  </si>
  <si>
    <r>
      <rPr>
        <sz val="10"/>
        <color indexed="8"/>
        <rFont val="SF Hello Bold"/>
      </rPr>
      <t xml:space="preserve">Y2026 Loading
</t>
    </r>
    <r>
      <rPr>
        <sz val="10"/>
        <color indexed="21"/>
        <rFont val="SF Hello Regular"/>
      </rPr>
      <t>(Apr’26 ~ Sep’26)</t>
    </r>
  </si>
  <si>
    <r>
      <rPr>
        <sz val="10"/>
        <color indexed="8"/>
        <rFont val="SF Hello Bold"/>
      </rPr>
      <t xml:space="preserve">Total  Resource
</t>
    </r>
    <r>
      <rPr>
        <sz val="10"/>
        <color indexed="21"/>
        <rFont val="SF Hello Regular"/>
      </rPr>
      <t>(Cut Off Apr wk3)</t>
    </r>
  </si>
  <si>
    <r>
      <rPr>
        <sz val="10"/>
        <color indexed="8"/>
        <rFont val="SF Hello Bold"/>
      </rPr>
      <t xml:space="preserve">Resource Occupied  for Y2026 Ramp
</t>
    </r>
    <r>
      <rPr>
        <sz val="10"/>
        <color indexed="21"/>
        <rFont val="SF Hello Regular"/>
      </rPr>
      <t>(Apr’26 ~ Sep’26)</t>
    </r>
  </si>
  <si>
    <r>
      <rPr>
        <sz val="10"/>
        <color indexed="8"/>
        <rFont val="SF Hello Bold"/>
      </rPr>
      <t xml:space="preserve">Resource Leftover for Y2027 Brand-New Station NPI Build
</t>
    </r>
    <r>
      <rPr>
        <sz val="10"/>
        <color indexed="21"/>
        <rFont val="SF Hello Regular"/>
      </rPr>
      <t>(Apr’26 ~ Sep’26)</t>
    </r>
  </si>
  <si>
    <r>
      <rPr>
        <sz val="10"/>
        <color indexed="8"/>
        <rFont val="SF Hello Bold"/>
      </rPr>
      <t xml:space="preserve"># of Stations Type can support
</t>
    </r>
    <r>
      <rPr>
        <sz val="10"/>
        <color indexed="21"/>
        <rFont val="SF Hello Regular"/>
      </rPr>
      <t>(Refer CPT Y2027 RFP)</t>
    </r>
  </si>
  <si>
    <r>
      <rPr>
        <sz val="10"/>
        <color indexed="8"/>
        <rFont val="SF Hello Bold"/>
      </rPr>
      <t xml:space="preserve">Station Name can support
</t>
    </r>
    <r>
      <rPr>
        <sz val="10"/>
        <color indexed="21"/>
        <rFont val="SF Hello Regular"/>
      </rPr>
      <t>(Refer CPT Y2027 RFP)</t>
    </r>
  </si>
  <si>
    <t>Justification on why resource can support</t>
  </si>
  <si>
    <r>
      <rPr>
        <sz val="10"/>
        <color indexed="8"/>
        <rFont val="SF Hello Bold"/>
      </rPr>
      <t xml:space="preserve">Space Supportability 
</t>
    </r>
    <r>
      <rPr>
        <sz val="10"/>
        <color indexed="8"/>
        <rFont val="SF Hello Bold"/>
      </rPr>
      <t xml:space="preserve">
</t>
    </r>
    <r>
      <rPr>
        <sz val="10"/>
        <color indexed="21"/>
        <rFont val="SF Hello Regular"/>
      </rPr>
      <t>(Y/N)</t>
    </r>
  </si>
  <si>
    <r>
      <rPr>
        <sz val="10"/>
        <color indexed="8"/>
        <rFont val="SF Hello Bold"/>
      </rPr>
      <t xml:space="preserve">Machining Capacity Supportability 
</t>
    </r>
    <r>
      <rPr>
        <sz val="10"/>
        <color indexed="8"/>
        <rFont val="SF Hello Bold"/>
      </rPr>
      <t xml:space="preserve">
</t>
    </r>
    <r>
      <rPr>
        <sz val="10"/>
        <color indexed="21"/>
        <rFont val="SF Hello Regular"/>
      </rPr>
      <t>(Y/N)</t>
    </r>
  </si>
  <si>
    <r>
      <rPr>
        <sz val="10"/>
        <color indexed="8"/>
        <rFont val="SF Hello Bold"/>
      </rPr>
      <t xml:space="preserve">Assembly Capacity Supportability 
</t>
    </r>
    <r>
      <rPr>
        <sz val="10"/>
        <color indexed="8"/>
        <rFont val="SF Hello Bold"/>
      </rPr>
      <t xml:space="preserve">
</t>
    </r>
    <r>
      <rPr>
        <sz val="10"/>
        <color indexed="21"/>
        <rFont val="SF Hello Regular"/>
      </rPr>
      <t>(Y/N)</t>
    </r>
  </si>
  <si>
    <r>
      <rPr>
        <sz val="10"/>
        <color indexed="8"/>
        <rFont val="SF Hello Bold"/>
      </rPr>
      <t xml:space="preserve">Quality Capacity Supportability 
</t>
    </r>
    <r>
      <rPr>
        <sz val="10"/>
        <color indexed="8"/>
        <rFont val="SF Hello Bold"/>
      </rPr>
      <t xml:space="preserve">
</t>
    </r>
    <r>
      <rPr>
        <sz val="10"/>
        <color indexed="21"/>
        <rFont val="SF Hello Regular"/>
      </rPr>
      <t>(Y/N)</t>
    </r>
  </si>
  <si>
    <t>Station Name CANNOT Support
(Refer CPT Y2027 RFP) &amp; Justification</t>
  </si>
  <si>
    <t>PM</t>
  </si>
  <si>
    <t>4x</t>
  </si>
  <si>
    <r>
      <rPr>
        <sz val="10"/>
        <color indexed="8"/>
        <rFont val="SF Hello Bold"/>
      </rPr>
      <t xml:space="preserve">iPhone V7x Station </t>
    </r>
    <r>
      <rPr>
        <sz val="10"/>
        <color indexed="8"/>
        <rFont val="SF Hello Regular"/>
      </rPr>
      <t xml:space="preserve">SA Barbie
</t>
    </r>
    <r>
      <rPr>
        <sz val="10"/>
        <color indexed="8"/>
        <rFont val="SF Hello Regular"/>
      </rPr>
      <t xml:space="preserve">ALS-P
</t>
    </r>
    <r>
      <rPr>
        <sz val="10"/>
        <color indexed="8"/>
        <rFont val="SF Hello Bold"/>
      </rPr>
      <t xml:space="preserve">Watch 
</t>
    </r>
    <r>
      <rPr>
        <sz val="10"/>
        <color indexed="8"/>
        <rFont val="SF Hello Regular"/>
      </rPr>
      <t xml:space="preserve">FACT 
</t>
    </r>
    <r>
      <rPr>
        <sz val="10"/>
        <color indexed="8"/>
        <rFont val="SF Hello Regular"/>
      </rPr>
      <t xml:space="preserve">Cyan
</t>
    </r>
  </si>
  <si>
    <t xml:space="preserve">Refer to V6x FACTVENT station in similar complexity, NPI resourced required as below: 
PM- 1x
ME - 5x
EE - 5x
VE - 3x 
Assembly：18/line
Quality- 2x
</t>
  </si>
  <si>
    <t>ME</t>
  </si>
  <si>
    <t>EE</t>
  </si>
  <si>
    <t>SW</t>
  </si>
  <si>
    <t>FAE</t>
  </si>
  <si>
    <t>Assembly</t>
  </si>
  <si>
    <t>Debug</t>
  </si>
  <si>
    <t xml:space="preserve">Quality </t>
  </si>
  <si>
    <t>VE</t>
  </si>
  <si>
    <t>Y2026 Loading Breakdown (Apr ~ Sep)</t>
  </si>
  <si>
    <t xml:space="preserve">Y2027 NPI - PRM (Anna) - Y2026 </t>
  </si>
  <si>
    <t>Items</t>
  </si>
  <si>
    <t>Portable</t>
  </si>
  <si>
    <t>Pad</t>
  </si>
  <si>
    <t>Desktop</t>
  </si>
  <si>
    <t>J701/K104/J91a/K11p</t>
  </si>
  <si>
    <t>J8x7/J9xx/J510</t>
  </si>
  <si>
    <t>J775/J873/J883/J83x</t>
  </si>
  <si>
    <t>B798/B868/B790/B747a/B727</t>
  </si>
  <si>
    <t>N23x/N240</t>
  </si>
  <si>
    <t>V68/V6X</t>
  </si>
  <si>
    <t>Station Name</t>
  </si>
  <si>
    <t>Snoop/Snoop-c/RC FACT/FACT conveyor</t>
  </si>
  <si>
    <t>FCT/DFU/SOC</t>
  </si>
  <si>
    <t>Flex FCT/Flex Mic/FCT</t>
  </si>
  <si>
    <t>Panel DFU/FCT/GK FCT/BI/Conveyor/Bamboo/Marge&amp;X-talk</t>
  </si>
  <si>
    <t>Grape/Helios/FACT &amp; VENT /Snoop C</t>
  </si>
  <si>
    <t>Station Total Demand</t>
  </si>
  <si>
    <t>Y2027 NPI - Innorev (Fiona)</t>
  </si>
  <si>
    <t>Y2027 NPI - Innorev (Fiona) - R</t>
  </si>
  <si>
    <t>2x,
 conveyor and standalone with a design assumptions i.e  similar as Scarlet/ASL-P/DVI/IMU conveyor and SA standalone stations.</t>
  </si>
  <si>
    <t>iPhone V7x Station
 ALS-P Conveyor,
Odin Conveyor,
DCR/OS Tests,
IQC AA stations.
iPad J8x7 Station DVI Conveyor
Watch N25x Station
   FACT21&amp;Vent2 Conveyor,
Conveyor Cyan Rotary
Audio B798 station
 All in One Case,
Open Short,
 IMU Camera.</t>
  </si>
  <si>
    <t>Refer to Mistral DVI Conveyor,V6x SA standalone and other QT stations,we had experience in similar complexity, NPI resourced required as below: 
IPhone V7x ALS-P Conveyor:
ME - 2x
EE - 2x
TPM -2x
OSS - 2x
IPhone V7x DCR /OS test and IQC AA stations:
ME - 2x
EE - 1x
TPM - 1x
OSS - 2x
IPad J8x7 DVI Conveyor:
ME - 2x
EE - 2x
TPM - 1x
OSS - 2x
Watch N25x FACT21&amp;VANT2 Conveyor:
ME - 3x
EE - 3x
TPM - 1x
OSS - 2x
Watch N25x Conveyor Cyan:
ME - 3x
EE - 3x
TPM - 1x
OSS - 2x
Audio B798 All in One Case and Open Short
ME - 1x
EE - 1x
TPM - 1x
OSS - 1x
Audio B798 IMU Camera
ME - 2x
EE - 1x
TPM - 1x
OSS - 1x</t>
  </si>
  <si>
    <t>1. IPhone V7x Station Odin Conveyor-SQE limiitation.</t>
  </si>
  <si>
    <t>Y2027 NPI - Innorev (Fiona) - Y</t>
  </si>
  <si>
    <t>J91a</t>
  </si>
  <si>
    <t>J510</t>
  </si>
  <si>
    <t>B868/B790</t>
  </si>
  <si>
    <t>N23x</t>
  </si>
  <si>
    <t>V6x/Mistral</t>
  </si>
  <si>
    <t>Button/CBT/Trackpad Force/DVI/QT0/USBC/QT1/SWDL/Actuation/Impedance</t>
  </si>
  <si>
    <t>ALS Cal/CCB/Freyr/DVI/ISD/QT1/CT1/Janus</t>
  </si>
  <si>
    <t>Kinneret/Grid Flare/Shipping setting/All in one/SA-QT2/Burn in/SA-QT1/QT1/FWDL/Smart Charging/Gatekeeper</t>
  </si>
  <si>
    <t>ALS-COMBO/Magnetizer/InterConnect/Reflow line/Loading/Unloading</t>
  </si>
  <si>
    <t>Jasmine/Magnolia/IMU Conveyor/DVI Conveyor/ALS-P/Scarlet/Scarlet IMU/Alpha/Vent2/ISD</t>
  </si>
  <si>
    <t>Quality</t>
  </si>
  <si>
    <t>Y2027 NPI - JLK (Sean)</t>
  </si>
  <si>
    <t>Y2027 NPI - JLK (Sean) - Resour</t>
  </si>
  <si>
    <t>7x</t>
  </si>
  <si>
    <t>iPhone V7x Station SA-Barbie
iPhone V7x Station Odin Conveyor
iPhone V7x Station ALS-P Conveyor
iPad J8x7 station DVI Conveyor
Audio B798 Station Touch Conveyor
Audio B798 Station Force Conveyor
Audio B798 Station FACT Conveyor</t>
  </si>
  <si>
    <t xml:space="preserve">Refer to V6x SA-Ringo, V6x Odin + Clematis, V6x ALS-P, V6x DVI, B790 Touch, FACT, Force station in similar complexity, NPI resourced required as below: 
ME - 12x
EE - 5x
SW- 4x
</t>
  </si>
  <si>
    <r>
      <rPr>
        <sz val="10"/>
        <color indexed="8"/>
        <rFont val="SF Hello Regular"/>
      </rPr>
      <t xml:space="preserve">
</t>
    </r>
    <r>
      <rPr>
        <sz val="10"/>
        <color indexed="8"/>
        <rFont val="SF Hello Regular"/>
      </rPr>
      <t xml:space="preserve">Watch N25x Station FACT &amp; Vent Conveyor - Resource limitation &amp; 
</t>
    </r>
    <r>
      <rPr>
        <sz val="10"/>
        <color indexed="8"/>
        <rFont val="SF Hello Regular"/>
      </rPr>
      <t xml:space="preserve">Watch N25x Station Cyan Conveyor - Resource limitation 
</t>
    </r>
    <r>
      <rPr>
        <sz val="10"/>
        <color indexed="8"/>
        <rFont val="SF Hello Regular"/>
      </rPr>
      <t>Portable 91a Station caramel Conveyor—Tie P2 validation schedule, cannot catch up build date</t>
    </r>
  </si>
  <si>
    <t xml:space="preserve">Y2027 NPI - JLK (Sean) - Y2026 </t>
  </si>
  <si>
    <t>K11P</t>
  </si>
  <si>
    <t>J510/J581/B001</t>
  </si>
  <si>
    <t>B790/B868</t>
  </si>
  <si>
    <t>N24x</t>
  </si>
  <si>
    <t>V6x/V68</t>
  </si>
  <si>
    <t>KB PEM/ALS CAL/ALS_X-talk/Grape/ISD Standalone</t>
  </si>
  <si>
    <t>Grape Test/ALS CAL/System Test Standalone</t>
  </si>
  <si>
    <t>Touch Cal/Prox/Regia/LED Standalone</t>
  </si>
  <si>
    <t>Grape</t>
  </si>
  <si>
    <t xml:space="preserve">FACT/ALS/A-AMAI/Hydros/Barbie Standalone
FACT &amp; Vent /DVI/Grape Conveyor
</t>
  </si>
  <si>
    <t>Y2027 NPI - Cencorp (Rick)</t>
  </si>
  <si>
    <t>Y2027 NPI - Cencorp (Rick) - Re</t>
  </si>
  <si>
    <r>
      <rPr>
        <sz val="10"/>
        <color indexed="8"/>
        <rFont val="SF Hello Bold"/>
      </rPr>
      <t>Cencorp Plan Resource Allocated to Y2027 RFP </t>
    </r>
    <r>
      <rPr>
        <sz val="10"/>
        <color indexed="21"/>
        <rFont val="SF Hello Regular"/>
      </rPr>
      <t>(Apr’26 ~ Sep’26)</t>
    </r>
  </si>
  <si>
    <t>Leftover Resource after allocated to Y2027 RFP</t>
  </si>
  <si>
    <t>PM/TPM</t>
  </si>
  <si>
    <t>Cencorp can take maximum 8x RFP stations as they are currently engaged (see column J details).  Any additional RFP will be medium-high risk to Cencorp according to their leftover engineering resources (see column H details)</t>
  </si>
  <si>
    <t>J807/J830 iPad DVI
N25x Watch Bamboo FACT
N25x Watch Bamboo Cyan
V7x iPhone Odim
V7x iPhone ALS-P
V7x iPhone SA Barbie
K12P Portable Seasalt
K104 Portable Volga</t>
  </si>
  <si>
    <t>1. Total leftover PM&amp;RD resource for brand-new stations is about 49%  2.  Leftover engineering resources allocation matrix plan showing able to support current engaged 8x RFP stations</t>
  </si>
  <si>
    <t>Taicang
Total：6000
Everest MP: 2000
Everest NPI: 500
Others: 2000
Leftover: 1500
Zhuhai
Total：3500
Everest MP: 2100
Everest NPI:300
Others: 800
Leftover: 300</t>
  </si>
  <si>
    <t>Y2027 RFP Breakdown</t>
  </si>
  <si>
    <t>Y2027 NPI - Cencorp (Rick) - Y2</t>
  </si>
  <si>
    <t>K104</t>
  </si>
  <si>
    <t>J807/J830</t>
  </si>
  <si>
    <t>Seasalt</t>
  </si>
  <si>
    <t>Volga</t>
  </si>
  <si>
    <t>DVI</t>
  </si>
  <si>
    <t>Bamboo FACT</t>
  </si>
  <si>
    <t>Bamboo Cyan</t>
  </si>
  <si>
    <t>Odim</t>
  </si>
  <si>
    <t>ALS-P</t>
  </si>
  <si>
    <t>SA Barbie</t>
  </si>
  <si>
    <t>/</t>
  </si>
  <si>
    <t>Y2026 MP Loading Breakdown (Apr ~ Sep)</t>
  </si>
  <si>
    <t>Y2027 NPI - Cencorp (Rick) - Y1</t>
  </si>
  <si>
    <t>J700 / K11p / J91A/ J701</t>
  </si>
  <si>
    <t>V68/V6x</t>
  </si>
  <si>
    <t>Chocolate
Seasalt
Caramel
Nile</t>
  </si>
  <si>
    <t>Bamboo 2.0</t>
  </si>
  <si>
    <t>V68
Magnolia Plus
XDXT
Hydros
Barbie T/V/Salvage
V6x
Jasmine
Clematis
Magnolia
DVI
Barbie
V68/V6x 
MLB AP Stations </t>
  </si>
  <si>
    <t>SeaSalt PRB x 2
SeaSalt PVT x 1 Caramel OVB x1 Nile MP x 4</t>
  </si>
  <si>
    <t>Bamboo 2.0 x 4</t>
  </si>
  <si>
    <t>V68
NB x 123
RF x 80
V6x
NB x 14
RF x 159
 V6x/V68 MLB AP  NB x 600</t>
  </si>
  <si>
    <t>Y2026 MP Matrix</t>
  </si>
  <si>
    <t>Y2027 NPI - Cencorp (Rick) - Y3</t>
  </si>
  <si>
    <t>Project</t>
  </si>
  <si>
    <t>Magnolia Plus</t>
  </si>
  <si>
    <t>XDXT</t>
  </si>
  <si>
    <t>Hydros</t>
  </si>
  <si>
    <t>Barbie T/V</t>
  </si>
  <si>
    <t>Jasmine</t>
  </si>
  <si>
    <t>Clematis</t>
  </si>
  <si>
    <t>Magnolia</t>
  </si>
  <si>
    <t>Barbie</t>
  </si>
  <si>
    <t>MLB</t>
  </si>
  <si>
    <t>Chocolate</t>
  </si>
  <si>
    <t>Caramel</t>
  </si>
  <si>
    <t>Nile</t>
  </si>
  <si>
    <t>Bamboo</t>
  </si>
  <si>
    <t>Y2027 NPI - HVS (Gene)</t>
  </si>
  <si>
    <t>Y2027 NPI - HVS (Gene) - Resour</t>
  </si>
  <si>
    <t>2x</t>
  </si>
  <si>
    <r>
      <rPr>
        <sz val="10"/>
        <color indexed="8"/>
        <rFont val="SF Hello Bold"/>
      </rPr>
      <t xml:space="preserve">iPhone V7x Station </t>
    </r>
    <r>
      <rPr>
        <sz val="10"/>
        <color indexed="8"/>
        <rFont val="SF Hello Regular"/>
      </rPr>
      <t xml:space="preserve">ALS-P
</t>
    </r>
    <r>
      <rPr>
        <sz val="10"/>
        <color indexed="8"/>
        <rFont val="SF Hello Regular"/>
      </rPr>
      <t xml:space="preserve">
</t>
    </r>
    <r>
      <rPr>
        <sz val="10"/>
        <color indexed="8"/>
        <rFont val="SF Hello Bold"/>
      </rPr>
      <t>Audio</t>
    </r>
    <r>
      <rPr>
        <sz val="10"/>
        <color indexed="8"/>
        <rFont val="SF Hello Regular"/>
      </rPr>
      <t xml:space="preserve"> Open Short All-in-onc / IMU Camera / Open Conveyor</t>
    </r>
  </si>
  <si>
    <t xml:space="preserve">Refer to V6x ALSP station in similar complexity, NPI resourced required as below: 
PM- 1x
ME - 4x
EE - 1x 
Assembly：15/line
Quality- 1x
</t>
  </si>
  <si>
    <r>
      <rPr>
        <sz val="10"/>
        <color indexed="8"/>
        <rFont val="SF Hello Bold"/>
      </rPr>
      <t xml:space="preserve">iPhone V7x Station </t>
    </r>
    <r>
      <rPr>
        <sz val="10"/>
        <color indexed="8"/>
        <rFont val="SF Hello Regular"/>
      </rPr>
      <t xml:space="preserve">
</t>
    </r>
    <r>
      <rPr>
        <sz val="10"/>
        <color indexed="8"/>
        <rFont val="SF Hello Regular"/>
      </rPr>
      <t xml:space="preserve">Odin / DCR / IQA AA
</t>
    </r>
    <r>
      <rPr>
        <sz val="10"/>
        <color indexed="8"/>
        <rFont val="SF Hello Regular"/>
      </rPr>
      <t xml:space="preserve">
</t>
    </r>
    <r>
      <rPr>
        <sz val="10"/>
        <color indexed="8"/>
        <rFont val="SF Hello Bold"/>
      </rPr>
      <t>Watch</t>
    </r>
    <r>
      <rPr>
        <sz val="10"/>
        <color indexed="8"/>
        <rFont val="SF Hello Regular"/>
      </rPr>
      <t xml:space="preserve"> 
</t>
    </r>
    <r>
      <rPr>
        <sz val="10"/>
        <color indexed="8"/>
        <rFont val="SF Hello Regular"/>
      </rPr>
      <t>Conveyor Fact/Vent, Rotary</t>
    </r>
  </si>
  <si>
    <t xml:space="preserve">Y2027 NPI - HVS (Gene) - Y2026 </t>
  </si>
  <si>
    <t>Y2027 NPI - Pantamaster (JS)</t>
  </si>
  <si>
    <t xml:space="preserve">Y2027 NPI - Pantamaster (JS) - </t>
  </si>
  <si>
    <t>1x</t>
  </si>
  <si>
    <t>iPhone V7x Station SA-Barbie</t>
  </si>
  <si>
    <t>Refer to V7x SA Barbie station in similar complexity, NPI resourced required as below: 
PM - 1x
ME - 1x
EE - 1x
SW - 1x
FAE - 1x (China)
Assembly - 2x
Debug - 1x
Quality - 1x</t>
  </si>
  <si>
    <t>-</t>
  </si>
  <si>
    <t>Y2027 NPI - Pantamaster (JS) -1</t>
  </si>
  <si>
    <t>J62x</t>
  </si>
  <si>
    <t>V6x</t>
  </si>
  <si>
    <t>Chamber Conveyor</t>
  </si>
  <si>
    <t>BEXT
XDXT
FISH</t>
  </si>
  <si>
    <t>Y2027 NPI - CYG (Rick)</t>
  </si>
  <si>
    <t>Y2027 NPI - CYG (Rick) - Resour</t>
  </si>
  <si>
    <t>15x</t>
  </si>
  <si>
    <t xml:space="preserve">1: Portable K12p DFU/FCT/SOC;
2: Portable K104 DFU/FCT/SOC;
3: Pad J8x7 SOC;
4: Audio J727 DFU/FCT;
5: Phone V7x SA Carrier&amp;Socket&amp;Pogo&amp;Tray&amp;Holder&amp;DCR
</t>
  </si>
  <si>
    <t xml:space="preserve">1: Portable K12p DFU/FCT/SOC: 
Refer to K11p DFU/FCT/SOC station in similar complexity, NPI resourced required as below: ME - 2x, EE - 6x, SW - 1x, FAE - 6x;
2: Portable K104 DFU/FCT/SOC: 
Refer to J804 DFU/FCT/SOC station in similar complexity, NPI resourced required as below: ME - 1x, EE - 2x, SW - 1x, FAE - 2x;
3: Pad J8x7 SOC:
Refer to Pad J7x7 MFCT station in similar complexity, NPI resourced required as below: ME - 1x, EE - 1x, FAE - 1x;
4: Audio J727 DFU/FCT:
Refer to J747 DFU/FCT station in similar complexity, NPI resourced required as below: ME - 2x, EE - 2x, SW - 1x, FAE 2x;
5: Phone V7x SA Carrier&amp;Socket&amp;Pogo&amp;Tray&amp;Holder&amp;DCR:
Refer to V6x SA Carrier&amp;Socket&amp;Pogo&amp;Tray&amp;Holder&amp;DCR station in similar complexity, NPI resourced required as below: ME - 3x, EE - 3x, SW - 1x, FAE 1x;
</t>
  </si>
  <si>
    <t>N/A</t>
  </si>
  <si>
    <t xml:space="preserve">Y2027 NPI - CYG (Rick) - Y2026 </t>
  </si>
  <si>
    <t>Pencil</t>
  </si>
  <si>
    <t>Apple TV</t>
  </si>
  <si>
    <t>K11p/J804</t>
  </si>
  <si>
    <t>J707/J737 (Already Finish MP Ramp by Y25 Q4)</t>
  </si>
  <si>
    <t>J747( Already finish MP Ramp by Y25 Q4)</t>
  </si>
  <si>
    <t>N23xN240</t>
  </si>
  <si>
    <t>V6xV68</t>
  </si>
  <si>
    <t>X3908</t>
  </si>
  <si>
    <t>J529</t>
  </si>
  <si>
    <t>DFU/FCT/SOC</t>
  </si>
  <si>
    <t>MFCT</t>
  </si>
  <si>
    <t>DFU/FCT</t>
  </si>
  <si>
    <t>PFCT/PDFU/GK/Burnin/Combo CCD/Rioch/SA STHB/Sulu</t>
  </si>
  <si>
    <t>DFU/FCT/Carrier&amp;Socket&amp;Pogo&amp;Tray&amp;Holder&amp;DCR Fixture</t>
  </si>
  <si>
    <t>SA QT/Aquila/Tip Power</t>
  </si>
  <si>
    <t>FCT/Button</t>
  </si>
  <si>
    <t>1480x(Burnin 1039x; Other Station: 441x)</t>
  </si>
  <si>
    <t>1368x (BT DFU/FCT: 359x ; SA Carrier&amp;socket 1009x)</t>
  </si>
  <si>
    <t>Y2027 NPI - Nextas (Jessie)</t>
  </si>
  <si>
    <t>Y2027 NPI - Nextas (Jessie) - R</t>
  </si>
  <si>
    <r>
      <rPr>
        <sz val="11"/>
        <color indexed="8"/>
        <rFont val="SF Hello Bold"/>
      </rPr>
      <t xml:space="preserve">Y2026 Loading
</t>
    </r>
    <r>
      <rPr>
        <sz val="11"/>
        <color indexed="21"/>
        <rFont val="SF Hello Regular"/>
      </rPr>
      <t>(Apr’26 ~ Sep’26)</t>
    </r>
  </si>
  <si>
    <r>
      <rPr>
        <sz val="11"/>
        <color indexed="8"/>
        <rFont val="SF Hello Bold"/>
      </rPr>
      <t xml:space="preserve">Total  Resource
</t>
    </r>
    <r>
      <rPr>
        <sz val="11"/>
        <color indexed="21"/>
        <rFont val="SF Hello Regular"/>
      </rPr>
      <t>(Cut Off Apr wk3)</t>
    </r>
  </si>
  <si>
    <r>
      <rPr>
        <sz val="11"/>
        <color indexed="8"/>
        <rFont val="SF Hello Bold"/>
      </rPr>
      <t xml:space="preserve">Resource Occupied  for Y2026 Ramp
</t>
    </r>
    <r>
      <rPr>
        <sz val="11"/>
        <color indexed="21"/>
        <rFont val="SF Hello Regular"/>
      </rPr>
      <t>(Apr’26 ~ Sep’26)</t>
    </r>
  </si>
  <si>
    <r>
      <rPr>
        <sz val="11"/>
        <color indexed="8"/>
        <rFont val="SF Hello Bold"/>
      </rPr>
      <t xml:space="preserve">Resource Leftover for Y2027 Brand-New Station NPI Build
</t>
    </r>
    <r>
      <rPr>
        <sz val="11"/>
        <color indexed="21"/>
        <rFont val="SF Hello Regular"/>
      </rPr>
      <t>(Apr’26 ~ Sep’26)</t>
    </r>
  </si>
  <si>
    <r>
      <rPr>
        <sz val="11"/>
        <color indexed="8"/>
        <rFont val="SF Hello Bold"/>
      </rPr>
      <t xml:space="preserve"># of Stations Type can support
</t>
    </r>
    <r>
      <rPr>
        <sz val="11"/>
        <color indexed="21"/>
        <rFont val="SF Hello Regular"/>
      </rPr>
      <t>(Refer CPT Y2027 RFP)</t>
    </r>
  </si>
  <si>
    <r>
      <rPr>
        <sz val="11"/>
        <color indexed="8"/>
        <rFont val="SF Hello Bold"/>
      </rPr>
      <t xml:space="preserve">Station Name can support
</t>
    </r>
    <r>
      <rPr>
        <sz val="11"/>
        <color indexed="21"/>
        <rFont val="SF Hello Regular"/>
      </rPr>
      <t>(Refer CPT Y2027 RFP)</t>
    </r>
  </si>
  <si>
    <r>
      <rPr>
        <sz val="11"/>
        <color indexed="8"/>
        <rFont val="SF Hello Bold"/>
      </rPr>
      <t xml:space="preserve">Space Supportability 
</t>
    </r>
    <r>
      <rPr>
        <sz val="11"/>
        <color indexed="8"/>
        <rFont val="SF Hello Bold"/>
      </rPr>
      <t xml:space="preserve">
</t>
    </r>
    <r>
      <rPr>
        <sz val="11"/>
        <color indexed="21"/>
        <rFont val="SF Hello Regular"/>
      </rPr>
      <t>(Y/N)</t>
    </r>
  </si>
  <si>
    <r>
      <rPr>
        <sz val="11"/>
        <color indexed="8"/>
        <rFont val="SF Hello Bold"/>
      </rPr>
      <t xml:space="preserve">Machining Capacity Supportability 
</t>
    </r>
    <r>
      <rPr>
        <sz val="11"/>
        <color indexed="8"/>
        <rFont val="SF Hello Bold"/>
      </rPr>
      <t xml:space="preserve">
</t>
    </r>
    <r>
      <rPr>
        <sz val="11"/>
        <color indexed="21"/>
        <rFont val="SF Hello Regular"/>
      </rPr>
      <t>(Y/N)</t>
    </r>
  </si>
  <si>
    <r>
      <rPr>
        <sz val="11"/>
        <color indexed="8"/>
        <rFont val="SF Hello Bold"/>
      </rPr>
      <t xml:space="preserve">Assembly Capacity Supportability 
</t>
    </r>
    <r>
      <rPr>
        <sz val="11"/>
        <color indexed="8"/>
        <rFont val="SF Hello Bold"/>
      </rPr>
      <t xml:space="preserve">
</t>
    </r>
    <r>
      <rPr>
        <sz val="11"/>
        <color indexed="21"/>
        <rFont val="SF Hello Regular"/>
      </rPr>
      <t>(Y/N)</t>
    </r>
  </si>
  <si>
    <r>
      <rPr>
        <sz val="11"/>
        <color indexed="8"/>
        <rFont val="SF Hello Bold"/>
      </rPr>
      <t xml:space="preserve">Quality Capacity Supportability 
</t>
    </r>
    <r>
      <rPr>
        <sz val="11"/>
        <color indexed="8"/>
        <rFont val="SF Hello Bold"/>
      </rPr>
      <t xml:space="preserve">
</t>
    </r>
    <r>
      <rPr>
        <sz val="11"/>
        <color indexed="21"/>
        <rFont val="SF Hello Regular"/>
      </rPr>
      <t>(Y/N)</t>
    </r>
  </si>
  <si>
    <t>Bojay total resource</t>
  </si>
  <si>
    <t>IQC AA stations
DCR/OS Tests</t>
  </si>
  <si>
    <t xml:space="preserve">Refer to V64(RCAM IQC &amp;RIM，FCAM-IQC&amp;PAM，MLB modules in similar complexity, NPI resourced required as below: 
PM:4x
ME - 4x
EE - 3x
FAE-5x
Assembly:4
Quality: 3
</t>
  </si>
  <si>
    <r>
      <rPr>
        <sz val="11"/>
        <color indexed="8"/>
        <rFont val="SF Hello Regular"/>
      </rPr>
      <t>No issue</t>
    </r>
  </si>
  <si>
    <t>Y2027 NPI - Nextas (Jessie) - Y</t>
  </si>
  <si>
    <t xml:space="preserve"> V7x</t>
  </si>
  <si>
    <t>IQC AA stations
DCR/OS Tests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</si>
</sst>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d"/>
    <numFmt numFmtId="165" formatCode="#,##0%"/>
    <numFmt numFmtId="166" formatCode="0.0##%"/>
  </numFmts>
  <fonts count="22">
    <font>
      <sz val="10"/>
      <color indexed="8"/>
      <name val="Helvetica Neue"/>
    </font>
    <font>
      <sz val="12"/>
      <color indexed="8"/>
      <name val="Helvetica Neue"/>
      <family val="2"/>
    </font>
    <font>
      <sz val="14"/>
      <color indexed="8"/>
      <name val="Helvetica Neue"/>
      <family val="2"/>
    </font>
    <font>
      <u/>
      <sz val="12"/>
      <color indexed="11"/>
      <name val="Helvetica Neue"/>
      <family val="2"/>
    </font>
    <font>
      <b/>
      <sz val="10"/>
      <color indexed="8"/>
      <name val="Helvetica Neue"/>
      <family val="2"/>
    </font>
    <font>
      <sz val="10"/>
      <color indexed="20"/>
      <name val="Helvetica Neue"/>
      <family val="2"/>
    </font>
    <font>
      <sz val="12"/>
      <color indexed="8"/>
      <name val="SF Hello Bold"/>
    </font>
    <font>
      <sz val="10"/>
      <color indexed="8"/>
      <name val="SF Hello Bold"/>
    </font>
    <font>
      <sz val="10"/>
      <color indexed="21"/>
      <name val="SF Hello Regular"/>
    </font>
    <font>
      <sz val="10"/>
      <color indexed="8"/>
      <name val="SF Hello Regular"/>
    </font>
    <font>
      <sz val="12"/>
      <color indexed="23"/>
      <name val="SF Hello Bold"/>
    </font>
    <font>
      <sz val="12"/>
      <color indexed="24"/>
      <name val="SF Hello Bold"/>
    </font>
    <font>
      <b/>
      <sz val="12"/>
      <color indexed="24"/>
      <name val="Helvetica Neue"/>
      <family val="2"/>
    </font>
    <font>
      <b/>
      <sz val="10"/>
      <color indexed="8"/>
      <name val="Avenir Next Regular"/>
    </font>
    <font>
      <sz val="10"/>
      <color indexed="8"/>
      <name val="Avenir Next Regular"/>
    </font>
    <font>
      <sz val="11"/>
      <color indexed="8"/>
      <name val="Helvetica Neue"/>
      <family val="2"/>
    </font>
    <font>
      <sz val="13"/>
      <color indexed="8"/>
      <name val="SF Hello Bold"/>
    </font>
    <font>
      <sz val="11"/>
      <color indexed="8"/>
      <name val="SF Hello Bold"/>
    </font>
    <font>
      <sz val="11"/>
      <color indexed="21"/>
      <name val="SF Hello Regular"/>
    </font>
    <font>
      <sz val="11"/>
      <color indexed="8"/>
      <name val="SF Hello Regular"/>
    </font>
    <font>
      <sz val="11"/>
      <color indexed="8"/>
      <name val="Helvetica"/>
      <family val="2"/>
    </font>
    <font>
      <sz val="10"/>
      <color indexed="8"/>
      <name val="Helvetica Neue"/>
      <family val="2"/>
    </font>
  </fonts>
  <fills count="10">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2"/>
        <bgColor auto="1"/>
      </patternFill>
    </fill>
    <fill>
      <patternFill patternType="solid">
        <fgColor indexed="15"/>
        <bgColor auto="1"/>
      </patternFill>
    </fill>
    <fill>
      <patternFill patternType="solid">
        <fgColor indexed="16"/>
        <bgColor auto="1"/>
      </patternFill>
    </fill>
    <fill>
      <patternFill patternType="solid">
        <fgColor indexed="17"/>
        <bgColor auto="1"/>
      </patternFill>
    </fill>
    <fill>
      <patternFill patternType="solid">
        <fgColor indexed="18"/>
        <bgColor auto="1"/>
      </patternFill>
    </fill>
    <fill>
      <patternFill patternType="solid">
        <fgColor indexed="22"/>
        <bgColor auto="1"/>
      </patternFill>
    </fill>
  </fills>
  <borders count="25">
    <border>
      <left/>
      <right/>
      <top/>
      <bottom/>
      <diagonal/>
    </border>
    <border>
      <left style="thin">
        <color indexed="13"/>
      </left>
      <right style="thin">
        <color indexed="13"/>
      </right>
      <top style="thin">
        <color indexed="13"/>
      </top>
      <bottom style="thin">
        <color indexed="14"/>
      </bottom>
      <diagonal/>
    </border>
    <border>
      <left style="thin">
        <color indexed="13"/>
      </left>
      <right style="thin">
        <color indexed="14"/>
      </right>
      <top style="thin">
        <color indexed="14"/>
      </top>
      <bottom style="thin">
        <color indexed="13"/>
      </bottom>
      <diagonal/>
    </border>
    <border>
      <left style="thin">
        <color indexed="14"/>
      </left>
      <right style="thin">
        <color indexed="13"/>
      </right>
      <top style="thin">
        <color indexed="14"/>
      </top>
      <bottom style="thin">
        <color indexed="13"/>
      </bottom>
      <diagonal/>
    </border>
    <border>
      <left style="thin">
        <color indexed="13"/>
      </left>
      <right style="thin">
        <color indexed="13"/>
      </right>
      <top style="thin">
        <color indexed="14"/>
      </top>
      <bottom style="thin">
        <color indexed="13"/>
      </bottom>
      <diagonal/>
    </border>
    <border>
      <left style="thin">
        <color indexed="13"/>
      </left>
      <right style="thin">
        <color indexed="14"/>
      </right>
      <top style="thin">
        <color indexed="13"/>
      </top>
      <bottom style="thin">
        <color indexed="13"/>
      </bottom>
      <diagonal/>
    </border>
    <border>
      <left style="thin">
        <color indexed="14"/>
      </left>
      <right style="thin">
        <color indexed="13"/>
      </right>
      <top style="thin">
        <color indexed="13"/>
      </top>
      <bottom style="thin">
        <color indexed="13"/>
      </bottom>
      <diagonal/>
    </border>
    <border>
      <left style="thin">
        <color indexed="13"/>
      </left>
      <right style="thin">
        <color indexed="13"/>
      </right>
      <top style="thin">
        <color indexed="13"/>
      </top>
      <bottom style="thin">
        <color indexed="13"/>
      </bottom>
      <diagonal/>
    </border>
    <border>
      <left style="thin">
        <color indexed="13"/>
      </left>
      <right style="thin">
        <color indexed="13"/>
      </right>
      <top style="thin">
        <color indexed="13"/>
      </top>
      <bottom style="medium">
        <color indexed="8"/>
      </bottom>
      <diagonal/>
    </border>
    <border>
      <left style="thin">
        <color indexed="13"/>
      </left>
      <right style="thin">
        <color indexed="14"/>
      </right>
      <top style="thin">
        <color indexed="13"/>
      </top>
      <bottom style="medium">
        <color indexed="8"/>
      </bottom>
      <diagonal/>
    </border>
    <border>
      <left style="thin">
        <color indexed="14"/>
      </left>
      <right style="thin">
        <color indexed="13"/>
      </right>
      <top style="thin">
        <color indexed="13"/>
      </top>
      <bottom style="medium">
        <color indexed="8"/>
      </bottom>
      <diagonal/>
    </border>
    <border>
      <left style="thin">
        <color indexed="13"/>
      </left>
      <right style="thin">
        <color indexed="13"/>
      </right>
      <top style="medium">
        <color indexed="8"/>
      </top>
      <bottom style="thin">
        <color indexed="13"/>
      </bottom>
      <diagonal/>
    </border>
    <border>
      <left style="thin">
        <color indexed="13"/>
      </left>
      <right style="thin">
        <color indexed="14"/>
      </right>
      <top style="medium">
        <color indexed="8"/>
      </top>
      <bottom style="thin">
        <color indexed="13"/>
      </bottom>
      <diagonal/>
    </border>
    <border>
      <left style="thin">
        <color indexed="14"/>
      </left>
      <right style="thin">
        <color indexed="13"/>
      </right>
      <top style="medium">
        <color indexed="8"/>
      </top>
      <bottom style="thin">
        <color indexed="13"/>
      </bottom>
      <diagonal/>
    </border>
    <border>
      <left style="thin">
        <color indexed="25"/>
      </left>
      <right style="thin">
        <color indexed="13"/>
      </right>
      <top style="thin">
        <color indexed="25"/>
      </top>
      <bottom style="thin">
        <color indexed="14"/>
      </bottom>
      <diagonal/>
    </border>
    <border>
      <left style="thin">
        <color indexed="13"/>
      </left>
      <right style="thin">
        <color indexed="13"/>
      </right>
      <top style="thin">
        <color indexed="25"/>
      </top>
      <bottom style="thin">
        <color indexed="14"/>
      </bottom>
      <diagonal/>
    </border>
    <border>
      <left style="thin">
        <color indexed="13"/>
      </left>
      <right style="thin">
        <color indexed="25"/>
      </right>
      <top style="thin">
        <color indexed="25"/>
      </top>
      <bottom style="thin">
        <color indexed="14"/>
      </bottom>
      <diagonal/>
    </border>
    <border>
      <left style="thin">
        <color indexed="25"/>
      </left>
      <right style="thin">
        <color indexed="14"/>
      </right>
      <top style="thin">
        <color indexed="14"/>
      </top>
      <bottom style="thin">
        <color indexed="13"/>
      </bottom>
      <diagonal/>
    </border>
    <border>
      <left style="thin">
        <color indexed="13"/>
      </left>
      <right style="thin">
        <color indexed="25"/>
      </right>
      <top style="thin">
        <color indexed="14"/>
      </top>
      <bottom style="thin">
        <color indexed="13"/>
      </bottom>
      <diagonal/>
    </border>
    <border>
      <left style="thin">
        <color indexed="25"/>
      </left>
      <right style="thin">
        <color indexed="14"/>
      </right>
      <top style="thin">
        <color indexed="13"/>
      </top>
      <bottom style="thin">
        <color indexed="13"/>
      </bottom>
      <diagonal/>
    </border>
    <border>
      <left style="thin">
        <color indexed="13"/>
      </left>
      <right style="thin">
        <color indexed="25"/>
      </right>
      <top style="thin">
        <color indexed="13"/>
      </top>
      <bottom style="thin">
        <color indexed="13"/>
      </bottom>
      <diagonal/>
    </border>
    <border>
      <left style="thin">
        <color indexed="25"/>
      </left>
      <right style="thin">
        <color indexed="14"/>
      </right>
      <top style="thin">
        <color indexed="13"/>
      </top>
      <bottom style="thin">
        <color indexed="25"/>
      </bottom>
      <diagonal/>
    </border>
    <border>
      <left style="thin">
        <color indexed="14"/>
      </left>
      <right style="thin">
        <color indexed="13"/>
      </right>
      <top style="thin">
        <color indexed="13"/>
      </top>
      <bottom style="thin">
        <color indexed="25"/>
      </bottom>
      <diagonal/>
    </border>
    <border>
      <left style="thin">
        <color indexed="13"/>
      </left>
      <right style="thin">
        <color indexed="13"/>
      </right>
      <top style="thin">
        <color indexed="13"/>
      </top>
      <bottom style="thin">
        <color indexed="25"/>
      </bottom>
      <diagonal/>
    </border>
    <border>
      <left style="thin">
        <color indexed="13"/>
      </left>
      <right style="thin">
        <color indexed="25"/>
      </right>
      <top style="thin">
        <color indexed="13"/>
      </top>
      <bottom style="thin">
        <color indexed="25"/>
      </bottom>
      <diagonal/>
    </border>
  </borders>
  <cellStyleXfs count="1">
    <xf numFmtId="0" fontId="0" fillId="0" borderId="0" applyNumberFormat="0" applyFill="0" applyBorder="0" applyProtection="0">
      <alignment vertical="top" wrapText="1"/>
    </xf>
  </cellStyleXfs>
  <cellXfs count="144">
    <xf numFmtId="0" fontId="0" fillId="0" borderId="0" xfId="0">
      <alignment vertical="top" wrapText="1"/>
    </xf>
    <xf numFmtId="0" fontId="2" fillId="0" borderId="0" xfId="0" applyFont="1" applyAlignment="1">
      <alignment horizontal="left" vertical="top" wrapText="1"/>
    </xf>
    <xf numFmtId="0" fontId="1" fillId="2" borderId="0" xfId="0" applyFont="1" applyFill="1" applyAlignment="1">
      <alignment horizontal="left" vertical="top" wrapText="1"/>
    </xf>
    <xf numFmtId="0" fontId="1" fillId="3" borderId="0" xfId="0" applyFont="1" applyFill="1" applyAlignment="1">
      <alignment horizontal="left" vertical="top" wrapText="1"/>
    </xf>
    <xf numFmtId="0" fontId="3" fillId="3" borderId="0" xfId="0" applyFont="1" applyFill="1" applyAlignment="1">
      <alignment horizontal="left" vertical="top" wrapText="1"/>
    </xf>
    <xf numFmtId="0" fontId="0" fillId="0" borderId="0" xfId="0" applyNumberFormat="1">
      <alignment vertical="top" wrapText="1"/>
    </xf>
    <xf numFmtId="49" fontId="4" fillId="4" borderId="1" xfId="0" applyNumberFormat="1" applyFont="1" applyFill="1" applyBorder="1">
      <alignment vertical="top" wrapText="1"/>
    </xf>
    <xf numFmtId="49" fontId="4" fillId="5" borderId="2" xfId="0" applyNumberFormat="1" applyFont="1" applyFill="1" applyBorder="1">
      <alignment vertical="top" wrapText="1"/>
    </xf>
    <xf numFmtId="49" fontId="0" fillId="0" borderId="3" xfId="0" applyNumberFormat="1" applyBorder="1">
      <alignment vertical="top" wrapText="1"/>
    </xf>
    <xf numFmtId="0" fontId="0" fillId="0" borderId="4" xfId="0" applyBorder="1">
      <alignment vertical="top" wrapText="1"/>
    </xf>
    <xf numFmtId="49" fontId="4" fillId="5" borderId="5" xfId="0" applyNumberFormat="1" applyFont="1" applyFill="1" applyBorder="1">
      <alignment vertical="top" wrapText="1"/>
    </xf>
    <xf numFmtId="49" fontId="0" fillId="0" borderId="6" xfId="0" applyNumberFormat="1" applyBorder="1">
      <alignment vertical="top" wrapText="1"/>
    </xf>
    <xf numFmtId="0" fontId="0" fillId="0" borderId="7" xfId="0" applyBorder="1">
      <alignment vertical="top" wrapText="1"/>
    </xf>
    <xf numFmtId="0" fontId="0" fillId="0" borderId="6" xfId="0" applyBorder="1">
      <alignment vertical="top" wrapText="1"/>
    </xf>
    <xf numFmtId="49" fontId="0" fillId="0" borderId="7" xfId="0" applyNumberFormat="1" applyBorder="1">
      <alignment vertical="top" wrapText="1"/>
    </xf>
    <xf numFmtId="0" fontId="4" fillId="4" borderId="8" xfId="0" applyFont="1" applyFill="1" applyBorder="1">
      <alignment vertical="top" wrapText="1"/>
    </xf>
    <xf numFmtId="49" fontId="4" fillId="6" borderId="8" xfId="0" applyNumberFormat="1" applyFont="1" applyFill="1" applyBorder="1">
      <alignment vertical="top" wrapText="1"/>
    </xf>
    <xf numFmtId="49" fontId="4" fillId="7" borderId="8" xfId="0" applyNumberFormat="1" applyFont="1" applyFill="1" applyBorder="1">
      <alignment vertical="top" wrapText="1"/>
    </xf>
    <xf numFmtId="49" fontId="4" fillId="6" borderId="8" xfId="0" applyNumberFormat="1" applyFont="1" applyFill="1" applyBorder="1" applyAlignment="1">
      <alignment horizontal="center" vertical="center" wrapText="1"/>
    </xf>
    <xf numFmtId="49" fontId="4" fillId="4" borderId="8" xfId="0" applyNumberFormat="1" applyFont="1" applyFill="1" applyBorder="1">
      <alignment vertical="top" wrapText="1"/>
    </xf>
    <xf numFmtId="0" fontId="4" fillId="5" borderId="4" xfId="0" applyFont="1" applyFill="1" applyBorder="1">
      <alignment vertical="top" wrapText="1"/>
    </xf>
    <xf numFmtId="49" fontId="0" fillId="0" borderId="4" xfId="0" applyNumberFormat="1" applyBorder="1">
      <alignment vertical="top" wrapText="1"/>
    </xf>
    <xf numFmtId="164" fontId="0" fillId="0" borderId="4" xfId="0" applyNumberFormat="1" applyBorder="1">
      <alignment vertical="top" wrapText="1"/>
    </xf>
    <xf numFmtId="0" fontId="4" fillId="5" borderId="7" xfId="0" applyFont="1" applyFill="1" applyBorder="1">
      <alignment vertical="top" wrapText="1"/>
    </xf>
    <xf numFmtId="164" fontId="0" fillId="0" borderId="7" xfId="0" applyNumberFormat="1" applyBorder="1">
      <alignment vertical="top" wrapText="1"/>
    </xf>
    <xf numFmtId="0" fontId="4" fillId="5" borderId="8" xfId="0" applyFont="1" applyFill="1" applyBorder="1">
      <alignment vertical="top" wrapText="1"/>
    </xf>
    <xf numFmtId="49" fontId="4" fillId="5" borderId="9" xfId="0" applyNumberFormat="1" applyFont="1" applyFill="1" applyBorder="1">
      <alignment vertical="top" wrapText="1"/>
    </xf>
    <xf numFmtId="49" fontId="0" fillId="0" borderId="10" xfId="0" applyNumberFormat="1" applyBorder="1">
      <alignment vertical="top" wrapText="1"/>
    </xf>
    <xf numFmtId="49" fontId="0" fillId="0" borderId="8" xfId="0" applyNumberFormat="1" applyBorder="1">
      <alignment vertical="top" wrapText="1"/>
    </xf>
    <xf numFmtId="0" fontId="0" fillId="0" borderId="8" xfId="0" applyBorder="1">
      <alignment vertical="top" wrapText="1"/>
    </xf>
    <xf numFmtId="164" fontId="0" fillId="0" borderId="8" xfId="0" applyNumberFormat="1" applyBorder="1">
      <alignment vertical="top" wrapText="1"/>
    </xf>
    <xf numFmtId="49" fontId="5" fillId="0" borderId="7" xfId="0" applyNumberFormat="1" applyFont="1" applyBorder="1">
      <alignment vertical="top" wrapText="1"/>
    </xf>
    <xf numFmtId="0" fontId="4" fillId="5" borderId="5" xfId="0" applyFont="1" applyFill="1" applyBorder="1">
      <alignment vertical="top" wrapText="1"/>
    </xf>
    <xf numFmtId="0" fontId="4" fillId="5" borderId="9" xfId="0" applyFont="1" applyFill="1" applyBorder="1">
      <alignment vertical="top" wrapText="1"/>
    </xf>
    <xf numFmtId="0" fontId="4" fillId="8" borderId="4" xfId="0" applyFont="1" applyFill="1" applyBorder="1" applyAlignment="1">
      <alignment vertical="top"/>
    </xf>
    <xf numFmtId="0" fontId="4" fillId="8" borderId="2" xfId="0" applyFont="1" applyFill="1" applyBorder="1" applyAlignment="1">
      <alignment vertical="top"/>
    </xf>
    <xf numFmtId="49" fontId="0" fillId="7" borderId="3" xfId="0" applyNumberFormat="1" applyFill="1" applyBorder="1" applyAlignment="1">
      <alignment vertical="top"/>
    </xf>
    <xf numFmtId="49" fontId="0" fillId="7" borderId="4" xfId="0" applyNumberFormat="1" applyFill="1" applyBorder="1" applyAlignment="1">
      <alignment vertical="top"/>
    </xf>
    <xf numFmtId="0" fontId="4" fillId="7" borderId="4" xfId="0" applyFont="1" applyFill="1" applyBorder="1" applyAlignment="1">
      <alignment vertical="top"/>
    </xf>
    <xf numFmtId="0" fontId="0" fillId="7" borderId="4" xfId="0" applyFill="1" applyBorder="1" applyAlignment="1">
      <alignment vertical="top"/>
    </xf>
    <xf numFmtId="0" fontId="4" fillId="8" borderId="7" xfId="0" applyFont="1" applyFill="1" applyBorder="1" applyAlignment="1">
      <alignment vertical="top"/>
    </xf>
    <xf numFmtId="0" fontId="4" fillId="8" borderId="5" xfId="0" applyFont="1" applyFill="1" applyBorder="1" applyAlignment="1">
      <alignment vertical="top"/>
    </xf>
    <xf numFmtId="49" fontId="0" fillId="7" borderId="6" xfId="0" applyNumberFormat="1" applyFill="1" applyBorder="1" applyAlignment="1">
      <alignment vertical="top"/>
    </xf>
    <xf numFmtId="49" fontId="0" fillId="7" borderId="7" xfId="0" applyNumberFormat="1" applyFill="1" applyBorder="1" applyAlignment="1">
      <alignment vertical="top"/>
    </xf>
    <xf numFmtId="0" fontId="4" fillId="7" borderId="7" xfId="0" applyFont="1" applyFill="1" applyBorder="1" applyAlignment="1">
      <alignment vertical="top"/>
    </xf>
    <xf numFmtId="0" fontId="0" fillId="7" borderId="7" xfId="0" applyFill="1" applyBorder="1" applyAlignment="1">
      <alignment vertical="top"/>
    </xf>
    <xf numFmtId="49" fontId="7" fillId="4" borderId="1" xfId="0" applyNumberFormat="1" applyFont="1" applyFill="1" applyBorder="1" applyAlignment="1">
      <alignment horizontal="center" vertical="center" wrapText="1"/>
    </xf>
    <xf numFmtId="49" fontId="7" fillId="5" borderId="4" xfId="0" applyNumberFormat="1" applyFont="1" applyFill="1" applyBorder="1" applyAlignment="1">
      <alignment horizontal="center" vertical="center" wrapText="1"/>
    </xf>
    <xf numFmtId="49" fontId="7" fillId="5" borderId="2" xfId="0" applyNumberFormat="1" applyFont="1" applyFill="1" applyBorder="1" applyAlignment="1">
      <alignment horizontal="center" vertical="center" wrapText="1"/>
    </xf>
    <xf numFmtId="0" fontId="9" fillId="0" borderId="4" xfId="0" applyNumberFormat="1" applyFont="1" applyBorder="1" applyAlignment="1">
      <alignment horizontal="center" vertical="center" wrapText="1"/>
    </xf>
    <xf numFmtId="49" fontId="7" fillId="5" borderId="7" xfId="0" applyNumberFormat="1" applyFont="1" applyFill="1" applyBorder="1" applyAlignment="1">
      <alignment horizontal="center" vertical="center" wrapText="1"/>
    </xf>
    <xf numFmtId="49" fontId="7" fillId="5" borderId="5" xfId="0" applyNumberFormat="1" applyFont="1" applyFill="1" applyBorder="1" applyAlignment="1">
      <alignment horizontal="center" vertical="center" wrapText="1"/>
    </xf>
    <xf numFmtId="0" fontId="9" fillId="0" borderId="7" xfId="0" applyNumberFormat="1" applyFont="1" applyBorder="1" applyAlignment="1">
      <alignment horizontal="center" vertical="center" wrapText="1"/>
    </xf>
    <xf numFmtId="49" fontId="7" fillId="4" borderId="8" xfId="0" applyNumberFormat="1" applyFont="1" applyFill="1" applyBorder="1" applyAlignment="1">
      <alignment horizontal="center" vertical="center" wrapText="1"/>
    </xf>
    <xf numFmtId="49" fontId="7" fillId="5" borderId="11" xfId="0" applyNumberFormat="1" applyFont="1" applyFill="1" applyBorder="1" applyAlignment="1">
      <alignment horizontal="center" vertical="center" wrapText="1"/>
    </xf>
    <xf numFmtId="49" fontId="7" fillId="5" borderId="12" xfId="0" applyNumberFormat="1" applyFont="1" applyFill="1" applyBorder="1" applyAlignment="1">
      <alignment horizontal="center" vertical="center" wrapText="1"/>
    </xf>
    <xf numFmtId="49" fontId="9" fillId="0" borderId="13" xfId="0" applyNumberFormat="1" applyFont="1" applyBorder="1" applyAlignment="1">
      <alignment horizontal="center" vertical="center" wrapText="1"/>
    </xf>
    <xf numFmtId="49" fontId="9" fillId="0" borderId="11" xfId="0" applyNumberFormat="1" applyFont="1" applyBorder="1" applyAlignment="1">
      <alignment horizontal="center" vertical="center" wrapText="1"/>
    </xf>
    <xf numFmtId="49" fontId="9" fillId="0" borderId="6" xfId="0" applyNumberFormat="1" applyFont="1" applyBorder="1" applyAlignment="1">
      <alignment horizontal="center" vertical="center" wrapText="1"/>
    </xf>
    <xf numFmtId="49" fontId="9" fillId="0" borderId="7" xfId="0" applyNumberFormat="1" applyFont="1" applyBorder="1" applyAlignment="1">
      <alignment horizontal="center" vertical="center" wrapText="1"/>
    </xf>
    <xf numFmtId="49" fontId="7" fillId="5" borderId="8" xfId="0" applyNumberFormat="1" applyFont="1" applyFill="1" applyBorder="1" applyAlignment="1">
      <alignment horizontal="center" vertical="center" wrapText="1"/>
    </xf>
    <xf numFmtId="49" fontId="7" fillId="5" borderId="9" xfId="0" applyNumberFormat="1" applyFont="1" applyFill="1" applyBorder="1" applyAlignment="1">
      <alignment horizontal="center" vertical="center" wrapText="1"/>
    </xf>
    <xf numFmtId="0" fontId="9" fillId="0" borderId="10" xfId="0" applyNumberFormat="1" applyFont="1" applyBorder="1" applyAlignment="1">
      <alignment horizontal="center" vertical="center" wrapText="1"/>
    </xf>
    <xf numFmtId="0" fontId="9" fillId="0" borderId="8" xfId="0" applyNumberFormat="1" applyFont="1" applyBorder="1" applyAlignment="1">
      <alignment horizontal="center" vertical="center" wrapText="1"/>
    </xf>
    <xf numFmtId="0" fontId="9" fillId="0" borderId="13" xfId="0" applyNumberFormat="1" applyFont="1" applyBorder="1" applyAlignment="1">
      <alignment horizontal="center" vertical="center" wrapText="1"/>
    </xf>
    <xf numFmtId="0" fontId="9" fillId="0" borderId="11" xfId="0" applyNumberFormat="1" applyFont="1" applyBorder="1" applyAlignment="1">
      <alignment horizontal="center" vertical="center" wrapText="1"/>
    </xf>
    <xf numFmtId="0" fontId="9" fillId="0" borderId="6" xfId="0" applyNumberFormat="1" applyFont="1" applyBorder="1" applyAlignment="1">
      <alignment horizontal="center" vertical="center" wrapText="1"/>
    </xf>
    <xf numFmtId="0" fontId="9" fillId="0" borderId="6" xfId="0" applyFont="1" applyBorder="1" applyAlignment="1">
      <alignment horizontal="center" vertical="center" wrapText="1"/>
    </xf>
    <xf numFmtId="0" fontId="9" fillId="0" borderId="7" xfId="0" applyFont="1" applyBorder="1" applyAlignment="1">
      <alignment horizontal="center" vertical="center" wrapText="1"/>
    </xf>
    <xf numFmtId="0" fontId="7" fillId="5" borderId="11" xfId="0" applyFont="1" applyFill="1" applyBorder="1" applyAlignment="1">
      <alignment horizontal="center" vertical="center" wrapText="1"/>
    </xf>
    <xf numFmtId="0" fontId="7" fillId="5" borderId="7" xfId="0" applyFont="1" applyFill="1" applyBorder="1" applyAlignment="1">
      <alignment horizontal="center" vertical="center" wrapText="1"/>
    </xf>
    <xf numFmtId="49" fontId="9" fillId="0" borderId="6" xfId="0" applyNumberFormat="1" applyFont="1" applyBorder="1" applyAlignment="1">
      <alignment horizontal="left" vertical="center" wrapText="1"/>
    </xf>
    <xf numFmtId="49" fontId="9" fillId="0" borderId="7" xfId="0" applyNumberFormat="1" applyFont="1" applyBorder="1" applyAlignment="1">
      <alignment horizontal="left" vertical="center" wrapText="1"/>
    </xf>
    <xf numFmtId="0" fontId="7" fillId="5" borderId="8" xfId="0" applyFont="1" applyFill="1" applyBorder="1" applyAlignment="1">
      <alignment horizontal="center" vertical="center" wrapText="1"/>
    </xf>
    <xf numFmtId="49" fontId="7" fillId="6" borderId="1" xfId="0" applyNumberFormat="1" applyFont="1" applyFill="1" applyBorder="1" applyAlignment="1">
      <alignment horizontal="center" vertical="center" wrapText="1"/>
    </xf>
    <xf numFmtId="49" fontId="7" fillId="9" borderId="1" xfId="0" applyNumberFormat="1" applyFont="1" applyFill="1" applyBorder="1" applyAlignment="1">
      <alignment horizontal="center" vertical="center" wrapText="1"/>
    </xf>
    <xf numFmtId="0" fontId="7" fillId="6" borderId="4" xfId="0" applyNumberFormat="1" applyFont="1" applyFill="1" applyBorder="1" applyAlignment="1">
      <alignment horizontal="center" vertical="center" wrapText="1"/>
    </xf>
    <xf numFmtId="0" fontId="7" fillId="9" borderId="4" xfId="0" applyNumberFormat="1" applyFont="1" applyFill="1" applyBorder="1" applyAlignment="1">
      <alignment horizontal="center" vertical="center" wrapText="1"/>
    </xf>
    <xf numFmtId="0" fontId="7" fillId="6" borderId="7" xfId="0" applyNumberFormat="1" applyFont="1" applyFill="1" applyBorder="1" applyAlignment="1">
      <alignment horizontal="center" vertical="center" wrapText="1"/>
    </xf>
    <xf numFmtId="0" fontId="7" fillId="9" borderId="7" xfId="0" applyNumberFormat="1" applyFont="1" applyFill="1" applyBorder="1" applyAlignment="1">
      <alignment horizontal="center" vertical="center" wrapText="1"/>
    </xf>
    <xf numFmtId="9" fontId="9" fillId="0" borderId="6" xfId="0" applyNumberFormat="1" applyFont="1" applyBorder="1" applyAlignment="1">
      <alignment horizontal="center" vertical="center" wrapText="1"/>
    </xf>
    <xf numFmtId="49" fontId="9" fillId="0" borderId="10" xfId="0" applyNumberFormat="1" applyFont="1" applyBorder="1" applyAlignment="1">
      <alignment horizontal="center" vertical="center" wrapText="1"/>
    </xf>
    <xf numFmtId="49" fontId="9" fillId="0" borderId="8" xfId="0" applyNumberFormat="1" applyFont="1" applyBorder="1" applyAlignment="1">
      <alignment horizontal="center" vertical="center" wrapText="1"/>
    </xf>
    <xf numFmtId="0" fontId="9" fillId="0" borderId="11" xfId="0" applyFont="1" applyBorder="1" applyAlignment="1">
      <alignment horizontal="center" vertical="center" wrapText="1"/>
    </xf>
    <xf numFmtId="0" fontId="9" fillId="0" borderId="8" xfId="0" applyFont="1" applyBorder="1" applyAlignment="1">
      <alignment horizontal="center" vertical="center" wrapText="1"/>
    </xf>
    <xf numFmtId="49" fontId="13" fillId="4" borderId="14" xfId="0" applyNumberFormat="1" applyFont="1" applyFill="1" applyBorder="1" applyAlignment="1">
      <alignment horizontal="center" vertical="center" wrapText="1"/>
    </xf>
    <xf numFmtId="49" fontId="13" fillId="4" borderId="15" xfId="0" applyNumberFormat="1" applyFont="1" applyFill="1" applyBorder="1" applyAlignment="1">
      <alignment horizontal="center" vertical="center" wrapText="1"/>
    </xf>
    <xf numFmtId="49" fontId="13" fillId="4" borderId="16" xfId="0" applyNumberFormat="1" applyFont="1" applyFill="1" applyBorder="1" applyAlignment="1">
      <alignment horizontal="center" vertical="center" wrapText="1"/>
    </xf>
    <xf numFmtId="49" fontId="13" fillId="5" borderId="17" xfId="0" applyNumberFormat="1" applyFont="1" applyFill="1" applyBorder="1" applyAlignment="1">
      <alignment horizontal="center" vertical="center" wrapText="1"/>
    </xf>
    <xf numFmtId="0" fontId="14" fillId="0" borderId="3" xfId="0" applyNumberFormat="1" applyFont="1" applyBorder="1" applyAlignment="1">
      <alignment horizontal="center" vertical="center" wrapText="1" readingOrder="1"/>
    </xf>
    <xf numFmtId="0" fontId="14" fillId="0" borderId="4" xfId="0" applyNumberFormat="1" applyFont="1" applyBorder="1" applyAlignment="1">
      <alignment horizontal="center" vertical="center" wrapText="1" readingOrder="1"/>
    </xf>
    <xf numFmtId="0" fontId="14" fillId="0" borderId="18" xfId="0" applyNumberFormat="1" applyFont="1" applyBorder="1" applyAlignment="1">
      <alignment horizontal="center" vertical="center" wrapText="1" readingOrder="1"/>
    </xf>
    <xf numFmtId="49" fontId="13" fillId="5" borderId="19" xfId="0" applyNumberFormat="1" applyFont="1" applyFill="1" applyBorder="1" applyAlignment="1">
      <alignment horizontal="center" vertical="center" wrapText="1"/>
    </xf>
    <xf numFmtId="0" fontId="14" fillId="0" borderId="6" xfId="0" applyNumberFormat="1" applyFont="1" applyBorder="1" applyAlignment="1">
      <alignment horizontal="center" vertical="center" wrapText="1" readingOrder="1"/>
    </xf>
    <xf numFmtId="0" fontId="14" fillId="0" borderId="7" xfId="0" applyNumberFormat="1" applyFont="1" applyBorder="1" applyAlignment="1">
      <alignment horizontal="center" vertical="center" wrapText="1" readingOrder="1"/>
    </xf>
    <xf numFmtId="0" fontId="14" fillId="0" borderId="7" xfId="0" applyFont="1" applyBorder="1" applyAlignment="1">
      <alignment horizontal="center" vertical="center" wrapText="1" readingOrder="1"/>
    </xf>
    <xf numFmtId="0" fontId="14" fillId="0" borderId="20" xfId="0" applyNumberFormat="1" applyFont="1" applyBorder="1" applyAlignment="1">
      <alignment horizontal="center" vertical="center" wrapText="1" readingOrder="1"/>
    </xf>
    <xf numFmtId="0" fontId="14" fillId="0" borderId="6" xfId="0" applyNumberFormat="1" applyFont="1" applyBorder="1" applyAlignment="1">
      <alignment horizontal="center" vertical="center" wrapText="1"/>
    </xf>
    <xf numFmtId="0" fontId="14" fillId="0" borderId="7" xfId="0" applyNumberFormat="1" applyFont="1" applyBorder="1" applyAlignment="1">
      <alignment horizontal="center" vertical="center" wrapText="1"/>
    </xf>
    <xf numFmtId="0" fontId="14" fillId="0" borderId="20" xfId="0" applyNumberFormat="1" applyFont="1" applyBorder="1" applyAlignment="1">
      <alignment horizontal="center" vertical="center" wrapText="1"/>
    </xf>
    <xf numFmtId="0" fontId="14" fillId="0" borderId="7" xfId="0" applyFont="1" applyBorder="1" applyAlignment="1">
      <alignment horizontal="center" vertical="center" wrapText="1"/>
    </xf>
    <xf numFmtId="49" fontId="13" fillId="5" borderId="21" xfId="0" applyNumberFormat="1" applyFont="1" applyFill="1" applyBorder="1" applyAlignment="1">
      <alignment horizontal="center" vertical="center" wrapText="1"/>
    </xf>
    <xf numFmtId="0" fontId="14" fillId="0" borderId="22" xfId="0" applyNumberFormat="1" applyFont="1" applyBorder="1" applyAlignment="1">
      <alignment horizontal="center" vertical="center" wrapText="1" readingOrder="1"/>
    </xf>
    <xf numFmtId="0" fontId="14" fillId="0" borderId="23" xfId="0" applyNumberFormat="1" applyFont="1" applyBorder="1" applyAlignment="1">
      <alignment horizontal="center" vertical="center" wrapText="1" readingOrder="1"/>
    </xf>
    <xf numFmtId="0" fontId="14" fillId="0" borderId="24" xfId="0" applyNumberFormat="1" applyFont="1" applyBorder="1" applyAlignment="1">
      <alignment horizontal="center" vertical="center" wrapText="1" readingOrder="1"/>
    </xf>
    <xf numFmtId="0" fontId="7" fillId="5" borderId="4" xfId="0" applyFont="1" applyFill="1" applyBorder="1" applyAlignment="1">
      <alignment horizontal="center" vertical="center" wrapText="1"/>
    </xf>
    <xf numFmtId="0" fontId="15" fillId="0" borderId="0" xfId="0" applyNumberFormat="1" applyFont="1">
      <alignment vertical="top" wrapText="1"/>
    </xf>
    <xf numFmtId="49" fontId="17" fillId="4" borderId="1" xfId="0" applyNumberFormat="1" applyFont="1" applyFill="1" applyBorder="1" applyAlignment="1">
      <alignment horizontal="center" vertical="center" wrapText="1"/>
    </xf>
    <xf numFmtId="49" fontId="17" fillId="5" borderId="4" xfId="0" applyNumberFormat="1" applyFont="1" applyFill="1" applyBorder="1" applyAlignment="1">
      <alignment horizontal="center" vertical="center" wrapText="1"/>
    </xf>
    <xf numFmtId="49" fontId="17" fillId="5" borderId="2" xfId="0" applyNumberFormat="1" applyFont="1" applyFill="1" applyBorder="1" applyAlignment="1">
      <alignment horizontal="center" vertical="center" wrapText="1"/>
    </xf>
    <xf numFmtId="0" fontId="20" fillId="7" borderId="4" xfId="0" applyNumberFormat="1" applyFont="1" applyFill="1" applyBorder="1" applyAlignment="1">
      <alignment horizontal="center" vertical="center" wrapText="1" readingOrder="1"/>
    </xf>
    <xf numFmtId="0" fontId="19" fillId="0" borderId="4" xfId="0" applyNumberFormat="1" applyFont="1" applyBorder="1" applyAlignment="1">
      <alignment horizontal="center" vertical="center" wrapText="1"/>
    </xf>
    <xf numFmtId="49" fontId="17" fillId="5" borderId="7" xfId="0" applyNumberFormat="1" applyFont="1" applyFill="1" applyBorder="1" applyAlignment="1">
      <alignment horizontal="center" vertical="center" wrapText="1"/>
    </xf>
    <xf numFmtId="49" fontId="17" fillId="5" borderId="5" xfId="0" applyNumberFormat="1" applyFont="1" applyFill="1" applyBorder="1" applyAlignment="1">
      <alignment horizontal="center" vertical="center" wrapText="1"/>
    </xf>
    <xf numFmtId="0" fontId="20" fillId="7" borderId="7" xfId="0" applyNumberFormat="1" applyFont="1" applyFill="1" applyBorder="1" applyAlignment="1">
      <alignment horizontal="center" vertical="center" wrapText="1" readingOrder="1"/>
    </xf>
    <xf numFmtId="0" fontId="19" fillId="0" borderId="7" xfId="0" applyNumberFormat="1" applyFont="1" applyBorder="1" applyAlignment="1">
      <alignment horizontal="center" vertical="center" wrapText="1"/>
    </xf>
    <xf numFmtId="0" fontId="15" fillId="0" borderId="7" xfId="0" applyNumberFormat="1" applyFont="1" applyBorder="1" applyAlignment="1">
      <alignment horizontal="center" vertical="top" wrapText="1"/>
    </xf>
    <xf numFmtId="0" fontId="9" fillId="0" borderId="13" xfId="0" applyFont="1" applyBorder="1" applyAlignment="1">
      <alignment horizontal="center" vertical="center" wrapText="1"/>
    </xf>
    <xf numFmtId="0" fontId="9" fillId="0" borderId="10" xfId="0" applyFont="1" applyBorder="1" applyAlignment="1">
      <alignment horizontal="center" vertical="center" wrapText="1"/>
    </xf>
    <xf numFmtId="0" fontId="20" fillId="7" borderId="11" xfId="0" applyNumberFormat="1" applyFont="1" applyFill="1" applyBorder="1" applyAlignment="1">
      <alignment horizontal="center" vertical="center" wrapText="1" readingOrder="1"/>
    </xf>
    <xf numFmtId="0" fontId="1" fillId="0" borderId="0" xfId="0" applyFont="1" applyAlignment="1">
      <alignment horizontal="left" vertical="top" wrapText="1"/>
    </xf>
    <xf numFmtId="0" fontId="0" fillId="0" borderId="0" xfId="0">
      <alignment vertical="top" wrapText="1"/>
    </xf>
    <xf numFmtId="0" fontId="1" fillId="0" borderId="0" xfId="0" applyFont="1" applyAlignment="1">
      <alignment horizontal="center" vertical="center"/>
    </xf>
    <xf numFmtId="0" fontId="6" fillId="0" borderId="0" xfId="0" applyFont="1" applyAlignment="1">
      <alignment horizontal="center" vertical="center"/>
    </xf>
    <xf numFmtId="165" fontId="9" fillId="0" borderId="3" xfId="0" applyNumberFormat="1" applyFont="1" applyBorder="1" applyAlignment="1">
      <alignment horizontal="center" vertical="center" wrapText="1"/>
    </xf>
    <xf numFmtId="0" fontId="0" fillId="0" borderId="6" xfId="0" applyBorder="1">
      <alignment vertical="top" wrapText="1"/>
    </xf>
    <xf numFmtId="49" fontId="9" fillId="0" borderId="4" xfId="0" applyNumberFormat="1" applyFont="1" applyBorder="1" applyAlignment="1">
      <alignment horizontal="center" vertical="center" wrapText="1"/>
    </xf>
    <xf numFmtId="0" fontId="0" fillId="0" borderId="7" xfId="0" applyBorder="1">
      <alignment vertical="top" wrapText="1"/>
    </xf>
    <xf numFmtId="49" fontId="9" fillId="0" borderId="4" xfId="0" applyNumberFormat="1" applyFont="1" applyBorder="1" applyAlignment="1">
      <alignment horizontal="left" vertical="center" wrapText="1"/>
    </xf>
    <xf numFmtId="0" fontId="9" fillId="0" borderId="4" xfId="0" applyFont="1" applyBorder="1" applyAlignment="1">
      <alignment horizontal="left" vertical="center" wrapText="1"/>
    </xf>
    <xf numFmtId="9" fontId="9" fillId="0" borderId="3" xfId="0" applyNumberFormat="1" applyFont="1" applyBorder="1" applyAlignment="1">
      <alignment horizontal="center" vertical="center" wrapText="1"/>
    </xf>
    <xf numFmtId="166" fontId="9" fillId="0" borderId="3" xfId="0" applyNumberFormat="1" applyFont="1" applyBorder="1" applyAlignment="1">
      <alignment horizontal="center" vertical="center" wrapText="1"/>
    </xf>
    <xf numFmtId="49" fontId="9" fillId="0" borderId="4" xfId="0" applyNumberFormat="1" applyFont="1" applyBorder="1" applyAlignment="1">
      <alignment horizontal="left" vertical="center" wrapText="1" indent="2"/>
    </xf>
    <xf numFmtId="9" fontId="9" fillId="0" borderId="6" xfId="0" applyNumberFormat="1" applyFont="1" applyBorder="1" applyAlignment="1">
      <alignment horizontal="center" vertical="center" wrapText="1"/>
    </xf>
    <xf numFmtId="0" fontId="10" fillId="0" borderId="0" xfId="0" applyFont="1" applyAlignment="1">
      <alignment horizontal="center" vertical="center"/>
    </xf>
    <xf numFmtId="0" fontId="11" fillId="0" borderId="0" xfId="0" applyFont="1" applyAlignment="1">
      <alignment horizontal="center" vertical="center"/>
    </xf>
    <xf numFmtId="0" fontId="12" fillId="0" borderId="0" xfId="0" applyFont="1" applyAlignment="1">
      <alignment horizontal="center" vertical="center"/>
    </xf>
    <xf numFmtId="0" fontId="16" fillId="0" borderId="0" xfId="0" applyFont="1" applyAlignment="1">
      <alignment horizontal="center" vertical="center"/>
    </xf>
    <xf numFmtId="49" fontId="19" fillId="0" borderId="4" xfId="0" applyNumberFormat="1" applyFont="1" applyBorder="1" applyAlignment="1">
      <alignment horizontal="center" vertical="center" wrapText="1"/>
    </xf>
    <xf numFmtId="0" fontId="15" fillId="0" borderId="7" xfId="0" applyFont="1" applyBorder="1">
      <alignment vertical="top" wrapText="1"/>
    </xf>
    <xf numFmtId="49" fontId="19" fillId="0" borderId="4" xfId="0" applyNumberFormat="1" applyFont="1" applyBorder="1" applyAlignment="1">
      <alignment horizontal="left" vertical="center" wrapText="1"/>
    </xf>
    <xf numFmtId="49" fontId="19" fillId="0" borderId="4" xfId="0" applyNumberFormat="1" applyFont="1" applyBorder="1" applyAlignment="1">
      <alignment horizontal="left" vertical="center" wrapText="1" indent="2"/>
    </xf>
    <xf numFmtId="9" fontId="19" fillId="0" borderId="3" xfId="0" applyNumberFormat="1" applyFont="1" applyBorder="1" applyAlignment="1">
      <alignment horizontal="center" vertical="center" wrapText="1"/>
    </xf>
    <xf numFmtId="0" fontId="15" fillId="0" borderId="6" xfId="0" applyFont="1" applyBorder="1">
      <alignment vertical="top"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BDC0BF"/>
      <rgbColor rgb="FFA5A5A5"/>
      <rgbColor rgb="FF3F3F3F"/>
      <rgbColor rgb="FFDBDBDB"/>
      <rgbColor rgb="FFFFF056"/>
      <rgbColor rgb="FFFEFFFE"/>
      <rgbColor rgb="FFD3D3D3"/>
      <rgbColor rgb="FFCACACA"/>
      <rgbColor rgb="FFFF2600"/>
      <rgbColor rgb="FF0432FF"/>
      <rgbColor rgb="FF72FCE9"/>
      <rgbColor rgb="FFF27100"/>
      <rgbColor rgb="FF0075B9"/>
      <rgbColor rgb="FF7F7F7F"/>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8</xdr:col>
      <xdr:colOff>107950</xdr:colOff>
      <xdr:row>12</xdr:row>
      <xdr:rowOff>184150</xdr:rowOff>
    </xdr:from>
    <xdr:to>
      <xdr:col>10</xdr:col>
      <xdr:colOff>704850</xdr:colOff>
      <xdr:row>19</xdr:row>
      <xdr:rowOff>635</xdr:rowOff>
    </xdr:to>
    <xdr:sp macro="" textlink="">
      <xdr:nvSpPr>
        <xdr:cNvPr id="2" name="Make sure whole team is on this file…">
          <a:extLst>
            <a:ext uri="{FF2B5EF4-FFF2-40B4-BE49-F238E27FC236}">
              <a16:creationId xmlns:a16="http://schemas.microsoft.com/office/drawing/2014/main" id="{00000000-0008-0000-0100-000002000000}"/>
            </a:ext>
          </a:extLst>
        </xdr:cNvPr>
        <xdr:cNvSpPr/>
      </xdr:nvSpPr>
      <xdr:spPr>
        <a:xfrm>
          <a:off x="10064750" y="3493770"/>
          <a:ext cx="3086100" cy="2044701"/>
        </a:xfrm>
        <a:prstGeom prst="rect">
          <a:avLst/>
        </a:prstGeom>
        <a:gradFill flip="none" rotWithShape="1">
          <a:gsLst>
            <a:gs pos="0">
              <a:srgbClr val="DAE6FF"/>
            </a:gs>
            <a:gs pos="100000">
              <a:srgbClr val="C6D8FF"/>
            </a:gs>
          </a:gsLst>
          <a:lin ang="5400000" scaled="0"/>
        </a:gradFill>
        <a:ln w="12700" cap="flat">
          <a:solidFill>
            <a:srgbClr val="000000">
              <a:alpha val="15000"/>
            </a:srgbClr>
          </a:solidFill>
          <a:prstDash val="solid"/>
          <a:miter lim="400000"/>
        </a:ln>
        <a:effectLst>
          <a:outerShdw blurRad="63500" dist="25400" dir="5400000" rotWithShape="0">
            <a:srgbClr val="000000">
              <a:alpha val="25000"/>
            </a:srgbClr>
          </a:outerShdw>
        </a:effectLst>
        <a:extLst>
          <a:ext uri="{C572A759-6A51-4108-AA02-DFA0A04FC94B}">
            <ma14:wrappingTextBoxFlag xmlns:ma14="http://schemas.microsoft.com/office/mac/drawingml/2011/main" xmlns:a14="http://schemas.microsoft.com/office/drawing/2010/main" xmlns:m="http://schemas.openxmlformats.org/officeDocument/2006/math" xmlns:r="http://schemas.openxmlformats.org/officeDocument/2006/relationships" xmlns="" val="1"/>
          </a:ext>
        </a:extLst>
      </xdr:spPr>
      <xdr:txBody>
        <a:bodyPr wrap="square" lIns="0" tIns="0" rIns="0" bIns="0" numCol="1" anchor="t">
          <a:noAutofit/>
        </a:bodyPr>
        <a:lstStyle/>
        <a:p>
          <a:r>
            <a:t>Isabella Canova, Apr 14 at 9:44 AM
</a:t>
          </a:r>
        </a:p>
        <a:p>
          <a:pPr marL="0" marR="0" indent="0" algn="l" defTabSz="457200" rtl="0" latinLnBrk="0">
            <a:lnSpc>
              <a:spcPct val="100000"/>
            </a:lnSpc>
            <a:spcBef>
              <a:spcPts val="0"/>
            </a:spcBef>
            <a:spcAft>
              <a:spcPts val="0"/>
            </a:spcAft>
            <a:buClrTx/>
            <a:buSzTx/>
            <a:buFontTx/>
            <a:buNone/>
            <a:defRPr sz="1200" b="0" i="0" u="none" strike="noStrike" cap="none" spc="0" baseline="0">
              <a:solidFill>
                <a:srgbClr val="000000"/>
              </a:solidFill>
              <a:uFillTx/>
              <a:latin typeface="+mn-lt"/>
              <a:ea typeface="+mn-ea"/>
              <a:cs typeface="+mn-cs"/>
              <a:sym typeface="Helvetica Neue"/>
            </a:defRPr>
          </a:pPr>
          <a:r>
            <a:rPr sz="1200" b="0" i="0" u="none" strike="noStrike" cap="none" spc="0" baseline="0">
              <a:solidFill>
                <a:srgbClr val="000000"/>
              </a:solidFill>
              <a:uFillTx/>
              <a:latin typeface="+mn-lt"/>
              <a:ea typeface="+mn-ea"/>
              <a:cs typeface="+mn-cs"/>
              <a:sym typeface="Helvetica Neue"/>
            </a:rPr>
            <a:t>Make sure whole team is on this file</a:t>
          </a:r>
        </a:p>
        <a:p>
          <a:pPr marL="0" marR="0" indent="0" algn="l" defTabSz="457200" rtl="0" latinLnBrk="0">
            <a:lnSpc>
              <a:spcPct val="100000"/>
            </a:lnSpc>
            <a:spcBef>
              <a:spcPts val="0"/>
            </a:spcBef>
            <a:spcAft>
              <a:spcPts val="0"/>
            </a:spcAft>
            <a:buClrTx/>
            <a:buSzTx/>
            <a:buFontTx/>
            <a:buNone/>
            <a:defRPr sz="1200" b="0" i="0" u="none" strike="noStrike" cap="none" spc="0" baseline="0">
              <a:solidFill>
                <a:srgbClr val="000000"/>
              </a:solidFill>
              <a:uFillTx/>
              <a:latin typeface="+mn-lt"/>
              <a:ea typeface="+mn-ea"/>
              <a:cs typeface="+mn-cs"/>
              <a:sym typeface="Helvetica Neue"/>
            </a:defRPr>
          </a:pPr>
          <a:r>
            <a:rPr sz="1200" b="0" i="0" u="none" strike="noStrike" cap="none" spc="0" baseline="0">
              <a:solidFill>
                <a:srgbClr val="000000"/>
              </a:solidFill>
              <a:uFillTx/>
              <a:latin typeface="+mn-lt"/>
              <a:ea typeface="+mn-ea"/>
              <a:cs typeface="+mn-cs"/>
              <a:sym typeface="Helvetica Neue"/>
            </a:rPr>
            <a:t>Copy k12p</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20</xdr:col>
      <xdr:colOff>926945</xdr:colOff>
      <xdr:row>0</xdr:row>
      <xdr:rowOff>0</xdr:rowOff>
    </xdr:from>
    <xdr:to>
      <xdr:col>23</xdr:col>
      <xdr:colOff>279244</xdr:colOff>
      <xdr:row>3</xdr:row>
      <xdr:rowOff>19050</xdr:rowOff>
    </xdr:to>
    <xdr:sp macro="" textlink="">
      <xdr:nvSpPr>
        <xdr:cNvPr id="4" name="Trending recommendation - gssm only">
          <a:extLst>
            <a:ext uri="{FF2B5EF4-FFF2-40B4-BE49-F238E27FC236}">
              <a16:creationId xmlns:a16="http://schemas.microsoft.com/office/drawing/2014/main" id="{00000000-0008-0000-0200-000004000000}"/>
            </a:ext>
          </a:extLst>
        </xdr:cNvPr>
        <xdr:cNvSpPr/>
      </xdr:nvSpPr>
      <xdr:spPr>
        <a:xfrm>
          <a:off x="25666544" y="-40217"/>
          <a:ext cx="3086101" cy="2044701"/>
        </a:xfrm>
        <a:prstGeom prst="rect">
          <a:avLst/>
        </a:prstGeom>
        <a:gradFill flip="none" rotWithShape="1">
          <a:gsLst>
            <a:gs pos="0">
              <a:srgbClr val="FED5D5"/>
            </a:gs>
            <a:gs pos="100000">
              <a:srgbClr val="FECDD6"/>
            </a:gs>
          </a:gsLst>
          <a:lin ang="5400000" scaled="0"/>
        </a:gradFill>
        <a:ln w="12700" cap="flat">
          <a:solidFill>
            <a:srgbClr val="000000">
              <a:alpha val="15000"/>
            </a:srgbClr>
          </a:solidFill>
          <a:prstDash val="solid"/>
          <a:miter lim="400000"/>
        </a:ln>
        <a:effectLst>
          <a:outerShdw blurRad="63500" dist="25400" dir="5400000" rotWithShape="0">
            <a:srgbClr val="000000">
              <a:alpha val="25000"/>
            </a:srgbClr>
          </a:outerShdw>
        </a:effectLst>
        <a:extLst>
          <a:ext uri="{C572A759-6A51-4108-AA02-DFA0A04FC94B}">
            <ma14:wrappingTextBoxFlag xmlns:ma14="http://schemas.microsoft.com/office/mac/drawingml/2011/main" xmlns:a14="http://schemas.microsoft.com/office/drawing/2010/main" xmlns:m="http://schemas.openxmlformats.org/officeDocument/2006/math" xmlns:r="http://schemas.openxmlformats.org/officeDocument/2006/relationships" xmlns="" val="1"/>
          </a:ext>
        </a:extLst>
      </xdr:spPr>
      <xdr:txBody>
        <a:bodyPr wrap="square" lIns="0" tIns="0" rIns="0" bIns="0" numCol="1" anchor="t">
          <a:noAutofit/>
        </a:bodyPr>
        <a:lstStyle/>
        <a:p>
          <a:r>
            <a:t>Bella Canova, Apr 9 at 10:32 AM
</a:t>
          </a:r>
        </a:p>
        <a:p>
          <a:pPr marL="0" marR="0" indent="0" algn="l" defTabSz="457200" rtl="0" latinLnBrk="0">
            <a:lnSpc>
              <a:spcPct val="100000"/>
            </a:lnSpc>
            <a:spcBef>
              <a:spcPts val="0"/>
            </a:spcBef>
            <a:spcAft>
              <a:spcPts val="0"/>
            </a:spcAft>
            <a:buClrTx/>
            <a:buSzTx/>
            <a:buFontTx/>
            <a:buNone/>
            <a:defRPr sz="1200" b="0" i="0" u="none" strike="noStrike" cap="none" spc="0" baseline="0">
              <a:solidFill>
                <a:srgbClr val="000000"/>
              </a:solidFill>
              <a:uFillTx/>
              <a:latin typeface="+mn-lt"/>
              <a:ea typeface="+mn-ea"/>
              <a:cs typeface="+mn-cs"/>
              <a:sym typeface="Helvetica Neue"/>
            </a:defRPr>
          </a:pPr>
          <a:r>
            <a:rPr sz="1200" b="0" i="0" u="none" strike="noStrike" cap="none" spc="0" baseline="0">
              <a:solidFill>
                <a:srgbClr val="000000"/>
              </a:solidFill>
              <a:uFillTx/>
              <a:latin typeface="+mn-lt"/>
              <a:ea typeface="+mn-ea"/>
              <a:cs typeface="+mn-cs"/>
              <a:sym typeface="Helvetica Neue"/>
            </a:rPr>
            <a:t>Trending recommendation - gssm only </a:t>
          </a:r>
        </a:p>
      </xdr:txBody>
    </xdr:sp>
    <xdr:clientData/>
  </xdr:twoCellAnchor>
  <xdr:twoCellAnchor>
    <xdr:from>
      <xdr:col>20</xdr:col>
      <xdr:colOff>402646</xdr:colOff>
      <xdr:row>35</xdr:row>
      <xdr:rowOff>0</xdr:rowOff>
    </xdr:from>
    <xdr:to>
      <xdr:col>22</xdr:col>
      <xdr:colOff>999546</xdr:colOff>
      <xdr:row>40</xdr:row>
      <xdr:rowOff>0</xdr:rowOff>
    </xdr:to>
    <xdr:sp macro="" textlink="">
      <xdr:nvSpPr>
        <xdr:cNvPr id="5" name="Capacity difference between V73/V74…">
          <a:extLst>
            <a:ext uri="{FF2B5EF4-FFF2-40B4-BE49-F238E27FC236}">
              <a16:creationId xmlns:a16="http://schemas.microsoft.com/office/drawing/2014/main" id="{00000000-0008-0000-0200-000005000000}"/>
            </a:ext>
          </a:extLst>
        </xdr:cNvPr>
        <xdr:cNvSpPr/>
      </xdr:nvSpPr>
      <xdr:spPr>
        <a:xfrm>
          <a:off x="25142246" y="15144581"/>
          <a:ext cx="3086101" cy="2044701"/>
        </a:xfrm>
        <a:prstGeom prst="rect">
          <a:avLst/>
        </a:prstGeom>
        <a:gradFill flip="none" rotWithShape="1">
          <a:gsLst>
            <a:gs pos="0">
              <a:srgbClr val="FED5D5"/>
            </a:gs>
            <a:gs pos="100000">
              <a:srgbClr val="FECDD6"/>
            </a:gs>
          </a:gsLst>
          <a:lin ang="5400000" scaled="0"/>
        </a:gradFill>
        <a:ln w="12700" cap="flat">
          <a:solidFill>
            <a:srgbClr val="000000">
              <a:alpha val="15000"/>
            </a:srgbClr>
          </a:solidFill>
          <a:prstDash val="solid"/>
          <a:miter lim="400000"/>
        </a:ln>
        <a:effectLst>
          <a:outerShdw blurRad="63500" dist="25400" dir="5400000" rotWithShape="0">
            <a:srgbClr val="000000">
              <a:alpha val="25000"/>
            </a:srgbClr>
          </a:outerShdw>
        </a:effectLst>
        <a:extLst>
          <a:ext uri="{C572A759-6A51-4108-AA02-DFA0A04FC94B}">
            <ma14:wrappingTextBoxFlag xmlns:ma14="http://schemas.microsoft.com/office/mac/drawingml/2011/main" xmlns:a14="http://schemas.microsoft.com/office/drawing/2010/main" xmlns:m="http://schemas.openxmlformats.org/officeDocument/2006/math" xmlns:r="http://schemas.openxmlformats.org/officeDocument/2006/relationships" xmlns="" val="1"/>
          </a:ext>
        </a:extLst>
      </xdr:spPr>
      <xdr:txBody>
        <a:bodyPr wrap="square" lIns="0" tIns="0" rIns="0" bIns="0" numCol="1" anchor="t">
          <a:noAutofit/>
        </a:bodyPr>
        <a:lstStyle/>
        <a:p>
          <a:r>
            <a:t>Bella Canova, Apr 2 at 6:21 PM
</a:t>
          </a:r>
        </a:p>
        <a:p>
          <a:pPr marL="0" marR="0" indent="0" algn="l" defTabSz="457200" rtl="0" latinLnBrk="0">
            <a:lnSpc>
              <a:spcPct val="100000"/>
            </a:lnSpc>
            <a:spcBef>
              <a:spcPts val="0"/>
            </a:spcBef>
            <a:spcAft>
              <a:spcPts val="0"/>
            </a:spcAft>
            <a:buClrTx/>
            <a:buSzTx/>
            <a:buFontTx/>
            <a:buNone/>
            <a:defRPr sz="1200" b="0" i="0" u="none" strike="noStrike" cap="none" spc="0" baseline="0">
              <a:solidFill>
                <a:srgbClr val="000000"/>
              </a:solidFill>
              <a:uFillTx/>
              <a:latin typeface="+mn-lt"/>
              <a:ea typeface="+mn-ea"/>
              <a:cs typeface="+mn-cs"/>
              <a:sym typeface="Helvetica Neue"/>
            </a:defRPr>
          </a:pPr>
          <a:r>
            <a:rPr sz="1200" b="0" i="0" u="none" strike="noStrike" cap="none" spc="0" baseline="0">
              <a:solidFill>
                <a:srgbClr val="000000"/>
              </a:solidFill>
              <a:uFillTx/>
              <a:latin typeface="+mn-lt"/>
              <a:ea typeface="+mn-ea"/>
              <a:cs typeface="+mn-cs"/>
              <a:sym typeface="Helvetica Neue"/>
            </a:rPr>
            <a:t>Capacity difference between V73/V74</a:t>
          </a:r>
        </a:p>
        <a:p>
          <a:pPr marL="0" marR="0" indent="0" algn="l" defTabSz="457200" rtl="0" latinLnBrk="0">
            <a:lnSpc>
              <a:spcPct val="100000"/>
            </a:lnSpc>
            <a:spcBef>
              <a:spcPts val="0"/>
            </a:spcBef>
            <a:spcAft>
              <a:spcPts val="0"/>
            </a:spcAft>
            <a:buClrTx/>
            <a:buSzTx/>
            <a:buFontTx/>
            <a:buNone/>
            <a:defRPr sz="1200" b="0" i="0" u="none" strike="noStrike" cap="none" spc="0" baseline="0">
              <a:solidFill>
                <a:srgbClr val="000000"/>
              </a:solidFill>
              <a:uFillTx/>
              <a:latin typeface="+mn-lt"/>
              <a:ea typeface="+mn-ea"/>
              <a:cs typeface="+mn-cs"/>
              <a:sym typeface="Helvetica Neue"/>
            </a:defRPr>
          </a:pPr>
          <a:endParaRPr sz="1200" b="0" i="0" u="none" strike="noStrike" cap="none" spc="0" baseline="0">
            <a:solidFill>
              <a:srgbClr val="000000"/>
            </a:solidFill>
            <a:uFillTx/>
            <a:latin typeface="+mn-lt"/>
            <a:ea typeface="+mn-ea"/>
            <a:cs typeface="+mn-cs"/>
            <a:sym typeface="Helvetica Neue"/>
          </a:endParaRPr>
        </a:p>
        <a:p>
          <a:pPr marL="0" marR="0" indent="0" algn="l" defTabSz="457200" rtl="0" latinLnBrk="0">
            <a:lnSpc>
              <a:spcPct val="100000"/>
            </a:lnSpc>
            <a:spcBef>
              <a:spcPts val="0"/>
            </a:spcBef>
            <a:spcAft>
              <a:spcPts val="0"/>
            </a:spcAft>
            <a:buClrTx/>
            <a:buSzTx/>
            <a:buFontTx/>
            <a:buNone/>
            <a:defRPr sz="1200" b="0" i="0" u="none" strike="noStrike" cap="none" spc="0" baseline="0">
              <a:solidFill>
                <a:srgbClr val="000000"/>
              </a:solidFill>
              <a:uFillTx/>
              <a:latin typeface="+mn-lt"/>
              <a:ea typeface="+mn-ea"/>
              <a:cs typeface="+mn-cs"/>
              <a:sym typeface="Helvetica Neue"/>
            </a:defRPr>
          </a:pPr>
          <a:r>
            <a:rPr sz="1200" b="0" i="0" u="none" strike="noStrike" cap="none" spc="0" baseline="0">
              <a:solidFill>
                <a:srgbClr val="000000"/>
              </a:solidFill>
              <a:uFillTx/>
              <a:latin typeface="+mn-lt"/>
              <a:ea typeface="+mn-ea"/>
              <a:cs typeface="+mn-cs"/>
              <a:sym typeface="Helvetica Neue"/>
            </a:rPr>
            <a:t>SPOR lock date </a:t>
          </a:r>
        </a:p>
      </xdr:txBody>
    </xdr:sp>
    <xdr:clientData/>
  </xdr:twoCellAnchor>
  <xdr:twoCellAnchor>
    <xdr:from>
      <xdr:col>21</xdr:col>
      <xdr:colOff>366452</xdr:colOff>
      <xdr:row>5</xdr:row>
      <xdr:rowOff>357831</xdr:rowOff>
    </xdr:from>
    <xdr:to>
      <xdr:col>23</xdr:col>
      <xdr:colOff>747809</xdr:colOff>
      <xdr:row>14</xdr:row>
      <xdr:rowOff>140524</xdr:rowOff>
    </xdr:to>
    <xdr:sp macro="" textlink="">
      <xdr:nvSpPr>
        <xdr:cNvPr id="6" name="Vendors provide their own data on what they can support for 2027…">
          <a:extLst>
            <a:ext uri="{FF2B5EF4-FFF2-40B4-BE49-F238E27FC236}">
              <a16:creationId xmlns:a16="http://schemas.microsoft.com/office/drawing/2014/main" id="{00000000-0008-0000-0200-000006000000}"/>
            </a:ext>
          </a:extLst>
        </xdr:cNvPr>
        <xdr:cNvSpPr/>
      </xdr:nvSpPr>
      <xdr:spPr>
        <a:xfrm>
          <a:off x="26350652" y="3045151"/>
          <a:ext cx="2870558" cy="3548879"/>
        </a:xfrm>
        <a:prstGeom prst="rect">
          <a:avLst/>
        </a:prstGeom>
        <a:gradFill flip="none" rotWithShape="1">
          <a:gsLst>
            <a:gs pos="0">
              <a:srgbClr val="FED5D5"/>
            </a:gs>
            <a:gs pos="100000">
              <a:srgbClr val="FECDD6"/>
            </a:gs>
          </a:gsLst>
          <a:lin ang="5400000" scaled="0"/>
        </a:gradFill>
        <a:ln w="12700" cap="flat">
          <a:solidFill>
            <a:srgbClr val="000000">
              <a:alpha val="15000"/>
            </a:srgbClr>
          </a:solidFill>
          <a:prstDash val="solid"/>
          <a:miter lim="400000"/>
        </a:ln>
        <a:effectLst>
          <a:outerShdw blurRad="63500" dist="25400" dir="5400000" rotWithShape="0">
            <a:srgbClr val="000000">
              <a:alpha val="25000"/>
            </a:srgbClr>
          </a:outerShdw>
        </a:effectLst>
        <a:extLst>
          <a:ext uri="{C572A759-6A51-4108-AA02-DFA0A04FC94B}">
            <ma14:wrappingTextBoxFlag xmlns:ma14="http://schemas.microsoft.com/office/mac/drawingml/2011/main" xmlns:a14="http://schemas.microsoft.com/office/drawing/2010/main" xmlns:m="http://schemas.openxmlformats.org/officeDocument/2006/math" xmlns:r="http://schemas.openxmlformats.org/officeDocument/2006/relationships" xmlns="" val="1"/>
          </a:ext>
        </a:extLst>
      </xdr:spPr>
      <xdr:txBody>
        <a:bodyPr wrap="square" lIns="0" tIns="0" rIns="0" bIns="0" numCol="1" anchor="t">
          <a:noAutofit/>
        </a:bodyPr>
        <a:lstStyle/>
        <a:p>
          <a:r>
            <a:t>Bella Canova, Apr 9 at 6:16 PM
</a:t>
          </a:r>
        </a:p>
        <a:p>
          <a:pPr marL="0" marR="0" indent="0" algn="l" defTabSz="457200" rtl="0" latinLnBrk="0">
            <a:lnSpc>
              <a:spcPct val="100000"/>
            </a:lnSpc>
            <a:spcBef>
              <a:spcPts val="0"/>
            </a:spcBef>
            <a:spcAft>
              <a:spcPts val="0"/>
            </a:spcAft>
            <a:buClrTx/>
            <a:buSzTx/>
            <a:buFontTx/>
            <a:buNone/>
            <a:defRPr sz="1200" b="0" i="0" u="none" strike="noStrike" cap="none" spc="0" baseline="0">
              <a:solidFill>
                <a:srgbClr val="000000"/>
              </a:solidFill>
              <a:uFillTx/>
              <a:latin typeface="+mn-lt"/>
              <a:ea typeface="+mn-ea"/>
              <a:cs typeface="+mn-cs"/>
              <a:sym typeface="Helvetica Neue"/>
            </a:defRPr>
          </a:pPr>
          <a:r>
            <a:rPr sz="1200" b="0" i="0" u="none" strike="noStrike" cap="none" spc="0" baseline="0">
              <a:solidFill>
                <a:srgbClr val="000000"/>
              </a:solidFill>
              <a:uFillTx/>
              <a:latin typeface="+mn-lt"/>
              <a:ea typeface="+mn-ea"/>
              <a:cs typeface="+mn-cs"/>
              <a:sym typeface="Helvetica Neue"/>
            </a:rPr>
            <a:t>Vendors provide their own data on what they can support for 2027</a:t>
          </a:r>
        </a:p>
        <a:p>
          <a:pPr marL="0" marR="0" indent="0" algn="l" defTabSz="457200" rtl="0" latinLnBrk="0">
            <a:lnSpc>
              <a:spcPct val="100000"/>
            </a:lnSpc>
            <a:spcBef>
              <a:spcPts val="0"/>
            </a:spcBef>
            <a:spcAft>
              <a:spcPts val="0"/>
            </a:spcAft>
            <a:buClrTx/>
            <a:buSzTx/>
            <a:buFontTx/>
            <a:buNone/>
            <a:defRPr sz="1200" b="0" i="0" u="none" strike="noStrike" cap="none" spc="0" baseline="0">
              <a:solidFill>
                <a:srgbClr val="000000"/>
              </a:solidFill>
              <a:uFillTx/>
              <a:latin typeface="+mn-lt"/>
              <a:ea typeface="+mn-ea"/>
              <a:cs typeface="+mn-cs"/>
              <a:sym typeface="Helvetica Neue"/>
            </a:defRPr>
          </a:pPr>
          <a:endParaRPr sz="1200" b="0" i="0" u="none" strike="noStrike" cap="none" spc="0" baseline="0">
            <a:solidFill>
              <a:srgbClr val="000000"/>
            </a:solidFill>
            <a:uFillTx/>
            <a:latin typeface="+mn-lt"/>
            <a:ea typeface="+mn-ea"/>
            <a:cs typeface="+mn-cs"/>
            <a:sym typeface="Helvetica Neue"/>
          </a:endParaRPr>
        </a:p>
        <a:p>
          <a:pPr marL="0" marR="0" indent="0" algn="l" defTabSz="457200" rtl="0" latinLnBrk="0">
            <a:lnSpc>
              <a:spcPct val="100000"/>
            </a:lnSpc>
            <a:spcBef>
              <a:spcPts val="0"/>
            </a:spcBef>
            <a:spcAft>
              <a:spcPts val="0"/>
            </a:spcAft>
            <a:buClrTx/>
            <a:buSzTx/>
            <a:buFontTx/>
            <a:buNone/>
            <a:defRPr sz="1200" b="0" i="0" u="none" strike="noStrike" cap="none" spc="0" baseline="0">
              <a:solidFill>
                <a:srgbClr val="000000"/>
              </a:solidFill>
              <a:uFillTx/>
              <a:latin typeface="+mn-lt"/>
              <a:ea typeface="+mn-ea"/>
              <a:cs typeface="+mn-cs"/>
              <a:sym typeface="Helvetica Neue"/>
            </a:defRPr>
          </a:pPr>
          <a:r>
            <a:rPr sz="1200" b="0" i="0" u="none" strike="noStrike" cap="none" spc="0" baseline="0">
              <a:solidFill>
                <a:srgbClr val="000000"/>
              </a:solidFill>
              <a:uFillTx/>
              <a:latin typeface="+mn-lt"/>
              <a:ea typeface="+mn-ea"/>
              <a:cs typeface="+mn-cs"/>
              <a:sym typeface="Helvetica Neue"/>
            </a:rPr>
            <a:t>2026 demand used as baseline, currently occupied, whats remaining and new demand</a:t>
          </a:r>
        </a:p>
        <a:p>
          <a:pPr marL="0" marR="0" indent="0" algn="l" defTabSz="457200" rtl="0" latinLnBrk="0">
            <a:lnSpc>
              <a:spcPct val="100000"/>
            </a:lnSpc>
            <a:spcBef>
              <a:spcPts val="0"/>
            </a:spcBef>
            <a:spcAft>
              <a:spcPts val="0"/>
            </a:spcAft>
            <a:buClrTx/>
            <a:buSzTx/>
            <a:buFontTx/>
            <a:buNone/>
            <a:defRPr sz="1200" b="0" i="0" u="none" strike="noStrike" cap="none" spc="0" baseline="0">
              <a:solidFill>
                <a:srgbClr val="000000"/>
              </a:solidFill>
              <a:uFillTx/>
              <a:latin typeface="+mn-lt"/>
              <a:ea typeface="+mn-ea"/>
              <a:cs typeface="+mn-cs"/>
              <a:sym typeface="Helvetica Neue"/>
            </a:defRPr>
          </a:pPr>
          <a:endParaRPr sz="1200" b="0" i="0" u="none" strike="noStrike" cap="none" spc="0" baseline="0">
            <a:solidFill>
              <a:srgbClr val="000000"/>
            </a:solidFill>
            <a:uFillTx/>
            <a:latin typeface="+mn-lt"/>
            <a:ea typeface="+mn-ea"/>
            <a:cs typeface="+mn-cs"/>
            <a:sym typeface="Helvetica Neue"/>
          </a:endParaRPr>
        </a:p>
        <a:p>
          <a:pPr marL="0" marR="0" indent="0" algn="l" defTabSz="457200" rtl="0" latinLnBrk="0">
            <a:lnSpc>
              <a:spcPct val="100000"/>
            </a:lnSpc>
            <a:spcBef>
              <a:spcPts val="0"/>
            </a:spcBef>
            <a:spcAft>
              <a:spcPts val="0"/>
            </a:spcAft>
            <a:buClrTx/>
            <a:buSzTx/>
            <a:buFontTx/>
            <a:buNone/>
            <a:defRPr sz="1200" b="0" i="0" u="none" strike="noStrike" cap="none" spc="0" baseline="0">
              <a:solidFill>
                <a:srgbClr val="000000"/>
              </a:solidFill>
              <a:uFillTx/>
              <a:latin typeface="+mn-lt"/>
              <a:ea typeface="+mn-ea"/>
              <a:cs typeface="+mn-cs"/>
              <a:sym typeface="Helvetica Neue"/>
            </a:defRPr>
          </a:pPr>
          <a:r>
            <a:rPr sz="1200" b="0" i="0" u="none" strike="noStrike" cap="none" spc="0" baseline="0">
              <a:solidFill>
                <a:srgbClr val="000000"/>
              </a:solidFill>
              <a:uFillTx/>
              <a:latin typeface="+mn-lt"/>
              <a:ea typeface="+mn-ea"/>
              <a:cs typeface="+mn-cs"/>
              <a:sym typeface="Helvetica Neue"/>
            </a:rPr>
            <a:t>Phone Fact/vent conveyor</a:t>
          </a:r>
        </a:p>
        <a:p>
          <a:pPr marL="0" marR="0" indent="0" algn="l" defTabSz="457200" rtl="0" latinLnBrk="0">
            <a:lnSpc>
              <a:spcPct val="100000"/>
            </a:lnSpc>
            <a:spcBef>
              <a:spcPts val="0"/>
            </a:spcBef>
            <a:spcAft>
              <a:spcPts val="0"/>
            </a:spcAft>
            <a:buClrTx/>
            <a:buSzTx/>
            <a:buFontTx/>
            <a:buNone/>
            <a:defRPr sz="1200" b="0" i="0" u="none" strike="noStrike" cap="none" spc="0" baseline="0">
              <a:solidFill>
                <a:srgbClr val="000000"/>
              </a:solidFill>
              <a:uFillTx/>
              <a:latin typeface="+mn-lt"/>
              <a:ea typeface="+mn-ea"/>
              <a:cs typeface="+mn-cs"/>
              <a:sym typeface="Helvetica Neue"/>
            </a:defRPr>
          </a:pPr>
          <a:endParaRPr sz="1200" b="0" i="0" u="none" strike="noStrike" cap="none" spc="0" baseline="0">
            <a:solidFill>
              <a:srgbClr val="000000"/>
            </a:solidFill>
            <a:uFillTx/>
            <a:latin typeface="+mn-lt"/>
            <a:ea typeface="+mn-ea"/>
            <a:cs typeface="+mn-cs"/>
            <a:sym typeface="Helvetica Neue"/>
          </a:endParaRPr>
        </a:p>
        <a:p>
          <a:pPr marL="0" marR="0" indent="0" algn="l" defTabSz="457200" rtl="0" latinLnBrk="0">
            <a:lnSpc>
              <a:spcPct val="100000"/>
            </a:lnSpc>
            <a:spcBef>
              <a:spcPts val="0"/>
            </a:spcBef>
            <a:spcAft>
              <a:spcPts val="0"/>
            </a:spcAft>
            <a:buClrTx/>
            <a:buSzTx/>
            <a:buFontTx/>
            <a:buNone/>
            <a:defRPr sz="1200" b="0" i="0" u="none" strike="noStrike" cap="none" spc="0" baseline="0">
              <a:solidFill>
                <a:srgbClr val="000000"/>
              </a:solidFill>
              <a:uFillTx/>
              <a:latin typeface="+mn-lt"/>
              <a:ea typeface="+mn-ea"/>
              <a:cs typeface="+mn-cs"/>
              <a:sym typeface="Helvetica Neue"/>
            </a:defRPr>
          </a:pPr>
          <a:r>
            <a:rPr sz="1200" b="0" i="0" u="none" strike="noStrike" cap="none" spc="0" baseline="0">
              <a:solidFill>
                <a:srgbClr val="000000"/>
              </a:solidFill>
              <a:uFillTx/>
              <a:latin typeface="+mn-lt"/>
              <a:ea typeface="+mn-ea"/>
              <a:cs typeface="+mn-cs"/>
              <a:sym typeface="Helvetica Neue"/>
            </a:rPr>
            <a:t>CPT team to fill out column H and L</a:t>
          </a:r>
        </a:p>
      </xdr:txBody>
    </xdr:sp>
    <xdr:clientData/>
  </xdr:twoCellAnchor>
  <xdr:twoCellAnchor>
    <xdr:from>
      <xdr:col>17</xdr:col>
      <xdr:colOff>1117934</xdr:colOff>
      <xdr:row>7</xdr:row>
      <xdr:rowOff>262127</xdr:rowOff>
    </xdr:from>
    <xdr:to>
      <xdr:col>20</xdr:col>
      <xdr:colOff>470234</xdr:colOff>
      <xdr:row>13</xdr:row>
      <xdr:rowOff>0</xdr:rowOff>
    </xdr:to>
    <xdr:sp macro="" textlink="">
      <xdr:nvSpPr>
        <xdr:cNvPr id="7" name="Complexity…">
          <a:extLst>
            <a:ext uri="{FF2B5EF4-FFF2-40B4-BE49-F238E27FC236}">
              <a16:creationId xmlns:a16="http://schemas.microsoft.com/office/drawing/2014/main" id="{00000000-0008-0000-0200-000007000000}"/>
            </a:ext>
          </a:extLst>
        </xdr:cNvPr>
        <xdr:cNvSpPr/>
      </xdr:nvSpPr>
      <xdr:spPr>
        <a:xfrm>
          <a:off x="22123734" y="3915917"/>
          <a:ext cx="3086101" cy="2044701"/>
        </a:xfrm>
        <a:prstGeom prst="rect">
          <a:avLst/>
        </a:prstGeom>
        <a:gradFill flip="none" rotWithShape="1">
          <a:gsLst>
            <a:gs pos="0">
              <a:srgbClr val="DAE6FF"/>
            </a:gs>
            <a:gs pos="100000">
              <a:srgbClr val="C6D8FF"/>
            </a:gs>
          </a:gsLst>
          <a:lin ang="5400000" scaled="0"/>
        </a:gradFill>
        <a:ln w="12700" cap="flat">
          <a:solidFill>
            <a:srgbClr val="000000">
              <a:alpha val="15000"/>
            </a:srgbClr>
          </a:solidFill>
          <a:prstDash val="solid"/>
          <a:miter lim="400000"/>
        </a:ln>
        <a:effectLst>
          <a:outerShdw blurRad="63500" dist="25400" dir="5400000" rotWithShape="0">
            <a:srgbClr val="000000">
              <a:alpha val="25000"/>
            </a:srgbClr>
          </a:outerShdw>
        </a:effectLst>
        <a:extLst>
          <a:ext uri="{C572A759-6A51-4108-AA02-DFA0A04FC94B}">
            <ma14:wrappingTextBoxFlag xmlns:ma14="http://schemas.microsoft.com/office/mac/drawingml/2011/main" xmlns:a14="http://schemas.microsoft.com/office/drawing/2010/main" xmlns:m="http://schemas.openxmlformats.org/officeDocument/2006/math" xmlns:r="http://schemas.openxmlformats.org/officeDocument/2006/relationships" xmlns="" val="1"/>
          </a:ext>
        </a:extLst>
      </xdr:spPr>
      <xdr:txBody>
        <a:bodyPr wrap="square" lIns="0" tIns="0" rIns="0" bIns="0" numCol="1" anchor="t">
          <a:noAutofit/>
        </a:bodyPr>
        <a:lstStyle/>
        <a:p>
          <a:r>
            <a:t>Isabella Canova, Apr 14 at 5:49 PM
</a:t>
          </a:r>
        </a:p>
        <a:p>
          <a:pPr marL="0" marR="0" indent="0" algn="l" defTabSz="457200" rtl="0" latinLnBrk="0">
            <a:lnSpc>
              <a:spcPct val="100000"/>
            </a:lnSpc>
            <a:spcBef>
              <a:spcPts val="0"/>
            </a:spcBef>
            <a:spcAft>
              <a:spcPts val="0"/>
            </a:spcAft>
            <a:buClrTx/>
            <a:buSzTx/>
            <a:buFontTx/>
            <a:buNone/>
            <a:defRPr sz="1200" b="0" i="0" u="none" strike="noStrike" cap="none" spc="0" baseline="0">
              <a:solidFill>
                <a:srgbClr val="000000"/>
              </a:solidFill>
              <a:uFillTx/>
              <a:latin typeface="+mn-lt"/>
              <a:ea typeface="+mn-ea"/>
              <a:cs typeface="+mn-cs"/>
              <a:sym typeface="Helvetica Neue"/>
            </a:defRPr>
          </a:pPr>
          <a:r>
            <a:rPr sz="1200" b="0" i="0" u="none" strike="noStrike" cap="none" spc="0" baseline="0">
              <a:solidFill>
                <a:srgbClr val="000000"/>
              </a:solidFill>
              <a:uFillTx/>
              <a:latin typeface="+mn-lt"/>
              <a:ea typeface="+mn-ea"/>
              <a:cs typeface="+mn-cs"/>
              <a:sym typeface="Helvetica Neue"/>
            </a:rPr>
            <a:t>Complexity</a:t>
          </a:r>
        </a:p>
        <a:p>
          <a:pPr marL="0" marR="0" indent="0" algn="l" defTabSz="457200" rtl="0" latinLnBrk="0">
            <a:lnSpc>
              <a:spcPct val="100000"/>
            </a:lnSpc>
            <a:spcBef>
              <a:spcPts val="0"/>
            </a:spcBef>
            <a:spcAft>
              <a:spcPts val="0"/>
            </a:spcAft>
            <a:buClrTx/>
            <a:buSzTx/>
            <a:buFontTx/>
            <a:buNone/>
            <a:defRPr sz="1200" b="0" i="0" u="none" strike="noStrike" cap="none" spc="0" baseline="0">
              <a:solidFill>
                <a:srgbClr val="000000"/>
              </a:solidFill>
              <a:uFillTx/>
              <a:latin typeface="+mn-lt"/>
              <a:ea typeface="+mn-ea"/>
              <a:cs typeface="+mn-cs"/>
              <a:sym typeface="Helvetica Neue"/>
            </a:defRPr>
          </a:pPr>
          <a:r>
            <a:rPr sz="1200" b="0" i="0" u="none" strike="noStrike" cap="none" spc="0" baseline="0">
              <a:solidFill>
                <a:srgbClr val="000000"/>
              </a:solidFill>
              <a:uFillTx/>
              <a:latin typeface="+mn-lt"/>
              <a:ea typeface="+mn-ea"/>
              <a:cs typeface="+mn-cs"/>
              <a:sym typeface="Helvetica Neue"/>
            </a:rPr>
            <a:t>Share link to Nellie, compare to Nellie’s dashboard rating</a:t>
          </a:r>
        </a:p>
      </xdr:txBody>
    </xdr:sp>
    <xdr:clientData/>
  </xdr:twoCellAnchor>
</xdr:wsDr>
</file>

<file path=xl/theme/theme1.xml><?xml version="1.0" encoding="utf-8"?>
<a:theme xmlns:a="http://schemas.openxmlformats.org/drawingml/2006/main"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200" b="0" i="0" u="none" strike="noStrike" cap="none" spc="0" normalizeH="0" baseline="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D38"/>
  <sheetViews>
    <sheetView showGridLines="0" workbookViewId="0"/>
  </sheetViews>
  <sheetFormatPr baseColWidth="10" defaultColWidth="10" defaultRowHeight="13" customHeight="1"/>
  <cols>
    <col min="1" max="1" width="2" customWidth="1"/>
    <col min="2" max="4" width="33.6640625" customWidth="1"/>
  </cols>
  <sheetData>
    <row r="3" spans="2:4" ht="50" customHeight="1">
      <c r="B3" s="120" t="s">
        <v>0</v>
      </c>
      <c r="C3" s="121"/>
      <c r="D3" s="121"/>
    </row>
    <row r="7" spans="2:4" ht="19">
      <c r="B7" s="1" t="s">
        <v>1</v>
      </c>
      <c r="C7" s="1" t="s">
        <v>2</v>
      </c>
      <c r="D7" s="1" t="s">
        <v>3</v>
      </c>
    </row>
    <row r="9" spans="2:4" ht="17">
      <c r="B9" s="2" t="s">
        <v>4</v>
      </c>
      <c r="C9" s="2"/>
      <c r="D9" s="2"/>
    </row>
    <row r="10" spans="2:4" ht="17">
      <c r="B10" s="3"/>
      <c r="C10" s="3" t="s">
        <v>5</v>
      </c>
      <c r="D10" s="4" t="s">
        <v>6</v>
      </c>
    </row>
    <row r="11" spans="2:4" ht="17">
      <c r="B11" s="2" t="s">
        <v>30</v>
      </c>
      <c r="C11" s="2"/>
      <c r="D11" s="2"/>
    </row>
    <row r="12" spans="2:4" ht="17">
      <c r="B12" s="3"/>
      <c r="C12" s="3" t="s">
        <v>31</v>
      </c>
      <c r="D12" s="4" t="s">
        <v>32</v>
      </c>
    </row>
    <row r="13" spans="2:4" ht="17">
      <c r="B13" s="2" t="s">
        <v>116</v>
      </c>
      <c r="C13" s="2"/>
      <c r="D13" s="2"/>
    </row>
    <row r="14" spans="2:4" ht="34">
      <c r="B14" s="3"/>
      <c r="C14" s="3" t="s">
        <v>117</v>
      </c>
      <c r="D14" s="4" t="s">
        <v>118</v>
      </c>
    </row>
    <row r="15" spans="2:4" ht="34">
      <c r="B15" s="3"/>
      <c r="C15" s="3" t="s">
        <v>145</v>
      </c>
      <c r="D15" s="4" t="s">
        <v>146</v>
      </c>
    </row>
    <row r="16" spans="2:4" ht="17">
      <c r="B16" s="2" t="s">
        <v>164</v>
      </c>
      <c r="C16" s="2"/>
      <c r="D16" s="2"/>
    </row>
    <row r="17" spans="2:4" ht="34">
      <c r="B17" s="3"/>
      <c r="C17" s="3" t="s">
        <v>117</v>
      </c>
      <c r="D17" s="4" t="s">
        <v>165</v>
      </c>
    </row>
    <row r="18" spans="2:4" ht="34">
      <c r="B18" s="3"/>
      <c r="C18" s="3" t="s">
        <v>145</v>
      </c>
      <c r="D18" s="4" t="s">
        <v>170</v>
      </c>
    </row>
    <row r="19" spans="2:4" ht="17">
      <c r="B19" s="2" t="s">
        <v>182</v>
      </c>
      <c r="C19" s="2"/>
      <c r="D19" s="2"/>
    </row>
    <row r="20" spans="2:4" ht="34">
      <c r="B20" s="3"/>
      <c r="C20" s="3" t="s">
        <v>117</v>
      </c>
      <c r="D20" s="4" t="s">
        <v>183</v>
      </c>
    </row>
    <row r="21" spans="2:4" ht="34">
      <c r="B21" s="3"/>
      <c r="C21" s="3" t="s">
        <v>145</v>
      </c>
      <c r="D21" s="4" t="s">
        <v>188</v>
      </c>
    </row>
    <row r="22" spans="2:4" ht="17">
      <c r="B22" s="2" t="s">
        <v>199</v>
      </c>
      <c r="C22" s="2"/>
      <c r="D22" s="2"/>
    </row>
    <row r="23" spans="2:4" ht="34">
      <c r="B23" s="3"/>
      <c r="C23" s="3" t="s">
        <v>117</v>
      </c>
      <c r="D23" s="4" t="s">
        <v>200</v>
      </c>
    </row>
    <row r="24" spans="2:4" ht="17">
      <c r="B24" s="3"/>
      <c r="C24" s="3" t="s">
        <v>208</v>
      </c>
      <c r="D24" s="4" t="s">
        <v>209</v>
      </c>
    </row>
    <row r="25" spans="2:4" ht="34">
      <c r="B25" s="3"/>
      <c r="C25" s="3" t="s">
        <v>221</v>
      </c>
      <c r="D25" s="4" t="s">
        <v>222</v>
      </c>
    </row>
    <row r="26" spans="2:4" ht="17">
      <c r="B26" s="3"/>
      <c r="C26" s="3" t="s">
        <v>231</v>
      </c>
      <c r="D26" s="4" t="s">
        <v>232</v>
      </c>
    </row>
    <row r="27" spans="2:4" ht="17">
      <c r="B27" s="2" t="s">
        <v>247</v>
      </c>
      <c r="C27" s="2"/>
      <c r="D27" s="2"/>
    </row>
    <row r="28" spans="2:4" ht="34">
      <c r="B28" s="3"/>
      <c r="C28" s="3" t="s">
        <v>117</v>
      </c>
      <c r="D28" s="4" t="s">
        <v>248</v>
      </c>
    </row>
    <row r="29" spans="2:4" ht="34">
      <c r="B29" s="3"/>
      <c r="C29" s="3" t="s">
        <v>145</v>
      </c>
      <c r="D29" s="4" t="s">
        <v>253</v>
      </c>
    </row>
    <row r="30" spans="2:4" ht="17">
      <c r="B30" s="2" t="s">
        <v>254</v>
      </c>
      <c r="C30" s="2"/>
      <c r="D30" s="2"/>
    </row>
    <row r="31" spans="2:4" ht="34">
      <c r="B31" s="3"/>
      <c r="C31" s="3" t="s">
        <v>117</v>
      </c>
      <c r="D31" s="4" t="s">
        <v>255</v>
      </c>
    </row>
    <row r="32" spans="2:4" ht="34">
      <c r="B32" s="3"/>
      <c r="C32" s="3" t="s">
        <v>145</v>
      </c>
      <c r="D32" s="4" t="s">
        <v>260</v>
      </c>
    </row>
    <row r="33" spans="2:4" ht="17">
      <c r="B33" s="2" t="s">
        <v>265</v>
      </c>
      <c r="C33" s="2"/>
      <c r="D33" s="2"/>
    </row>
    <row r="34" spans="2:4" ht="34">
      <c r="B34" s="3"/>
      <c r="C34" s="3" t="s">
        <v>117</v>
      </c>
      <c r="D34" s="4" t="s">
        <v>266</v>
      </c>
    </row>
    <row r="35" spans="2:4" ht="34">
      <c r="B35" s="3"/>
      <c r="C35" s="3" t="s">
        <v>221</v>
      </c>
      <c r="D35" s="4" t="s">
        <v>271</v>
      </c>
    </row>
    <row r="36" spans="2:4" ht="17">
      <c r="B36" s="2" t="s">
        <v>290</v>
      </c>
      <c r="C36" s="2"/>
      <c r="D36" s="2"/>
    </row>
    <row r="37" spans="2:4" ht="34">
      <c r="B37" s="3"/>
      <c r="C37" s="3" t="s">
        <v>117</v>
      </c>
      <c r="D37" s="4" t="s">
        <v>291</v>
      </c>
    </row>
    <row r="38" spans="2:4" ht="34">
      <c r="B38" s="3"/>
      <c r="C38" s="3" t="s">
        <v>145</v>
      </c>
      <c r="D38" s="4" t="s">
        <v>306</v>
      </c>
    </row>
  </sheetData>
  <mergeCells count="1">
    <mergeCell ref="B3:D3"/>
  </mergeCells>
  <hyperlinks>
    <hyperlink ref="D10" location="'Sheet 1 - Commercial Levers'!R2C1" display="Sheet 1 - Commercial Levers" xr:uid="{00000000-0004-0000-0000-000000000000}"/>
    <hyperlink ref="D12" location="'CPT Y2027 Brand New Station - T'!R2C1" display="CPT Y2027 Brand New Station - T" xr:uid="{00000000-0004-0000-0000-000001000000}"/>
    <hyperlink ref="D14" location="'Y2027 NPI - PRM (Anna) - Resour'!R2C1" display="Y2027 NPI - PRM (Anna) - Resour" xr:uid="{00000000-0004-0000-0000-000002000000}"/>
    <hyperlink ref="D15" location="'Y2027 NPI - PRM (Anna) - Y2026 '!R2C1" display="Y2027 NPI - PRM (Anna) - Y2026 " xr:uid="{00000000-0004-0000-0000-000003000000}"/>
    <hyperlink ref="D17" location="'Y2027 NPI - Innorev (Fiona) - R'!R2C1" display="Y2027 NPI - Innorev (Fiona) - R" xr:uid="{00000000-0004-0000-0000-000004000000}"/>
    <hyperlink ref="D18" location="'Y2027 NPI - Innorev (Fiona) - Y'!R2C1" display="Y2027 NPI - Innorev (Fiona) - Y" xr:uid="{00000000-0004-0000-0000-000005000000}"/>
    <hyperlink ref="D20" location="'Y2027 NPI - JLK (Sean) - Resour'!R2C1" display="Y2027 NPI - JLK (Sean) - Resour" xr:uid="{00000000-0004-0000-0000-000006000000}"/>
    <hyperlink ref="D21" location="'Y2027 NPI - JLK (Sean) - Y2026 '!R2C1" display="Y2027 NPI - JLK (Sean) - Y2026 " xr:uid="{00000000-0004-0000-0000-000007000000}"/>
    <hyperlink ref="D23" location="'Y2027 NPI - Cencorp (Rick) - Re'!R2C1" display="Y2027 NPI - Cencorp (Rick) - Re" xr:uid="{00000000-0004-0000-0000-000008000000}"/>
    <hyperlink ref="D24" location="'Y2027 NPI - Cencorp (Rick) - Y2'!R2C1" display="Y2027 NPI - Cencorp (Rick) - Y2" xr:uid="{00000000-0004-0000-0000-000009000000}"/>
    <hyperlink ref="D25" location="'Y2027 NPI - Cencorp (Rick) - Y1'!R2C1" display="Y2027 NPI - Cencorp (Rick) - Y1" xr:uid="{00000000-0004-0000-0000-00000A000000}"/>
    <hyperlink ref="D26" location="'Y2027 NPI - Cencorp (Rick) - Y3'!R2C1" display="Y2027 NPI - Cencorp (Rick) - Y3" xr:uid="{00000000-0004-0000-0000-00000B000000}"/>
    <hyperlink ref="D28" location="'Y2027 NPI - HVS (Gene) - Resour'!R2C1" display="Y2027 NPI - HVS (Gene) - Resour" xr:uid="{00000000-0004-0000-0000-00000C000000}"/>
    <hyperlink ref="D29" location="'Y2027 NPI - HVS (Gene) - Y2026 '!R2C1" display="Y2027 NPI - HVS (Gene) - Y2026 " xr:uid="{00000000-0004-0000-0000-00000D000000}"/>
    <hyperlink ref="D31" location="'Y2027 NPI - Pantamaster (JS) - '!R2C1" display="Y2027 NPI - Pantamaster (JS) - " xr:uid="{00000000-0004-0000-0000-00000E000000}"/>
    <hyperlink ref="D32" location="'Y2027 NPI - Pantamaster (JS) -1'!R2C1" display="Y2027 NPI - Pantamaster (JS) -1" xr:uid="{00000000-0004-0000-0000-00000F000000}"/>
    <hyperlink ref="D34" location="'Y2027 NPI - CYG (Rick) - Resour'!R2C1" display="Y2027 NPI - CYG (Rick) - Resour" xr:uid="{00000000-0004-0000-0000-000010000000}"/>
    <hyperlink ref="D35" location="'Y2027 NPI - CYG (Rick) - Y2026 '!R2C1" display="Y2027 NPI - CYG (Rick) - Y2026 " xr:uid="{00000000-0004-0000-0000-000011000000}"/>
    <hyperlink ref="D37" location="'Y2027 NPI - Nextas (Jessie) - R'!R2C1" display="Y2027 NPI - Nextas (Jessie) - R" xr:uid="{00000000-0004-0000-0000-000012000000}"/>
    <hyperlink ref="D38" location="'Y2027 NPI - Nextas (Jessie) - Y'!R2C1" display="Y2027 NPI - Nextas (Jessie) - Y" xr:uid="{00000000-0004-0000-0000-000013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G13"/>
  <sheetViews>
    <sheetView showGridLines="0" workbookViewId="0">
      <pane xSplit="1" ySplit="2" topLeftCell="B3" activePane="bottomRight" state="frozen"/>
      <selection pane="topRight"/>
      <selection pane="bottomLeft"/>
      <selection pane="bottomRight" activeCell="B3" sqref="B3"/>
    </sheetView>
  </sheetViews>
  <sheetFormatPr baseColWidth="10" defaultColWidth="16.33203125" defaultRowHeight="20" customHeight="1"/>
  <cols>
    <col min="1" max="8" width="16.33203125" style="5" customWidth="1"/>
    <col min="9" max="16384" width="16.33203125" style="5"/>
  </cols>
  <sheetData>
    <row r="1" spans="1:7" ht="27.75" customHeight="1">
      <c r="A1" s="122" t="s">
        <v>5</v>
      </c>
      <c r="B1" s="122"/>
      <c r="C1" s="122"/>
      <c r="D1" s="122"/>
      <c r="E1" s="122"/>
      <c r="F1" s="122"/>
      <c r="G1" s="122"/>
    </row>
    <row r="2" spans="1:7" ht="32.25" customHeight="1">
      <c r="A2" s="6" t="s">
        <v>7</v>
      </c>
      <c r="B2" s="6" t="s">
        <v>8</v>
      </c>
      <c r="C2" s="6" t="s">
        <v>9</v>
      </c>
      <c r="D2" s="6" t="s">
        <v>10</v>
      </c>
      <c r="E2" s="6" t="s">
        <v>11</v>
      </c>
      <c r="F2" s="6" t="s">
        <v>12</v>
      </c>
      <c r="G2" s="6" t="s">
        <v>13</v>
      </c>
    </row>
    <row r="3" spans="1:7" ht="20.25" customHeight="1">
      <c r="A3" s="7" t="s">
        <v>14</v>
      </c>
      <c r="B3" s="8" t="s">
        <v>15</v>
      </c>
      <c r="C3" s="9"/>
      <c r="D3" s="9"/>
      <c r="E3" s="9"/>
      <c r="F3" s="9"/>
      <c r="G3" s="9"/>
    </row>
    <row r="4" spans="1:7" ht="20" customHeight="1">
      <c r="A4" s="10" t="s">
        <v>16</v>
      </c>
      <c r="B4" s="11" t="s">
        <v>15</v>
      </c>
      <c r="C4" s="12"/>
      <c r="D4" s="12"/>
      <c r="E4" s="12"/>
      <c r="F4" s="12"/>
      <c r="G4" s="12"/>
    </row>
    <row r="5" spans="1:7" ht="20" customHeight="1">
      <c r="A5" s="10" t="s">
        <v>17</v>
      </c>
      <c r="B5" s="11" t="s">
        <v>15</v>
      </c>
      <c r="C5" s="12"/>
      <c r="D5" s="12"/>
      <c r="E5" s="12"/>
      <c r="F5" s="12"/>
      <c r="G5" s="12"/>
    </row>
    <row r="6" spans="1:7" ht="20" customHeight="1">
      <c r="A6" s="10" t="s">
        <v>18</v>
      </c>
      <c r="B6" s="13"/>
      <c r="C6" s="12"/>
      <c r="D6" s="12"/>
      <c r="E6" s="12"/>
      <c r="F6" s="12"/>
      <c r="G6" s="12"/>
    </row>
    <row r="7" spans="1:7" ht="20" customHeight="1">
      <c r="A7" s="10" t="s">
        <v>19</v>
      </c>
      <c r="B7" s="13"/>
      <c r="C7" s="12"/>
      <c r="D7" s="12"/>
      <c r="E7" s="12"/>
      <c r="F7" s="12"/>
      <c r="G7" s="12"/>
    </row>
    <row r="8" spans="1:7" ht="20" customHeight="1">
      <c r="A8" s="10" t="s">
        <v>20</v>
      </c>
      <c r="B8" s="13"/>
      <c r="C8" s="12"/>
      <c r="D8" s="12"/>
      <c r="E8" s="12"/>
      <c r="F8" s="12"/>
      <c r="G8" s="12"/>
    </row>
    <row r="9" spans="1:7" ht="20" customHeight="1">
      <c r="A9" s="10" t="s">
        <v>21</v>
      </c>
      <c r="B9" s="13"/>
      <c r="C9" s="12"/>
      <c r="D9" s="12"/>
      <c r="E9" s="12"/>
      <c r="F9" s="12"/>
      <c r="G9" s="12"/>
    </row>
    <row r="10" spans="1:7" ht="20" customHeight="1">
      <c r="A10" s="10" t="s">
        <v>22</v>
      </c>
      <c r="B10" s="13"/>
      <c r="C10" s="12"/>
      <c r="D10" s="12"/>
      <c r="E10" s="12"/>
      <c r="F10" s="12"/>
      <c r="G10" s="12"/>
    </row>
    <row r="11" spans="1:7" ht="20" customHeight="1">
      <c r="A11" s="10" t="s">
        <v>23</v>
      </c>
      <c r="B11" s="13"/>
      <c r="C11" s="12"/>
      <c r="D11" s="12"/>
      <c r="E11" s="12"/>
      <c r="F11" s="12"/>
      <c r="G11" s="12"/>
    </row>
    <row r="12" spans="1:7" ht="20" customHeight="1">
      <c r="A12" s="10" t="s">
        <v>24</v>
      </c>
      <c r="B12" s="13"/>
      <c r="C12" s="12"/>
      <c r="D12" s="12"/>
      <c r="E12" s="12"/>
      <c r="F12" s="12"/>
      <c r="G12" s="12"/>
    </row>
    <row r="13" spans="1:7" ht="56" customHeight="1">
      <c r="A13" s="10" t="s">
        <v>25</v>
      </c>
      <c r="B13" s="11" t="s">
        <v>26</v>
      </c>
      <c r="C13" s="14" t="s">
        <v>27</v>
      </c>
      <c r="D13" s="14" t="s">
        <v>28</v>
      </c>
      <c r="E13" s="14" t="s">
        <v>29</v>
      </c>
      <c r="F13" s="12"/>
      <c r="G13" s="12"/>
    </row>
  </sheetData>
  <mergeCells count="1">
    <mergeCell ref="A1:G1"/>
  </mergeCells>
  <pageMargins left="1" right="1" top="1" bottom="1" header="0.25" footer="0.25"/>
  <pageSetup orientation="portrait"/>
  <headerFooter>
    <oddFooter>&amp;C&amp;"Helvetica Neue,Regular"&amp;12&amp;K000000&amp;P</oddFooter>
  </headerFooter>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70"/>
  <sheetViews>
    <sheetView showGridLines="0" tabSelected="1" workbookViewId="0">
      <pane xSplit="2" ySplit="2" topLeftCell="C49" activePane="bottomRight" state="frozen"/>
      <selection pane="topRight"/>
      <selection pane="bottomLeft"/>
      <selection pane="bottomRight" activeCell="B74" sqref="B74"/>
    </sheetView>
  </sheetViews>
  <sheetFormatPr baseColWidth="10" defaultColWidth="16.33203125" defaultRowHeight="20" customHeight="1"/>
  <cols>
    <col min="1" max="1" width="8.33203125" style="5" customWidth="1"/>
    <col min="2" max="2" width="16.33203125" style="5" customWidth="1"/>
    <col min="3" max="3" width="10" style="5" customWidth="1"/>
    <col min="4" max="4" width="22.1640625" style="5" customWidth="1"/>
    <col min="5" max="5" width="10" style="5" customWidth="1"/>
    <col min="6" max="6" width="8.33203125" style="5" customWidth="1"/>
    <col min="7" max="7" width="15.33203125" style="5" customWidth="1"/>
    <col min="8" max="8" width="11.33203125" style="5" customWidth="1"/>
    <col min="9" max="9" width="11.6640625" style="5" customWidth="1"/>
    <col min="10" max="10" width="13" style="5" customWidth="1"/>
    <col min="11" max="11" width="9.33203125" style="5" customWidth="1"/>
    <col min="12" max="12" width="14.6640625" style="5" customWidth="1"/>
    <col min="13" max="13" width="12.1640625" style="5" customWidth="1"/>
    <col min="14" max="14" width="39.33203125" style="5" customWidth="1"/>
    <col min="15" max="15" width="41" style="5" customWidth="1"/>
    <col min="16" max="16" width="16.33203125" style="5" customWidth="1"/>
    <col min="17" max="16384" width="16.33203125" style="5"/>
  </cols>
  <sheetData>
    <row r="1" spans="1:15" ht="27.75" customHeight="1">
      <c r="A1" s="122" t="s">
        <v>31</v>
      </c>
      <c r="B1" s="122"/>
      <c r="C1" s="122"/>
      <c r="D1" s="122"/>
      <c r="E1" s="122"/>
      <c r="F1" s="122"/>
      <c r="G1" s="122"/>
      <c r="H1" s="122"/>
      <c r="I1" s="122"/>
      <c r="J1" s="122"/>
      <c r="K1" s="122"/>
      <c r="L1" s="122"/>
      <c r="M1" s="122"/>
      <c r="N1" s="122"/>
      <c r="O1" s="122"/>
    </row>
    <row r="2" spans="1:15" ht="56.75" customHeight="1" thickBot="1">
      <c r="A2" s="15"/>
      <c r="B2" s="16" t="s">
        <v>33</v>
      </c>
      <c r="C2" s="16" t="s">
        <v>34</v>
      </c>
      <c r="D2" s="16" t="s">
        <v>35</v>
      </c>
      <c r="E2" s="16" t="s">
        <v>36</v>
      </c>
      <c r="F2" s="16" t="s">
        <v>37</v>
      </c>
      <c r="G2" s="16" t="s">
        <v>7</v>
      </c>
      <c r="H2" s="16" t="s">
        <v>38</v>
      </c>
      <c r="I2" s="16" t="s">
        <v>39</v>
      </c>
      <c r="J2" s="16" t="s">
        <v>40</v>
      </c>
      <c r="K2" s="17" t="s">
        <v>41</v>
      </c>
      <c r="L2" s="16" t="s">
        <v>42</v>
      </c>
      <c r="M2" s="17" t="s">
        <v>43</v>
      </c>
      <c r="N2" s="18" t="s">
        <v>44</v>
      </c>
      <c r="O2" s="19" t="s">
        <v>45</v>
      </c>
    </row>
    <row r="3" spans="1:15" ht="32.25" customHeight="1">
      <c r="A3" s="20"/>
      <c r="B3" s="7" t="s">
        <v>48</v>
      </c>
      <c r="C3" s="8" t="s">
        <v>46</v>
      </c>
      <c r="D3" s="21" t="s">
        <v>47</v>
      </c>
      <c r="E3" s="21" t="s">
        <v>49</v>
      </c>
      <c r="F3" s="9"/>
      <c r="G3" s="21" t="s">
        <v>17</v>
      </c>
      <c r="H3" s="21" t="s">
        <v>50</v>
      </c>
      <c r="I3" s="21" t="s">
        <v>50</v>
      </c>
      <c r="J3" s="21" t="s">
        <v>51</v>
      </c>
      <c r="K3" s="22">
        <v>46127</v>
      </c>
      <c r="L3" s="21" t="s">
        <v>52</v>
      </c>
      <c r="M3" s="9"/>
      <c r="N3" s="21" t="s">
        <v>53</v>
      </c>
      <c r="O3" s="21" t="s">
        <v>54</v>
      </c>
    </row>
    <row r="4" spans="1:15" ht="20" customHeight="1">
      <c r="A4" s="23"/>
      <c r="B4" s="10" t="s">
        <v>48</v>
      </c>
      <c r="C4" s="11" t="s">
        <v>46</v>
      </c>
      <c r="D4" s="14" t="s">
        <v>47</v>
      </c>
      <c r="E4" s="14" t="s">
        <v>49</v>
      </c>
      <c r="F4" s="12"/>
      <c r="G4" s="14" t="s">
        <v>16</v>
      </c>
      <c r="H4" s="14" t="s">
        <v>55</v>
      </c>
      <c r="I4" s="14" t="s">
        <v>50</v>
      </c>
      <c r="J4" s="14" t="s">
        <v>51</v>
      </c>
      <c r="K4" s="24">
        <v>46127</v>
      </c>
      <c r="L4" s="14" t="s">
        <v>52</v>
      </c>
      <c r="M4" s="12"/>
      <c r="N4" s="14" t="s">
        <v>53</v>
      </c>
      <c r="O4" s="12"/>
    </row>
    <row r="5" spans="1:15" ht="32" customHeight="1">
      <c r="A5" s="23"/>
      <c r="B5" s="10" t="s">
        <v>48</v>
      </c>
      <c r="C5" s="11" t="s">
        <v>46</v>
      </c>
      <c r="D5" s="14" t="s">
        <v>47</v>
      </c>
      <c r="E5" s="14" t="s">
        <v>49</v>
      </c>
      <c r="F5" s="12"/>
      <c r="G5" s="14" t="s">
        <v>14</v>
      </c>
      <c r="H5" s="14" t="s">
        <v>50</v>
      </c>
      <c r="I5" s="14" t="s">
        <v>50</v>
      </c>
      <c r="J5" s="14" t="s">
        <v>51</v>
      </c>
      <c r="K5" s="24">
        <v>46127</v>
      </c>
      <c r="L5" s="14" t="s">
        <v>52</v>
      </c>
      <c r="M5" s="12"/>
      <c r="N5" s="14" t="s">
        <v>53</v>
      </c>
      <c r="O5" s="14" t="s">
        <v>56</v>
      </c>
    </row>
    <row r="6" spans="1:15" ht="44" customHeight="1">
      <c r="A6" s="23"/>
      <c r="B6" s="10" t="s">
        <v>48</v>
      </c>
      <c r="C6" s="11" t="s">
        <v>46</v>
      </c>
      <c r="D6" s="14" t="s">
        <v>47</v>
      </c>
      <c r="E6" s="14" t="s">
        <v>49</v>
      </c>
      <c r="F6" s="12"/>
      <c r="G6" s="14" t="s">
        <v>18</v>
      </c>
      <c r="H6" s="14" t="s">
        <v>55</v>
      </c>
      <c r="I6" s="14" t="s">
        <v>50</v>
      </c>
      <c r="J6" s="14" t="s">
        <v>51</v>
      </c>
      <c r="K6" s="24">
        <v>46127</v>
      </c>
      <c r="L6" s="14" t="s">
        <v>52</v>
      </c>
      <c r="M6" s="12"/>
      <c r="N6" s="14" t="s">
        <v>57</v>
      </c>
      <c r="O6" s="12"/>
    </row>
    <row r="7" spans="1:15" ht="32" customHeight="1">
      <c r="A7" s="23"/>
      <c r="B7" s="10" t="s">
        <v>48</v>
      </c>
      <c r="C7" s="11" t="s">
        <v>46</v>
      </c>
      <c r="D7" s="14" t="s">
        <v>47</v>
      </c>
      <c r="E7" s="14" t="s">
        <v>49</v>
      </c>
      <c r="F7" s="12"/>
      <c r="G7" s="14" t="s">
        <v>20</v>
      </c>
      <c r="H7" s="14" t="s">
        <v>50</v>
      </c>
      <c r="I7" s="14" t="s">
        <v>50</v>
      </c>
      <c r="J7" s="14" t="s">
        <v>51</v>
      </c>
      <c r="K7" s="24">
        <v>46127</v>
      </c>
      <c r="L7" s="14" t="s">
        <v>52</v>
      </c>
      <c r="M7" s="12"/>
      <c r="N7" s="14" t="s">
        <v>58</v>
      </c>
      <c r="O7" s="12"/>
    </row>
    <row r="8" spans="1:15" ht="20.75" customHeight="1" thickBot="1">
      <c r="A8" s="25"/>
      <c r="B8" s="26" t="s">
        <v>48</v>
      </c>
      <c r="C8" s="27" t="s">
        <v>46</v>
      </c>
      <c r="D8" s="28" t="s">
        <v>47</v>
      </c>
      <c r="E8" s="28" t="s">
        <v>49</v>
      </c>
      <c r="F8" s="29"/>
      <c r="G8" s="28" t="s">
        <v>19</v>
      </c>
      <c r="H8" s="28" t="s">
        <v>55</v>
      </c>
      <c r="I8" s="28" t="s">
        <v>50</v>
      </c>
      <c r="J8" s="28" t="s">
        <v>51</v>
      </c>
      <c r="K8" s="30">
        <v>46127</v>
      </c>
      <c r="L8" s="28" t="s">
        <v>52</v>
      </c>
      <c r="M8" s="29"/>
      <c r="N8" s="29"/>
      <c r="O8" s="28" t="s">
        <v>59</v>
      </c>
    </row>
    <row r="9" spans="1:15" ht="20.25" customHeight="1">
      <c r="A9" s="20"/>
      <c r="B9" s="7" t="s">
        <v>48</v>
      </c>
      <c r="C9" s="8" t="s">
        <v>46</v>
      </c>
      <c r="D9" s="21" t="s">
        <v>60</v>
      </c>
      <c r="E9" s="21" t="s">
        <v>49</v>
      </c>
      <c r="F9" s="9"/>
      <c r="G9" s="21" t="s">
        <v>17</v>
      </c>
      <c r="H9" s="21" t="s">
        <v>50</v>
      </c>
      <c r="I9" s="21" t="s">
        <v>50</v>
      </c>
      <c r="J9" s="21" t="s">
        <v>51</v>
      </c>
      <c r="K9" s="22">
        <v>46127</v>
      </c>
      <c r="L9" s="21" t="s">
        <v>52</v>
      </c>
      <c r="M9" s="9"/>
      <c r="N9" s="21" t="s">
        <v>61</v>
      </c>
      <c r="O9" s="21" t="s">
        <v>62</v>
      </c>
    </row>
    <row r="10" spans="1:15" ht="20" customHeight="1">
      <c r="A10" s="23"/>
      <c r="B10" s="10" t="s">
        <v>48</v>
      </c>
      <c r="C10" s="11" t="s">
        <v>46</v>
      </c>
      <c r="D10" s="14" t="s">
        <v>60</v>
      </c>
      <c r="E10" s="14" t="s">
        <v>49</v>
      </c>
      <c r="F10" s="12"/>
      <c r="G10" s="14" t="s">
        <v>16</v>
      </c>
      <c r="H10" s="14" t="s">
        <v>55</v>
      </c>
      <c r="I10" s="14" t="s">
        <v>50</v>
      </c>
      <c r="J10" s="14" t="s">
        <v>51</v>
      </c>
      <c r="K10" s="24">
        <v>46127</v>
      </c>
      <c r="L10" s="14" t="s">
        <v>52</v>
      </c>
      <c r="M10" s="12"/>
      <c r="N10" s="14" t="s">
        <v>53</v>
      </c>
      <c r="O10" s="12"/>
    </row>
    <row r="11" spans="1:15" ht="44" customHeight="1">
      <c r="A11" s="23"/>
      <c r="B11" s="10" t="s">
        <v>48</v>
      </c>
      <c r="C11" s="11" t="s">
        <v>46</v>
      </c>
      <c r="D11" s="14" t="s">
        <v>60</v>
      </c>
      <c r="E11" s="14" t="s">
        <v>49</v>
      </c>
      <c r="F11" s="12"/>
      <c r="G11" s="14" t="s">
        <v>14</v>
      </c>
      <c r="H11" s="14" t="s">
        <v>50</v>
      </c>
      <c r="I11" s="14" t="s">
        <v>50</v>
      </c>
      <c r="J11" s="14" t="s">
        <v>51</v>
      </c>
      <c r="K11" s="24">
        <v>46127</v>
      </c>
      <c r="L11" s="14" t="s">
        <v>52</v>
      </c>
      <c r="M11" s="12"/>
      <c r="N11" s="14" t="s">
        <v>63</v>
      </c>
      <c r="O11" s="12"/>
    </row>
    <row r="12" spans="1:15" ht="32" customHeight="1">
      <c r="A12" s="23"/>
      <c r="B12" s="10" t="s">
        <v>48</v>
      </c>
      <c r="C12" s="11" t="s">
        <v>46</v>
      </c>
      <c r="D12" s="14" t="s">
        <v>60</v>
      </c>
      <c r="E12" s="14" t="s">
        <v>49</v>
      </c>
      <c r="F12" s="12"/>
      <c r="G12" s="14" t="s">
        <v>18</v>
      </c>
      <c r="H12" s="14" t="s">
        <v>55</v>
      </c>
      <c r="I12" s="14" t="s">
        <v>50</v>
      </c>
      <c r="J12" s="14" t="s">
        <v>51</v>
      </c>
      <c r="K12" s="24">
        <v>46127</v>
      </c>
      <c r="L12" s="14" t="s">
        <v>52</v>
      </c>
      <c r="M12" s="12"/>
      <c r="N12" s="14" t="s">
        <v>64</v>
      </c>
      <c r="O12" s="12"/>
    </row>
    <row r="13" spans="1:15" ht="20.75" customHeight="1" thickBot="1">
      <c r="A13" s="25"/>
      <c r="B13" s="26" t="s">
        <v>48</v>
      </c>
      <c r="C13" s="27" t="s">
        <v>46</v>
      </c>
      <c r="D13" s="28" t="s">
        <v>60</v>
      </c>
      <c r="E13" s="28" t="s">
        <v>49</v>
      </c>
      <c r="F13" s="29"/>
      <c r="G13" s="28" t="s">
        <v>19</v>
      </c>
      <c r="H13" s="28" t="s">
        <v>55</v>
      </c>
      <c r="I13" s="28" t="s">
        <v>50</v>
      </c>
      <c r="J13" s="28" t="s">
        <v>51</v>
      </c>
      <c r="K13" s="30">
        <v>46127</v>
      </c>
      <c r="L13" s="28" t="s">
        <v>52</v>
      </c>
      <c r="M13" s="29"/>
      <c r="N13" s="29"/>
      <c r="O13" s="28" t="s">
        <v>59</v>
      </c>
    </row>
    <row r="14" spans="1:15" ht="20.25" customHeight="1">
      <c r="A14" s="20"/>
      <c r="B14" s="7" t="s">
        <v>48</v>
      </c>
      <c r="C14" s="8" t="s">
        <v>46</v>
      </c>
      <c r="D14" s="21" t="s">
        <v>65</v>
      </c>
      <c r="E14" s="21" t="s">
        <v>49</v>
      </c>
      <c r="F14" s="9"/>
      <c r="G14" s="21" t="s">
        <v>17</v>
      </c>
      <c r="H14" s="21" t="s">
        <v>50</v>
      </c>
      <c r="I14" s="21" t="s">
        <v>50</v>
      </c>
      <c r="J14" s="21" t="s">
        <v>51</v>
      </c>
      <c r="K14" s="22">
        <v>46127</v>
      </c>
      <c r="L14" s="21" t="s">
        <v>52</v>
      </c>
      <c r="M14" s="9"/>
      <c r="N14" s="21" t="s">
        <v>53</v>
      </c>
      <c r="O14" s="9"/>
    </row>
    <row r="15" spans="1:15" ht="32" customHeight="1">
      <c r="A15" s="23"/>
      <c r="B15" s="10" t="s">
        <v>48</v>
      </c>
      <c r="C15" s="11" t="s">
        <v>46</v>
      </c>
      <c r="D15" s="14" t="s">
        <v>65</v>
      </c>
      <c r="E15" s="14" t="s">
        <v>49</v>
      </c>
      <c r="F15" s="12"/>
      <c r="G15" s="14" t="s">
        <v>18</v>
      </c>
      <c r="H15" s="14" t="s">
        <v>55</v>
      </c>
      <c r="I15" s="14" t="s">
        <v>50</v>
      </c>
      <c r="J15" s="14" t="s">
        <v>51</v>
      </c>
      <c r="K15" s="24">
        <v>46127</v>
      </c>
      <c r="L15" s="14" t="s">
        <v>52</v>
      </c>
      <c r="M15" s="12"/>
      <c r="N15" s="14" t="s">
        <v>64</v>
      </c>
      <c r="O15" s="12"/>
    </row>
    <row r="16" spans="1:15" ht="20" customHeight="1">
      <c r="A16" s="23"/>
      <c r="B16" s="10" t="s">
        <v>48</v>
      </c>
      <c r="C16" s="11" t="s">
        <v>46</v>
      </c>
      <c r="D16" s="14" t="s">
        <v>65</v>
      </c>
      <c r="E16" s="14" t="s">
        <v>49</v>
      </c>
      <c r="F16" s="12"/>
      <c r="G16" s="14" t="s">
        <v>19</v>
      </c>
      <c r="H16" s="14" t="s">
        <v>55</v>
      </c>
      <c r="I16" s="14" t="s">
        <v>50</v>
      </c>
      <c r="J16" s="14" t="s">
        <v>51</v>
      </c>
      <c r="K16" s="24">
        <v>46127</v>
      </c>
      <c r="L16" s="14" t="s">
        <v>52</v>
      </c>
      <c r="M16" s="12"/>
      <c r="N16" s="12"/>
      <c r="O16" s="14" t="s">
        <v>59</v>
      </c>
    </row>
    <row r="17" spans="1:15" ht="32" customHeight="1">
      <c r="A17" s="23"/>
      <c r="B17" s="10" t="s">
        <v>48</v>
      </c>
      <c r="C17" s="11" t="s">
        <v>46</v>
      </c>
      <c r="D17" s="14" t="s">
        <v>65</v>
      </c>
      <c r="E17" s="14" t="s">
        <v>49</v>
      </c>
      <c r="F17" s="12"/>
      <c r="G17" s="14" t="s">
        <v>66</v>
      </c>
      <c r="H17" s="14" t="s">
        <v>55</v>
      </c>
      <c r="I17" s="14" t="s">
        <v>50</v>
      </c>
      <c r="J17" s="14" t="s">
        <v>51</v>
      </c>
      <c r="K17" s="24">
        <v>46127</v>
      </c>
      <c r="L17" s="14" t="s">
        <v>52</v>
      </c>
      <c r="M17" s="12"/>
      <c r="N17" s="14" t="s">
        <v>15</v>
      </c>
      <c r="O17" s="12"/>
    </row>
    <row r="18" spans="1:15" ht="20.75" customHeight="1" thickBot="1">
      <c r="A18" s="25"/>
      <c r="B18" s="26" t="s">
        <v>48</v>
      </c>
      <c r="C18" s="27" t="s">
        <v>46</v>
      </c>
      <c r="D18" s="28" t="s">
        <v>65</v>
      </c>
      <c r="E18" s="28" t="s">
        <v>49</v>
      </c>
      <c r="F18" s="29"/>
      <c r="G18" s="28" t="s">
        <v>24</v>
      </c>
      <c r="H18" s="28" t="s">
        <v>50</v>
      </c>
      <c r="I18" s="28" t="s">
        <v>50</v>
      </c>
      <c r="J18" s="28" t="s">
        <v>51</v>
      </c>
      <c r="K18" s="30">
        <v>46127</v>
      </c>
      <c r="L18" s="28" t="s">
        <v>52</v>
      </c>
      <c r="M18" s="29"/>
      <c r="N18" s="28" t="s">
        <v>15</v>
      </c>
      <c r="O18" s="29"/>
    </row>
    <row r="19" spans="1:15" ht="20.25" customHeight="1">
      <c r="A19" s="20"/>
      <c r="B19" s="7" t="s">
        <v>48</v>
      </c>
      <c r="C19" s="8" t="s">
        <v>46</v>
      </c>
      <c r="D19" s="21" t="s">
        <v>67</v>
      </c>
      <c r="E19" s="21" t="s">
        <v>49</v>
      </c>
      <c r="F19" s="9"/>
      <c r="G19" s="21" t="s">
        <v>17</v>
      </c>
      <c r="H19" s="21" t="s">
        <v>50</v>
      </c>
      <c r="I19" s="21" t="s">
        <v>50</v>
      </c>
      <c r="J19" s="21" t="s">
        <v>51</v>
      </c>
      <c r="K19" s="22">
        <v>46127</v>
      </c>
      <c r="L19" s="21" t="s">
        <v>52</v>
      </c>
      <c r="M19" s="9"/>
      <c r="N19" s="21" t="s">
        <v>53</v>
      </c>
      <c r="O19" s="9"/>
    </row>
    <row r="20" spans="1:15" ht="32" customHeight="1">
      <c r="A20" s="23"/>
      <c r="B20" s="10" t="s">
        <v>48</v>
      </c>
      <c r="C20" s="11" t="s">
        <v>46</v>
      </c>
      <c r="D20" s="14" t="s">
        <v>67</v>
      </c>
      <c r="E20" s="14" t="s">
        <v>49</v>
      </c>
      <c r="F20" s="12"/>
      <c r="G20" s="14" t="s">
        <v>18</v>
      </c>
      <c r="H20" s="14" t="s">
        <v>55</v>
      </c>
      <c r="I20" s="14" t="s">
        <v>50</v>
      </c>
      <c r="J20" s="14" t="s">
        <v>51</v>
      </c>
      <c r="K20" s="24">
        <v>46127</v>
      </c>
      <c r="L20" s="14" t="s">
        <v>52</v>
      </c>
      <c r="M20" s="12"/>
      <c r="N20" s="14" t="s">
        <v>64</v>
      </c>
      <c r="O20" s="12"/>
    </row>
    <row r="21" spans="1:15" ht="20" customHeight="1">
      <c r="A21" s="23"/>
      <c r="B21" s="10" t="s">
        <v>48</v>
      </c>
      <c r="C21" s="11" t="s">
        <v>46</v>
      </c>
      <c r="D21" s="14" t="s">
        <v>67</v>
      </c>
      <c r="E21" s="14" t="s">
        <v>49</v>
      </c>
      <c r="F21" s="12"/>
      <c r="G21" s="14" t="s">
        <v>19</v>
      </c>
      <c r="H21" s="14" t="s">
        <v>55</v>
      </c>
      <c r="I21" s="14" t="s">
        <v>50</v>
      </c>
      <c r="J21" s="14" t="s">
        <v>51</v>
      </c>
      <c r="K21" s="24">
        <v>46127</v>
      </c>
      <c r="L21" s="14" t="s">
        <v>52</v>
      </c>
      <c r="M21" s="12"/>
      <c r="N21" s="12"/>
      <c r="O21" s="14" t="s">
        <v>59</v>
      </c>
    </row>
    <row r="22" spans="1:15" ht="32" customHeight="1">
      <c r="A22" s="23"/>
      <c r="B22" s="10" t="s">
        <v>48</v>
      </c>
      <c r="C22" s="11" t="s">
        <v>46</v>
      </c>
      <c r="D22" s="14" t="s">
        <v>67</v>
      </c>
      <c r="E22" s="14" t="s">
        <v>49</v>
      </c>
      <c r="F22" s="12"/>
      <c r="G22" s="14" t="s">
        <v>66</v>
      </c>
      <c r="H22" s="14" t="s">
        <v>55</v>
      </c>
      <c r="I22" s="14" t="s">
        <v>50</v>
      </c>
      <c r="J22" s="14" t="s">
        <v>51</v>
      </c>
      <c r="K22" s="24">
        <v>46127</v>
      </c>
      <c r="L22" s="14" t="s">
        <v>52</v>
      </c>
      <c r="M22" s="12"/>
      <c r="N22" s="14" t="s">
        <v>15</v>
      </c>
      <c r="O22" s="12"/>
    </row>
    <row r="23" spans="1:15" ht="20.75" customHeight="1" thickBot="1">
      <c r="A23" s="25"/>
      <c r="B23" s="26" t="s">
        <v>48</v>
      </c>
      <c r="C23" s="27" t="s">
        <v>46</v>
      </c>
      <c r="D23" s="28" t="s">
        <v>67</v>
      </c>
      <c r="E23" s="28" t="s">
        <v>49</v>
      </c>
      <c r="F23" s="29"/>
      <c r="G23" s="28" t="s">
        <v>24</v>
      </c>
      <c r="H23" s="28" t="s">
        <v>50</v>
      </c>
      <c r="I23" s="28" t="s">
        <v>50</v>
      </c>
      <c r="J23" s="28" t="s">
        <v>51</v>
      </c>
      <c r="K23" s="30">
        <v>46127</v>
      </c>
      <c r="L23" s="28" t="s">
        <v>52</v>
      </c>
      <c r="M23" s="29"/>
      <c r="N23" s="28" t="s">
        <v>15</v>
      </c>
      <c r="O23" s="29"/>
    </row>
    <row r="24" spans="1:15" ht="32.25" customHeight="1">
      <c r="A24" s="20"/>
      <c r="B24" s="7" t="s">
        <v>48</v>
      </c>
      <c r="C24" s="8" t="s">
        <v>46</v>
      </c>
      <c r="D24" s="21" t="s">
        <v>68</v>
      </c>
      <c r="E24" s="21" t="s">
        <v>49</v>
      </c>
      <c r="F24" s="9"/>
      <c r="G24" s="21" t="s">
        <v>16</v>
      </c>
      <c r="H24" s="21" t="s">
        <v>55</v>
      </c>
      <c r="I24" s="21" t="s">
        <v>50</v>
      </c>
      <c r="J24" s="21" t="s">
        <v>51</v>
      </c>
      <c r="K24" s="22">
        <v>46127</v>
      </c>
      <c r="L24" s="21" t="s">
        <v>52</v>
      </c>
      <c r="M24" s="21" t="s">
        <v>69</v>
      </c>
      <c r="N24" s="21" t="s">
        <v>53</v>
      </c>
      <c r="O24" s="9"/>
    </row>
    <row r="25" spans="1:15" ht="20" customHeight="1">
      <c r="A25" s="23"/>
      <c r="B25" s="10" t="s">
        <v>48</v>
      </c>
      <c r="C25" s="11" t="s">
        <v>46</v>
      </c>
      <c r="D25" s="14" t="s">
        <v>68</v>
      </c>
      <c r="E25" s="14" t="s">
        <v>49</v>
      </c>
      <c r="F25" s="12"/>
      <c r="G25" s="14" t="s">
        <v>14</v>
      </c>
      <c r="H25" s="14" t="s">
        <v>50</v>
      </c>
      <c r="I25" s="14" t="s">
        <v>50</v>
      </c>
      <c r="J25" s="14" t="s">
        <v>51</v>
      </c>
      <c r="K25" s="24">
        <v>46127</v>
      </c>
      <c r="L25" s="14" t="s">
        <v>52</v>
      </c>
      <c r="M25" s="12"/>
      <c r="N25" s="14" t="s">
        <v>53</v>
      </c>
      <c r="O25" s="12"/>
    </row>
    <row r="26" spans="1:15" ht="32" customHeight="1">
      <c r="A26" s="23"/>
      <c r="B26" s="10" t="s">
        <v>48</v>
      </c>
      <c r="C26" s="11" t="s">
        <v>46</v>
      </c>
      <c r="D26" s="14" t="s">
        <v>68</v>
      </c>
      <c r="E26" s="14" t="s">
        <v>49</v>
      </c>
      <c r="F26" s="12"/>
      <c r="G26" s="14" t="s">
        <v>20</v>
      </c>
      <c r="H26" s="14" t="s">
        <v>50</v>
      </c>
      <c r="I26" s="14" t="s">
        <v>50</v>
      </c>
      <c r="J26" s="14" t="s">
        <v>51</v>
      </c>
      <c r="K26" s="24">
        <v>46127</v>
      </c>
      <c r="L26" s="14" t="s">
        <v>52</v>
      </c>
      <c r="M26" s="12"/>
      <c r="N26" s="14" t="s">
        <v>58</v>
      </c>
      <c r="O26" s="12"/>
    </row>
    <row r="27" spans="1:15" ht="20.75" customHeight="1" thickBot="1">
      <c r="A27" s="25"/>
      <c r="B27" s="26" t="s">
        <v>48</v>
      </c>
      <c r="C27" s="27" t="s">
        <v>46</v>
      </c>
      <c r="D27" s="28" t="s">
        <v>68</v>
      </c>
      <c r="E27" s="28" t="s">
        <v>49</v>
      </c>
      <c r="F27" s="29"/>
      <c r="G27" s="28" t="s">
        <v>70</v>
      </c>
      <c r="H27" s="28" t="s">
        <v>55</v>
      </c>
      <c r="I27" s="28" t="s">
        <v>50</v>
      </c>
      <c r="J27" s="28" t="s">
        <v>51</v>
      </c>
      <c r="K27" s="30">
        <v>46127</v>
      </c>
      <c r="L27" s="28" t="s">
        <v>52</v>
      </c>
      <c r="M27" s="29"/>
      <c r="N27" s="28" t="s">
        <v>53</v>
      </c>
      <c r="O27" s="29"/>
    </row>
    <row r="28" spans="1:15" ht="20.25" customHeight="1">
      <c r="A28" s="20"/>
      <c r="B28" s="7" t="s">
        <v>73</v>
      </c>
      <c r="C28" s="8" t="s">
        <v>71</v>
      </c>
      <c r="D28" s="21" t="s">
        <v>72</v>
      </c>
      <c r="E28" s="9"/>
      <c r="F28" s="9"/>
      <c r="G28" s="21" t="s">
        <v>17</v>
      </c>
      <c r="H28" s="21" t="s">
        <v>50</v>
      </c>
      <c r="I28" s="21" t="s">
        <v>50</v>
      </c>
      <c r="J28" s="21" t="s">
        <v>74</v>
      </c>
      <c r="K28" s="22">
        <v>46141</v>
      </c>
      <c r="L28" s="21" t="s">
        <v>75</v>
      </c>
      <c r="M28" s="9"/>
      <c r="N28" s="21" t="s">
        <v>53</v>
      </c>
      <c r="O28" s="9"/>
    </row>
    <row r="29" spans="1:15" ht="20" customHeight="1">
      <c r="A29" s="23"/>
      <c r="B29" s="10" t="s">
        <v>73</v>
      </c>
      <c r="C29" s="11" t="s">
        <v>71</v>
      </c>
      <c r="D29" s="14" t="s">
        <v>72</v>
      </c>
      <c r="E29" s="12"/>
      <c r="F29" s="12"/>
      <c r="G29" s="14" t="s">
        <v>16</v>
      </c>
      <c r="H29" s="14" t="s">
        <v>55</v>
      </c>
      <c r="I29" s="14" t="s">
        <v>50</v>
      </c>
      <c r="J29" s="14" t="s">
        <v>74</v>
      </c>
      <c r="K29" s="24">
        <v>46141</v>
      </c>
      <c r="L29" s="14" t="s">
        <v>75</v>
      </c>
      <c r="M29" s="12"/>
      <c r="N29" s="14" t="s">
        <v>53</v>
      </c>
      <c r="O29" s="12"/>
    </row>
    <row r="30" spans="1:15" ht="32.75" customHeight="1" thickBot="1">
      <c r="A30" s="25"/>
      <c r="B30" s="26" t="s">
        <v>73</v>
      </c>
      <c r="C30" s="27" t="s">
        <v>71</v>
      </c>
      <c r="D30" s="28" t="s">
        <v>72</v>
      </c>
      <c r="E30" s="29"/>
      <c r="F30" s="29"/>
      <c r="G30" s="28" t="s">
        <v>14</v>
      </c>
      <c r="H30" s="28" t="s">
        <v>50</v>
      </c>
      <c r="I30" s="28" t="s">
        <v>50</v>
      </c>
      <c r="J30" s="28" t="s">
        <v>74</v>
      </c>
      <c r="K30" s="30">
        <v>46141</v>
      </c>
      <c r="L30" s="28" t="s">
        <v>75</v>
      </c>
      <c r="M30" s="29"/>
      <c r="N30" s="28" t="s">
        <v>53</v>
      </c>
      <c r="O30" s="28" t="s">
        <v>56</v>
      </c>
    </row>
    <row r="31" spans="1:15" ht="20.25" customHeight="1">
      <c r="A31" s="20"/>
      <c r="B31" s="7" t="s">
        <v>78</v>
      </c>
      <c r="C31" s="8" t="s">
        <v>76</v>
      </c>
      <c r="D31" s="21" t="s">
        <v>77</v>
      </c>
      <c r="E31" s="21" t="s">
        <v>49</v>
      </c>
      <c r="F31" s="9"/>
      <c r="G31" s="21" t="s">
        <v>17</v>
      </c>
      <c r="H31" s="21" t="s">
        <v>50</v>
      </c>
      <c r="I31" s="21" t="s">
        <v>50</v>
      </c>
      <c r="J31" s="21" t="s">
        <v>50</v>
      </c>
      <c r="K31" s="21" t="s">
        <v>79</v>
      </c>
      <c r="L31" s="21" t="s">
        <v>75</v>
      </c>
      <c r="M31" s="9"/>
      <c r="N31" s="21" t="s">
        <v>53</v>
      </c>
      <c r="O31" s="21" t="s">
        <v>62</v>
      </c>
    </row>
    <row r="32" spans="1:15" ht="20" customHeight="1">
      <c r="A32" s="23"/>
      <c r="B32" s="10" t="s">
        <v>78</v>
      </c>
      <c r="C32" s="11" t="s">
        <v>76</v>
      </c>
      <c r="D32" s="14" t="s">
        <v>77</v>
      </c>
      <c r="E32" s="14" t="s">
        <v>49</v>
      </c>
      <c r="F32" s="12"/>
      <c r="G32" s="14" t="s">
        <v>16</v>
      </c>
      <c r="H32" s="14" t="s">
        <v>80</v>
      </c>
      <c r="I32" s="14" t="s">
        <v>50</v>
      </c>
      <c r="J32" s="14" t="s">
        <v>50</v>
      </c>
      <c r="K32" s="14" t="s">
        <v>79</v>
      </c>
      <c r="L32" s="14" t="s">
        <v>75</v>
      </c>
      <c r="M32" s="12"/>
      <c r="N32" s="14" t="s">
        <v>81</v>
      </c>
      <c r="O32" s="14" t="s">
        <v>62</v>
      </c>
    </row>
    <row r="33" spans="1:15" ht="20" customHeight="1">
      <c r="A33" s="23"/>
      <c r="B33" s="10" t="s">
        <v>78</v>
      </c>
      <c r="C33" s="11" t="s">
        <v>76</v>
      </c>
      <c r="D33" s="14" t="s">
        <v>77</v>
      </c>
      <c r="E33" s="14" t="s">
        <v>49</v>
      </c>
      <c r="F33" s="12"/>
      <c r="G33" s="14" t="s">
        <v>20</v>
      </c>
      <c r="H33" s="14" t="s">
        <v>50</v>
      </c>
      <c r="I33" s="14" t="s">
        <v>50</v>
      </c>
      <c r="J33" s="14" t="s">
        <v>50</v>
      </c>
      <c r="K33" s="14" t="s">
        <v>79</v>
      </c>
      <c r="L33" s="14" t="s">
        <v>75</v>
      </c>
      <c r="M33" s="12"/>
      <c r="N33" s="31" t="s">
        <v>82</v>
      </c>
      <c r="O33" s="14" t="s">
        <v>62</v>
      </c>
    </row>
    <row r="34" spans="1:15" ht="20" customHeight="1">
      <c r="A34" s="23"/>
      <c r="B34" s="10" t="s">
        <v>78</v>
      </c>
      <c r="C34" s="11" t="s">
        <v>76</v>
      </c>
      <c r="D34" s="14" t="s">
        <v>77</v>
      </c>
      <c r="E34" s="14" t="s">
        <v>49</v>
      </c>
      <c r="F34" s="12"/>
      <c r="G34" s="14" t="s">
        <v>70</v>
      </c>
      <c r="H34" s="14" t="s">
        <v>80</v>
      </c>
      <c r="I34" s="14" t="s">
        <v>50</v>
      </c>
      <c r="J34" s="14" t="s">
        <v>50</v>
      </c>
      <c r="K34" s="14" t="s">
        <v>79</v>
      </c>
      <c r="L34" s="14" t="s">
        <v>75</v>
      </c>
      <c r="M34" s="12"/>
      <c r="N34" s="31" t="s">
        <v>81</v>
      </c>
      <c r="O34" s="14" t="s">
        <v>62</v>
      </c>
    </row>
    <row r="35" spans="1:15" ht="54.25" customHeight="1" thickBot="1">
      <c r="A35" s="25"/>
      <c r="B35" s="26" t="s">
        <v>78</v>
      </c>
      <c r="C35" s="27" t="s">
        <v>76</v>
      </c>
      <c r="D35" s="28" t="s">
        <v>77</v>
      </c>
      <c r="E35" s="28" t="s">
        <v>49</v>
      </c>
      <c r="F35" s="29"/>
      <c r="G35" s="28" t="s">
        <v>83</v>
      </c>
      <c r="H35" s="28" t="s">
        <v>80</v>
      </c>
      <c r="I35" s="28" t="s">
        <v>50</v>
      </c>
      <c r="J35" s="28" t="s">
        <v>50</v>
      </c>
      <c r="K35" s="28" t="s">
        <v>79</v>
      </c>
      <c r="L35" s="28" t="s">
        <v>75</v>
      </c>
      <c r="M35" s="29"/>
      <c r="N35" s="28" t="s">
        <v>84</v>
      </c>
      <c r="O35" s="28" t="s">
        <v>62</v>
      </c>
    </row>
    <row r="36" spans="1:15" ht="20.25" customHeight="1">
      <c r="A36" s="20"/>
      <c r="B36" s="7" t="s">
        <v>78</v>
      </c>
      <c r="C36" s="8" t="s">
        <v>76</v>
      </c>
      <c r="D36" s="21" t="s">
        <v>85</v>
      </c>
      <c r="E36" s="21" t="s">
        <v>49</v>
      </c>
      <c r="F36" s="9"/>
      <c r="G36" s="21" t="s">
        <v>17</v>
      </c>
      <c r="H36" s="21" t="s">
        <v>50</v>
      </c>
      <c r="I36" s="21" t="s">
        <v>50</v>
      </c>
      <c r="J36" s="21" t="s">
        <v>50</v>
      </c>
      <c r="K36" s="21" t="s">
        <v>79</v>
      </c>
      <c r="L36" s="21" t="s">
        <v>75</v>
      </c>
      <c r="M36" s="9"/>
      <c r="N36" s="21" t="s">
        <v>53</v>
      </c>
      <c r="O36" s="21" t="s">
        <v>62</v>
      </c>
    </row>
    <row r="37" spans="1:15" ht="20" customHeight="1">
      <c r="A37" s="23"/>
      <c r="B37" s="10" t="s">
        <v>78</v>
      </c>
      <c r="C37" s="11" t="s">
        <v>76</v>
      </c>
      <c r="D37" s="14" t="s">
        <v>85</v>
      </c>
      <c r="E37" s="14" t="s">
        <v>49</v>
      </c>
      <c r="F37" s="12"/>
      <c r="G37" s="14" t="s">
        <v>16</v>
      </c>
      <c r="H37" s="14" t="s">
        <v>80</v>
      </c>
      <c r="I37" s="14" t="s">
        <v>50</v>
      </c>
      <c r="J37" s="14" t="s">
        <v>50</v>
      </c>
      <c r="K37" s="14" t="s">
        <v>79</v>
      </c>
      <c r="L37" s="14" t="s">
        <v>75</v>
      </c>
      <c r="M37" s="12"/>
      <c r="N37" s="14" t="s">
        <v>81</v>
      </c>
      <c r="O37" s="14" t="s">
        <v>62</v>
      </c>
    </row>
    <row r="38" spans="1:15" ht="20" customHeight="1">
      <c r="A38" s="23"/>
      <c r="B38" s="10" t="s">
        <v>78</v>
      </c>
      <c r="C38" s="11" t="s">
        <v>76</v>
      </c>
      <c r="D38" s="14" t="s">
        <v>85</v>
      </c>
      <c r="E38" s="14" t="s">
        <v>49</v>
      </c>
      <c r="F38" s="12"/>
      <c r="G38" s="14" t="s">
        <v>20</v>
      </c>
      <c r="H38" s="14" t="s">
        <v>50</v>
      </c>
      <c r="I38" s="14" t="s">
        <v>50</v>
      </c>
      <c r="J38" s="14" t="s">
        <v>50</v>
      </c>
      <c r="K38" s="14" t="s">
        <v>79</v>
      </c>
      <c r="L38" s="14" t="s">
        <v>75</v>
      </c>
      <c r="M38" s="12"/>
      <c r="N38" s="31" t="s">
        <v>82</v>
      </c>
      <c r="O38" s="14" t="s">
        <v>62</v>
      </c>
    </row>
    <row r="39" spans="1:15" ht="20" customHeight="1">
      <c r="A39" s="23"/>
      <c r="B39" s="10" t="s">
        <v>78</v>
      </c>
      <c r="C39" s="11" t="s">
        <v>76</v>
      </c>
      <c r="D39" s="14" t="s">
        <v>85</v>
      </c>
      <c r="E39" s="14" t="s">
        <v>49</v>
      </c>
      <c r="F39" s="12"/>
      <c r="G39" s="14" t="s">
        <v>70</v>
      </c>
      <c r="H39" s="14" t="s">
        <v>80</v>
      </c>
      <c r="I39" s="14" t="s">
        <v>50</v>
      </c>
      <c r="J39" s="14" t="s">
        <v>50</v>
      </c>
      <c r="K39" s="14" t="s">
        <v>79</v>
      </c>
      <c r="L39" s="14" t="s">
        <v>75</v>
      </c>
      <c r="M39" s="12"/>
      <c r="N39" s="31" t="s">
        <v>81</v>
      </c>
      <c r="O39" s="14" t="s">
        <v>62</v>
      </c>
    </row>
    <row r="40" spans="1:15" ht="54.25" customHeight="1" thickBot="1">
      <c r="A40" s="25"/>
      <c r="B40" s="26" t="s">
        <v>78</v>
      </c>
      <c r="C40" s="27" t="s">
        <v>76</v>
      </c>
      <c r="D40" s="28" t="s">
        <v>85</v>
      </c>
      <c r="E40" s="28" t="s">
        <v>49</v>
      </c>
      <c r="F40" s="29"/>
      <c r="G40" s="28" t="s">
        <v>83</v>
      </c>
      <c r="H40" s="28" t="s">
        <v>80</v>
      </c>
      <c r="I40" s="28" t="s">
        <v>50</v>
      </c>
      <c r="J40" s="28" t="s">
        <v>50</v>
      </c>
      <c r="K40" s="28" t="s">
        <v>79</v>
      </c>
      <c r="L40" s="28" t="s">
        <v>75</v>
      </c>
      <c r="M40" s="29"/>
      <c r="N40" s="28" t="s">
        <v>84</v>
      </c>
      <c r="O40" s="28" t="s">
        <v>62</v>
      </c>
    </row>
    <row r="41" spans="1:15" ht="20.25" customHeight="1">
      <c r="A41" s="20"/>
      <c r="B41" s="7" t="s">
        <v>78</v>
      </c>
      <c r="C41" s="8" t="s">
        <v>76</v>
      </c>
      <c r="D41" s="21" t="s">
        <v>86</v>
      </c>
      <c r="E41" s="21" t="s">
        <v>49</v>
      </c>
      <c r="F41" s="9"/>
      <c r="G41" s="21" t="s">
        <v>17</v>
      </c>
      <c r="H41" s="21" t="s">
        <v>50</v>
      </c>
      <c r="I41" s="21" t="s">
        <v>50</v>
      </c>
      <c r="J41" s="21" t="s">
        <v>50</v>
      </c>
      <c r="K41" s="21" t="s">
        <v>79</v>
      </c>
      <c r="L41" s="21" t="s">
        <v>75</v>
      </c>
      <c r="M41" s="9"/>
      <c r="N41" s="21" t="s">
        <v>53</v>
      </c>
      <c r="O41" s="21" t="s">
        <v>62</v>
      </c>
    </row>
    <row r="42" spans="1:15" ht="20" customHeight="1">
      <c r="A42" s="23"/>
      <c r="B42" s="10" t="s">
        <v>78</v>
      </c>
      <c r="C42" s="11" t="s">
        <v>76</v>
      </c>
      <c r="D42" s="14" t="s">
        <v>86</v>
      </c>
      <c r="E42" s="14" t="s">
        <v>49</v>
      </c>
      <c r="F42" s="12"/>
      <c r="G42" s="14" t="s">
        <v>16</v>
      </c>
      <c r="H42" s="14" t="s">
        <v>80</v>
      </c>
      <c r="I42" s="14" t="s">
        <v>50</v>
      </c>
      <c r="J42" s="14" t="s">
        <v>50</v>
      </c>
      <c r="K42" s="14" t="s">
        <v>79</v>
      </c>
      <c r="L42" s="14" t="s">
        <v>75</v>
      </c>
      <c r="M42" s="12"/>
      <c r="N42" s="14" t="s">
        <v>81</v>
      </c>
      <c r="O42" s="14" t="s">
        <v>62</v>
      </c>
    </row>
    <row r="43" spans="1:15" ht="20" customHeight="1">
      <c r="A43" s="23"/>
      <c r="B43" s="10" t="s">
        <v>78</v>
      </c>
      <c r="C43" s="11" t="s">
        <v>76</v>
      </c>
      <c r="D43" s="14" t="s">
        <v>86</v>
      </c>
      <c r="E43" s="14" t="s">
        <v>49</v>
      </c>
      <c r="F43" s="12"/>
      <c r="G43" s="14" t="s">
        <v>20</v>
      </c>
      <c r="H43" s="14" t="s">
        <v>50</v>
      </c>
      <c r="I43" s="14" t="s">
        <v>50</v>
      </c>
      <c r="J43" s="14" t="s">
        <v>50</v>
      </c>
      <c r="K43" s="14" t="s">
        <v>79</v>
      </c>
      <c r="L43" s="14" t="s">
        <v>75</v>
      </c>
      <c r="M43" s="12"/>
      <c r="N43" s="31" t="s">
        <v>82</v>
      </c>
      <c r="O43" s="14" t="s">
        <v>62</v>
      </c>
    </row>
    <row r="44" spans="1:15" ht="20" customHeight="1">
      <c r="A44" s="23"/>
      <c r="B44" s="10" t="s">
        <v>78</v>
      </c>
      <c r="C44" s="11" t="s">
        <v>76</v>
      </c>
      <c r="D44" s="14" t="s">
        <v>86</v>
      </c>
      <c r="E44" s="14" t="s">
        <v>49</v>
      </c>
      <c r="F44" s="12"/>
      <c r="G44" s="14" t="s">
        <v>70</v>
      </c>
      <c r="H44" s="14" t="s">
        <v>80</v>
      </c>
      <c r="I44" s="14" t="s">
        <v>50</v>
      </c>
      <c r="J44" s="14" t="s">
        <v>50</v>
      </c>
      <c r="K44" s="14" t="s">
        <v>79</v>
      </c>
      <c r="L44" s="14" t="s">
        <v>75</v>
      </c>
      <c r="M44" s="12"/>
      <c r="N44" s="31" t="s">
        <v>81</v>
      </c>
      <c r="O44" s="14" t="s">
        <v>62</v>
      </c>
    </row>
    <row r="45" spans="1:15" ht="54.25" customHeight="1" thickBot="1">
      <c r="A45" s="25"/>
      <c r="B45" s="26" t="s">
        <v>78</v>
      </c>
      <c r="C45" s="27" t="s">
        <v>76</v>
      </c>
      <c r="D45" s="28" t="s">
        <v>86</v>
      </c>
      <c r="E45" s="28" t="s">
        <v>49</v>
      </c>
      <c r="F45" s="29"/>
      <c r="G45" s="28" t="s">
        <v>83</v>
      </c>
      <c r="H45" s="28" t="s">
        <v>80</v>
      </c>
      <c r="I45" s="28" t="s">
        <v>50</v>
      </c>
      <c r="J45" s="28" t="s">
        <v>50</v>
      </c>
      <c r="K45" s="28" t="s">
        <v>79</v>
      </c>
      <c r="L45" s="28" t="s">
        <v>75</v>
      </c>
      <c r="M45" s="29"/>
      <c r="N45" s="28" t="s">
        <v>84</v>
      </c>
      <c r="O45" s="28" t="s">
        <v>62</v>
      </c>
    </row>
    <row r="46" spans="1:15" ht="20.25" customHeight="1">
      <c r="A46" s="20"/>
      <c r="B46" s="7" t="s">
        <v>78</v>
      </c>
      <c r="C46" s="8" t="s">
        <v>76</v>
      </c>
      <c r="D46" s="21" t="s">
        <v>87</v>
      </c>
      <c r="E46" s="21" t="s">
        <v>49</v>
      </c>
      <c r="F46" s="9"/>
      <c r="G46" s="21" t="s">
        <v>16</v>
      </c>
      <c r="H46" s="21" t="s">
        <v>55</v>
      </c>
      <c r="I46" s="21" t="s">
        <v>50</v>
      </c>
      <c r="J46" s="21" t="s">
        <v>50</v>
      </c>
      <c r="K46" s="21" t="s">
        <v>88</v>
      </c>
      <c r="L46" s="21" t="s">
        <v>75</v>
      </c>
      <c r="M46" s="9"/>
      <c r="N46" s="21" t="s">
        <v>53</v>
      </c>
      <c r="O46" s="9"/>
    </row>
    <row r="47" spans="1:15" ht="54.25" customHeight="1" thickBot="1">
      <c r="A47" s="25"/>
      <c r="B47" s="26" t="s">
        <v>78</v>
      </c>
      <c r="C47" s="27" t="s">
        <v>76</v>
      </c>
      <c r="D47" s="28" t="s">
        <v>87</v>
      </c>
      <c r="E47" s="28" t="s">
        <v>49</v>
      </c>
      <c r="F47" s="29"/>
      <c r="G47" s="28" t="s">
        <v>83</v>
      </c>
      <c r="H47" s="28" t="s">
        <v>80</v>
      </c>
      <c r="I47" s="28" t="s">
        <v>50</v>
      </c>
      <c r="J47" s="28" t="s">
        <v>50</v>
      </c>
      <c r="K47" s="28" t="s">
        <v>88</v>
      </c>
      <c r="L47" s="28" t="s">
        <v>75</v>
      </c>
      <c r="M47" s="29"/>
      <c r="N47" s="28" t="s">
        <v>84</v>
      </c>
      <c r="O47" s="28" t="s">
        <v>62</v>
      </c>
    </row>
    <row r="48" spans="1:15" ht="32.25" customHeight="1">
      <c r="A48" s="20"/>
      <c r="B48" s="7" t="s">
        <v>91</v>
      </c>
      <c r="C48" s="8" t="s">
        <v>89</v>
      </c>
      <c r="D48" s="21" t="s">
        <v>90</v>
      </c>
      <c r="E48" s="21" t="s">
        <v>49</v>
      </c>
      <c r="F48" s="9"/>
      <c r="G48" s="21" t="s">
        <v>17</v>
      </c>
      <c r="H48" s="21" t="s">
        <v>50</v>
      </c>
      <c r="I48" s="21" t="s">
        <v>50</v>
      </c>
      <c r="J48" s="21" t="s">
        <v>74</v>
      </c>
      <c r="K48" s="22">
        <v>46141</v>
      </c>
      <c r="L48" s="21" t="s">
        <v>75</v>
      </c>
      <c r="M48" s="9"/>
      <c r="N48" s="21" t="s">
        <v>53</v>
      </c>
      <c r="O48" s="21" t="s">
        <v>92</v>
      </c>
    </row>
    <row r="49" spans="1:15" ht="20" customHeight="1">
      <c r="A49" s="23"/>
      <c r="B49" s="10" t="s">
        <v>91</v>
      </c>
      <c r="C49" s="11" t="s">
        <v>89</v>
      </c>
      <c r="D49" s="14" t="s">
        <v>90</v>
      </c>
      <c r="E49" s="14" t="s">
        <v>49</v>
      </c>
      <c r="F49" s="12"/>
      <c r="G49" s="14" t="s">
        <v>16</v>
      </c>
      <c r="H49" s="14" t="s">
        <v>80</v>
      </c>
      <c r="I49" s="14" t="s">
        <v>50</v>
      </c>
      <c r="J49" s="12"/>
      <c r="K49" s="12"/>
      <c r="L49" s="12"/>
      <c r="M49" s="12"/>
      <c r="N49" s="14" t="s">
        <v>93</v>
      </c>
      <c r="O49" s="12"/>
    </row>
    <row r="50" spans="1:15" ht="32" customHeight="1">
      <c r="A50" s="23"/>
      <c r="B50" s="10" t="s">
        <v>91</v>
      </c>
      <c r="C50" s="11" t="s">
        <v>89</v>
      </c>
      <c r="D50" s="14" t="s">
        <v>90</v>
      </c>
      <c r="E50" s="14" t="s">
        <v>49</v>
      </c>
      <c r="F50" s="12"/>
      <c r="G50" s="14" t="s">
        <v>20</v>
      </c>
      <c r="H50" s="14" t="s">
        <v>50</v>
      </c>
      <c r="I50" s="14" t="s">
        <v>50</v>
      </c>
      <c r="J50" s="12"/>
      <c r="K50" s="12"/>
      <c r="L50" s="12"/>
      <c r="M50" s="12"/>
      <c r="N50" s="14" t="s">
        <v>94</v>
      </c>
      <c r="O50" s="12"/>
    </row>
    <row r="51" spans="1:15" ht="20" customHeight="1">
      <c r="A51" s="23"/>
      <c r="B51" s="10" t="s">
        <v>91</v>
      </c>
      <c r="C51" s="11" t="s">
        <v>89</v>
      </c>
      <c r="D51" s="14" t="s">
        <v>90</v>
      </c>
      <c r="E51" s="14" t="s">
        <v>49</v>
      </c>
      <c r="F51" s="12"/>
      <c r="G51" s="14" t="s">
        <v>70</v>
      </c>
      <c r="H51" s="14" t="s">
        <v>80</v>
      </c>
      <c r="I51" s="14" t="s">
        <v>50</v>
      </c>
      <c r="J51" s="12"/>
      <c r="K51" s="12"/>
      <c r="L51" s="12"/>
      <c r="M51" s="12"/>
      <c r="N51" s="31" t="s">
        <v>81</v>
      </c>
      <c r="O51" s="12"/>
    </row>
    <row r="52" spans="1:15" ht="33.25" customHeight="1" thickBot="1">
      <c r="A52" s="25"/>
      <c r="B52" s="26" t="s">
        <v>91</v>
      </c>
      <c r="C52" s="27" t="s">
        <v>89</v>
      </c>
      <c r="D52" s="28" t="s">
        <v>90</v>
      </c>
      <c r="E52" s="28" t="s">
        <v>49</v>
      </c>
      <c r="F52" s="29"/>
      <c r="G52" s="28" t="s">
        <v>83</v>
      </c>
      <c r="H52" s="28" t="s">
        <v>80</v>
      </c>
      <c r="I52" s="28" t="s">
        <v>50</v>
      </c>
      <c r="J52" s="29"/>
      <c r="K52" s="29"/>
      <c r="L52" s="29"/>
      <c r="M52" s="29"/>
      <c r="N52" s="28" t="s">
        <v>95</v>
      </c>
      <c r="O52" s="29"/>
    </row>
    <row r="53" spans="1:15" ht="20.25" customHeight="1">
      <c r="A53" s="20"/>
      <c r="B53" s="7" t="s">
        <v>91</v>
      </c>
      <c r="C53" s="8" t="s">
        <v>89</v>
      </c>
      <c r="D53" s="21" t="s">
        <v>96</v>
      </c>
      <c r="E53" s="21" t="s">
        <v>49</v>
      </c>
      <c r="F53" s="9"/>
      <c r="G53" s="21" t="s">
        <v>17</v>
      </c>
      <c r="H53" s="21" t="s">
        <v>50</v>
      </c>
      <c r="I53" s="21" t="s">
        <v>50</v>
      </c>
      <c r="J53" s="21" t="s">
        <v>74</v>
      </c>
      <c r="K53" s="21" t="s">
        <v>79</v>
      </c>
      <c r="L53" s="21" t="s">
        <v>97</v>
      </c>
      <c r="M53" s="9"/>
      <c r="N53" s="21" t="s">
        <v>53</v>
      </c>
      <c r="O53" s="21" t="s">
        <v>98</v>
      </c>
    </row>
    <row r="54" spans="1:15" ht="20" customHeight="1">
      <c r="A54" s="23"/>
      <c r="B54" s="10" t="s">
        <v>91</v>
      </c>
      <c r="C54" s="11" t="s">
        <v>89</v>
      </c>
      <c r="D54" s="14" t="s">
        <v>96</v>
      </c>
      <c r="E54" s="14" t="s">
        <v>49</v>
      </c>
      <c r="F54" s="12"/>
      <c r="G54" s="14" t="s">
        <v>16</v>
      </c>
      <c r="H54" s="14" t="s">
        <v>80</v>
      </c>
      <c r="I54" s="14" t="s">
        <v>50</v>
      </c>
      <c r="J54" s="14" t="s">
        <v>74</v>
      </c>
      <c r="K54" s="14" t="s">
        <v>79</v>
      </c>
      <c r="L54" s="14" t="s">
        <v>97</v>
      </c>
      <c r="M54" s="12"/>
      <c r="N54" s="14" t="s">
        <v>93</v>
      </c>
      <c r="O54" s="14" t="s">
        <v>98</v>
      </c>
    </row>
    <row r="55" spans="1:15" ht="32" customHeight="1">
      <c r="A55" s="23"/>
      <c r="B55" s="10" t="s">
        <v>91</v>
      </c>
      <c r="C55" s="11" t="s">
        <v>89</v>
      </c>
      <c r="D55" s="14" t="s">
        <v>96</v>
      </c>
      <c r="E55" s="14" t="s">
        <v>49</v>
      </c>
      <c r="F55" s="12"/>
      <c r="G55" s="14" t="s">
        <v>20</v>
      </c>
      <c r="H55" s="14" t="s">
        <v>50</v>
      </c>
      <c r="I55" s="14" t="s">
        <v>50</v>
      </c>
      <c r="J55" s="14" t="s">
        <v>74</v>
      </c>
      <c r="K55" s="14" t="s">
        <v>79</v>
      </c>
      <c r="L55" s="14" t="s">
        <v>97</v>
      </c>
      <c r="M55" s="12"/>
      <c r="N55" s="14" t="s">
        <v>99</v>
      </c>
      <c r="O55" s="14" t="s">
        <v>98</v>
      </c>
    </row>
    <row r="56" spans="1:15" ht="20" customHeight="1">
      <c r="A56" s="23"/>
      <c r="B56" s="10" t="s">
        <v>91</v>
      </c>
      <c r="C56" s="11" t="s">
        <v>89</v>
      </c>
      <c r="D56" s="14" t="s">
        <v>96</v>
      </c>
      <c r="E56" s="14" t="s">
        <v>49</v>
      </c>
      <c r="F56" s="12"/>
      <c r="G56" s="14" t="s">
        <v>70</v>
      </c>
      <c r="H56" s="14" t="s">
        <v>80</v>
      </c>
      <c r="I56" s="14" t="s">
        <v>50</v>
      </c>
      <c r="J56" s="14" t="s">
        <v>74</v>
      </c>
      <c r="K56" s="14" t="s">
        <v>79</v>
      </c>
      <c r="L56" s="14" t="s">
        <v>97</v>
      </c>
      <c r="M56" s="12"/>
      <c r="N56" s="31" t="s">
        <v>81</v>
      </c>
      <c r="O56" s="14" t="s">
        <v>98</v>
      </c>
    </row>
    <row r="57" spans="1:15" ht="33.25" customHeight="1" thickBot="1">
      <c r="A57" s="25"/>
      <c r="B57" s="26" t="s">
        <v>91</v>
      </c>
      <c r="C57" s="27" t="s">
        <v>89</v>
      </c>
      <c r="D57" s="28" t="s">
        <v>96</v>
      </c>
      <c r="E57" s="28" t="s">
        <v>49</v>
      </c>
      <c r="F57" s="29"/>
      <c r="G57" s="28" t="s">
        <v>83</v>
      </c>
      <c r="H57" s="28" t="s">
        <v>80</v>
      </c>
      <c r="I57" s="28" t="s">
        <v>50</v>
      </c>
      <c r="J57" s="28" t="s">
        <v>74</v>
      </c>
      <c r="K57" s="28" t="s">
        <v>79</v>
      </c>
      <c r="L57" s="28" t="s">
        <v>97</v>
      </c>
      <c r="M57" s="29"/>
      <c r="N57" s="28" t="s">
        <v>95</v>
      </c>
      <c r="O57" s="28" t="s">
        <v>98</v>
      </c>
    </row>
    <row r="58" spans="1:15" ht="32.25" customHeight="1">
      <c r="A58" s="20"/>
      <c r="B58" s="7" t="s">
        <v>102</v>
      </c>
      <c r="C58" s="8" t="s">
        <v>100</v>
      </c>
      <c r="D58" s="21" t="s">
        <v>101</v>
      </c>
      <c r="E58" s="9"/>
      <c r="F58" s="9"/>
      <c r="G58" s="21" t="s">
        <v>14</v>
      </c>
      <c r="H58" s="21" t="s">
        <v>50</v>
      </c>
      <c r="I58" s="21" t="s">
        <v>50</v>
      </c>
      <c r="J58" s="21" t="s">
        <v>74</v>
      </c>
      <c r="K58" s="21" t="s">
        <v>103</v>
      </c>
      <c r="L58" s="9"/>
      <c r="M58" s="9"/>
      <c r="N58" s="21" t="s">
        <v>104</v>
      </c>
      <c r="O58" s="9"/>
    </row>
    <row r="59" spans="1:15" ht="20" customHeight="1">
      <c r="A59" s="23"/>
      <c r="B59" s="32"/>
      <c r="C59" s="11" t="s">
        <v>100</v>
      </c>
      <c r="D59" s="14" t="s">
        <v>101</v>
      </c>
      <c r="E59" s="12"/>
      <c r="F59" s="12"/>
      <c r="G59" s="14" t="s">
        <v>105</v>
      </c>
      <c r="H59" s="14" t="s">
        <v>55</v>
      </c>
      <c r="I59" s="14" t="s">
        <v>50</v>
      </c>
      <c r="J59" s="14" t="s">
        <v>74</v>
      </c>
      <c r="K59" s="14" t="s">
        <v>103</v>
      </c>
      <c r="L59" s="12"/>
      <c r="M59" s="12"/>
      <c r="N59" s="12"/>
      <c r="O59" s="14" t="s">
        <v>106</v>
      </c>
    </row>
    <row r="60" spans="1:15" ht="20" customHeight="1">
      <c r="A60" s="23"/>
      <c r="B60" s="32"/>
      <c r="C60" s="11" t="s">
        <v>100</v>
      </c>
      <c r="D60" s="14" t="s">
        <v>101</v>
      </c>
      <c r="E60" s="12"/>
      <c r="F60" s="12"/>
      <c r="G60" s="14" t="s">
        <v>107</v>
      </c>
      <c r="H60" s="14" t="s">
        <v>55</v>
      </c>
      <c r="I60" s="14" t="s">
        <v>50</v>
      </c>
      <c r="J60" s="14" t="s">
        <v>74</v>
      </c>
      <c r="K60" s="14" t="s">
        <v>103</v>
      </c>
      <c r="L60" s="12"/>
      <c r="M60" s="12"/>
      <c r="N60" s="12"/>
      <c r="O60" s="14" t="s">
        <v>108</v>
      </c>
    </row>
    <row r="61" spans="1:15" ht="20" customHeight="1">
      <c r="A61" s="23"/>
      <c r="B61" s="32"/>
      <c r="C61" s="11" t="s">
        <v>100</v>
      </c>
      <c r="D61" s="14" t="s">
        <v>101</v>
      </c>
      <c r="E61" s="12"/>
      <c r="F61" s="12"/>
      <c r="G61" s="14" t="s">
        <v>109</v>
      </c>
      <c r="H61" s="14" t="s">
        <v>55</v>
      </c>
      <c r="I61" s="14" t="s">
        <v>50</v>
      </c>
      <c r="J61" s="14" t="s">
        <v>74</v>
      </c>
      <c r="K61" s="14" t="s">
        <v>103</v>
      </c>
      <c r="L61" s="12"/>
      <c r="M61" s="12"/>
      <c r="N61" s="12"/>
      <c r="O61" s="14" t="s">
        <v>106</v>
      </c>
    </row>
    <row r="62" spans="1:15" ht="20" customHeight="1">
      <c r="A62" s="23"/>
      <c r="B62" s="32"/>
      <c r="C62" s="11" t="s">
        <v>100</v>
      </c>
      <c r="D62" s="14" t="s">
        <v>101</v>
      </c>
      <c r="E62" s="12"/>
      <c r="F62" s="12"/>
      <c r="G62" s="14" t="s">
        <v>70</v>
      </c>
      <c r="H62" s="14" t="s">
        <v>55</v>
      </c>
      <c r="I62" s="14" t="s">
        <v>50</v>
      </c>
      <c r="J62" s="14" t="s">
        <v>74</v>
      </c>
      <c r="K62" s="14" t="s">
        <v>103</v>
      </c>
      <c r="L62" s="12"/>
      <c r="M62" s="12"/>
      <c r="N62" s="12"/>
      <c r="O62" s="14" t="s">
        <v>106</v>
      </c>
    </row>
    <row r="63" spans="1:15" ht="20.75" customHeight="1" thickBot="1">
      <c r="A63" s="25"/>
      <c r="B63" s="33"/>
      <c r="C63" s="27" t="s">
        <v>100</v>
      </c>
      <c r="D63" s="28" t="s">
        <v>101</v>
      </c>
      <c r="E63" s="29"/>
      <c r="F63" s="29"/>
      <c r="G63" s="28" t="s">
        <v>110</v>
      </c>
      <c r="H63" s="28" t="s">
        <v>55</v>
      </c>
      <c r="I63" s="28" t="s">
        <v>50</v>
      </c>
      <c r="J63" s="28" t="s">
        <v>74</v>
      </c>
      <c r="K63" s="28" t="s">
        <v>103</v>
      </c>
      <c r="L63" s="29"/>
      <c r="M63" s="29"/>
      <c r="N63" s="29"/>
      <c r="O63" s="28" t="s">
        <v>111</v>
      </c>
    </row>
    <row r="64" spans="1:15" ht="20.25" customHeight="1">
      <c r="A64" s="34"/>
      <c r="B64" s="35"/>
      <c r="C64" s="36" t="s">
        <v>112</v>
      </c>
      <c r="D64" s="37" t="s">
        <v>113</v>
      </c>
      <c r="E64" s="38"/>
      <c r="F64" s="38"/>
      <c r="G64" s="37" t="s">
        <v>105</v>
      </c>
      <c r="H64" s="37" t="s">
        <v>55</v>
      </c>
      <c r="I64" s="21" t="s">
        <v>50</v>
      </c>
      <c r="J64" s="21" t="s">
        <v>74</v>
      </c>
      <c r="K64" s="37" t="s">
        <v>114</v>
      </c>
      <c r="L64" s="37" t="s">
        <v>115</v>
      </c>
      <c r="M64" s="39"/>
      <c r="N64" s="38"/>
      <c r="O64" s="38"/>
    </row>
    <row r="65" spans="1:15" ht="20" customHeight="1">
      <c r="A65" s="40"/>
      <c r="B65" s="41"/>
      <c r="C65" s="42" t="s">
        <v>112</v>
      </c>
      <c r="D65" s="43" t="s">
        <v>113</v>
      </c>
      <c r="E65" s="44"/>
      <c r="F65" s="44"/>
      <c r="G65" s="43" t="s">
        <v>107</v>
      </c>
      <c r="H65" s="43" t="s">
        <v>55</v>
      </c>
      <c r="I65" s="14" t="s">
        <v>50</v>
      </c>
      <c r="J65" s="14" t="s">
        <v>74</v>
      </c>
      <c r="K65" s="43" t="s">
        <v>114</v>
      </c>
      <c r="L65" s="43" t="s">
        <v>115</v>
      </c>
      <c r="M65" s="45"/>
      <c r="N65" s="44"/>
      <c r="O65" s="44"/>
    </row>
    <row r="66" spans="1:15" ht="20" customHeight="1">
      <c r="A66" s="40"/>
      <c r="B66" s="41"/>
      <c r="C66" s="42" t="s">
        <v>112</v>
      </c>
      <c r="D66" s="43" t="s">
        <v>113</v>
      </c>
      <c r="E66" s="44"/>
      <c r="F66" s="44"/>
      <c r="G66" s="43" t="s">
        <v>16</v>
      </c>
      <c r="H66" s="43" t="s">
        <v>55</v>
      </c>
      <c r="I66" s="14" t="s">
        <v>50</v>
      </c>
      <c r="J66" s="14" t="s">
        <v>74</v>
      </c>
      <c r="K66" s="43" t="s">
        <v>114</v>
      </c>
      <c r="L66" s="43" t="s">
        <v>115</v>
      </c>
      <c r="M66" s="45"/>
      <c r="N66" s="44"/>
      <c r="O66" s="44"/>
    </row>
    <row r="67" spans="1:15" ht="20" customHeight="1">
      <c r="A67" s="40"/>
      <c r="B67" s="41"/>
      <c r="C67" s="42" t="s">
        <v>112</v>
      </c>
      <c r="D67" s="43" t="s">
        <v>113</v>
      </c>
      <c r="E67" s="44"/>
      <c r="F67" s="44"/>
      <c r="G67" s="43" t="s">
        <v>20</v>
      </c>
      <c r="H67" s="43" t="s">
        <v>50</v>
      </c>
      <c r="I67" s="14" t="s">
        <v>50</v>
      </c>
      <c r="J67" s="14" t="s">
        <v>74</v>
      </c>
      <c r="K67" s="43" t="s">
        <v>114</v>
      </c>
      <c r="L67" s="43" t="s">
        <v>115</v>
      </c>
      <c r="M67" s="45"/>
      <c r="N67" s="44"/>
      <c r="O67" s="44"/>
    </row>
    <row r="68" spans="1:15" ht="20" customHeight="1">
      <c r="A68" s="40"/>
      <c r="B68" s="41"/>
      <c r="C68" s="42" t="s">
        <v>112</v>
      </c>
      <c r="D68" s="43" t="s">
        <v>113</v>
      </c>
      <c r="E68" s="44"/>
      <c r="F68" s="44"/>
      <c r="G68" s="43" t="s">
        <v>70</v>
      </c>
      <c r="H68" s="43" t="s">
        <v>55</v>
      </c>
      <c r="I68" s="14" t="s">
        <v>50</v>
      </c>
      <c r="J68" s="14" t="s">
        <v>74</v>
      </c>
      <c r="K68" s="43" t="s">
        <v>114</v>
      </c>
      <c r="L68" s="43" t="s">
        <v>115</v>
      </c>
      <c r="M68" s="45"/>
      <c r="N68" s="44"/>
      <c r="O68" s="44"/>
    </row>
    <row r="69" spans="1:15" ht="20" customHeight="1">
      <c r="A69" s="40"/>
      <c r="B69" s="41"/>
      <c r="C69" s="42" t="s">
        <v>112</v>
      </c>
      <c r="D69" s="43" t="s">
        <v>113</v>
      </c>
      <c r="E69" s="44"/>
      <c r="F69" s="44"/>
      <c r="G69" s="43" t="s">
        <v>110</v>
      </c>
      <c r="H69" s="43" t="s">
        <v>55</v>
      </c>
      <c r="I69" s="14" t="s">
        <v>50</v>
      </c>
      <c r="J69" s="14" t="s">
        <v>74</v>
      </c>
      <c r="K69" s="43" t="s">
        <v>114</v>
      </c>
      <c r="L69" s="43" t="s">
        <v>115</v>
      </c>
      <c r="M69" s="45"/>
      <c r="N69" s="44"/>
      <c r="O69" s="44"/>
    </row>
    <row r="70" spans="1:15" ht="20" customHeight="1">
      <c r="A70" s="40"/>
      <c r="B70" s="41"/>
      <c r="C70" s="42" t="s">
        <v>112</v>
      </c>
      <c r="D70" s="43" t="s">
        <v>113</v>
      </c>
      <c r="E70" s="44"/>
      <c r="F70" s="44"/>
      <c r="G70" s="43" t="s">
        <v>19</v>
      </c>
      <c r="H70" s="43" t="s">
        <v>55</v>
      </c>
      <c r="I70" s="14" t="s">
        <v>50</v>
      </c>
      <c r="J70" s="14" t="s">
        <v>74</v>
      </c>
      <c r="K70" s="43" t="s">
        <v>114</v>
      </c>
      <c r="L70" s="43" t="s">
        <v>115</v>
      </c>
      <c r="M70" s="45"/>
      <c r="N70" s="44"/>
      <c r="O70" s="44"/>
    </row>
  </sheetData>
  <mergeCells count="1">
    <mergeCell ref="A1:O1"/>
  </mergeCells>
  <pageMargins left="0.5" right="0.5" top="0.75" bottom="0.75" header="0.27777800000000002" footer="0.27777800000000002"/>
  <pageSetup scale="72" orientation="portrait"/>
  <headerFooter>
    <oddFooter>&amp;C&amp;"Helvetica Neue,Regular"&amp;12&amp;K000000&amp;P</oddFooter>
  </headerFooter>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11"/>
  <sheetViews>
    <sheetView showGridLines="0" workbookViewId="0">
      <pane xSplit="2" ySplit="2" topLeftCell="C3" activePane="bottomRight" state="frozen"/>
      <selection pane="topRight"/>
      <selection pane="bottomLeft"/>
      <selection pane="bottomRight" activeCell="C3" sqref="C3"/>
    </sheetView>
  </sheetViews>
  <sheetFormatPr baseColWidth="10" defaultColWidth="16.33203125" defaultRowHeight="20" customHeight="1"/>
  <cols>
    <col min="1" max="2" width="10.83203125" style="5" customWidth="1"/>
    <col min="3" max="4" width="16.6640625" style="5" customWidth="1"/>
    <col min="5" max="6" width="19.1640625" style="5" customWidth="1"/>
    <col min="7" max="7" width="16.1640625" style="5" customWidth="1"/>
    <col min="8" max="13" width="16.6640625" style="5" customWidth="1"/>
    <col min="14" max="14" width="37.33203125" style="5" customWidth="1"/>
    <col min="15" max="15" width="16.33203125" style="5" customWidth="1"/>
    <col min="16" max="16384" width="16.33203125" style="5"/>
  </cols>
  <sheetData>
    <row r="1" spans="1:14" ht="28" customHeight="1">
      <c r="A1" s="123" t="s">
        <v>117</v>
      </c>
      <c r="B1" s="123"/>
      <c r="C1" s="123"/>
      <c r="D1" s="123"/>
      <c r="E1" s="123"/>
      <c r="F1" s="123"/>
      <c r="G1" s="123"/>
      <c r="H1" s="123"/>
      <c r="I1" s="123"/>
      <c r="J1" s="123"/>
      <c r="K1" s="123"/>
      <c r="L1" s="123"/>
      <c r="M1" s="123"/>
      <c r="N1" s="123"/>
    </row>
    <row r="2" spans="1:14" ht="80" customHeight="1">
      <c r="A2" s="46" t="s">
        <v>119</v>
      </c>
      <c r="B2" s="46" t="s">
        <v>120</v>
      </c>
      <c r="C2" s="46" t="s">
        <v>121</v>
      </c>
      <c r="D2" s="46" t="s">
        <v>122</v>
      </c>
      <c r="E2" s="46" t="s">
        <v>123</v>
      </c>
      <c r="F2" s="46" t="s">
        <v>124</v>
      </c>
      <c r="G2" s="46" t="s">
        <v>125</v>
      </c>
      <c r="H2" s="46" t="s">
        <v>126</v>
      </c>
      <c r="I2" s="46" t="s">
        <v>127</v>
      </c>
      <c r="J2" s="46" t="s">
        <v>128</v>
      </c>
      <c r="K2" s="46" t="s">
        <v>129</v>
      </c>
      <c r="L2" s="46" t="s">
        <v>130</v>
      </c>
      <c r="M2" s="46" t="s">
        <v>131</v>
      </c>
      <c r="N2" s="46" t="s">
        <v>132</v>
      </c>
    </row>
    <row r="3" spans="1:14" ht="30" customHeight="1">
      <c r="A3" s="47" t="s">
        <v>20</v>
      </c>
      <c r="B3" s="48" t="s">
        <v>133</v>
      </c>
      <c r="C3" s="124" cm="1">
        <f t="array" ref="C3">SUM(E3:E11)/SUM(D3:D11)</f>
        <v>0.67700987306064875</v>
      </c>
      <c r="D3" s="49">
        <v>69</v>
      </c>
      <c r="E3" s="49" cm="1">
        <f t="array" ref="E3">SUM('Y2027 NPI - PRM (Anna) - Y2026 '!C6:H6)</f>
        <v>40</v>
      </c>
      <c r="F3" s="49" cm="1">
        <f t="array" ref="F3">D3-E3</f>
        <v>29</v>
      </c>
      <c r="G3" s="126" t="s">
        <v>134</v>
      </c>
      <c r="H3" s="128" t="s">
        <v>135</v>
      </c>
      <c r="I3" s="128" t="s">
        <v>136</v>
      </c>
      <c r="J3" s="126" t="s">
        <v>15</v>
      </c>
      <c r="K3" s="126" t="s">
        <v>15</v>
      </c>
      <c r="L3" s="126" t="s">
        <v>15</v>
      </c>
      <c r="M3" s="126" t="s">
        <v>15</v>
      </c>
      <c r="N3" s="129"/>
    </row>
    <row r="4" spans="1:14" ht="30" customHeight="1">
      <c r="A4" s="50" t="s">
        <v>20</v>
      </c>
      <c r="B4" s="51" t="s">
        <v>137</v>
      </c>
      <c r="C4" s="125"/>
      <c r="D4" s="52">
        <v>123</v>
      </c>
      <c r="E4" s="52" cm="1">
        <f t="array" ref="E4">SUM('Y2027 NPI - PRM (Anna) - Y2026 '!C7:H7)</f>
        <v>61</v>
      </c>
      <c r="F4" s="52" cm="1">
        <f t="array" ref="F4">D4-E4</f>
        <v>62</v>
      </c>
      <c r="G4" s="127"/>
      <c r="H4" s="127"/>
      <c r="I4" s="127"/>
      <c r="J4" s="127"/>
      <c r="K4" s="127"/>
      <c r="L4" s="127"/>
      <c r="M4" s="127"/>
      <c r="N4" s="127"/>
    </row>
    <row r="5" spans="1:14" ht="30" customHeight="1">
      <c r="A5" s="50" t="s">
        <v>20</v>
      </c>
      <c r="B5" s="51" t="s">
        <v>138</v>
      </c>
      <c r="C5" s="125"/>
      <c r="D5" s="52">
        <v>75</v>
      </c>
      <c r="E5" s="52" cm="1">
        <f t="array" ref="E5">SUM('Y2027 NPI - PRM (Anna) - Y2026 '!C8:H8)</f>
        <v>62</v>
      </c>
      <c r="F5" s="52" cm="1">
        <f t="array" ref="F5">D5-E5</f>
        <v>13</v>
      </c>
      <c r="G5" s="127"/>
      <c r="H5" s="127"/>
      <c r="I5" s="127"/>
      <c r="J5" s="127"/>
      <c r="K5" s="127"/>
      <c r="L5" s="127"/>
      <c r="M5" s="127"/>
      <c r="N5" s="127"/>
    </row>
    <row r="6" spans="1:14" ht="30" customHeight="1">
      <c r="A6" s="50" t="s">
        <v>20</v>
      </c>
      <c r="B6" s="51" t="s">
        <v>139</v>
      </c>
      <c r="C6" s="125"/>
      <c r="D6" s="52" cm="1">
        <f t="array" ref="D6">5+16+17+24</f>
        <v>62</v>
      </c>
      <c r="E6" s="52" cm="1">
        <f t="array" ref="E6">SUM('Y2027 NPI - PRM (Anna) - Y2026 '!C9:H9)</f>
        <v>43</v>
      </c>
      <c r="F6" s="52" cm="1">
        <f t="array" ref="F6">D6-E6</f>
        <v>19</v>
      </c>
      <c r="G6" s="127"/>
      <c r="H6" s="127"/>
      <c r="I6" s="127"/>
      <c r="J6" s="127"/>
      <c r="K6" s="127"/>
      <c r="L6" s="127"/>
      <c r="M6" s="127"/>
      <c r="N6" s="127"/>
    </row>
    <row r="7" spans="1:14" ht="30" customHeight="1">
      <c r="A7" s="50" t="s">
        <v>20</v>
      </c>
      <c r="B7" s="51" t="s">
        <v>140</v>
      </c>
      <c r="C7" s="125"/>
      <c r="D7" s="52" cm="1">
        <f t="array" ref="D7">55+36</f>
        <v>91</v>
      </c>
      <c r="E7" s="52" cm="1">
        <f t="array" ref="E7">SUM('Y2027 NPI - PRM (Anna) - Y2026 '!C10:H10)</f>
        <v>67</v>
      </c>
      <c r="F7" s="52" cm="1">
        <f t="array" ref="F7">D7-E7</f>
        <v>24</v>
      </c>
      <c r="G7" s="127"/>
      <c r="H7" s="127"/>
      <c r="I7" s="127"/>
      <c r="J7" s="127"/>
      <c r="K7" s="127"/>
      <c r="L7" s="127"/>
      <c r="M7" s="127"/>
      <c r="N7" s="127"/>
    </row>
    <row r="8" spans="1:14" ht="30" customHeight="1">
      <c r="A8" s="50" t="s">
        <v>20</v>
      </c>
      <c r="B8" s="51" t="s">
        <v>141</v>
      </c>
      <c r="C8" s="125"/>
      <c r="D8" s="52" cm="1">
        <f t="array" ref="D8">40+88+48</f>
        <v>176</v>
      </c>
      <c r="E8" s="52" cm="1">
        <f t="array" ref="E8">SUM('Y2027 NPI - PRM (Anna) - Y2026 '!C11:H11)</f>
        <v>111</v>
      </c>
      <c r="F8" s="52" cm="1">
        <f t="array" ref="F8">D8-E8</f>
        <v>65</v>
      </c>
      <c r="G8" s="127"/>
      <c r="H8" s="127"/>
      <c r="I8" s="127"/>
      <c r="J8" s="127"/>
      <c r="K8" s="127"/>
      <c r="L8" s="127"/>
      <c r="M8" s="127"/>
      <c r="N8" s="127"/>
    </row>
    <row r="9" spans="1:14" ht="30" customHeight="1">
      <c r="A9" s="50" t="s">
        <v>20</v>
      </c>
      <c r="B9" s="51" t="s">
        <v>142</v>
      </c>
      <c r="C9" s="125"/>
      <c r="D9" s="52" cm="1">
        <f t="array" ref="D9">34+21</f>
        <v>55</v>
      </c>
      <c r="E9" s="52" cm="1">
        <f t="array" ref="E9">SUM('Y2027 NPI - PRM (Anna) - Y2026 '!C12:H12)</f>
        <v>52</v>
      </c>
      <c r="F9" s="52" cm="1">
        <f t="array" ref="F9">D9-E9</f>
        <v>3</v>
      </c>
      <c r="G9" s="127"/>
      <c r="H9" s="127"/>
      <c r="I9" s="127"/>
      <c r="J9" s="127"/>
      <c r="K9" s="127"/>
      <c r="L9" s="127"/>
      <c r="M9" s="127"/>
      <c r="N9" s="127"/>
    </row>
    <row r="10" spans="1:14" ht="30" customHeight="1">
      <c r="A10" s="50" t="s">
        <v>20</v>
      </c>
      <c r="B10" s="51" t="s">
        <v>143</v>
      </c>
      <c r="C10" s="125"/>
      <c r="D10" s="52" cm="1">
        <f t="array" ref="D10">13+32</f>
        <v>45</v>
      </c>
      <c r="E10" s="52" cm="1">
        <f t="array" ref="E10">SUM('Y2027 NPI - PRM (Anna) - Y2026 '!C13:H13)</f>
        <v>38</v>
      </c>
      <c r="F10" s="52" cm="1">
        <f t="array" ref="F10">D10-E10</f>
        <v>7</v>
      </c>
      <c r="G10" s="127"/>
      <c r="H10" s="127"/>
      <c r="I10" s="127"/>
      <c r="J10" s="127"/>
      <c r="K10" s="127"/>
      <c r="L10" s="127"/>
      <c r="M10" s="127"/>
      <c r="N10" s="127"/>
    </row>
    <row r="11" spans="1:14" ht="30" customHeight="1">
      <c r="A11" s="50" t="s">
        <v>20</v>
      </c>
      <c r="B11" s="51" t="s">
        <v>144</v>
      </c>
      <c r="C11" s="125"/>
      <c r="D11" s="52">
        <v>13</v>
      </c>
      <c r="E11" s="52" cm="1">
        <f t="array" ref="E11">SUM('Y2027 NPI - PRM (Anna) - Y2026 '!C14:H14)</f>
        <v>6</v>
      </c>
      <c r="F11" s="52" cm="1">
        <f t="array" ref="F11">D11-E11</f>
        <v>7</v>
      </c>
      <c r="G11" s="127"/>
      <c r="H11" s="127"/>
      <c r="I11" s="127"/>
      <c r="J11" s="127"/>
      <c r="K11" s="127"/>
      <c r="L11" s="127"/>
      <c r="M11" s="127"/>
      <c r="N11" s="127"/>
    </row>
  </sheetData>
  <mergeCells count="10">
    <mergeCell ref="A1:N1"/>
    <mergeCell ref="C3:C11"/>
    <mergeCell ref="G3:G11"/>
    <mergeCell ref="H3:H11"/>
    <mergeCell ref="I3:I11"/>
    <mergeCell ref="J3:J11"/>
    <mergeCell ref="K3:K11"/>
    <mergeCell ref="L3:L11"/>
    <mergeCell ref="M3:M11"/>
    <mergeCell ref="N3:N11"/>
  </mergeCells>
  <pageMargins left="0.5" right="0.5" top="0.75" bottom="0.75" header="0.27777800000000002" footer="0.27777800000000002"/>
  <pageSetup scale="72" orientation="portrait"/>
  <headerFooter>
    <oddFooter>&amp;C&amp;"Helvetica Neue,Regular"&amp;12&amp;K000000&amp;P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14"/>
  <sheetViews>
    <sheetView showGridLines="0" workbookViewId="0">
      <pane xSplit="2" ySplit="2" topLeftCell="C3" activePane="bottomRight" state="frozen"/>
      <selection pane="topRight"/>
      <selection pane="bottomLeft"/>
      <selection pane="bottomRight" activeCell="C3" sqref="C3"/>
    </sheetView>
  </sheetViews>
  <sheetFormatPr baseColWidth="10" defaultColWidth="16.33203125" defaultRowHeight="20" customHeight="1"/>
  <cols>
    <col min="1" max="1" width="8" style="5" customWidth="1"/>
    <col min="2" max="2" width="18.6640625" style="5" customWidth="1"/>
    <col min="3" max="8" width="20.83203125" style="5" customWidth="1"/>
    <col min="9" max="9" width="16.33203125" style="5" customWidth="1"/>
    <col min="10" max="16384" width="16.33203125" style="5"/>
  </cols>
  <sheetData>
    <row r="1" spans="1:8" ht="28" customHeight="1">
      <c r="A1" s="123" t="s">
        <v>145</v>
      </c>
      <c r="B1" s="123"/>
      <c r="C1" s="123"/>
      <c r="D1" s="123"/>
      <c r="E1" s="123"/>
      <c r="F1" s="123"/>
      <c r="G1" s="123"/>
      <c r="H1" s="123"/>
    </row>
    <row r="2" spans="1:8" ht="27.5" customHeight="1">
      <c r="A2" s="53" t="s">
        <v>119</v>
      </c>
      <c r="B2" s="53" t="s">
        <v>147</v>
      </c>
      <c r="C2" s="53" t="s">
        <v>148</v>
      </c>
      <c r="D2" s="53" t="s">
        <v>149</v>
      </c>
      <c r="E2" s="53" t="s">
        <v>150</v>
      </c>
      <c r="F2" s="53" t="s">
        <v>78</v>
      </c>
      <c r="G2" s="53" t="s">
        <v>91</v>
      </c>
      <c r="H2" s="53" t="s">
        <v>48</v>
      </c>
    </row>
    <row r="3" spans="1:8" ht="41.25" customHeight="1">
      <c r="A3" s="54" t="s">
        <v>20</v>
      </c>
      <c r="B3" s="55" t="s">
        <v>34</v>
      </c>
      <c r="C3" s="56" t="s">
        <v>151</v>
      </c>
      <c r="D3" s="57" t="s">
        <v>152</v>
      </c>
      <c r="E3" s="57" t="s">
        <v>153</v>
      </c>
      <c r="F3" s="57" t="s">
        <v>154</v>
      </c>
      <c r="G3" s="57" t="s">
        <v>155</v>
      </c>
      <c r="H3" s="57" t="s">
        <v>156</v>
      </c>
    </row>
    <row r="4" spans="1:8" ht="53" customHeight="1">
      <c r="A4" s="50" t="s">
        <v>20</v>
      </c>
      <c r="B4" s="51" t="s">
        <v>157</v>
      </c>
      <c r="C4" s="58" t="s">
        <v>158</v>
      </c>
      <c r="D4" s="59" t="s">
        <v>159</v>
      </c>
      <c r="E4" s="59" t="s">
        <v>159</v>
      </c>
      <c r="F4" s="59" t="s">
        <v>160</v>
      </c>
      <c r="G4" s="59" t="s">
        <v>161</v>
      </c>
      <c r="H4" s="59" t="s">
        <v>162</v>
      </c>
    </row>
    <row r="5" spans="1:8" ht="29.5" customHeight="1">
      <c r="A5" s="60" t="s">
        <v>20</v>
      </c>
      <c r="B5" s="61" t="s">
        <v>163</v>
      </c>
      <c r="C5" s="62" cm="1">
        <f t="array" ref="C5">SUM(C6:C13)</f>
        <v>73</v>
      </c>
      <c r="D5" s="63" cm="1">
        <f t="array" ref="D5">SUM(D6:D13)</f>
        <v>42</v>
      </c>
      <c r="E5" s="63" cm="1">
        <f t="array" ref="E5">SUM(E6:E13)</f>
        <v>59</v>
      </c>
      <c r="F5" s="63" cm="1">
        <f t="array" ref="F5">SUM(F6:F13)</f>
        <v>72</v>
      </c>
      <c r="G5" s="63" cm="1">
        <f t="array" ref="G5">SUM(G6:G13)</f>
        <v>56</v>
      </c>
      <c r="H5" s="63" cm="1">
        <f t="array" ref="H5">SUM(H6:H13)</f>
        <v>172</v>
      </c>
    </row>
    <row r="6" spans="1:8" ht="27.5" customHeight="1">
      <c r="A6" s="54" t="s">
        <v>20</v>
      </c>
      <c r="B6" s="55" t="s">
        <v>133</v>
      </c>
      <c r="C6" s="64" cm="1">
        <f t="array" ref="C6">2+5</f>
        <v>7</v>
      </c>
      <c r="D6" s="65">
        <v>2</v>
      </c>
      <c r="E6" s="65" cm="1">
        <f t="array" ref="E6">3+1</f>
        <v>4</v>
      </c>
      <c r="F6" s="65" cm="1">
        <f t="array" ref="F6">7+2</f>
        <v>9</v>
      </c>
      <c r="G6" s="65" cm="1">
        <f t="array" ref="G6">2+2+2</f>
        <v>6</v>
      </c>
      <c r="H6" s="65" cm="1">
        <f t="array" ref="H6">8+4</f>
        <v>12</v>
      </c>
    </row>
    <row r="7" spans="1:8" ht="27.5" customHeight="1">
      <c r="A7" s="50" t="s">
        <v>20</v>
      </c>
      <c r="B7" s="51" t="s">
        <v>137</v>
      </c>
      <c r="C7" s="66" cm="1">
        <f t="array" ref="C7">5+7</f>
        <v>12</v>
      </c>
      <c r="D7" s="52">
        <v>5</v>
      </c>
      <c r="E7" s="52" cm="1">
        <f t="array" ref="E7">5+2</f>
        <v>7</v>
      </c>
      <c r="F7" s="52" cm="1">
        <f t="array" ref="F7">5+3</f>
        <v>8</v>
      </c>
      <c r="G7" s="52" cm="1">
        <f t="array" ref="G7">3+2+1</f>
        <v>6</v>
      </c>
      <c r="H7" s="52" cm="1">
        <f t="array" ref="H7">10+13</f>
        <v>23</v>
      </c>
    </row>
    <row r="8" spans="1:8" ht="27.5" customHeight="1">
      <c r="A8" s="50" t="s">
        <v>20</v>
      </c>
      <c r="B8" s="51" t="s">
        <v>138</v>
      </c>
      <c r="C8" s="66" cm="1">
        <f t="array" ref="C8">1+10</f>
        <v>11</v>
      </c>
      <c r="D8" s="52">
        <v>8</v>
      </c>
      <c r="E8" s="52" cm="1">
        <f t="array" ref="E8">8+2</f>
        <v>10</v>
      </c>
      <c r="F8" s="52" cm="1">
        <f t="array" ref="F8">8+1</f>
        <v>9</v>
      </c>
      <c r="G8" s="52" cm="1">
        <f t="array" ref="G8">5+1+2</f>
        <v>8</v>
      </c>
      <c r="H8" s="52" cm="1">
        <f t="array" ref="H8">6+10</f>
        <v>16</v>
      </c>
    </row>
    <row r="9" spans="1:8" ht="27.5" customHeight="1">
      <c r="A9" s="50" t="s">
        <v>20</v>
      </c>
      <c r="B9" s="51" t="s">
        <v>139</v>
      </c>
      <c r="C9" s="66" cm="1">
        <f t="array" ref="C9">1+6+3</f>
        <v>10</v>
      </c>
      <c r="D9" s="52">
        <v>8</v>
      </c>
      <c r="E9" s="52" cm="1">
        <f t="array" ref="E9">6+2</f>
        <v>8</v>
      </c>
      <c r="F9" s="52" cm="1">
        <f t="array" ref="F9">10+1</f>
        <v>11</v>
      </c>
      <c r="G9" s="52" cm="1">
        <f t="array" ref="G9">3+1</f>
        <v>4</v>
      </c>
      <c r="H9" s="52">
        <v>2</v>
      </c>
    </row>
    <row r="10" spans="1:8" ht="27.5" customHeight="1">
      <c r="A10" s="50" t="s">
        <v>20</v>
      </c>
      <c r="B10" s="51" t="s">
        <v>140</v>
      </c>
      <c r="C10" s="66" cm="1">
        <f t="array" ref="C10">4+4</f>
        <v>8</v>
      </c>
      <c r="D10" s="52">
        <v>8</v>
      </c>
      <c r="E10" s="52" cm="1">
        <f t="array" ref="E10">8+1</f>
        <v>9</v>
      </c>
      <c r="F10" s="52" cm="1">
        <f t="array" ref="F10">9+3</f>
        <v>12</v>
      </c>
      <c r="G10" s="52" cm="1">
        <f t="array" ref="G10">3+1+4</f>
        <v>8</v>
      </c>
      <c r="H10" s="52">
        <v>22</v>
      </c>
    </row>
    <row r="11" spans="1:8" ht="27.5" customHeight="1">
      <c r="A11" s="50" t="s">
        <v>20</v>
      </c>
      <c r="B11" s="51" t="s">
        <v>141</v>
      </c>
      <c r="C11" s="66">
        <v>14</v>
      </c>
      <c r="D11" s="52">
        <v>5</v>
      </c>
      <c r="E11" s="52">
        <v>8</v>
      </c>
      <c r="F11" s="52">
        <v>12</v>
      </c>
      <c r="G11" s="52">
        <v>15</v>
      </c>
      <c r="H11" s="52" cm="1">
        <f t="array" ref="H11">13+18+18+8</f>
        <v>57</v>
      </c>
    </row>
    <row r="12" spans="1:8" ht="27.5" customHeight="1">
      <c r="A12" s="50" t="s">
        <v>20</v>
      </c>
      <c r="B12" s="51" t="s">
        <v>142</v>
      </c>
      <c r="C12" s="66">
        <v>6</v>
      </c>
      <c r="D12" s="52">
        <v>3</v>
      </c>
      <c r="E12" s="52">
        <v>7</v>
      </c>
      <c r="F12" s="52">
        <v>6</v>
      </c>
      <c r="G12" s="52">
        <v>5</v>
      </c>
      <c r="H12" s="52" cm="1">
        <f t="array" ref="H12">6+6+13</f>
        <v>25</v>
      </c>
    </row>
    <row r="13" spans="1:8" ht="27.5" customHeight="1">
      <c r="A13" s="50" t="s">
        <v>20</v>
      </c>
      <c r="B13" s="51" t="s">
        <v>143</v>
      </c>
      <c r="C13" s="66">
        <v>5</v>
      </c>
      <c r="D13" s="52">
        <v>3</v>
      </c>
      <c r="E13" s="52">
        <v>6</v>
      </c>
      <c r="F13" s="52">
        <v>5</v>
      </c>
      <c r="G13" s="52">
        <v>4</v>
      </c>
      <c r="H13" s="52" cm="1">
        <f t="array" ref="H13">7+8</f>
        <v>15</v>
      </c>
    </row>
    <row r="14" spans="1:8" ht="27.5" customHeight="1">
      <c r="A14" s="50" t="s">
        <v>20</v>
      </c>
      <c r="B14" s="51" t="s">
        <v>144</v>
      </c>
      <c r="C14" s="67"/>
      <c r="D14" s="68"/>
      <c r="E14" s="68"/>
      <c r="F14" s="68"/>
      <c r="G14" s="68"/>
      <c r="H14" s="52">
        <v>6</v>
      </c>
    </row>
  </sheetData>
  <mergeCells count="1">
    <mergeCell ref="A1:H1"/>
  </mergeCells>
  <pageMargins left="0.5" right="0.5" top="0.75" bottom="0.75" header="0.27777800000000002" footer="0.27777800000000002"/>
  <pageSetup scale="72" orientation="portrait"/>
  <headerFooter>
    <oddFooter>&amp;C&amp;"Helvetica Neue,Regular"&amp;12&amp;K000000&amp;P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N10"/>
  <sheetViews>
    <sheetView showGridLines="0" workbookViewId="0">
      <pane xSplit="2" ySplit="2" topLeftCell="C3" activePane="bottomRight" state="frozen"/>
      <selection pane="topRight"/>
      <selection pane="bottomLeft"/>
      <selection pane="bottomRight" activeCell="C3" sqref="C3"/>
    </sheetView>
  </sheetViews>
  <sheetFormatPr baseColWidth="10" defaultColWidth="16.33203125" defaultRowHeight="20" customHeight="1"/>
  <cols>
    <col min="1" max="2" width="10.83203125" style="5" customWidth="1"/>
    <col min="3" max="4" width="16.6640625" style="5" customWidth="1"/>
    <col min="5" max="6" width="19.1640625" style="5" customWidth="1"/>
    <col min="7" max="13" width="16.6640625" style="5" customWidth="1"/>
    <col min="14" max="14" width="37.33203125" style="5" customWidth="1"/>
    <col min="15" max="15" width="16.33203125" style="5" customWidth="1"/>
    <col min="16" max="16384" width="16.33203125" style="5"/>
  </cols>
  <sheetData>
    <row r="1" spans="1:14" ht="28" customHeight="1">
      <c r="A1" s="123" t="s">
        <v>117</v>
      </c>
      <c r="B1" s="123"/>
      <c r="C1" s="123"/>
      <c r="D1" s="123"/>
      <c r="E1" s="123"/>
      <c r="F1" s="123"/>
      <c r="G1" s="123"/>
      <c r="H1" s="123"/>
      <c r="I1" s="123"/>
      <c r="J1" s="123"/>
      <c r="K1" s="123"/>
      <c r="L1" s="123"/>
      <c r="M1" s="123"/>
      <c r="N1" s="123"/>
    </row>
    <row r="2" spans="1:14" ht="80" customHeight="1">
      <c r="A2" s="46" t="s">
        <v>119</v>
      </c>
      <c r="B2" s="46" t="s">
        <v>120</v>
      </c>
      <c r="C2" s="46" t="s">
        <v>121</v>
      </c>
      <c r="D2" s="46" t="s">
        <v>122</v>
      </c>
      <c r="E2" s="46" t="s">
        <v>123</v>
      </c>
      <c r="F2" s="46" t="s">
        <v>124</v>
      </c>
      <c r="G2" s="46" t="s">
        <v>125</v>
      </c>
      <c r="H2" s="46" t="s">
        <v>126</v>
      </c>
      <c r="I2" s="46" t="s">
        <v>127</v>
      </c>
      <c r="J2" s="46" t="s">
        <v>128</v>
      </c>
      <c r="K2" s="46" t="s">
        <v>129</v>
      </c>
      <c r="L2" s="46" t="s">
        <v>130</v>
      </c>
      <c r="M2" s="46" t="s">
        <v>131</v>
      </c>
      <c r="N2" s="46" t="s">
        <v>132</v>
      </c>
    </row>
    <row r="3" spans="1:14" ht="30" customHeight="1">
      <c r="A3" s="47" t="s">
        <v>17</v>
      </c>
      <c r="B3" s="48" t="s">
        <v>133</v>
      </c>
      <c r="C3" s="130" cm="1">
        <f t="array" ref="C3">SUM(E3:E10)/SUM(D3:D10)</f>
        <v>0.5149253731343284</v>
      </c>
      <c r="D3" s="49">
        <v>24</v>
      </c>
      <c r="E3" s="49">
        <v>8</v>
      </c>
      <c r="F3" s="49" cm="1">
        <f t="array" ref="F3">D3-E3</f>
        <v>16</v>
      </c>
      <c r="G3" s="126" t="s">
        <v>166</v>
      </c>
      <c r="H3" s="126" t="s">
        <v>167</v>
      </c>
      <c r="I3" s="128" t="s">
        <v>168</v>
      </c>
      <c r="J3" s="126" t="s">
        <v>15</v>
      </c>
      <c r="K3" s="126" t="s">
        <v>15</v>
      </c>
      <c r="L3" s="126" t="s">
        <v>15</v>
      </c>
      <c r="M3" s="126" t="s">
        <v>15</v>
      </c>
      <c r="N3" s="128" t="s">
        <v>169</v>
      </c>
    </row>
    <row r="4" spans="1:14" ht="30" customHeight="1">
      <c r="A4" s="50" t="s">
        <v>17</v>
      </c>
      <c r="B4" s="51" t="s">
        <v>137</v>
      </c>
      <c r="C4" s="125"/>
      <c r="D4" s="52">
        <v>78</v>
      </c>
      <c r="E4" s="52">
        <v>11</v>
      </c>
      <c r="F4" s="52" cm="1">
        <f t="array" ref="F4">D4-E4</f>
        <v>67</v>
      </c>
      <c r="G4" s="127"/>
      <c r="H4" s="127"/>
      <c r="I4" s="127"/>
      <c r="J4" s="127"/>
      <c r="K4" s="127"/>
      <c r="L4" s="127"/>
      <c r="M4" s="127"/>
      <c r="N4" s="127"/>
    </row>
    <row r="5" spans="1:14" ht="30" customHeight="1">
      <c r="A5" s="50" t="s">
        <v>17</v>
      </c>
      <c r="B5" s="51" t="s">
        <v>138</v>
      </c>
      <c r="C5" s="125"/>
      <c r="D5" s="52">
        <v>29</v>
      </c>
      <c r="E5" s="52">
        <v>7</v>
      </c>
      <c r="F5" s="52" cm="1">
        <f t="array" ref="F5">D5-E5</f>
        <v>22</v>
      </c>
      <c r="G5" s="127"/>
      <c r="H5" s="127"/>
      <c r="I5" s="127"/>
      <c r="J5" s="127"/>
      <c r="K5" s="127"/>
      <c r="L5" s="127"/>
      <c r="M5" s="127"/>
      <c r="N5" s="127"/>
    </row>
    <row r="6" spans="1:14" ht="30" customHeight="1">
      <c r="A6" s="50" t="s">
        <v>17</v>
      </c>
      <c r="B6" s="51" t="s">
        <v>139</v>
      </c>
      <c r="C6" s="125"/>
      <c r="D6" s="52">
        <v>0</v>
      </c>
      <c r="E6" s="52">
        <v>0</v>
      </c>
      <c r="F6" s="52" cm="1">
        <f t="array" ref="F6">D6-E6</f>
        <v>0</v>
      </c>
      <c r="G6" s="127"/>
      <c r="H6" s="127"/>
      <c r="I6" s="127"/>
      <c r="J6" s="127"/>
      <c r="K6" s="127"/>
      <c r="L6" s="127"/>
      <c r="M6" s="127"/>
      <c r="N6" s="127"/>
    </row>
    <row r="7" spans="1:14" ht="30" customHeight="1">
      <c r="A7" s="50" t="s">
        <v>17</v>
      </c>
      <c r="B7" s="51" t="s">
        <v>140</v>
      </c>
      <c r="C7" s="125"/>
      <c r="D7" s="52">
        <v>9</v>
      </c>
      <c r="E7" s="52">
        <v>4</v>
      </c>
      <c r="F7" s="52" cm="1">
        <f t="array" ref="F7">D7-E7</f>
        <v>5</v>
      </c>
      <c r="G7" s="127"/>
      <c r="H7" s="127"/>
      <c r="I7" s="127"/>
      <c r="J7" s="127"/>
      <c r="K7" s="127"/>
      <c r="L7" s="127"/>
      <c r="M7" s="127"/>
      <c r="N7" s="127"/>
    </row>
    <row r="8" spans="1:14" ht="30" customHeight="1">
      <c r="A8" s="50" t="s">
        <v>17</v>
      </c>
      <c r="B8" s="51" t="s">
        <v>141</v>
      </c>
      <c r="C8" s="125"/>
      <c r="D8" s="52">
        <v>208</v>
      </c>
      <c r="E8" s="52">
        <v>140</v>
      </c>
      <c r="F8" s="52" cm="1">
        <f t="array" ref="F8">D8-E8</f>
        <v>68</v>
      </c>
      <c r="G8" s="127"/>
      <c r="H8" s="127"/>
      <c r="I8" s="127"/>
      <c r="J8" s="127"/>
      <c r="K8" s="127"/>
      <c r="L8" s="127"/>
      <c r="M8" s="127"/>
      <c r="N8" s="127"/>
    </row>
    <row r="9" spans="1:14" ht="30" customHeight="1">
      <c r="A9" s="50" t="s">
        <v>17</v>
      </c>
      <c r="B9" s="51" t="s">
        <v>142</v>
      </c>
      <c r="C9" s="125"/>
      <c r="D9" s="52">
        <v>32</v>
      </c>
      <c r="E9" s="52">
        <v>20</v>
      </c>
      <c r="F9" s="52" cm="1">
        <f t="array" ref="F9">D9-E9</f>
        <v>12</v>
      </c>
      <c r="G9" s="127"/>
      <c r="H9" s="127"/>
      <c r="I9" s="127"/>
      <c r="J9" s="127"/>
      <c r="K9" s="127"/>
      <c r="L9" s="127"/>
      <c r="M9" s="127"/>
      <c r="N9" s="127"/>
    </row>
    <row r="10" spans="1:14" ht="30" customHeight="1">
      <c r="A10" s="50" t="s">
        <v>17</v>
      </c>
      <c r="B10" s="51" t="s">
        <v>143</v>
      </c>
      <c r="C10" s="125"/>
      <c r="D10" s="52">
        <v>22</v>
      </c>
      <c r="E10" s="52">
        <v>17</v>
      </c>
      <c r="F10" s="52" cm="1">
        <f t="array" ref="F10">D10-E10</f>
        <v>5</v>
      </c>
      <c r="G10" s="127"/>
      <c r="H10" s="127"/>
      <c r="I10" s="127"/>
      <c r="J10" s="127"/>
      <c r="K10" s="127"/>
      <c r="L10" s="127"/>
      <c r="M10" s="127"/>
      <c r="N10" s="127"/>
    </row>
  </sheetData>
  <mergeCells count="10">
    <mergeCell ref="A1:N1"/>
    <mergeCell ref="C3:C10"/>
    <mergeCell ref="G3:G10"/>
    <mergeCell ref="H3:H10"/>
    <mergeCell ref="I3:I10"/>
    <mergeCell ref="J3:J10"/>
    <mergeCell ref="K3:K10"/>
    <mergeCell ref="L3:L10"/>
    <mergeCell ref="M3:M10"/>
    <mergeCell ref="N3:N10"/>
  </mergeCells>
  <pageMargins left="1" right="1" top="1" bottom="1" header="0.25" footer="0.25"/>
  <pageSetup orientation="portrait"/>
  <headerFooter>
    <oddFooter>&amp;C&amp;"Helvetica Neue,Regular"&amp;12&amp;K000000&amp;P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G13"/>
  <sheetViews>
    <sheetView showGridLines="0" workbookViewId="0">
      <pane xSplit="2" ySplit="2" topLeftCell="C3" activePane="bottomRight" state="frozen"/>
      <selection pane="topRight"/>
      <selection pane="bottomLeft"/>
      <selection pane="bottomRight" activeCell="C3" sqref="C3"/>
    </sheetView>
  </sheetViews>
  <sheetFormatPr baseColWidth="10" defaultColWidth="16.33203125" defaultRowHeight="20" customHeight="1"/>
  <cols>
    <col min="1" max="7" width="20.83203125" style="5" customWidth="1"/>
    <col min="8" max="8" width="16.33203125" style="5" customWidth="1"/>
    <col min="9" max="16384" width="16.33203125" style="5"/>
  </cols>
  <sheetData>
    <row r="1" spans="1:7" ht="28" customHeight="1">
      <c r="A1" s="123" t="s">
        <v>145</v>
      </c>
      <c r="B1" s="123"/>
      <c r="C1" s="123"/>
      <c r="D1" s="123"/>
      <c r="E1" s="123"/>
      <c r="F1" s="123"/>
      <c r="G1" s="123"/>
    </row>
    <row r="2" spans="1:7" ht="27.5" customHeight="1">
      <c r="A2" s="53" t="s">
        <v>119</v>
      </c>
      <c r="B2" s="53" t="s">
        <v>147</v>
      </c>
      <c r="C2" s="53" t="s">
        <v>148</v>
      </c>
      <c r="D2" s="53" t="s">
        <v>149</v>
      </c>
      <c r="E2" s="53" t="s">
        <v>78</v>
      </c>
      <c r="F2" s="53" t="s">
        <v>91</v>
      </c>
      <c r="G2" s="53" t="s">
        <v>48</v>
      </c>
    </row>
    <row r="3" spans="1:7" ht="27.5" customHeight="1">
      <c r="A3" s="54" t="s">
        <v>17</v>
      </c>
      <c r="B3" s="55" t="s">
        <v>34</v>
      </c>
      <c r="C3" s="56" t="s">
        <v>171</v>
      </c>
      <c r="D3" s="57" t="s">
        <v>172</v>
      </c>
      <c r="E3" s="57" t="s">
        <v>173</v>
      </c>
      <c r="F3" s="57" t="s">
        <v>174</v>
      </c>
      <c r="G3" s="57" t="s">
        <v>175</v>
      </c>
    </row>
    <row r="4" spans="1:7" ht="88" customHeight="1">
      <c r="A4" s="50" t="s">
        <v>17</v>
      </c>
      <c r="B4" s="51" t="s">
        <v>157</v>
      </c>
      <c r="C4" s="58" t="s">
        <v>176</v>
      </c>
      <c r="D4" s="59" t="s">
        <v>177</v>
      </c>
      <c r="E4" s="59" t="s">
        <v>178</v>
      </c>
      <c r="F4" s="59" t="s">
        <v>179</v>
      </c>
      <c r="G4" s="59" t="s">
        <v>180</v>
      </c>
    </row>
    <row r="5" spans="1:7" ht="27.5" customHeight="1">
      <c r="A5" s="60" t="s">
        <v>17</v>
      </c>
      <c r="B5" s="61" t="s">
        <v>163</v>
      </c>
      <c r="C5" s="62">
        <v>10</v>
      </c>
      <c r="D5" s="63">
        <v>8</v>
      </c>
      <c r="E5" s="63">
        <v>11</v>
      </c>
      <c r="F5" s="63">
        <v>6</v>
      </c>
      <c r="G5" s="63">
        <v>10</v>
      </c>
    </row>
    <row r="6" spans="1:7" ht="27.5" customHeight="1">
      <c r="A6" s="54" t="s">
        <v>17</v>
      </c>
      <c r="B6" s="55" t="s">
        <v>133</v>
      </c>
      <c r="C6" s="64">
        <v>3</v>
      </c>
      <c r="D6" s="65">
        <v>7</v>
      </c>
      <c r="E6" s="65">
        <v>4</v>
      </c>
      <c r="F6" s="65">
        <v>2</v>
      </c>
      <c r="G6" s="65">
        <v>8</v>
      </c>
    </row>
    <row r="7" spans="1:7" ht="27.5" customHeight="1">
      <c r="A7" s="50" t="s">
        <v>17</v>
      </c>
      <c r="B7" s="51" t="s">
        <v>137</v>
      </c>
      <c r="C7" s="66">
        <v>10</v>
      </c>
      <c r="D7" s="52">
        <v>16</v>
      </c>
      <c r="E7" s="52">
        <v>11</v>
      </c>
      <c r="F7" s="52">
        <v>8</v>
      </c>
      <c r="G7" s="52">
        <v>33</v>
      </c>
    </row>
    <row r="8" spans="1:7" ht="27.5" customHeight="1">
      <c r="A8" s="50" t="s">
        <v>17</v>
      </c>
      <c r="B8" s="51" t="s">
        <v>138</v>
      </c>
      <c r="C8" s="66">
        <v>2</v>
      </c>
      <c r="D8" s="52">
        <v>6</v>
      </c>
      <c r="E8" s="52">
        <v>4</v>
      </c>
      <c r="F8" s="52">
        <v>5</v>
      </c>
      <c r="G8" s="52">
        <v>12</v>
      </c>
    </row>
    <row r="9" spans="1:7" ht="27.5" customHeight="1">
      <c r="A9" s="50" t="s">
        <v>17</v>
      </c>
      <c r="B9" s="51" t="s">
        <v>139</v>
      </c>
      <c r="C9" s="66">
        <v>0</v>
      </c>
      <c r="D9" s="52">
        <v>0</v>
      </c>
      <c r="E9" s="52">
        <v>0</v>
      </c>
      <c r="F9" s="52">
        <v>0</v>
      </c>
      <c r="G9" s="52">
        <v>0</v>
      </c>
    </row>
    <row r="10" spans="1:7" ht="27.5" customHeight="1">
      <c r="A10" s="50" t="s">
        <v>17</v>
      </c>
      <c r="B10" s="51" t="s">
        <v>140</v>
      </c>
      <c r="C10" s="66">
        <v>1</v>
      </c>
      <c r="D10" s="52">
        <v>3</v>
      </c>
      <c r="E10" s="52">
        <v>1</v>
      </c>
      <c r="F10" s="52">
        <v>1</v>
      </c>
      <c r="G10" s="52">
        <v>3</v>
      </c>
    </row>
    <row r="11" spans="1:7" ht="27.5" customHeight="1">
      <c r="A11" s="50" t="s">
        <v>17</v>
      </c>
      <c r="B11" s="51" t="s">
        <v>141</v>
      </c>
      <c r="C11" s="66">
        <v>7</v>
      </c>
      <c r="D11" s="52">
        <v>58</v>
      </c>
      <c r="E11" s="52">
        <v>33</v>
      </c>
      <c r="F11" s="52">
        <v>22</v>
      </c>
      <c r="G11" s="52">
        <v>88</v>
      </c>
    </row>
    <row r="12" spans="1:7" ht="27.5" customHeight="1">
      <c r="A12" s="50" t="s">
        <v>17</v>
      </c>
      <c r="B12" s="51" t="s">
        <v>142</v>
      </c>
      <c r="C12" s="66">
        <v>1</v>
      </c>
      <c r="D12" s="52">
        <v>9</v>
      </c>
      <c r="E12" s="52">
        <v>5</v>
      </c>
      <c r="F12" s="52">
        <v>3</v>
      </c>
      <c r="G12" s="52">
        <v>14</v>
      </c>
    </row>
    <row r="13" spans="1:7" ht="27.5" customHeight="1">
      <c r="A13" s="50" t="s">
        <v>17</v>
      </c>
      <c r="B13" s="51" t="s">
        <v>181</v>
      </c>
      <c r="C13" s="66">
        <v>2</v>
      </c>
      <c r="D13" s="52">
        <v>6</v>
      </c>
      <c r="E13" s="52">
        <v>3</v>
      </c>
      <c r="F13" s="52">
        <v>1</v>
      </c>
      <c r="G13" s="52">
        <v>10</v>
      </c>
    </row>
  </sheetData>
  <mergeCells count="1">
    <mergeCell ref="A1:G1"/>
  </mergeCells>
  <pageMargins left="1" right="1" top="1" bottom="1" header="0.25" footer="0.25"/>
  <pageSetup orientation="portrait"/>
  <headerFooter>
    <oddFooter>&amp;C&amp;"Helvetica Neue,Regular"&amp;12&amp;K000000&amp;P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N10"/>
  <sheetViews>
    <sheetView showGridLines="0" workbookViewId="0">
      <pane xSplit="2" ySplit="2" topLeftCell="C3" activePane="bottomRight" state="frozen"/>
      <selection pane="topRight"/>
      <selection pane="bottomLeft"/>
      <selection pane="bottomRight" activeCell="C3" sqref="C3"/>
    </sheetView>
  </sheetViews>
  <sheetFormatPr baseColWidth="10" defaultColWidth="16.33203125" defaultRowHeight="20" customHeight="1"/>
  <cols>
    <col min="1" max="2" width="10.83203125" style="5" customWidth="1"/>
    <col min="3" max="4" width="16.6640625" style="5" customWidth="1"/>
    <col min="5" max="6" width="19.1640625" style="5" customWidth="1"/>
    <col min="7" max="7" width="16.6640625" style="5" customWidth="1"/>
    <col min="8" max="8" width="28.83203125" style="5" customWidth="1"/>
    <col min="9" max="13" width="16.6640625" style="5" customWidth="1"/>
    <col min="14" max="14" width="37.33203125" style="5" customWidth="1"/>
    <col min="15" max="15" width="16.33203125" style="5" customWidth="1"/>
    <col min="16" max="16384" width="16.33203125" style="5"/>
  </cols>
  <sheetData>
    <row r="1" spans="1:14" ht="28" customHeight="1">
      <c r="A1" s="123" t="s">
        <v>117</v>
      </c>
      <c r="B1" s="123"/>
      <c r="C1" s="123"/>
      <c r="D1" s="123"/>
      <c r="E1" s="123"/>
      <c r="F1" s="123"/>
      <c r="G1" s="123"/>
      <c r="H1" s="123"/>
      <c r="I1" s="123"/>
      <c r="J1" s="123"/>
      <c r="K1" s="123"/>
      <c r="L1" s="123"/>
      <c r="M1" s="123"/>
      <c r="N1" s="123"/>
    </row>
    <row r="2" spans="1:14" ht="80" customHeight="1">
      <c r="A2" s="46" t="s">
        <v>119</v>
      </c>
      <c r="B2" s="46" t="s">
        <v>120</v>
      </c>
      <c r="C2" s="46" t="s">
        <v>121</v>
      </c>
      <c r="D2" s="46" t="s">
        <v>122</v>
      </c>
      <c r="E2" s="46" t="s">
        <v>123</v>
      </c>
      <c r="F2" s="46" t="s">
        <v>124</v>
      </c>
      <c r="G2" s="46" t="s">
        <v>125</v>
      </c>
      <c r="H2" s="46" t="s">
        <v>126</v>
      </c>
      <c r="I2" s="46" t="s">
        <v>127</v>
      </c>
      <c r="J2" s="46" t="s">
        <v>128</v>
      </c>
      <c r="K2" s="46" t="s">
        <v>129</v>
      </c>
      <c r="L2" s="46" t="s">
        <v>130</v>
      </c>
      <c r="M2" s="46" t="s">
        <v>131</v>
      </c>
      <c r="N2" s="46" t="s">
        <v>132</v>
      </c>
    </row>
    <row r="3" spans="1:14" ht="30" customHeight="1">
      <c r="A3" s="47" t="s">
        <v>16</v>
      </c>
      <c r="B3" s="48" t="s">
        <v>133</v>
      </c>
      <c r="C3" s="131" cm="1">
        <f t="array" ref="C3">SUM(E3:E10)/SUM(D3:D10)</f>
        <v>0.59375</v>
      </c>
      <c r="D3" s="49">
        <v>15</v>
      </c>
      <c r="E3" s="49">
        <v>9</v>
      </c>
      <c r="F3" s="49" cm="1">
        <f t="array" ref="F3">D3-E3</f>
        <v>6</v>
      </c>
      <c r="G3" s="126" t="s">
        <v>184</v>
      </c>
      <c r="H3" s="128" t="s">
        <v>185</v>
      </c>
      <c r="I3" s="128" t="s">
        <v>186</v>
      </c>
      <c r="J3" s="126" t="s">
        <v>15</v>
      </c>
      <c r="K3" s="126" t="s">
        <v>15</v>
      </c>
      <c r="L3" s="126" t="s">
        <v>15</v>
      </c>
      <c r="M3" s="126" t="s">
        <v>15</v>
      </c>
      <c r="N3" s="128" t="s">
        <v>187</v>
      </c>
    </row>
    <row r="4" spans="1:14" ht="30" customHeight="1">
      <c r="A4" s="50" t="s">
        <v>16</v>
      </c>
      <c r="B4" s="51" t="s">
        <v>137</v>
      </c>
      <c r="C4" s="125"/>
      <c r="D4" s="52" cm="1">
        <f t="array" ref="D4">12+2+12+4</f>
        <v>30</v>
      </c>
      <c r="E4" s="52">
        <v>9</v>
      </c>
      <c r="F4" s="52" cm="1">
        <f t="array" ref="F4">D4-E4</f>
        <v>21</v>
      </c>
      <c r="G4" s="127"/>
      <c r="H4" s="127"/>
      <c r="I4" s="127"/>
      <c r="J4" s="127"/>
      <c r="K4" s="127"/>
      <c r="L4" s="127"/>
      <c r="M4" s="127"/>
      <c r="N4" s="127"/>
    </row>
    <row r="5" spans="1:14" ht="30" customHeight="1">
      <c r="A5" s="50" t="s">
        <v>16</v>
      </c>
      <c r="B5" s="51" t="s">
        <v>138</v>
      </c>
      <c r="C5" s="125"/>
      <c r="D5" s="52">
        <v>12</v>
      </c>
      <c r="E5" s="52">
        <v>7</v>
      </c>
      <c r="F5" s="52" cm="1">
        <f t="array" ref="F5">D5-E5</f>
        <v>5</v>
      </c>
      <c r="G5" s="127"/>
      <c r="H5" s="127"/>
      <c r="I5" s="127"/>
      <c r="J5" s="127"/>
      <c r="K5" s="127"/>
      <c r="L5" s="127"/>
      <c r="M5" s="127"/>
      <c r="N5" s="127"/>
    </row>
    <row r="6" spans="1:14" ht="30" customHeight="1">
      <c r="A6" s="50" t="s">
        <v>16</v>
      </c>
      <c r="B6" s="51" t="s">
        <v>139</v>
      </c>
      <c r="C6" s="125"/>
      <c r="D6" s="52">
        <v>8</v>
      </c>
      <c r="E6" s="52">
        <v>4</v>
      </c>
      <c r="F6" s="52" cm="1">
        <f t="array" ref="F6">D6-E6</f>
        <v>4</v>
      </c>
      <c r="G6" s="127"/>
      <c r="H6" s="127"/>
      <c r="I6" s="127"/>
      <c r="J6" s="127"/>
      <c r="K6" s="127"/>
      <c r="L6" s="127"/>
      <c r="M6" s="127"/>
      <c r="N6" s="127"/>
    </row>
    <row r="7" spans="1:14" ht="30" customHeight="1">
      <c r="A7" s="50" t="s">
        <v>16</v>
      </c>
      <c r="B7" s="51" t="s">
        <v>140</v>
      </c>
      <c r="C7" s="125"/>
      <c r="D7" s="52">
        <v>25</v>
      </c>
      <c r="E7" s="52">
        <v>17</v>
      </c>
      <c r="F7" s="52" cm="1">
        <f t="array" ref="F7">D7-E7</f>
        <v>8</v>
      </c>
      <c r="G7" s="127"/>
      <c r="H7" s="127"/>
      <c r="I7" s="127"/>
      <c r="J7" s="127"/>
      <c r="K7" s="127"/>
      <c r="L7" s="127"/>
      <c r="M7" s="127"/>
      <c r="N7" s="127"/>
    </row>
    <row r="8" spans="1:14" ht="30" customHeight="1">
      <c r="A8" s="50" t="s">
        <v>16</v>
      </c>
      <c r="B8" s="51" t="s">
        <v>141</v>
      </c>
      <c r="C8" s="125"/>
      <c r="D8" s="52">
        <v>150</v>
      </c>
      <c r="E8" s="52">
        <v>86</v>
      </c>
      <c r="F8" s="52" cm="1">
        <f t="array" ref="F8">D8-E8</f>
        <v>64</v>
      </c>
      <c r="G8" s="127"/>
      <c r="H8" s="127"/>
      <c r="I8" s="127"/>
      <c r="J8" s="127"/>
      <c r="K8" s="127"/>
      <c r="L8" s="127"/>
      <c r="M8" s="127"/>
      <c r="N8" s="127"/>
    </row>
    <row r="9" spans="1:14" ht="30" customHeight="1">
      <c r="A9" s="50" t="s">
        <v>16</v>
      </c>
      <c r="B9" s="51" t="s">
        <v>142</v>
      </c>
      <c r="C9" s="125"/>
      <c r="D9" s="52">
        <v>60</v>
      </c>
      <c r="E9" s="52">
        <v>43</v>
      </c>
      <c r="F9" s="52" cm="1">
        <f t="array" ref="F9">D9-E9</f>
        <v>17</v>
      </c>
      <c r="G9" s="127"/>
      <c r="H9" s="127"/>
      <c r="I9" s="127"/>
      <c r="J9" s="127"/>
      <c r="K9" s="127"/>
      <c r="L9" s="127"/>
      <c r="M9" s="127"/>
      <c r="N9" s="127"/>
    </row>
    <row r="10" spans="1:14" ht="30" customHeight="1">
      <c r="A10" s="50" t="s">
        <v>16</v>
      </c>
      <c r="B10" s="51" t="s">
        <v>143</v>
      </c>
      <c r="C10" s="125"/>
      <c r="D10" s="52">
        <v>20</v>
      </c>
      <c r="E10" s="52">
        <v>15</v>
      </c>
      <c r="F10" s="52" cm="1">
        <f t="array" ref="F10">D10-E10</f>
        <v>5</v>
      </c>
      <c r="G10" s="127"/>
      <c r="H10" s="127"/>
      <c r="I10" s="127"/>
      <c r="J10" s="127"/>
      <c r="K10" s="127"/>
      <c r="L10" s="127"/>
      <c r="M10" s="127"/>
      <c r="N10" s="127"/>
    </row>
  </sheetData>
  <mergeCells count="10">
    <mergeCell ref="A1:N1"/>
    <mergeCell ref="G3:G10"/>
    <mergeCell ref="H3:H10"/>
    <mergeCell ref="I3:I10"/>
    <mergeCell ref="J3:J10"/>
    <mergeCell ref="K3:K10"/>
    <mergeCell ref="M3:M10"/>
    <mergeCell ref="L3:L10"/>
    <mergeCell ref="N3:N10"/>
    <mergeCell ref="C3:C10"/>
  </mergeCells>
  <pageMargins left="1" right="1" top="1" bottom="1" header="0.25" footer="0.25"/>
  <pageSetup orientation="portrait"/>
  <headerFooter>
    <oddFooter>&amp;C&amp;"Helvetica Neue,Regular"&amp;12&amp;K000000&amp;P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G13"/>
  <sheetViews>
    <sheetView showGridLines="0" workbookViewId="0">
      <pane xSplit="2" ySplit="2" topLeftCell="C3" activePane="bottomRight" state="frozen"/>
      <selection pane="topRight"/>
      <selection pane="bottomLeft"/>
      <selection pane="bottomRight" activeCell="C3" sqref="C3"/>
    </sheetView>
  </sheetViews>
  <sheetFormatPr baseColWidth="10" defaultColWidth="16.33203125" defaultRowHeight="20" customHeight="1"/>
  <cols>
    <col min="1" max="7" width="20.83203125" style="5" customWidth="1"/>
    <col min="8" max="8" width="16.33203125" style="5" customWidth="1"/>
    <col min="9" max="16384" width="16.33203125" style="5"/>
  </cols>
  <sheetData>
    <row r="1" spans="1:7" ht="28" customHeight="1">
      <c r="A1" s="123" t="s">
        <v>145</v>
      </c>
      <c r="B1" s="123"/>
      <c r="C1" s="123"/>
      <c r="D1" s="123"/>
      <c r="E1" s="123"/>
      <c r="F1" s="123"/>
      <c r="G1" s="123"/>
    </row>
    <row r="2" spans="1:7" ht="27.5" customHeight="1">
      <c r="A2" s="53" t="s">
        <v>119</v>
      </c>
      <c r="B2" s="53" t="s">
        <v>147</v>
      </c>
      <c r="C2" s="53" t="s">
        <v>148</v>
      </c>
      <c r="D2" s="53" t="s">
        <v>149</v>
      </c>
      <c r="E2" s="53" t="s">
        <v>78</v>
      </c>
      <c r="F2" s="53" t="s">
        <v>91</v>
      </c>
      <c r="G2" s="53" t="s">
        <v>48</v>
      </c>
    </row>
    <row r="3" spans="1:7" ht="27.5" customHeight="1">
      <c r="A3" s="69"/>
      <c r="B3" s="55" t="s">
        <v>34</v>
      </c>
      <c r="C3" s="56" t="s">
        <v>189</v>
      </c>
      <c r="D3" s="57" t="s">
        <v>190</v>
      </c>
      <c r="E3" s="57" t="s">
        <v>191</v>
      </c>
      <c r="F3" s="57" t="s">
        <v>192</v>
      </c>
      <c r="G3" s="57" t="s">
        <v>193</v>
      </c>
    </row>
    <row r="4" spans="1:7" ht="92.25" customHeight="1">
      <c r="A4" s="70"/>
      <c r="B4" s="51" t="s">
        <v>157</v>
      </c>
      <c r="C4" s="71" t="s">
        <v>194</v>
      </c>
      <c r="D4" s="72" t="s">
        <v>195</v>
      </c>
      <c r="E4" s="72" t="s">
        <v>196</v>
      </c>
      <c r="F4" s="72" t="s">
        <v>197</v>
      </c>
      <c r="G4" s="72" t="s">
        <v>198</v>
      </c>
    </row>
    <row r="5" spans="1:7" ht="27.5" customHeight="1">
      <c r="A5" s="73"/>
      <c r="B5" s="61" t="s">
        <v>163</v>
      </c>
      <c r="C5" s="62">
        <v>111</v>
      </c>
      <c r="D5" s="63" cm="1">
        <f t="array" ref="D5">4+54</f>
        <v>58</v>
      </c>
      <c r="E5" s="63" cm="1">
        <f t="array" ref="E5">120+12*4+8</f>
        <v>176</v>
      </c>
      <c r="F5" s="63">
        <v>15</v>
      </c>
      <c r="G5" s="63" cm="1">
        <f t="array" ref="G5">189+219</f>
        <v>408</v>
      </c>
    </row>
    <row r="6" spans="1:7" ht="27.5" customHeight="1">
      <c r="A6" s="69"/>
      <c r="B6" s="55" t="s">
        <v>133</v>
      </c>
      <c r="C6" s="64">
        <v>2</v>
      </c>
      <c r="D6" s="65">
        <v>1</v>
      </c>
      <c r="E6" s="65">
        <v>2</v>
      </c>
      <c r="F6" s="65">
        <v>1</v>
      </c>
      <c r="G6" s="65">
        <v>3</v>
      </c>
    </row>
    <row r="7" spans="1:7" ht="27.5" customHeight="1">
      <c r="A7" s="70"/>
      <c r="B7" s="51" t="s">
        <v>137</v>
      </c>
      <c r="C7" s="66">
        <v>2</v>
      </c>
      <c r="D7" s="52">
        <v>1</v>
      </c>
      <c r="E7" s="52">
        <v>2</v>
      </c>
      <c r="F7" s="52">
        <v>1</v>
      </c>
      <c r="G7" s="52">
        <v>3</v>
      </c>
    </row>
    <row r="8" spans="1:7" ht="27.5" customHeight="1">
      <c r="A8" s="70"/>
      <c r="B8" s="51" t="s">
        <v>138</v>
      </c>
      <c r="C8" s="66">
        <v>2</v>
      </c>
      <c r="D8" s="52">
        <v>1</v>
      </c>
      <c r="E8" s="52">
        <v>1</v>
      </c>
      <c r="F8" s="52">
        <v>1</v>
      </c>
      <c r="G8" s="52">
        <v>2</v>
      </c>
    </row>
    <row r="9" spans="1:7" ht="27.5" customHeight="1">
      <c r="A9" s="70"/>
      <c r="B9" s="51" t="s">
        <v>139</v>
      </c>
      <c r="C9" s="66">
        <v>1</v>
      </c>
      <c r="D9" s="52">
        <v>0</v>
      </c>
      <c r="E9" s="52">
        <v>1</v>
      </c>
      <c r="F9" s="52">
        <v>0</v>
      </c>
      <c r="G9" s="52">
        <v>2</v>
      </c>
    </row>
    <row r="10" spans="1:7" ht="27.5" customHeight="1">
      <c r="A10" s="70"/>
      <c r="B10" s="51" t="s">
        <v>140</v>
      </c>
      <c r="C10" s="66">
        <v>3</v>
      </c>
      <c r="D10" s="52">
        <v>2</v>
      </c>
      <c r="E10" s="52">
        <v>1</v>
      </c>
      <c r="F10" s="52">
        <v>1</v>
      </c>
      <c r="G10" s="52">
        <v>10</v>
      </c>
    </row>
    <row r="11" spans="1:7" ht="27.5" customHeight="1">
      <c r="A11" s="70"/>
      <c r="B11" s="51" t="s">
        <v>141</v>
      </c>
      <c r="C11" s="66">
        <v>13</v>
      </c>
      <c r="D11" s="52">
        <v>3</v>
      </c>
      <c r="E11" s="52">
        <v>5</v>
      </c>
      <c r="F11" s="52">
        <v>2</v>
      </c>
      <c r="G11" s="52" cm="1">
        <f t="array" ref="G11">38+25</f>
        <v>63</v>
      </c>
    </row>
    <row r="12" spans="1:7" ht="27.5" customHeight="1">
      <c r="A12" s="70"/>
      <c r="B12" s="51" t="s">
        <v>142</v>
      </c>
      <c r="C12" s="66">
        <v>5</v>
      </c>
      <c r="D12" s="52">
        <v>2</v>
      </c>
      <c r="E12" s="52">
        <v>2</v>
      </c>
      <c r="F12" s="52">
        <v>1</v>
      </c>
      <c r="G12" s="52" cm="1">
        <f t="array" ref="G12">18+15</f>
        <v>33</v>
      </c>
    </row>
    <row r="13" spans="1:7" ht="27.5" customHeight="1">
      <c r="A13" s="70"/>
      <c r="B13" s="51" t="s">
        <v>143</v>
      </c>
      <c r="C13" s="66">
        <v>2</v>
      </c>
      <c r="D13" s="52">
        <v>1</v>
      </c>
      <c r="E13" s="52">
        <v>1</v>
      </c>
      <c r="F13" s="52">
        <v>1</v>
      </c>
      <c r="G13" s="52">
        <v>10</v>
      </c>
    </row>
  </sheetData>
  <mergeCells count="1">
    <mergeCell ref="A1:G1"/>
  </mergeCells>
  <pageMargins left="1" right="1" top="1" bottom="1" header="0.25" footer="0.25"/>
  <pageSetup orientation="portrait"/>
  <headerFooter>
    <oddFooter>&amp;C&amp;"Helvetica Neue,Regular"&amp;12&amp;K000000&amp;P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P10"/>
  <sheetViews>
    <sheetView showGridLines="0" workbookViewId="0">
      <pane xSplit="2" ySplit="2" topLeftCell="C3" activePane="bottomRight" state="frozen"/>
      <selection pane="topRight"/>
      <selection pane="bottomLeft"/>
      <selection pane="bottomRight" activeCell="C3" sqref="C3"/>
    </sheetView>
  </sheetViews>
  <sheetFormatPr baseColWidth="10" defaultColWidth="16.33203125" defaultRowHeight="20" customHeight="1"/>
  <cols>
    <col min="1" max="2" width="10.83203125" style="5" customWidth="1"/>
    <col min="3" max="4" width="16.6640625" style="5" customWidth="1"/>
    <col min="5" max="6" width="19.1640625" style="5" customWidth="1"/>
    <col min="7" max="9" width="16.6640625" style="5" customWidth="1"/>
    <col min="10" max="10" width="36" style="5" customWidth="1"/>
    <col min="11" max="11" width="34.83203125" style="5" customWidth="1"/>
    <col min="12" max="12" width="39.5" style="5" customWidth="1"/>
    <col min="13" max="15" width="16.6640625" style="5" customWidth="1"/>
    <col min="16" max="16" width="37.33203125" style="5" customWidth="1"/>
    <col min="17" max="17" width="16.33203125" style="5" customWidth="1"/>
    <col min="18" max="16384" width="16.33203125" style="5"/>
  </cols>
  <sheetData>
    <row r="1" spans="1:16" ht="28" customHeight="1">
      <c r="A1" s="123" t="s">
        <v>117</v>
      </c>
      <c r="B1" s="123"/>
      <c r="C1" s="123"/>
      <c r="D1" s="123"/>
      <c r="E1" s="123"/>
      <c r="F1" s="123"/>
      <c r="G1" s="123"/>
      <c r="H1" s="123"/>
      <c r="I1" s="123"/>
      <c r="J1" s="123"/>
      <c r="K1" s="123"/>
      <c r="L1" s="123"/>
      <c r="M1" s="123"/>
      <c r="N1" s="123"/>
      <c r="O1" s="123"/>
      <c r="P1" s="123"/>
    </row>
    <row r="2" spans="1:16" ht="68.5" customHeight="1">
      <c r="A2" s="46" t="s">
        <v>119</v>
      </c>
      <c r="B2" s="46" t="s">
        <v>120</v>
      </c>
      <c r="C2" s="46" t="s">
        <v>121</v>
      </c>
      <c r="D2" s="46" t="s">
        <v>122</v>
      </c>
      <c r="E2" s="46" t="s">
        <v>123</v>
      </c>
      <c r="F2" s="46" t="s">
        <v>124</v>
      </c>
      <c r="G2" s="74" t="s">
        <v>201</v>
      </c>
      <c r="H2" s="75" t="s">
        <v>202</v>
      </c>
      <c r="I2" s="46" t="s">
        <v>125</v>
      </c>
      <c r="J2" s="46" t="s">
        <v>126</v>
      </c>
      <c r="K2" s="46" t="s">
        <v>127</v>
      </c>
      <c r="L2" s="46" t="s">
        <v>128</v>
      </c>
      <c r="M2" s="46" t="s">
        <v>129</v>
      </c>
      <c r="N2" s="46" t="s">
        <v>130</v>
      </c>
      <c r="O2" s="46" t="s">
        <v>131</v>
      </c>
      <c r="P2" s="46" t="s">
        <v>132</v>
      </c>
    </row>
    <row r="3" spans="1:16" ht="26.75" customHeight="1">
      <c r="A3" s="47" t="s">
        <v>14</v>
      </c>
      <c r="B3" s="48" t="s">
        <v>203</v>
      </c>
      <c r="C3" s="130" cm="1">
        <f t="array" ref="C3">SUM(E3:E7)/SUM(D3:D7)</f>
        <v>0.49079754601226994</v>
      </c>
      <c r="D3" s="49">
        <v>31</v>
      </c>
      <c r="E3" s="49">
        <v>15</v>
      </c>
      <c r="F3" s="49" cm="1">
        <f t="array" ref="F3">D3-E3</f>
        <v>16</v>
      </c>
      <c r="G3" s="76" cm="1">
        <f t="array" ref="G3">SUM('Y2027 NPI - Cencorp (Rick) - Y2'!C6:J6)</f>
        <v>8.5</v>
      </c>
      <c r="H3" s="77" cm="1">
        <f t="array" ref="H3">F3-G3</f>
        <v>7.5</v>
      </c>
      <c r="I3" s="126" t="s">
        <v>204</v>
      </c>
      <c r="J3" s="126" t="s">
        <v>205</v>
      </c>
      <c r="K3" s="128" t="s">
        <v>206</v>
      </c>
      <c r="L3" s="126" t="s">
        <v>207</v>
      </c>
      <c r="M3" s="126" t="s">
        <v>15</v>
      </c>
      <c r="N3" s="126" t="s">
        <v>15</v>
      </c>
      <c r="O3" s="126" t="s">
        <v>15</v>
      </c>
      <c r="P3" s="132"/>
    </row>
    <row r="4" spans="1:16" ht="26.75" customHeight="1">
      <c r="A4" s="50" t="s">
        <v>14</v>
      </c>
      <c r="B4" s="51" t="s">
        <v>137</v>
      </c>
      <c r="C4" s="125"/>
      <c r="D4" s="52">
        <v>43</v>
      </c>
      <c r="E4" s="52">
        <v>21.5</v>
      </c>
      <c r="F4" s="52" cm="1">
        <f t="array" ref="F4">D4-E4</f>
        <v>21.5</v>
      </c>
      <c r="G4" s="78" cm="1">
        <f t="array" ref="G4">SUM('Y2027 NPI - Cencorp (Rick) - Y2'!C7:J7)</f>
        <v>15</v>
      </c>
      <c r="H4" s="79" cm="1">
        <f t="array" ref="H4">F4-G4</f>
        <v>6.5</v>
      </c>
      <c r="I4" s="127"/>
      <c r="J4" s="127"/>
      <c r="K4" s="127"/>
      <c r="L4" s="127"/>
      <c r="M4" s="127"/>
      <c r="N4" s="127"/>
      <c r="O4" s="127"/>
      <c r="P4" s="127"/>
    </row>
    <row r="5" spans="1:16" ht="26.75" customHeight="1">
      <c r="A5" s="50" t="s">
        <v>14</v>
      </c>
      <c r="B5" s="51" t="s">
        <v>138</v>
      </c>
      <c r="C5" s="125"/>
      <c r="D5" s="52">
        <v>36</v>
      </c>
      <c r="E5" s="52">
        <v>20</v>
      </c>
      <c r="F5" s="52" cm="1">
        <f t="array" ref="F5">D5-E5</f>
        <v>16</v>
      </c>
      <c r="G5" s="78" cm="1">
        <f t="array" ref="G5">SUM('Y2027 NPI - Cencorp (Rick) - Y2'!C8:J8)</f>
        <v>12</v>
      </c>
      <c r="H5" s="79" cm="1">
        <f t="array" ref="H5">F5-G5</f>
        <v>4</v>
      </c>
      <c r="I5" s="127"/>
      <c r="J5" s="127"/>
      <c r="K5" s="127"/>
      <c r="L5" s="127"/>
      <c r="M5" s="127"/>
      <c r="N5" s="127"/>
      <c r="O5" s="127"/>
      <c r="P5" s="127"/>
    </row>
    <row r="6" spans="1:16" ht="26.75" customHeight="1">
      <c r="A6" s="50" t="s">
        <v>14</v>
      </c>
      <c r="B6" s="51" t="s">
        <v>139</v>
      </c>
      <c r="C6" s="125"/>
      <c r="D6" s="52">
        <v>20</v>
      </c>
      <c r="E6" s="52">
        <v>5</v>
      </c>
      <c r="F6" s="52" cm="1">
        <f t="array" ref="F6">D6-E6</f>
        <v>15</v>
      </c>
      <c r="G6" s="78" cm="1">
        <f t="array" ref="G6">SUM('Y2027 NPI - Cencorp (Rick) - Y2'!C9:J9)</f>
        <v>3.5</v>
      </c>
      <c r="H6" s="79" cm="1">
        <f t="array" ref="H6">F6-G6</f>
        <v>11.5</v>
      </c>
      <c r="I6" s="127"/>
      <c r="J6" s="127"/>
      <c r="K6" s="127"/>
      <c r="L6" s="127"/>
      <c r="M6" s="127"/>
      <c r="N6" s="127"/>
      <c r="O6" s="127"/>
      <c r="P6" s="127"/>
    </row>
    <row r="7" spans="1:16" ht="26.75" customHeight="1">
      <c r="A7" s="50" t="s">
        <v>14</v>
      </c>
      <c r="B7" s="51" t="s">
        <v>140</v>
      </c>
      <c r="C7" s="125"/>
      <c r="D7" s="52">
        <v>33</v>
      </c>
      <c r="E7" s="52">
        <v>18.5</v>
      </c>
      <c r="F7" s="52" cm="1">
        <f t="array" ref="F7">D7-E7</f>
        <v>14.5</v>
      </c>
      <c r="G7" s="78" cm="1">
        <f t="array" ref="G7">SUM('Y2027 NPI - Cencorp (Rick) - Y2'!C10:J10)</f>
        <v>10</v>
      </c>
      <c r="H7" s="79" cm="1">
        <f t="array" ref="H7">F7-G7</f>
        <v>4.5</v>
      </c>
      <c r="I7" s="127"/>
      <c r="J7" s="127"/>
      <c r="K7" s="127"/>
      <c r="L7" s="127"/>
      <c r="M7" s="127"/>
      <c r="N7" s="127"/>
      <c r="O7" s="127"/>
      <c r="P7" s="127"/>
    </row>
    <row r="8" spans="1:16" ht="26.75" customHeight="1">
      <c r="A8" s="50" t="s">
        <v>14</v>
      </c>
      <c r="B8" s="51" t="s">
        <v>141</v>
      </c>
      <c r="C8" s="133" cm="1">
        <f t="array" ref="C8">SUM(E8:E9)/SUM(D8:D9)</f>
        <v>0.74484536082474229</v>
      </c>
      <c r="D8" s="52">
        <v>268</v>
      </c>
      <c r="E8" s="52">
        <v>232</v>
      </c>
      <c r="F8" s="52" cm="1">
        <f t="array" ref="F8">D8-E8</f>
        <v>36</v>
      </c>
      <c r="G8" s="12"/>
      <c r="H8" s="12"/>
      <c r="I8" s="127"/>
      <c r="J8" s="127"/>
      <c r="K8" s="127"/>
      <c r="L8" s="127"/>
      <c r="M8" s="127"/>
      <c r="N8" s="127"/>
      <c r="O8" s="127"/>
      <c r="P8" s="127"/>
    </row>
    <row r="9" spans="1:16" ht="26.75" customHeight="1">
      <c r="A9" s="50" t="s">
        <v>14</v>
      </c>
      <c r="B9" s="51" t="s">
        <v>142</v>
      </c>
      <c r="C9" s="125"/>
      <c r="D9" s="52">
        <v>120</v>
      </c>
      <c r="E9" s="52">
        <v>57</v>
      </c>
      <c r="F9" s="52" cm="1">
        <f t="array" ref="F9">D9-E9</f>
        <v>63</v>
      </c>
      <c r="G9" s="68"/>
      <c r="H9" s="12"/>
      <c r="I9" s="127"/>
      <c r="J9" s="127"/>
      <c r="K9" s="127"/>
      <c r="L9" s="127"/>
      <c r="M9" s="127"/>
      <c r="N9" s="127"/>
      <c r="O9" s="127"/>
      <c r="P9" s="127"/>
    </row>
    <row r="10" spans="1:16" ht="26.75" customHeight="1">
      <c r="A10" s="50" t="s">
        <v>14</v>
      </c>
      <c r="B10" s="51" t="s">
        <v>143</v>
      </c>
      <c r="C10" s="80" cm="1">
        <f t="array" ref="C10">SUM(E10)/SUM(D10)</f>
        <v>0.76</v>
      </c>
      <c r="D10" s="52">
        <v>25</v>
      </c>
      <c r="E10" s="52">
        <v>19</v>
      </c>
      <c r="F10" s="52" cm="1">
        <f t="array" ref="F10">D10-E10</f>
        <v>6</v>
      </c>
      <c r="G10" s="78" cm="1">
        <f t="array" ref="G10">SUM('Y2027 NPI - Cencorp (Rick) - Y2'!C11:J11)</f>
        <v>5.5</v>
      </c>
      <c r="H10" s="79" cm="1">
        <f t="array" ref="H10">F10-G10</f>
        <v>0.5</v>
      </c>
      <c r="I10" s="127"/>
      <c r="J10" s="127"/>
      <c r="K10" s="127"/>
      <c r="L10" s="127"/>
      <c r="M10" s="127"/>
      <c r="N10" s="127"/>
      <c r="O10" s="127"/>
      <c r="P10" s="127"/>
    </row>
  </sheetData>
  <mergeCells count="11">
    <mergeCell ref="A1:P1"/>
    <mergeCell ref="I3:I10"/>
    <mergeCell ref="J3:J10"/>
    <mergeCell ref="K3:K10"/>
    <mergeCell ref="L3:L10"/>
    <mergeCell ref="M3:M10"/>
    <mergeCell ref="O3:O10"/>
    <mergeCell ref="N3:N10"/>
    <mergeCell ref="P3:P10"/>
    <mergeCell ref="C3:C7"/>
    <mergeCell ref="C8:C9"/>
  </mergeCells>
  <pageMargins left="0.5" right="0.5" top="0.75" bottom="0.75" header="0.27777800000000002" footer="0.27777800000000002"/>
  <pageSetup scale="72" orientation="portrait"/>
  <headerFooter>
    <oddFooter>&amp;C&amp;"Helvetica Neue,Regular"&amp;12&amp;K000000&amp;P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11"/>
  <sheetViews>
    <sheetView showGridLines="0" workbookViewId="0">
      <pane xSplit="2" ySplit="2" topLeftCell="C3" activePane="bottomRight" state="frozen"/>
      <selection pane="topRight"/>
      <selection pane="bottomLeft"/>
      <selection pane="bottomRight" activeCell="C3" sqref="C3"/>
    </sheetView>
  </sheetViews>
  <sheetFormatPr baseColWidth="10" defaultColWidth="16.33203125" defaultRowHeight="20" customHeight="1"/>
  <cols>
    <col min="1" max="1" width="12.33203125" style="5" customWidth="1"/>
    <col min="2" max="10" width="20.83203125" style="5" customWidth="1"/>
    <col min="11" max="11" width="16.33203125" style="5" customWidth="1"/>
    <col min="12" max="16384" width="16.33203125" style="5"/>
  </cols>
  <sheetData>
    <row r="1" spans="1:10" ht="28" customHeight="1">
      <c r="A1" s="134" t="s">
        <v>208</v>
      </c>
      <c r="B1" s="134"/>
      <c r="C1" s="134"/>
      <c r="D1" s="134"/>
      <c r="E1" s="134"/>
      <c r="F1" s="134"/>
      <c r="G1" s="134"/>
      <c r="H1" s="134"/>
      <c r="I1" s="134"/>
      <c r="J1" s="134"/>
    </row>
    <row r="2" spans="1:10" ht="27.5" customHeight="1">
      <c r="A2" s="53" t="s">
        <v>119</v>
      </c>
      <c r="B2" s="53" t="s">
        <v>147</v>
      </c>
      <c r="C2" s="53" t="s">
        <v>148</v>
      </c>
      <c r="D2" s="53" t="s">
        <v>148</v>
      </c>
      <c r="E2" s="53" t="s">
        <v>149</v>
      </c>
      <c r="F2" s="53" t="s">
        <v>91</v>
      </c>
      <c r="G2" s="53" t="s">
        <v>91</v>
      </c>
      <c r="H2" s="53" t="s">
        <v>48</v>
      </c>
      <c r="I2" s="53" t="s">
        <v>48</v>
      </c>
      <c r="J2" s="53" t="s">
        <v>48</v>
      </c>
    </row>
    <row r="3" spans="1:10" ht="35.25" customHeight="1">
      <c r="A3" s="54" t="s">
        <v>14</v>
      </c>
      <c r="B3" s="55" t="s">
        <v>34</v>
      </c>
      <c r="C3" s="56" t="s">
        <v>100</v>
      </c>
      <c r="D3" s="57" t="s">
        <v>210</v>
      </c>
      <c r="E3" s="57" t="s">
        <v>211</v>
      </c>
      <c r="F3" s="57" t="s">
        <v>89</v>
      </c>
      <c r="G3" s="57" t="s">
        <v>89</v>
      </c>
      <c r="H3" s="57" t="s">
        <v>46</v>
      </c>
      <c r="I3" s="57" t="s">
        <v>46</v>
      </c>
      <c r="J3" s="57" t="s">
        <v>46</v>
      </c>
    </row>
    <row r="4" spans="1:10" ht="27.75" customHeight="1">
      <c r="A4" s="50" t="s">
        <v>14</v>
      </c>
      <c r="B4" s="51" t="s">
        <v>157</v>
      </c>
      <c r="C4" s="58" t="s">
        <v>212</v>
      </c>
      <c r="D4" s="59" t="s">
        <v>213</v>
      </c>
      <c r="E4" s="59" t="s">
        <v>214</v>
      </c>
      <c r="F4" s="59" t="s">
        <v>215</v>
      </c>
      <c r="G4" s="59" t="s">
        <v>216</v>
      </c>
      <c r="H4" s="59" t="s">
        <v>217</v>
      </c>
      <c r="I4" s="59" t="s">
        <v>218</v>
      </c>
      <c r="J4" s="59" t="s">
        <v>219</v>
      </c>
    </row>
    <row r="5" spans="1:10" ht="30.25" customHeight="1">
      <c r="A5" s="60" t="s">
        <v>14</v>
      </c>
      <c r="B5" s="61" t="s">
        <v>163</v>
      </c>
      <c r="C5" s="81" t="s">
        <v>220</v>
      </c>
      <c r="D5" s="82" t="s">
        <v>220</v>
      </c>
      <c r="E5" s="82" t="s">
        <v>220</v>
      </c>
      <c r="F5" s="82" t="s">
        <v>220</v>
      </c>
      <c r="G5" s="82" t="s">
        <v>220</v>
      </c>
      <c r="H5" s="82" t="s">
        <v>220</v>
      </c>
      <c r="I5" s="82" t="s">
        <v>220</v>
      </c>
      <c r="J5" s="82" t="s">
        <v>220</v>
      </c>
    </row>
    <row r="6" spans="1:10" ht="22" customHeight="1">
      <c r="A6" s="54" t="s">
        <v>14</v>
      </c>
      <c r="B6" s="55" t="s">
        <v>133</v>
      </c>
      <c r="C6" s="64">
        <v>2.5</v>
      </c>
      <c r="D6" s="65">
        <v>1.5</v>
      </c>
      <c r="E6" s="65">
        <v>1</v>
      </c>
      <c r="F6" s="65">
        <v>0.5</v>
      </c>
      <c r="G6" s="65">
        <v>0.5</v>
      </c>
      <c r="H6" s="65">
        <v>0.5</v>
      </c>
      <c r="I6" s="65">
        <v>1</v>
      </c>
      <c r="J6" s="65">
        <v>1</v>
      </c>
    </row>
    <row r="7" spans="1:10" ht="22" customHeight="1">
      <c r="A7" s="50" t="s">
        <v>14</v>
      </c>
      <c r="B7" s="51" t="s">
        <v>137</v>
      </c>
      <c r="C7" s="66">
        <v>3</v>
      </c>
      <c r="D7" s="52">
        <v>3</v>
      </c>
      <c r="E7" s="52">
        <v>2</v>
      </c>
      <c r="F7" s="52">
        <v>1</v>
      </c>
      <c r="G7" s="52">
        <v>1</v>
      </c>
      <c r="H7" s="52">
        <v>1</v>
      </c>
      <c r="I7" s="52">
        <v>3</v>
      </c>
      <c r="J7" s="52">
        <v>1</v>
      </c>
    </row>
    <row r="8" spans="1:10" ht="22" customHeight="1">
      <c r="A8" s="50" t="s">
        <v>14</v>
      </c>
      <c r="B8" s="51" t="s">
        <v>138</v>
      </c>
      <c r="C8" s="66">
        <v>3</v>
      </c>
      <c r="D8" s="52">
        <v>3</v>
      </c>
      <c r="E8" s="52">
        <v>1</v>
      </c>
      <c r="F8" s="52">
        <v>0.7</v>
      </c>
      <c r="G8" s="52">
        <v>0.3</v>
      </c>
      <c r="H8" s="52">
        <v>1</v>
      </c>
      <c r="I8" s="52">
        <v>2</v>
      </c>
      <c r="J8" s="52">
        <v>1</v>
      </c>
    </row>
    <row r="9" spans="1:10" ht="22" customHeight="1">
      <c r="A9" s="50" t="s">
        <v>14</v>
      </c>
      <c r="B9" s="51" t="s">
        <v>139</v>
      </c>
      <c r="C9" s="66">
        <v>0.5</v>
      </c>
      <c r="D9" s="52">
        <v>0.5</v>
      </c>
      <c r="E9" s="52">
        <v>0.5</v>
      </c>
      <c r="F9" s="52">
        <v>0.3</v>
      </c>
      <c r="G9" s="52">
        <v>0.2</v>
      </c>
      <c r="H9" s="52">
        <v>0.5</v>
      </c>
      <c r="I9" s="52">
        <v>0.5</v>
      </c>
      <c r="J9" s="52">
        <v>0.5</v>
      </c>
    </row>
    <row r="10" spans="1:10" ht="22" customHeight="1">
      <c r="A10" s="50" t="s">
        <v>14</v>
      </c>
      <c r="B10" s="51" t="s">
        <v>140</v>
      </c>
      <c r="C10" s="66">
        <v>2.5</v>
      </c>
      <c r="D10" s="52">
        <v>1.5</v>
      </c>
      <c r="E10" s="52">
        <v>1</v>
      </c>
      <c r="F10" s="52">
        <v>0.5</v>
      </c>
      <c r="G10" s="52">
        <v>0.5</v>
      </c>
      <c r="H10" s="52">
        <v>1</v>
      </c>
      <c r="I10" s="52">
        <v>2</v>
      </c>
      <c r="J10" s="52">
        <v>1</v>
      </c>
    </row>
    <row r="11" spans="1:10" ht="22" customHeight="1">
      <c r="A11" s="50" t="s">
        <v>14</v>
      </c>
      <c r="B11" s="51" t="s">
        <v>143</v>
      </c>
      <c r="C11" s="66">
        <v>1.5</v>
      </c>
      <c r="D11" s="52">
        <v>1</v>
      </c>
      <c r="E11" s="52">
        <v>0.5</v>
      </c>
      <c r="F11" s="52">
        <v>0.5</v>
      </c>
      <c r="G11" s="52">
        <v>0.5</v>
      </c>
      <c r="H11" s="52">
        <v>0.5</v>
      </c>
      <c r="I11" s="52">
        <v>0.5</v>
      </c>
      <c r="J11" s="52">
        <v>0.5</v>
      </c>
    </row>
  </sheetData>
  <mergeCells count="1">
    <mergeCell ref="A1:J1"/>
  </mergeCells>
  <pageMargins left="0.5" right="0.5" top="0.75" bottom="0.75" header="0.27777800000000002" footer="0.27777800000000002"/>
  <pageSetup scale="72" orientation="portrait"/>
  <headerFooter>
    <oddFooter>&amp;C&amp;"Helvetica Neue,Regular"&amp;12&amp;K000000&amp;P</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G13"/>
  <sheetViews>
    <sheetView showGridLines="0" workbookViewId="0">
      <pane xSplit="2" ySplit="2" topLeftCell="C3" activePane="bottomRight" state="frozen"/>
      <selection pane="topRight"/>
      <selection pane="bottomLeft"/>
      <selection pane="bottomRight" activeCell="C3" sqref="C3"/>
    </sheetView>
  </sheetViews>
  <sheetFormatPr baseColWidth="10" defaultColWidth="16.33203125" defaultRowHeight="20" customHeight="1"/>
  <cols>
    <col min="1" max="1" width="21.6640625" style="5" customWidth="1"/>
    <col min="2" max="6" width="20.83203125" style="5" customWidth="1"/>
    <col min="7" max="7" width="21" style="5" customWidth="1"/>
    <col min="8" max="8" width="16.33203125" style="5" customWidth="1"/>
    <col min="9" max="16384" width="16.33203125" style="5"/>
  </cols>
  <sheetData>
    <row r="1" spans="1:7" ht="28" customHeight="1">
      <c r="A1" s="135" t="s">
        <v>221</v>
      </c>
      <c r="B1" s="135"/>
      <c r="C1" s="135"/>
      <c r="D1" s="135"/>
      <c r="E1" s="135"/>
      <c r="F1" s="135"/>
      <c r="G1" s="135"/>
    </row>
    <row r="2" spans="1:7" ht="27.5" customHeight="1">
      <c r="A2" s="53" t="s">
        <v>119</v>
      </c>
      <c r="B2" s="53" t="s">
        <v>147</v>
      </c>
      <c r="C2" s="53" t="s">
        <v>148</v>
      </c>
      <c r="D2" s="53" t="s">
        <v>149</v>
      </c>
      <c r="E2" s="53" t="s">
        <v>78</v>
      </c>
      <c r="F2" s="53" t="s">
        <v>91</v>
      </c>
      <c r="G2" s="53" t="s">
        <v>48</v>
      </c>
    </row>
    <row r="3" spans="1:7" ht="27.5" customHeight="1">
      <c r="A3" s="54" t="s">
        <v>14</v>
      </c>
      <c r="B3" s="55" t="s">
        <v>34</v>
      </c>
      <c r="C3" s="56" t="s">
        <v>223</v>
      </c>
      <c r="D3" s="83"/>
      <c r="E3" s="83"/>
      <c r="F3" s="57" t="s">
        <v>174</v>
      </c>
      <c r="G3" s="57" t="s">
        <v>224</v>
      </c>
    </row>
    <row r="4" spans="1:7" ht="200.25" customHeight="1">
      <c r="A4" s="50" t="s">
        <v>14</v>
      </c>
      <c r="B4" s="51" t="s">
        <v>157</v>
      </c>
      <c r="C4" s="58" t="s">
        <v>225</v>
      </c>
      <c r="D4" s="68"/>
      <c r="E4" s="68"/>
      <c r="F4" s="59" t="s">
        <v>226</v>
      </c>
      <c r="G4" s="59" t="s">
        <v>227</v>
      </c>
    </row>
    <row r="5" spans="1:7" ht="129.25" customHeight="1">
      <c r="A5" s="60" t="s">
        <v>14</v>
      </c>
      <c r="B5" s="61" t="s">
        <v>163</v>
      </c>
      <c r="C5" s="81" t="s">
        <v>228</v>
      </c>
      <c r="D5" s="84"/>
      <c r="E5" s="84"/>
      <c r="F5" s="82" t="s">
        <v>229</v>
      </c>
      <c r="G5" s="82" t="s">
        <v>230</v>
      </c>
    </row>
    <row r="6" spans="1:7" ht="27.5" customHeight="1">
      <c r="A6" s="54" t="s">
        <v>14</v>
      </c>
      <c r="B6" s="55" t="s">
        <v>133</v>
      </c>
      <c r="C6" s="64">
        <v>6</v>
      </c>
      <c r="D6" s="83"/>
      <c r="E6" s="83"/>
      <c r="F6" s="65">
        <v>1</v>
      </c>
      <c r="G6" s="65">
        <v>8</v>
      </c>
    </row>
    <row r="7" spans="1:7" ht="27.5" customHeight="1">
      <c r="A7" s="50" t="s">
        <v>14</v>
      </c>
      <c r="B7" s="51" t="s">
        <v>137</v>
      </c>
      <c r="C7" s="66">
        <v>8.5</v>
      </c>
      <c r="D7" s="68"/>
      <c r="E7" s="68"/>
      <c r="F7" s="52">
        <v>3</v>
      </c>
      <c r="G7" s="52">
        <v>10</v>
      </c>
    </row>
    <row r="8" spans="1:7" ht="27.5" customHeight="1">
      <c r="A8" s="50" t="s">
        <v>14</v>
      </c>
      <c r="B8" s="51" t="s">
        <v>138</v>
      </c>
      <c r="C8" s="66">
        <v>9</v>
      </c>
      <c r="D8" s="68"/>
      <c r="E8" s="68"/>
      <c r="F8" s="52">
        <v>2</v>
      </c>
      <c r="G8" s="52">
        <v>9</v>
      </c>
    </row>
    <row r="9" spans="1:7" ht="27.5" customHeight="1">
      <c r="A9" s="50" t="s">
        <v>14</v>
      </c>
      <c r="B9" s="51" t="s">
        <v>139</v>
      </c>
      <c r="C9" s="66">
        <v>1</v>
      </c>
      <c r="D9" s="68"/>
      <c r="E9" s="68"/>
      <c r="F9" s="52">
        <v>1</v>
      </c>
      <c r="G9" s="52">
        <v>3</v>
      </c>
    </row>
    <row r="10" spans="1:7" ht="27.5" customHeight="1">
      <c r="A10" s="50" t="s">
        <v>14</v>
      </c>
      <c r="B10" s="51" t="s">
        <v>140</v>
      </c>
      <c r="C10" s="66">
        <v>7.5</v>
      </c>
      <c r="D10" s="68"/>
      <c r="E10" s="68"/>
      <c r="F10" s="52">
        <v>1</v>
      </c>
      <c r="G10" s="52">
        <v>10</v>
      </c>
    </row>
    <row r="11" spans="1:7" ht="27.5" customHeight="1">
      <c r="A11" s="50" t="s">
        <v>14</v>
      </c>
      <c r="B11" s="51" t="s">
        <v>141</v>
      </c>
      <c r="C11" s="67"/>
      <c r="D11" s="68"/>
      <c r="E11" s="68"/>
      <c r="F11" s="68"/>
      <c r="G11" s="68"/>
    </row>
    <row r="12" spans="1:7" ht="27.5" customHeight="1">
      <c r="A12" s="50" t="s">
        <v>14</v>
      </c>
      <c r="B12" s="51" t="s">
        <v>142</v>
      </c>
      <c r="C12" s="67"/>
      <c r="D12" s="68"/>
      <c r="E12" s="68"/>
      <c r="F12" s="68"/>
      <c r="G12" s="68"/>
    </row>
    <row r="13" spans="1:7" ht="27.5" customHeight="1">
      <c r="A13" s="50" t="s">
        <v>14</v>
      </c>
      <c r="B13" s="51" t="s">
        <v>143</v>
      </c>
      <c r="C13" s="66">
        <v>5</v>
      </c>
      <c r="D13" s="68"/>
      <c r="E13" s="68"/>
      <c r="F13" s="52">
        <v>2</v>
      </c>
      <c r="G13" s="52">
        <v>12</v>
      </c>
    </row>
  </sheetData>
  <mergeCells count="1">
    <mergeCell ref="A1:G1"/>
  </mergeCells>
  <pageMargins left="0.5" right="0.5" top="0.75" bottom="0.75" header="0.27777800000000002" footer="0.27777800000000002"/>
  <pageSetup scale="72" orientation="portrait"/>
  <headerFooter>
    <oddFooter>&amp;C&amp;"Helvetica Neue,Regular"&amp;12&amp;K000000&amp;P</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G17"/>
  <sheetViews>
    <sheetView showGridLines="0" workbookViewId="0">
      <pane xSplit="1" ySplit="2" topLeftCell="B3" activePane="bottomRight" state="frozen"/>
      <selection pane="topRight"/>
      <selection pane="bottomLeft"/>
      <selection pane="bottomRight" activeCell="B3" sqref="B3"/>
    </sheetView>
  </sheetViews>
  <sheetFormatPr baseColWidth="10" defaultColWidth="16.33203125" defaultRowHeight="20" customHeight="1"/>
  <cols>
    <col min="1" max="7" width="18.1640625" style="5" customWidth="1"/>
    <col min="8" max="8" width="16.33203125" style="5" customWidth="1"/>
    <col min="9" max="16384" width="16.33203125" style="5"/>
  </cols>
  <sheetData>
    <row r="1" spans="1:7" ht="28.75" customHeight="1">
      <c r="A1" s="136" t="s">
        <v>231</v>
      </c>
      <c r="B1" s="136"/>
      <c r="C1" s="136"/>
      <c r="D1" s="136"/>
      <c r="E1" s="136"/>
      <c r="F1" s="136"/>
      <c r="G1" s="136"/>
    </row>
    <row r="2" spans="1:7" ht="21.5" customHeight="1">
      <c r="A2" s="85" t="s">
        <v>233</v>
      </c>
      <c r="B2" s="86" t="s">
        <v>133</v>
      </c>
      <c r="C2" s="86" t="s">
        <v>137</v>
      </c>
      <c r="D2" s="86" t="s">
        <v>138</v>
      </c>
      <c r="E2" s="86" t="s">
        <v>139</v>
      </c>
      <c r="F2" s="86" t="s">
        <v>140</v>
      </c>
      <c r="G2" s="87" t="s">
        <v>181</v>
      </c>
    </row>
    <row r="3" spans="1:7" ht="39" customHeight="1">
      <c r="A3" s="88" t="s">
        <v>234</v>
      </c>
      <c r="B3" s="89">
        <v>1</v>
      </c>
      <c r="C3" s="90">
        <v>2</v>
      </c>
      <c r="D3" s="90">
        <v>2</v>
      </c>
      <c r="E3" s="90">
        <v>1</v>
      </c>
      <c r="F3" s="90">
        <v>3</v>
      </c>
      <c r="G3" s="91">
        <v>2</v>
      </c>
    </row>
    <row r="4" spans="1:7" ht="38.5" customHeight="1">
      <c r="A4" s="92" t="s">
        <v>235</v>
      </c>
      <c r="B4" s="93">
        <v>1</v>
      </c>
      <c r="C4" s="94">
        <v>1</v>
      </c>
      <c r="D4" s="94">
        <v>1</v>
      </c>
      <c r="E4" s="95"/>
      <c r="F4" s="94">
        <v>1</v>
      </c>
      <c r="G4" s="96">
        <v>1</v>
      </c>
    </row>
    <row r="5" spans="1:7" ht="38.5" customHeight="1">
      <c r="A5" s="92" t="s">
        <v>236</v>
      </c>
      <c r="B5" s="93">
        <v>1</v>
      </c>
      <c r="C5" s="94">
        <v>1</v>
      </c>
      <c r="D5" s="94">
        <v>1</v>
      </c>
      <c r="E5" s="95"/>
      <c r="F5" s="94">
        <v>1</v>
      </c>
      <c r="G5" s="96">
        <v>1</v>
      </c>
    </row>
    <row r="6" spans="1:7" ht="38.5" customHeight="1">
      <c r="A6" s="92" t="s">
        <v>237</v>
      </c>
      <c r="B6" s="93">
        <v>1</v>
      </c>
      <c r="C6" s="94">
        <v>1</v>
      </c>
      <c r="D6" s="94">
        <v>1</v>
      </c>
      <c r="E6" s="94">
        <v>0.5</v>
      </c>
      <c r="F6" s="94">
        <v>0.5</v>
      </c>
      <c r="G6" s="96">
        <v>2</v>
      </c>
    </row>
    <row r="7" spans="1:7" ht="38.5" customHeight="1">
      <c r="A7" s="92" t="s">
        <v>238</v>
      </c>
      <c r="B7" s="93">
        <v>0.5</v>
      </c>
      <c r="C7" s="94">
        <v>0.5</v>
      </c>
      <c r="D7" s="94">
        <v>0.5</v>
      </c>
      <c r="E7" s="95"/>
      <c r="F7" s="94">
        <v>0.5</v>
      </c>
      <c r="G7" s="96">
        <v>1</v>
      </c>
    </row>
    <row r="8" spans="1:7" ht="38.5" customHeight="1">
      <c r="A8" s="92" t="s">
        <v>239</v>
      </c>
      <c r="B8" s="93">
        <v>0.5</v>
      </c>
      <c r="C8" s="94">
        <v>0.5</v>
      </c>
      <c r="D8" s="94">
        <v>0.5</v>
      </c>
      <c r="E8" s="95"/>
      <c r="F8" s="94">
        <v>0.5</v>
      </c>
      <c r="G8" s="96">
        <v>1</v>
      </c>
    </row>
    <row r="9" spans="1:7" ht="38.5" customHeight="1">
      <c r="A9" s="92" t="s">
        <v>240</v>
      </c>
      <c r="B9" s="93">
        <v>0.5</v>
      </c>
      <c r="C9" s="94">
        <v>0.5</v>
      </c>
      <c r="D9" s="94">
        <v>0.5</v>
      </c>
      <c r="E9" s="95"/>
      <c r="F9" s="94">
        <v>0.5</v>
      </c>
      <c r="G9" s="96">
        <v>1</v>
      </c>
    </row>
    <row r="10" spans="1:7" ht="38.5" customHeight="1">
      <c r="A10" s="92" t="s">
        <v>214</v>
      </c>
      <c r="B10" s="93">
        <v>0.5</v>
      </c>
      <c r="C10" s="94">
        <v>0.5</v>
      </c>
      <c r="D10" s="94">
        <v>0.5</v>
      </c>
      <c r="E10" s="94">
        <v>1</v>
      </c>
      <c r="F10" s="94">
        <v>0.5</v>
      </c>
      <c r="G10" s="96">
        <v>1</v>
      </c>
    </row>
    <row r="11" spans="1:7" ht="38.5" customHeight="1">
      <c r="A11" s="92" t="s">
        <v>241</v>
      </c>
      <c r="B11" s="97">
        <v>0.5</v>
      </c>
      <c r="C11" s="98">
        <v>0.5</v>
      </c>
      <c r="D11" s="98">
        <v>0.5</v>
      </c>
      <c r="E11" s="98">
        <v>0.5</v>
      </c>
      <c r="F11" s="98">
        <v>0.5</v>
      </c>
      <c r="G11" s="99">
        <v>1</v>
      </c>
    </row>
    <row r="12" spans="1:7" ht="38.5" customHeight="1">
      <c r="A12" s="92" t="s">
        <v>242</v>
      </c>
      <c r="B12" s="97">
        <v>0.5</v>
      </c>
      <c r="C12" s="98">
        <v>2.5</v>
      </c>
      <c r="D12" s="98">
        <v>1.5</v>
      </c>
      <c r="E12" s="100"/>
      <c r="F12" s="98">
        <v>0.5</v>
      </c>
      <c r="G12" s="99">
        <v>1</v>
      </c>
    </row>
    <row r="13" spans="1:7" ht="38.5" customHeight="1">
      <c r="A13" s="92" t="s">
        <v>243</v>
      </c>
      <c r="B13" s="93">
        <v>0.5</v>
      </c>
      <c r="C13" s="94">
        <v>0.5</v>
      </c>
      <c r="D13" s="94">
        <v>1</v>
      </c>
      <c r="E13" s="95"/>
      <c r="F13" s="94">
        <v>1.5</v>
      </c>
      <c r="G13" s="96">
        <v>1</v>
      </c>
    </row>
    <row r="14" spans="1:7" ht="38.5" customHeight="1">
      <c r="A14" s="92" t="s">
        <v>212</v>
      </c>
      <c r="B14" s="93">
        <v>2.5</v>
      </c>
      <c r="C14" s="94">
        <v>3</v>
      </c>
      <c r="D14" s="94">
        <v>3</v>
      </c>
      <c r="E14" s="94">
        <v>0.5</v>
      </c>
      <c r="F14" s="94">
        <v>2.5</v>
      </c>
      <c r="G14" s="96">
        <v>1.5</v>
      </c>
    </row>
    <row r="15" spans="1:7" ht="38.5" customHeight="1">
      <c r="A15" s="92" t="s">
        <v>244</v>
      </c>
      <c r="B15" s="93">
        <v>2.5</v>
      </c>
      <c r="C15" s="94">
        <v>3</v>
      </c>
      <c r="D15" s="94">
        <v>3</v>
      </c>
      <c r="E15" s="94">
        <v>0.5</v>
      </c>
      <c r="F15" s="94">
        <v>2.5</v>
      </c>
      <c r="G15" s="96">
        <v>1.5</v>
      </c>
    </row>
    <row r="16" spans="1:7" ht="38.5" customHeight="1">
      <c r="A16" s="92" t="s">
        <v>245</v>
      </c>
      <c r="B16" s="97">
        <v>0.5</v>
      </c>
      <c r="C16" s="98">
        <v>2</v>
      </c>
      <c r="D16" s="98">
        <v>2</v>
      </c>
      <c r="E16" s="100"/>
      <c r="F16" s="98">
        <v>1</v>
      </c>
      <c r="G16" s="99">
        <v>1</v>
      </c>
    </row>
    <row r="17" spans="1:7" ht="38.5" customHeight="1">
      <c r="A17" s="101" t="s">
        <v>246</v>
      </c>
      <c r="B17" s="102">
        <v>2</v>
      </c>
      <c r="C17" s="103">
        <v>3</v>
      </c>
      <c r="D17" s="103">
        <v>2</v>
      </c>
      <c r="E17" s="103">
        <v>1</v>
      </c>
      <c r="F17" s="103">
        <v>2</v>
      </c>
      <c r="G17" s="104">
        <v>2</v>
      </c>
    </row>
  </sheetData>
  <mergeCells count="1">
    <mergeCell ref="A1:G1"/>
  </mergeCells>
  <pageMargins left="0.5" right="0.5" top="0.75" bottom="0.75" header="0.27777800000000002" footer="0.27777800000000002"/>
  <pageSetup scale="72" orientation="portrait"/>
  <headerFooter>
    <oddFooter>&amp;C&amp;"Helvetica Neue,Regular"&amp;12&amp;K000000&amp;P</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N10"/>
  <sheetViews>
    <sheetView showGridLines="0" workbookViewId="0">
      <pane xSplit="2" ySplit="2" topLeftCell="C3" activePane="bottomRight" state="frozen"/>
      <selection pane="topRight"/>
      <selection pane="bottomLeft"/>
      <selection pane="bottomRight" activeCell="C3" sqref="C3"/>
    </sheetView>
  </sheetViews>
  <sheetFormatPr baseColWidth="10" defaultColWidth="16.33203125" defaultRowHeight="20" customHeight="1"/>
  <cols>
    <col min="1" max="2" width="10.83203125" style="5" customWidth="1"/>
    <col min="3" max="4" width="16.6640625" style="5" customWidth="1"/>
    <col min="5" max="6" width="19.1640625" style="5" customWidth="1"/>
    <col min="7" max="7" width="16.1640625" style="5" customWidth="1"/>
    <col min="8" max="13" width="16.6640625" style="5" customWidth="1"/>
    <col min="14" max="14" width="37.33203125" style="5" customWidth="1"/>
    <col min="15" max="15" width="16.33203125" style="5" customWidth="1"/>
    <col min="16" max="16384" width="16.33203125" style="5"/>
  </cols>
  <sheetData>
    <row r="1" spans="1:14" ht="28" customHeight="1">
      <c r="A1" s="123" t="s">
        <v>117</v>
      </c>
      <c r="B1" s="123"/>
      <c r="C1" s="123"/>
      <c r="D1" s="123"/>
      <c r="E1" s="123"/>
      <c r="F1" s="123"/>
      <c r="G1" s="123"/>
      <c r="H1" s="123"/>
      <c r="I1" s="123"/>
      <c r="J1" s="123"/>
      <c r="K1" s="123"/>
      <c r="L1" s="123"/>
      <c r="M1" s="123"/>
      <c r="N1" s="123"/>
    </row>
    <row r="2" spans="1:14" ht="80" customHeight="1">
      <c r="A2" s="46" t="s">
        <v>119</v>
      </c>
      <c r="B2" s="46" t="s">
        <v>120</v>
      </c>
      <c r="C2" s="46" t="s">
        <v>121</v>
      </c>
      <c r="D2" s="46" t="s">
        <v>122</v>
      </c>
      <c r="E2" s="46" t="s">
        <v>123</v>
      </c>
      <c r="F2" s="46" t="s">
        <v>124</v>
      </c>
      <c r="G2" s="46" t="s">
        <v>125</v>
      </c>
      <c r="H2" s="46" t="s">
        <v>126</v>
      </c>
      <c r="I2" s="46" t="s">
        <v>127</v>
      </c>
      <c r="J2" s="46" t="s">
        <v>128</v>
      </c>
      <c r="K2" s="46" t="s">
        <v>129</v>
      </c>
      <c r="L2" s="46" t="s">
        <v>130</v>
      </c>
      <c r="M2" s="46" t="s">
        <v>131</v>
      </c>
      <c r="N2" s="46" t="s">
        <v>132</v>
      </c>
    </row>
    <row r="3" spans="1:14" ht="30" customHeight="1">
      <c r="A3" s="47" t="s">
        <v>18</v>
      </c>
      <c r="B3" s="48" t="s">
        <v>133</v>
      </c>
      <c r="C3" s="124" cm="1">
        <f t="array" ref="C3">SUM(E3:E10)/SUM(D3:D10)</f>
        <v>0.63953488372093026</v>
      </c>
      <c r="D3" s="49">
        <v>8</v>
      </c>
      <c r="E3" s="49">
        <v>5</v>
      </c>
      <c r="F3" s="49" cm="1">
        <f t="array" ref="F3">D3-E3</f>
        <v>3</v>
      </c>
      <c r="G3" s="126" t="s">
        <v>249</v>
      </c>
      <c r="H3" s="128" t="s">
        <v>250</v>
      </c>
      <c r="I3" s="128" t="s">
        <v>251</v>
      </c>
      <c r="J3" s="126" t="s">
        <v>15</v>
      </c>
      <c r="K3" s="126" t="s">
        <v>15</v>
      </c>
      <c r="L3" s="126" t="s">
        <v>15</v>
      </c>
      <c r="M3" s="126" t="s">
        <v>15</v>
      </c>
      <c r="N3" s="128" t="s">
        <v>252</v>
      </c>
    </row>
    <row r="4" spans="1:14" ht="30" customHeight="1">
      <c r="A4" s="50" t="s">
        <v>18</v>
      </c>
      <c r="B4" s="51" t="s">
        <v>137</v>
      </c>
      <c r="C4" s="125"/>
      <c r="D4" s="52">
        <v>25</v>
      </c>
      <c r="E4" s="52">
        <v>16</v>
      </c>
      <c r="F4" s="52" cm="1">
        <f t="array" ref="F4">D4-E4</f>
        <v>9</v>
      </c>
      <c r="G4" s="127"/>
      <c r="H4" s="127"/>
      <c r="I4" s="127"/>
      <c r="J4" s="127"/>
      <c r="K4" s="127"/>
      <c r="L4" s="127"/>
      <c r="M4" s="127"/>
      <c r="N4" s="127"/>
    </row>
    <row r="5" spans="1:14" ht="30" customHeight="1">
      <c r="A5" s="50" t="s">
        <v>18</v>
      </c>
      <c r="B5" s="51" t="s">
        <v>138</v>
      </c>
      <c r="C5" s="125"/>
      <c r="D5" s="52">
        <v>7</v>
      </c>
      <c r="E5" s="52">
        <v>4</v>
      </c>
      <c r="F5" s="52" cm="1">
        <f t="array" ref="F5">D5-E5</f>
        <v>3</v>
      </c>
      <c r="G5" s="127"/>
      <c r="H5" s="127"/>
      <c r="I5" s="127"/>
      <c r="J5" s="127"/>
      <c r="K5" s="127"/>
      <c r="L5" s="127"/>
      <c r="M5" s="127"/>
      <c r="N5" s="127"/>
    </row>
    <row r="6" spans="1:14" ht="30" customHeight="1">
      <c r="A6" s="50" t="s">
        <v>18</v>
      </c>
      <c r="B6" s="51" t="s">
        <v>139</v>
      </c>
      <c r="C6" s="125"/>
      <c r="D6" s="52">
        <v>12</v>
      </c>
      <c r="E6" s="52">
        <v>7</v>
      </c>
      <c r="F6" s="52" cm="1">
        <f t="array" ref="F6">D6-E6</f>
        <v>5</v>
      </c>
      <c r="G6" s="127"/>
      <c r="H6" s="127"/>
      <c r="I6" s="127"/>
      <c r="J6" s="127"/>
      <c r="K6" s="127"/>
      <c r="L6" s="127"/>
      <c r="M6" s="127"/>
      <c r="N6" s="127"/>
    </row>
    <row r="7" spans="1:14" ht="30" customHeight="1">
      <c r="A7" s="50" t="s">
        <v>18</v>
      </c>
      <c r="B7" s="51" t="s">
        <v>140</v>
      </c>
      <c r="C7" s="125"/>
      <c r="D7" s="52">
        <v>56</v>
      </c>
      <c r="E7" s="52">
        <v>43</v>
      </c>
      <c r="F7" s="52" cm="1">
        <f t="array" ref="F7">D7-E7</f>
        <v>13</v>
      </c>
      <c r="G7" s="127"/>
      <c r="H7" s="127"/>
      <c r="I7" s="127"/>
      <c r="J7" s="127"/>
      <c r="K7" s="127"/>
      <c r="L7" s="127"/>
      <c r="M7" s="127"/>
      <c r="N7" s="127"/>
    </row>
    <row r="8" spans="1:14" ht="30" customHeight="1">
      <c r="A8" s="50" t="s">
        <v>18</v>
      </c>
      <c r="B8" s="51" t="s">
        <v>141</v>
      </c>
      <c r="C8" s="125"/>
      <c r="D8" s="52">
        <v>98</v>
      </c>
      <c r="E8" s="52">
        <v>50</v>
      </c>
      <c r="F8" s="52" cm="1">
        <f t="array" ref="F8">D8-E8</f>
        <v>48</v>
      </c>
      <c r="G8" s="127"/>
      <c r="H8" s="127"/>
      <c r="I8" s="127"/>
      <c r="J8" s="127"/>
      <c r="K8" s="127"/>
      <c r="L8" s="127"/>
      <c r="M8" s="127"/>
      <c r="N8" s="127"/>
    </row>
    <row r="9" spans="1:14" ht="30" customHeight="1">
      <c r="A9" s="50" t="s">
        <v>18</v>
      </c>
      <c r="B9" s="51" t="s">
        <v>142</v>
      </c>
      <c r="C9" s="125"/>
      <c r="D9" s="52">
        <v>32</v>
      </c>
      <c r="E9" s="52">
        <v>24</v>
      </c>
      <c r="F9" s="52" cm="1">
        <f t="array" ref="F9">D9-E9</f>
        <v>8</v>
      </c>
      <c r="G9" s="127"/>
      <c r="H9" s="127"/>
      <c r="I9" s="127"/>
      <c r="J9" s="127"/>
      <c r="K9" s="127"/>
      <c r="L9" s="127"/>
      <c r="M9" s="127"/>
      <c r="N9" s="127"/>
    </row>
    <row r="10" spans="1:14" ht="30" customHeight="1">
      <c r="A10" s="50" t="s">
        <v>18</v>
      </c>
      <c r="B10" s="51" t="s">
        <v>143</v>
      </c>
      <c r="C10" s="125"/>
      <c r="D10" s="52">
        <v>20</v>
      </c>
      <c r="E10" s="52">
        <v>16</v>
      </c>
      <c r="F10" s="52" cm="1">
        <f t="array" ref="F10">D10-E10</f>
        <v>4</v>
      </c>
      <c r="G10" s="127"/>
      <c r="H10" s="127"/>
      <c r="I10" s="127"/>
      <c r="J10" s="127"/>
      <c r="K10" s="127"/>
      <c r="L10" s="127"/>
      <c r="M10" s="127"/>
      <c r="N10" s="127"/>
    </row>
  </sheetData>
  <mergeCells count="10">
    <mergeCell ref="A1:N1"/>
    <mergeCell ref="C3:C10"/>
    <mergeCell ref="G3:G10"/>
    <mergeCell ref="H3:H10"/>
    <mergeCell ref="I3:I10"/>
    <mergeCell ref="J3:J10"/>
    <mergeCell ref="K3:K10"/>
    <mergeCell ref="L3:L10"/>
    <mergeCell ref="M3:M10"/>
    <mergeCell ref="N3:N10"/>
  </mergeCells>
  <pageMargins left="1" right="1" top="1" bottom="1" header="0.25" footer="0.25"/>
  <pageSetup orientation="portrait"/>
  <headerFooter>
    <oddFooter>&amp;C&amp;"Helvetica Neue,Regular"&amp;12&amp;K000000&amp;P</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H14"/>
  <sheetViews>
    <sheetView showGridLines="0" workbookViewId="0">
      <pane xSplit="2" ySplit="2" topLeftCell="C3" activePane="bottomRight" state="frozen"/>
      <selection pane="topRight"/>
      <selection pane="bottomLeft"/>
      <selection pane="bottomRight" activeCell="C3" sqref="C3"/>
    </sheetView>
  </sheetViews>
  <sheetFormatPr baseColWidth="10" defaultColWidth="16.33203125" defaultRowHeight="20" customHeight="1"/>
  <cols>
    <col min="1" max="1" width="8" style="5" customWidth="1"/>
    <col min="2" max="2" width="18.6640625" style="5" customWidth="1"/>
    <col min="3" max="8" width="20.83203125" style="5" customWidth="1"/>
    <col min="9" max="9" width="16.33203125" style="5" customWidth="1"/>
    <col min="10" max="16384" width="16.33203125" style="5"/>
  </cols>
  <sheetData>
    <row r="1" spans="1:8" ht="28" customHeight="1">
      <c r="A1" s="123" t="s">
        <v>145</v>
      </c>
      <c r="B1" s="123"/>
      <c r="C1" s="123"/>
      <c r="D1" s="123"/>
      <c r="E1" s="123"/>
      <c r="F1" s="123"/>
      <c r="G1" s="123"/>
      <c r="H1" s="123"/>
    </row>
    <row r="2" spans="1:8" ht="27.5" customHeight="1">
      <c r="A2" s="53" t="s">
        <v>119</v>
      </c>
      <c r="B2" s="53" t="s">
        <v>147</v>
      </c>
      <c r="C2" s="53" t="s">
        <v>148</v>
      </c>
      <c r="D2" s="53" t="s">
        <v>149</v>
      </c>
      <c r="E2" s="53" t="s">
        <v>150</v>
      </c>
      <c r="F2" s="53" t="s">
        <v>78</v>
      </c>
      <c r="G2" s="53" t="s">
        <v>91</v>
      </c>
      <c r="H2" s="53" t="s">
        <v>48</v>
      </c>
    </row>
    <row r="3" spans="1:8" ht="41.25" customHeight="1">
      <c r="A3" s="54" t="s">
        <v>20</v>
      </c>
      <c r="B3" s="55" t="s">
        <v>34</v>
      </c>
      <c r="C3" s="56" t="s">
        <v>151</v>
      </c>
      <c r="D3" s="57" t="s">
        <v>152</v>
      </c>
      <c r="E3" s="57" t="s">
        <v>153</v>
      </c>
      <c r="F3" s="57" t="s">
        <v>154</v>
      </c>
      <c r="G3" s="57" t="s">
        <v>155</v>
      </c>
      <c r="H3" s="57" t="s">
        <v>156</v>
      </c>
    </row>
    <row r="4" spans="1:8" ht="53" customHeight="1">
      <c r="A4" s="50" t="s">
        <v>20</v>
      </c>
      <c r="B4" s="51" t="s">
        <v>157</v>
      </c>
      <c r="C4" s="58" t="s">
        <v>158</v>
      </c>
      <c r="D4" s="59" t="s">
        <v>159</v>
      </c>
      <c r="E4" s="59" t="s">
        <v>159</v>
      </c>
      <c r="F4" s="59" t="s">
        <v>160</v>
      </c>
      <c r="G4" s="59" t="s">
        <v>161</v>
      </c>
      <c r="H4" s="59" t="s">
        <v>162</v>
      </c>
    </row>
    <row r="5" spans="1:8" ht="29.5" customHeight="1">
      <c r="A5" s="60" t="s">
        <v>20</v>
      </c>
      <c r="B5" s="61" t="s">
        <v>163</v>
      </c>
      <c r="C5" s="62" cm="1">
        <f t="array" ref="C5">SUM(C6:C13)</f>
        <v>73</v>
      </c>
      <c r="D5" s="63" cm="1">
        <f t="array" ref="D5">SUM(D6:D13)</f>
        <v>42</v>
      </c>
      <c r="E5" s="63" cm="1">
        <f t="array" ref="E5">SUM(E6:E13)</f>
        <v>59</v>
      </c>
      <c r="F5" s="63" cm="1">
        <f t="array" ref="F5">SUM(F6:F13)</f>
        <v>72</v>
      </c>
      <c r="G5" s="63" cm="1">
        <f t="array" ref="G5">SUM(G6:G13)</f>
        <v>56</v>
      </c>
      <c r="H5" s="63" cm="1">
        <f t="array" ref="H5">SUM(H6:H13)</f>
        <v>172</v>
      </c>
    </row>
    <row r="6" spans="1:8" ht="27.5" customHeight="1">
      <c r="A6" s="54" t="s">
        <v>20</v>
      </c>
      <c r="B6" s="55" t="s">
        <v>133</v>
      </c>
      <c r="C6" s="64" cm="1">
        <f t="array" ref="C6">2+5</f>
        <v>7</v>
      </c>
      <c r="D6" s="65">
        <v>2</v>
      </c>
      <c r="E6" s="65" cm="1">
        <f t="array" ref="E6">3+1</f>
        <v>4</v>
      </c>
      <c r="F6" s="65" cm="1">
        <f t="array" ref="F6">7+2</f>
        <v>9</v>
      </c>
      <c r="G6" s="65" cm="1">
        <f t="array" ref="G6">2+2+2</f>
        <v>6</v>
      </c>
      <c r="H6" s="65" cm="1">
        <f t="array" ref="H6">8+4</f>
        <v>12</v>
      </c>
    </row>
    <row r="7" spans="1:8" ht="27.5" customHeight="1">
      <c r="A7" s="50" t="s">
        <v>20</v>
      </c>
      <c r="B7" s="51" t="s">
        <v>137</v>
      </c>
      <c r="C7" s="66" cm="1">
        <f t="array" ref="C7">5+7</f>
        <v>12</v>
      </c>
      <c r="D7" s="52">
        <v>5</v>
      </c>
      <c r="E7" s="52" cm="1">
        <f t="array" ref="E7">5+2</f>
        <v>7</v>
      </c>
      <c r="F7" s="52" cm="1">
        <f t="array" ref="F7">5+3</f>
        <v>8</v>
      </c>
      <c r="G7" s="52" cm="1">
        <f t="array" ref="G7">3+2+1</f>
        <v>6</v>
      </c>
      <c r="H7" s="52" cm="1">
        <f t="array" ref="H7">10+13</f>
        <v>23</v>
      </c>
    </row>
    <row r="8" spans="1:8" ht="27.5" customHeight="1">
      <c r="A8" s="50" t="s">
        <v>20</v>
      </c>
      <c r="B8" s="51" t="s">
        <v>138</v>
      </c>
      <c r="C8" s="66" cm="1">
        <f t="array" ref="C8">1+10</f>
        <v>11</v>
      </c>
      <c r="D8" s="52">
        <v>8</v>
      </c>
      <c r="E8" s="52" cm="1">
        <f t="array" ref="E8">8+2</f>
        <v>10</v>
      </c>
      <c r="F8" s="52" cm="1">
        <f t="array" ref="F8">8+1</f>
        <v>9</v>
      </c>
      <c r="G8" s="52" cm="1">
        <f t="array" ref="G8">5+1+2</f>
        <v>8</v>
      </c>
      <c r="H8" s="52" cm="1">
        <f t="array" ref="H8">6+10</f>
        <v>16</v>
      </c>
    </row>
    <row r="9" spans="1:8" ht="27.5" customHeight="1">
      <c r="A9" s="50" t="s">
        <v>20</v>
      </c>
      <c r="B9" s="51" t="s">
        <v>139</v>
      </c>
      <c r="C9" s="66" cm="1">
        <f t="array" ref="C9">1+6+3</f>
        <v>10</v>
      </c>
      <c r="D9" s="52">
        <v>8</v>
      </c>
      <c r="E9" s="52" cm="1">
        <f t="array" ref="E9">6+2</f>
        <v>8</v>
      </c>
      <c r="F9" s="52" cm="1">
        <f t="array" ref="F9">10+1</f>
        <v>11</v>
      </c>
      <c r="G9" s="52" cm="1">
        <f t="array" ref="G9">3+1</f>
        <v>4</v>
      </c>
      <c r="H9" s="52">
        <v>2</v>
      </c>
    </row>
    <row r="10" spans="1:8" ht="27.5" customHeight="1">
      <c r="A10" s="50" t="s">
        <v>20</v>
      </c>
      <c r="B10" s="51" t="s">
        <v>140</v>
      </c>
      <c r="C10" s="66" cm="1">
        <f t="array" ref="C10">4+4</f>
        <v>8</v>
      </c>
      <c r="D10" s="52">
        <v>8</v>
      </c>
      <c r="E10" s="52" cm="1">
        <f t="array" ref="E10">8+1</f>
        <v>9</v>
      </c>
      <c r="F10" s="52" cm="1">
        <f t="array" ref="F10">9+3</f>
        <v>12</v>
      </c>
      <c r="G10" s="52" cm="1">
        <f t="array" ref="G10">3+1+4</f>
        <v>8</v>
      </c>
      <c r="H10" s="52">
        <v>22</v>
      </c>
    </row>
    <row r="11" spans="1:8" ht="27.5" customHeight="1">
      <c r="A11" s="50" t="s">
        <v>20</v>
      </c>
      <c r="B11" s="51" t="s">
        <v>141</v>
      </c>
      <c r="C11" s="66">
        <v>14</v>
      </c>
      <c r="D11" s="52">
        <v>5</v>
      </c>
      <c r="E11" s="52">
        <v>8</v>
      </c>
      <c r="F11" s="52">
        <v>12</v>
      </c>
      <c r="G11" s="52">
        <v>15</v>
      </c>
      <c r="H11" s="52" cm="1">
        <f t="array" ref="H11">13+18+18+8</f>
        <v>57</v>
      </c>
    </row>
    <row r="12" spans="1:8" ht="27.5" customHeight="1">
      <c r="A12" s="50" t="s">
        <v>20</v>
      </c>
      <c r="B12" s="51" t="s">
        <v>142</v>
      </c>
      <c r="C12" s="66">
        <v>6</v>
      </c>
      <c r="D12" s="52">
        <v>3</v>
      </c>
      <c r="E12" s="52">
        <v>7</v>
      </c>
      <c r="F12" s="52">
        <v>6</v>
      </c>
      <c r="G12" s="52">
        <v>5</v>
      </c>
      <c r="H12" s="52" cm="1">
        <f t="array" ref="H12">6+6+13</f>
        <v>25</v>
      </c>
    </row>
    <row r="13" spans="1:8" ht="27.5" customHeight="1">
      <c r="A13" s="50" t="s">
        <v>20</v>
      </c>
      <c r="B13" s="51" t="s">
        <v>143</v>
      </c>
      <c r="C13" s="66">
        <v>5</v>
      </c>
      <c r="D13" s="52">
        <v>3</v>
      </c>
      <c r="E13" s="52">
        <v>6</v>
      </c>
      <c r="F13" s="52">
        <v>5</v>
      </c>
      <c r="G13" s="52">
        <v>4</v>
      </c>
      <c r="H13" s="52" cm="1">
        <f t="array" ref="H13">7+8</f>
        <v>15</v>
      </c>
    </row>
    <row r="14" spans="1:8" ht="27.5" customHeight="1">
      <c r="A14" s="50" t="s">
        <v>20</v>
      </c>
      <c r="B14" s="51" t="s">
        <v>144</v>
      </c>
      <c r="C14" s="67"/>
      <c r="D14" s="68"/>
      <c r="E14" s="68"/>
      <c r="F14" s="68"/>
      <c r="G14" s="68"/>
      <c r="H14" s="52">
        <v>6</v>
      </c>
    </row>
  </sheetData>
  <mergeCells count="1">
    <mergeCell ref="A1:H1"/>
  </mergeCells>
  <pageMargins left="1" right="1" top="1" bottom="1" header="0.25" footer="0.25"/>
  <pageSetup orientation="portrait"/>
  <headerFooter>
    <oddFooter>&amp;C&amp;"Helvetica Neue,Regular"&amp;12&amp;K000000&amp;P</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N10"/>
  <sheetViews>
    <sheetView showGridLines="0" workbookViewId="0">
      <pane xSplit="2" ySplit="2" topLeftCell="C3" activePane="bottomRight" state="frozen"/>
      <selection pane="topRight"/>
      <selection pane="bottomLeft"/>
      <selection pane="bottomRight" activeCell="C3" sqref="C3"/>
    </sheetView>
  </sheetViews>
  <sheetFormatPr baseColWidth="10" defaultColWidth="16.33203125" defaultRowHeight="20" customHeight="1"/>
  <cols>
    <col min="1" max="1" width="14" style="5" customWidth="1"/>
    <col min="2" max="2" width="10.83203125" style="5" customWidth="1"/>
    <col min="3" max="4" width="16.6640625" style="5" customWidth="1"/>
    <col min="5" max="6" width="19.1640625" style="5" customWidth="1"/>
    <col min="7" max="13" width="16.6640625" style="5" customWidth="1"/>
    <col min="14" max="14" width="37.33203125" style="5" customWidth="1"/>
    <col min="15" max="15" width="16.33203125" style="5" customWidth="1"/>
    <col min="16" max="16384" width="16.33203125" style="5"/>
  </cols>
  <sheetData>
    <row r="1" spans="1:14" ht="28" customHeight="1">
      <c r="A1" s="123" t="s">
        <v>117</v>
      </c>
      <c r="B1" s="123"/>
      <c r="C1" s="123"/>
      <c r="D1" s="123"/>
      <c r="E1" s="123"/>
      <c r="F1" s="123"/>
      <c r="G1" s="123"/>
      <c r="H1" s="123"/>
      <c r="I1" s="123"/>
      <c r="J1" s="123"/>
      <c r="K1" s="123"/>
      <c r="L1" s="123"/>
      <c r="M1" s="123"/>
      <c r="N1" s="123"/>
    </row>
    <row r="2" spans="1:14" ht="80" customHeight="1">
      <c r="A2" s="46" t="s">
        <v>119</v>
      </c>
      <c r="B2" s="46" t="s">
        <v>120</v>
      </c>
      <c r="C2" s="46" t="s">
        <v>121</v>
      </c>
      <c r="D2" s="46" t="s">
        <v>122</v>
      </c>
      <c r="E2" s="46" t="s">
        <v>123</v>
      </c>
      <c r="F2" s="46" t="s">
        <v>124</v>
      </c>
      <c r="G2" s="46" t="s">
        <v>125</v>
      </c>
      <c r="H2" s="46" t="s">
        <v>126</v>
      </c>
      <c r="I2" s="46" t="s">
        <v>127</v>
      </c>
      <c r="J2" s="46" t="s">
        <v>128</v>
      </c>
      <c r="K2" s="46" t="s">
        <v>129</v>
      </c>
      <c r="L2" s="46" t="s">
        <v>130</v>
      </c>
      <c r="M2" s="46" t="s">
        <v>131</v>
      </c>
      <c r="N2" s="46" t="s">
        <v>132</v>
      </c>
    </row>
    <row r="3" spans="1:14" ht="30" customHeight="1">
      <c r="A3" s="47" t="s">
        <v>70</v>
      </c>
      <c r="B3" s="48" t="s">
        <v>133</v>
      </c>
      <c r="C3" s="130" cm="1">
        <f t="array" ref="C3">SUM(E3:E10)/SUM(D3:D10)</f>
        <v>0.74117647058823533</v>
      </c>
      <c r="D3" s="49">
        <v>11</v>
      </c>
      <c r="E3" s="49">
        <v>9</v>
      </c>
      <c r="F3" s="49" cm="1">
        <f t="array" ref="F3">D3-E3</f>
        <v>2</v>
      </c>
      <c r="G3" s="126" t="s">
        <v>256</v>
      </c>
      <c r="H3" s="126" t="s">
        <v>257</v>
      </c>
      <c r="I3" s="128" t="s">
        <v>258</v>
      </c>
      <c r="J3" s="126" t="s">
        <v>15</v>
      </c>
      <c r="K3" s="126" t="s">
        <v>15</v>
      </c>
      <c r="L3" s="126" t="s">
        <v>15</v>
      </c>
      <c r="M3" s="126" t="s">
        <v>15</v>
      </c>
      <c r="N3" s="128" t="s">
        <v>259</v>
      </c>
    </row>
    <row r="4" spans="1:14" ht="30" customHeight="1">
      <c r="A4" s="50" t="s">
        <v>70</v>
      </c>
      <c r="B4" s="51" t="s">
        <v>137</v>
      </c>
      <c r="C4" s="125"/>
      <c r="D4" s="52">
        <v>6</v>
      </c>
      <c r="E4" s="52">
        <v>4</v>
      </c>
      <c r="F4" s="52" cm="1">
        <f t="array" ref="F4">D4-E4</f>
        <v>2</v>
      </c>
      <c r="G4" s="127"/>
      <c r="H4" s="127"/>
      <c r="I4" s="127"/>
      <c r="J4" s="127"/>
      <c r="K4" s="127"/>
      <c r="L4" s="127"/>
      <c r="M4" s="127"/>
      <c r="N4" s="127"/>
    </row>
    <row r="5" spans="1:14" ht="30" customHeight="1">
      <c r="A5" s="50" t="s">
        <v>70</v>
      </c>
      <c r="B5" s="51" t="s">
        <v>138</v>
      </c>
      <c r="C5" s="125"/>
      <c r="D5" s="52">
        <v>4</v>
      </c>
      <c r="E5" s="52">
        <v>3</v>
      </c>
      <c r="F5" s="52" cm="1">
        <f t="array" ref="F5">D5-E5</f>
        <v>1</v>
      </c>
      <c r="G5" s="127"/>
      <c r="H5" s="127"/>
      <c r="I5" s="127"/>
      <c r="J5" s="127"/>
      <c r="K5" s="127"/>
      <c r="L5" s="127"/>
      <c r="M5" s="127"/>
      <c r="N5" s="127"/>
    </row>
    <row r="6" spans="1:14" ht="30" customHeight="1">
      <c r="A6" s="50" t="s">
        <v>70</v>
      </c>
      <c r="B6" s="51" t="s">
        <v>139</v>
      </c>
      <c r="C6" s="125"/>
      <c r="D6" s="52">
        <v>9</v>
      </c>
      <c r="E6" s="52">
        <v>6</v>
      </c>
      <c r="F6" s="52" cm="1">
        <f t="array" ref="F6">D6-E6</f>
        <v>3</v>
      </c>
      <c r="G6" s="127"/>
      <c r="H6" s="127"/>
      <c r="I6" s="127"/>
      <c r="J6" s="127"/>
      <c r="K6" s="127"/>
      <c r="L6" s="127"/>
      <c r="M6" s="127"/>
      <c r="N6" s="127"/>
    </row>
    <row r="7" spans="1:14" ht="30" customHeight="1">
      <c r="A7" s="50" t="s">
        <v>70</v>
      </c>
      <c r="B7" s="51" t="s">
        <v>140</v>
      </c>
      <c r="C7" s="125"/>
      <c r="D7" s="52">
        <v>20</v>
      </c>
      <c r="E7" s="52">
        <v>16</v>
      </c>
      <c r="F7" s="52" cm="1">
        <f t="array" ref="F7">D7-E7</f>
        <v>4</v>
      </c>
      <c r="G7" s="127"/>
      <c r="H7" s="127"/>
      <c r="I7" s="127"/>
      <c r="J7" s="127"/>
      <c r="K7" s="127"/>
      <c r="L7" s="127"/>
      <c r="M7" s="127"/>
      <c r="N7" s="127"/>
    </row>
    <row r="8" spans="1:14" ht="30" customHeight="1">
      <c r="A8" s="50" t="s">
        <v>70</v>
      </c>
      <c r="B8" s="51" t="s">
        <v>141</v>
      </c>
      <c r="C8" s="125"/>
      <c r="D8" s="52">
        <v>20</v>
      </c>
      <c r="E8" s="52">
        <v>15</v>
      </c>
      <c r="F8" s="52" cm="1">
        <f t="array" ref="F8">D8-E8</f>
        <v>5</v>
      </c>
      <c r="G8" s="127"/>
      <c r="H8" s="127"/>
      <c r="I8" s="127"/>
      <c r="J8" s="127"/>
      <c r="K8" s="127"/>
      <c r="L8" s="127"/>
      <c r="M8" s="127"/>
      <c r="N8" s="127"/>
    </row>
    <row r="9" spans="1:14" ht="30" customHeight="1">
      <c r="A9" s="50" t="s">
        <v>70</v>
      </c>
      <c r="B9" s="51" t="s">
        <v>142</v>
      </c>
      <c r="C9" s="125"/>
      <c r="D9" s="52">
        <v>10</v>
      </c>
      <c r="E9" s="52">
        <v>7</v>
      </c>
      <c r="F9" s="52" cm="1">
        <f t="array" ref="F9">D9-E9</f>
        <v>3</v>
      </c>
      <c r="G9" s="127"/>
      <c r="H9" s="127"/>
      <c r="I9" s="127"/>
      <c r="J9" s="127"/>
      <c r="K9" s="127"/>
      <c r="L9" s="127"/>
      <c r="M9" s="127"/>
      <c r="N9" s="127"/>
    </row>
    <row r="10" spans="1:14" ht="30" customHeight="1">
      <c r="A10" s="50" t="s">
        <v>70</v>
      </c>
      <c r="B10" s="51" t="s">
        <v>143</v>
      </c>
      <c r="C10" s="125"/>
      <c r="D10" s="52">
        <v>5</v>
      </c>
      <c r="E10" s="52">
        <v>3</v>
      </c>
      <c r="F10" s="52" cm="1">
        <f t="array" ref="F10">D10-E10</f>
        <v>2</v>
      </c>
      <c r="G10" s="127"/>
      <c r="H10" s="127"/>
      <c r="I10" s="127"/>
      <c r="J10" s="127"/>
      <c r="K10" s="127"/>
      <c r="L10" s="127"/>
      <c r="M10" s="127"/>
      <c r="N10" s="127"/>
    </row>
  </sheetData>
  <mergeCells count="10">
    <mergeCell ref="A1:N1"/>
    <mergeCell ref="G3:G10"/>
    <mergeCell ref="H3:H10"/>
    <mergeCell ref="N3:N10"/>
    <mergeCell ref="C3:C10"/>
    <mergeCell ref="M3:M10"/>
    <mergeCell ref="L3:L10"/>
    <mergeCell ref="K3:K10"/>
    <mergeCell ref="J3:J10"/>
    <mergeCell ref="I3:I10"/>
  </mergeCells>
  <pageMargins left="1" right="1" top="1" bottom="1" header="0.25" footer="0.25"/>
  <pageSetup orientation="portrait"/>
  <headerFooter>
    <oddFooter>&amp;C&amp;"Helvetica Neue,Regular"&amp;12&amp;K000000&amp;P</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G13"/>
  <sheetViews>
    <sheetView showGridLines="0" workbookViewId="0">
      <pane xSplit="2" ySplit="2" topLeftCell="C3" activePane="bottomRight" state="frozen"/>
      <selection pane="topRight"/>
      <selection pane="bottomLeft"/>
      <selection pane="bottomRight" activeCell="C3" sqref="C3"/>
    </sheetView>
  </sheetViews>
  <sheetFormatPr baseColWidth="10" defaultColWidth="16.33203125" defaultRowHeight="20" customHeight="1"/>
  <cols>
    <col min="1" max="7" width="20.83203125" style="5" customWidth="1"/>
    <col min="8" max="8" width="16.33203125" style="5" customWidth="1"/>
    <col min="9" max="16384" width="16.33203125" style="5"/>
  </cols>
  <sheetData>
    <row r="1" spans="1:7" ht="28" customHeight="1">
      <c r="A1" s="123" t="s">
        <v>145</v>
      </c>
      <c r="B1" s="123"/>
      <c r="C1" s="123"/>
      <c r="D1" s="123"/>
      <c r="E1" s="123"/>
      <c r="F1" s="123"/>
      <c r="G1" s="123"/>
    </row>
    <row r="2" spans="1:7" ht="27.5" customHeight="1">
      <c r="A2" s="53" t="s">
        <v>119</v>
      </c>
      <c r="B2" s="53" t="s">
        <v>147</v>
      </c>
      <c r="C2" s="53" t="s">
        <v>148</v>
      </c>
      <c r="D2" s="53" t="s">
        <v>149</v>
      </c>
      <c r="E2" s="53" t="s">
        <v>78</v>
      </c>
      <c r="F2" s="53" t="s">
        <v>91</v>
      </c>
      <c r="G2" s="53" t="s">
        <v>48</v>
      </c>
    </row>
    <row r="3" spans="1:7" ht="27.5" customHeight="1">
      <c r="A3" s="54" t="s">
        <v>70</v>
      </c>
      <c r="B3" s="55" t="s">
        <v>34</v>
      </c>
      <c r="C3" s="56" t="s">
        <v>261</v>
      </c>
      <c r="D3" s="83"/>
      <c r="E3" s="83"/>
      <c r="F3" s="83"/>
      <c r="G3" s="57" t="s">
        <v>262</v>
      </c>
    </row>
    <row r="4" spans="1:7" ht="27.5" customHeight="1">
      <c r="A4" s="50" t="s">
        <v>70</v>
      </c>
      <c r="B4" s="51" t="s">
        <v>157</v>
      </c>
      <c r="C4" s="58" t="s">
        <v>263</v>
      </c>
      <c r="D4" s="68"/>
      <c r="E4" s="68"/>
      <c r="F4" s="68"/>
      <c r="G4" s="59" t="s">
        <v>264</v>
      </c>
    </row>
    <row r="5" spans="1:7" ht="27.5" customHeight="1">
      <c r="A5" s="60" t="s">
        <v>70</v>
      </c>
      <c r="B5" s="61" t="s">
        <v>163</v>
      </c>
      <c r="C5" s="62">
        <v>0</v>
      </c>
      <c r="D5" s="84"/>
      <c r="E5" s="84"/>
      <c r="F5" s="84"/>
      <c r="G5" s="63">
        <v>5</v>
      </c>
    </row>
    <row r="6" spans="1:7" ht="27.5" customHeight="1">
      <c r="A6" s="54" t="s">
        <v>70</v>
      </c>
      <c r="B6" s="55" t="s">
        <v>133</v>
      </c>
      <c r="C6" s="56" t="s">
        <v>259</v>
      </c>
      <c r="D6" s="83"/>
      <c r="E6" s="83"/>
      <c r="F6" s="83"/>
      <c r="G6" s="65">
        <v>9</v>
      </c>
    </row>
    <row r="7" spans="1:7" ht="27.5" customHeight="1">
      <c r="A7" s="50" t="s">
        <v>70</v>
      </c>
      <c r="B7" s="51" t="s">
        <v>137</v>
      </c>
      <c r="C7" s="58" t="s">
        <v>259</v>
      </c>
      <c r="D7" s="68"/>
      <c r="E7" s="68"/>
      <c r="F7" s="68"/>
      <c r="G7" s="52">
        <v>4</v>
      </c>
    </row>
    <row r="8" spans="1:7" ht="27.5" customHeight="1">
      <c r="A8" s="50" t="s">
        <v>70</v>
      </c>
      <c r="B8" s="51" t="s">
        <v>138</v>
      </c>
      <c r="C8" s="58" t="s">
        <v>259</v>
      </c>
      <c r="D8" s="68"/>
      <c r="E8" s="68"/>
      <c r="F8" s="68"/>
      <c r="G8" s="52">
        <v>3</v>
      </c>
    </row>
    <row r="9" spans="1:7" ht="27.5" customHeight="1">
      <c r="A9" s="50" t="s">
        <v>70</v>
      </c>
      <c r="B9" s="51" t="s">
        <v>139</v>
      </c>
      <c r="C9" s="58" t="s">
        <v>259</v>
      </c>
      <c r="D9" s="68"/>
      <c r="E9" s="68"/>
      <c r="F9" s="68"/>
      <c r="G9" s="52">
        <v>6</v>
      </c>
    </row>
    <row r="10" spans="1:7" ht="27.5" customHeight="1">
      <c r="A10" s="50" t="s">
        <v>70</v>
      </c>
      <c r="B10" s="51" t="s">
        <v>140</v>
      </c>
      <c r="C10" s="66">
        <v>1</v>
      </c>
      <c r="D10" s="68"/>
      <c r="E10" s="68"/>
      <c r="F10" s="68"/>
      <c r="G10" s="52">
        <v>15</v>
      </c>
    </row>
    <row r="11" spans="1:7" ht="27.5" customHeight="1">
      <c r="A11" s="50" t="s">
        <v>70</v>
      </c>
      <c r="B11" s="51" t="s">
        <v>141</v>
      </c>
      <c r="C11" s="58" t="s">
        <v>259</v>
      </c>
      <c r="D11" s="68"/>
      <c r="E11" s="68"/>
      <c r="F11" s="68"/>
      <c r="G11" s="52">
        <v>15</v>
      </c>
    </row>
    <row r="12" spans="1:7" ht="27.5" customHeight="1">
      <c r="A12" s="50" t="s">
        <v>70</v>
      </c>
      <c r="B12" s="51" t="s">
        <v>142</v>
      </c>
      <c r="C12" s="58" t="s">
        <v>259</v>
      </c>
      <c r="D12" s="68"/>
      <c r="E12" s="68"/>
      <c r="F12" s="68"/>
      <c r="G12" s="52">
        <v>7</v>
      </c>
    </row>
    <row r="13" spans="1:7" ht="27.5" customHeight="1">
      <c r="A13" s="50" t="s">
        <v>70</v>
      </c>
      <c r="B13" s="51" t="s">
        <v>143</v>
      </c>
      <c r="C13" s="58" t="s">
        <v>259</v>
      </c>
      <c r="D13" s="68"/>
      <c r="E13" s="68"/>
      <c r="F13" s="68"/>
      <c r="G13" s="52">
        <v>3</v>
      </c>
    </row>
  </sheetData>
  <mergeCells count="1">
    <mergeCell ref="A1:G1"/>
  </mergeCells>
  <pageMargins left="1" right="1" top="1" bottom="1" header="0.25" footer="0.25"/>
  <pageSetup orientation="portrait"/>
  <headerFooter>
    <oddFooter>&amp;C&amp;"Helvetica Neue,Regular"&amp;12&amp;K000000&amp;P</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N10"/>
  <sheetViews>
    <sheetView showGridLines="0" workbookViewId="0">
      <pane xSplit="2" ySplit="2" topLeftCell="C3" activePane="bottomRight" state="frozen"/>
      <selection pane="topRight"/>
      <selection pane="bottomLeft"/>
      <selection pane="bottomRight" activeCell="C3" sqref="C3"/>
    </sheetView>
  </sheetViews>
  <sheetFormatPr baseColWidth="10" defaultColWidth="16.33203125" defaultRowHeight="20" customHeight="1"/>
  <cols>
    <col min="1" max="2" width="10.83203125" style="5" customWidth="1"/>
    <col min="3" max="4" width="16.6640625" style="5" customWidth="1"/>
    <col min="5" max="6" width="19.1640625" style="5" customWidth="1"/>
    <col min="7" max="7" width="16.6640625" style="5" customWidth="1"/>
    <col min="8" max="8" width="47.1640625" style="5" customWidth="1"/>
    <col min="9" max="9" width="61" style="5" customWidth="1"/>
    <col min="10" max="13" width="16.6640625" style="5" customWidth="1"/>
    <col min="14" max="14" width="37.33203125" style="5" customWidth="1"/>
    <col min="15" max="15" width="16.33203125" style="5" customWidth="1"/>
    <col min="16" max="16384" width="16.33203125" style="5"/>
  </cols>
  <sheetData>
    <row r="1" spans="1:14" ht="28" customHeight="1">
      <c r="A1" s="123" t="s">
        <v>117</v>
      </c>
      <c r="B1" s="123"/>
      <c r="C1" s="123"/>
      <c r="D1" s="123"/>
      <c r="E1" s="123"/>
      <c r="F1" s="123"/>
      <c r="G1" s="123"/>
      <c r="H1" s="123"/>
      <c r="I1" s="123"/>
      <c r="J1" s="123"/>
      <c r="K1" s="123"/>
      <c r="L1" s="123"/>
      <c r="M1" s="123"/>
      <c r="N1" s="123"/>
    </row>
    <row r="2" spans="1:14" ht="80" customHeight="1">
      <c r="A2" s="46" t="s">
        <v>119</v>
      </c>
      <c r="B2" s="46" t="s">
        <v>120</v>
      </c>
      <c r="C2" s="46" t="s">
        <v>121</v>
      </c>
      <c r="D2" s="46" t="s">
        <v>122</v>
      </c>
      <c r="E2" s="46" t="s">
        <v>123</v>
      </c>
      <c r="F2" s="46" t="s">
        <v>124</v>
      </c>
      <c r="G2" s="46" t="s">
        <v>125</v>
      </c>
      <c r="H2" s="46" t="s">
        <v>126</v>
      </c>
      <c r="I2" s="46" t="s">
        <v>127</v>
      </c>
      <c r="J2" s="46" t="s">
        <v>128</v>
      </c>
      <c r="K2" s="46" t="s">
        <v>129</v>
      </c>
      <c r="L2" s="46" t="s">
        <v>130</v>
      </c>
      <c r="M2" s="46" t="s">
        <v>131</v>
      </c>
      <c r="N2" s="46" t="s">
        <v>132</v>
      </c>
    </row>
    <row r="3" spans="1:14" ht="35" customHeight="1">
      <c r="A3" s="105"/>
      <c r="B3" s="48" t="s">
        <v>133</v>
      </c>
      <c r="C3" s="130" cm="1">
        <f t="array" ref="C3">SUM(E3:E10)/SUM(D3:D10)</f>
        <v>0.48426150121065376</v>
      </c>
      <c r="D3" s="49">
        <v>37</v>
      </c>
      <c r="E3" s="49" cm="1">
        <f t="array" ref="E3">ROUNDUP('Y2027 NPI - CYG (Rick) - Y2026 '!C6+'Y2027 NPI - CYG (Rick) - Y2026 '!D6+'Y2027 NPI - CYG (Rick) - Y2026 '!E6+'Y2027 NPI - CYG (Rick) - Y2026 '!F6+'Y2027 NPI - CYG (Rick) - Y2026 '!G6+'Y2027 NPI - CYG (Rick) - Y2026 '!H6+'Y2027 NPI - CYG (Rick) - Y2026 '!I6,0)</f>
        <v>11</v>
      </c>
      <c r="F3" s="49" cm="1">
        <f t="array" ref="F3">D3-E3</f>
        <v>26</v>
      </c>
      <c r="G3" s="126" t="s">
        <v>267</v>
      </c>
      <c r="H3" s="128" t="s">
        <v>268</v>
      </c>
      <c r="I3" s="128" t="s">
        <v>269</v>
      </c>
      <c r="J3" s="126" t="s">
        <v>15</v>
      </c>
      <c r="K3" s="126" t="s">
        <v>15</v>
      </c>
      <c r="L3" s="126" t="s">
        <v>15</v>
      </c>
      <c r="M3" s="126" t="s">
        <v>15</v>
      </c>
      <c r="N3" s="128" t="s">
        <v>270</v>
      </c>
    </row>
    <row r="4" spans="1:14" ht="35" customHeight="1">
      <c r="A4" s="70"/>
      <c r="B4" s="51" t="s">
        <v>137</v>
      </c>
      <c r="C4" s="125"/>
      <c r="D4" s="52">
        <v>42</v>
      </c>
      <c r="E4" s="52" cm="1">
        <f t="array" ref="E4">ROUNDUP('Y2027 NPI - CYG (Rick) - Y2026 '!C7+'Y2027 NPI - CYG (Rick) - Y2026 '!D7+'Y2027 NPI - CYG (Rick) - Y2026 '!E7+'Y2027 NPI - CYG (Rick) - Y2026 '!F7+'Y2027 NPI - CYG (Rick) - Y2026 '!G7+'Y2027 NPI - CYG (Rick) - Y2026 '!H7+'Y2027 NPI - CYG (Rick) - Y2026 '!I7,0)</f>
        <v>11</v>
      </c>
      <c r="F4" s="52" cm="1">
        <f t="array" ref="F4">D4-E4</f>
        <v>31</v>
      </c>
      <c r="G4" s="127"/>
      <c r="H4" s="127"/>
      <c r="I4" s="127"/>
      <c r="J4" s="127"/>
      <c r="K4" s="127"/>
      <c r="L4" s="127"/>
      <c r="M4" s="127"/>
      <c r="N4" s="127"/>
    </row>
    <row r="5" spans="1:14" ht="35" customHeight="1">
      <c r="A5" s="70"/>
      <c r="B5" s="51" t="s">
        <v>138</v>
      </c>
      <c r="C5" s="125"/>
      <c r="D5" s="52">
        <v>43</v>
      </c>
      <c r="E5" s="52" cm="1">
        <f t="array" ref="E5">ROUNDUP('Y2027 NPI - CYG (Rick) - Y2026 '!C8+'Y2027 NPI - CYG (Rick) - Y2026 '!D8+'Y2027 NPI - CYG (Rick) - Y2026 '!E8+'Y2027 NPI - CYG (Rick) - Y2026 '!F8+'Y2027 NPI - CYG (Rick) - Y2026 '!G8+'Y2027 NPI - CYG (Rick) - Y2026 '!H8+'Y2027 NPI - CYG (Rick) - Y2026 '!I8,0)</f>
        <v>9</v>
      </c>
      <c r="F5" s="52" cm="1">
        <f t="array" ref="F5">D5-E5</f>
        <v>34</v>
      </c>
      <c r="G5" s="127"/>
      <c r="H5" s="127"/>
      <c r="I5" s="127"/>
      <c r="J5" s="127"/>
      <c r="K5" s="127"/>
      <c r="L5" s="127"/>
      <c r="M5" s="127"/>
      <c r="N5" s="127"/>
    </row>
    <row r="6" spans="1:14" ht="35" customHeight="1">
      <c r="A6" s="70"/>
      <c r="B6" s="51" t="s">
        <v>139</v>
      </c>
      <c r="C6" s="125"/>
      <c r="D6" s="52">
        <v>22</v>
      </c>
      <c r="E6" s="52" cm="1">
        <f t="array" ref="E6">ROUNDUP('Y2027 NPI - CYG (Rick) - Y2026 '!C9+'Y2027 NPI - CYG (Rick) - Y2026 '!D9+'Y2027 NPI - CYG (Rick) - Y2026 '!E9+'Y2027 NPI - CYG (Rick) - Y2026 '!F9+'Y2027 NPI - CYG (Rick) - Y2026 '!G9+'Y2027 NPI - CYG (Rick) - Y2026 '!H9+'Y2027 NPI - CYG (Rick) - Y2026 '!I9,0)</f>
        <v>5</v>
      </c>
      <c r="F6" s="52" cm="1">
        <f t="array" ref="F6">D6-E6</f>
        <v>17</v>
      </c>
      <c r="G6" s="127"/>
      <c r="H6" s="127"/>
      <c r="I6" s="127"/>
      <c r="J6" s="127"/>
      <c r="K6" s="127"/>
      <c r="L6" s="127"/>
      <c r="M6" s="127"/>
      <c r="N6" s="127"/>
    </row>
    <row r="7" spans="1:14" ht="35" customHeight="1">
      <c r="A7" s="70"/>
      <c r="B7" s="51" t="s">
        <v>140</v>
      </c>
      <c r="C7" s="125"/>
      <c r="D7" s="52">
        <v>48</v>
      </c>
      <c r="E7" s="52" cm="1">
        <f t="array" ref="E7">ROUNDUP('Y2027 NPI - CYG (Rick) - Y2026 '!C10+'Y2027 NPI - CYG (Rick) - Y2026 '!D10+'Y2027 NPI - CYG (Rick) - Y2026 '!E10+'Y2027 NPI - CYG (Rick) - Y2026 '!F10+'Y2027 NPI - CYG (Rick) - Y2026 '!G10+'Y2027 NPI - CYG (Rick) - Y2026 '!H10+'Y2027 NPI - CYG (Rick) - Y2026 '!I10,0)</f>
        <v>15</v>
      </c>
      <c r="F7" s="52" cm="1">
        <f t="array" ref="F7">D7-E7</f>
        <v>33</v>
      </c>
      <c r="G7" s="127"/>
      <c r="H7" s="127"/>
      <c r="I7" s="127"/>
      <c r="J7" s="127"/>
      <c r="K7" s="127"/>
      <c r="L7" s="127"/>
      <c r="M7" s="127"/>
      <c r="N7" s="127"/>
    </row>
    <row r="8" spans="1:14" ht="35" customHeight="1">
      <c r="A8" s="70"/>
      <c r="B8" s="51" t="s">
        <v>141</v>
      </c>
      <c r="C8" s="125"/>
      <c r="D8" s="52">
        <v>135</v>
      </c>
      <c r="E8" s="52" cm="1">
        <f t="array" ref="E8">ROUNDUP('Y2027 NPI - CYG (Rick) - Y2026 '!C11+'Y2027 NPI - CYG (Rick) - Y2026 '!D11+'Y2027 NPI - CYG (Rick) - Y2026 '!E11+'Y2027 NPI - CYG (Rick) - Y2026 '!F11+'Y2027 NPI - CYG (Rick) - Y2026 '!G11+'Y2027 NPI - CYG (Rick) - Y2026 '!H11+'Y2027 NPI - CYG (Rick) - Y2026 '!I11,0)</f>
        <v>96</v>
      </c>
      <c r="F8" s="52" cm="1">
        <f t="array" ref="F8">D8-E8</f>
        <v>39</v>
      </c>
      <c r="G8" s="127"/>
      <c r="H8" s="127"/>
      <c r="I8" s="127"/>
      <c r="J8" s="127"/>
      <c r="K8" s="127"/>
      <c r="L8" s="127"/>
      <c r="M8" s="127"/>
      <c r="N8" s="127"/>
    </row>
    <row r="9" spans="1:14" ht="35" customHeight="1">
      <c r="A9" s="70"/>
      <c r="B9" s="51" t="s">
        <v>142</v>
      </c>
      <c r="C9" s="125"/>
      <c r="D9" s="52">
        <v>64</v>
      </c>
      <c r="E9" s="52" cm="1">
        <f t="array" ref="E9">ROUNDUP('Y2027 NPI - CYG (Rick) - Y2026 '!C12+'Y2027 NPI - CYG (Rick) - Y2026 '!D12+'Y2027 NPI - CYG (Rick) - Y2026 '!E12+'Y2027 NPI - CYG (Rick) - Y2026 '!F12+'Y2027 NPI - CYG (Rick) - Y2026 '!G12+'Y2027 NPI - CYG (Rick) - Y2026 '!H12+'Y2027 NPI - CYG (Rick) - Y2026 '!I12,0)</f>
        <v>39</v>
      </c>
      <c r="F9" s="52" cm="1">
        <f t="array" ref="F9">D9-E9</f>
        <v>25</v>
      </c>
      <c r="G9" s="127"/>
      <c r="H9" s="127"/>
      <c r="I9" s="127"/>
      <c r="J9" s="127"/>
      <c r="K9" s="127"/>
      <c r="L9" s="127"/>
      <c r="M9" s="127"/>
      <c r="N9" s="127"/>
    </row>
    <row r="10" spans="1:14" ht="35" customHeight="1">
      <c r="A10" s="70"/>
      <c r="B10" s="51" t="s">
        <v>143</v>
      </c>
      <c r="C10" s="125"/>
      <c r="D10" s="52">
        <v>22</v>
      </c>
      <c r="E10" s="52" cm="1">
        <f t="array" ref="E10">ROUNDUP('Y2027 NPI - CYG (Rick) - Y2026 '!C13+'Y2027 NPI - CYG (Rick) - Y2026 '!D13+'Y2027 NPI - CYG (Rick) - Y2026 '!E13+'Y2027 NPI - CYG (Rick) - Y2026 '!F13+'Y2027 NPI - CYG (Rick) - Y2026 '!G13+'Y2027 NPI - CYG (Rick) - Y2026 '!H13+'Y2027 NPI - CYG (Rick) - Y2026 '!I13,0)</f>
        <v>14</v>
      </c>
      <c r="F10" s="52" cm="1">
        <f t="array" ref="F10">D10-E10</f>
        <v>8</v>
      </c>
      <c r="G10" s="127"/>
      <c r="H10" s="127"/>
      <c r="I10" s="127"/>
      <c r="J10" s="127"/>
      <c r="K10" s="127"/>
      <c r="L10" s="127"/>
      <c r="M10" s="127"/>
      <c r="N10" s="127"/>
    </row>
  </sheetData>
  <mergeCells count="10">
    <mergeCell ref="A1:N1"/>
    <mergeCell ref="G3:G10"/>
    <mergeCell ref="H3:H10"/>
    <mergeCell ref="I3:I10"/>
    <mergeCell ref="J3:J10"/>
    <mergeCell ref="K3:K10"/>
    <mergeCell ref="M3:M10"/>
    <mergeCell ref="L3:L10"/>
    <mergeCell ref="N3:N10"/>
    <mergeCell ref="C3:C10"/>
  </mergeCells>
  <pageMargins left="0.5" right="0.5" top="0.75" bottom="0.75" header="0.27777800000000002" footer="0.27777800000000002"/>
  <pageSetup scale="72" orientation="portrait"/>
  <headerFooter>
    <oddFooter>&amp;C&amp;"Helvetica Neue,Regular"&amp;12&amp;K000000&amp;P</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I13"/>
  <sheetViews>
    <sheetView showGridLines="0" workbookViewId="0">
      <pane xSplit="2" ySplit="2" topLeftCell="C3" activePane="bottomRight" state="frozen"/>
      <selection pane="topRight"/>
      <selection pane="bottomLeft"/>
      <selection pane="bottomRight" activeCell="C3" sqref="C3"/>
    </sheetView>
  </sheetViews>
  <sheetFormatPr baseColWidth="10" defaultColWidth="16.33203125" defaultRowHeight="20" customHeight="1"/>
  <cols>
    <col min="1" max="3" width="20.83203125" style="5" customWidth="1"/>
    <col min="4" max="5" width="27.33203125" style="5" customWidth="1"/>
    <col min="6" max="6" width="32.5" style="5" customWidth="1"/>
    <col min="7" max="7" width="44.33203125" style="5" customWidth="1"/>
    <col min="8" max="9" width="20.83203125" style="5" customWidth="1"/>
    <col min="10" max="10" width="16.33203125" style="5" customWidth="1"/>
    <col min="11" max="16384" width="16.33203125" style="5"/>
  </cols>
  <sheetData>
    <row r="1" spans="1:9" ht="28" customHeight="1">
      <c r="A1" s="123" t="s">
        <v>221</v>
      </c>
      <c r="B1" s="123"/>
      <c r="C1" s="123"/>
      <c r="D1" s="123"/>
      <c r="E1" s="123"/>
      <c r="F1" s="123"/>
      <c r="G1" s="123"/>
      <c r="H1" s="123"/>
      <c r="I1" s="123"/>
    </row>
    <row r="2" spans="1:9" ht="27.5" customHeight="1">
      <c r="A2" s="53" t="s">
        <v>119</v>
      </c>
      <c r="B2" s="53" t="s">
        <v>147</v>
      </c>
      <c r="C2" s="53" t="s">
        <v>148</v>
      </c>
      <c r="D2" s="53" t="s">
        <v>149</v>
      </c>
      <c r="E2" s="53" t="s">
        <v>78</v>
      </c>
      <c r="F2" s="53" t="s">
        <v>91</v>
      </c>
      <c r="G2" s="53" t="s">
        <v>48</v>
      </c>
      <c r="H2" s="53" t="s">
        <v>272</v>
      </c>
      <c r="I2" s="53" t="s">
        <v>273</v>
      </c>
    </row>
    <row r="3" spans="1:9" ht="27.5" customHeight="1">
      <c r="A3" s="69"/>
      <c r="B3" s="55" t="s">
        <v>34</v>
      </c>
      <c r="C3" s="56" t="s">
        <v>274</v>
      </c>
      <c r="D3" s="57" t="s">
        <v>275</v>
      </c>
      <c r="E3" s="57" t="s">
        <v>276</v>
      </c>
      <c r="F3" s="57" t="s">
        <v>277</v>
      </c>
      <c r="G3" s="57" t="s">
        <v>278</v>
      </c>
      <c r="H3" s="57" t="s">
        <v>279</v>
      </c>
      <c r="I3" s="57" t="s">
        <v>280</v>
      </c>
    </row>
    <row r="4" spans="1:9" ht="27.5" customHeight="1">
      <c r="A4" s="70"/>
      <c r="B4" s="51" t="s">
        <v>157</v>
      </c>
      <c r="C4" s="58" t="s">
        <v>281</v>
      </c>
      <c r="D4" s="59" t="s">
        <v>282</v>
      </c>
      <c r="E4" s="59" t="s">
        <v>283</v>
      </c>
      <c r="F4" s="59" t="s">
        <v>284</v>
      </c>
      <c r="G4" s="59" t="s">
        <v>285</v>
      </c>
      <c r="H4" s="59" t="s">
        <v>286</v>
      </c>
      <c r="I4" s="59" t="s">
        <v>287</v>
      </c>
    </row>
    <row r="5" spans="1:9" ht="27.5" customHeight="1">
      <c r="A5" s="73"/>
      <c r="B5" s="61" t="s">
        <v>163</v>
      </c>
      <c r="C5" s="62">
        <v>199</v>
      </c>
      <c r="D5" s="63">
        <v>24</v>
      </c>
      <c r="E5" s="63">
        <v>100</v>
      </c>
      <c r="F5" s="82" t="s">
        <v>288</v>
      </c>
      <c r="G5" s="82" t="s">
        <v>289</v>
      </c>
      <c r="H5" s="63">
        <v>35</v>
      </c>
      <c r="I5" s="63">
        <v>39</v>
      </c>
    </row>
    <row r="6" spans="1:9" ht="27.5" customHeight="1">
      <c r="A6" s="69"/>
      <c r="B6" s="55" t="s">
        <v>133</v>
      </c>
      <c r="C6" s="64">
        <v>2</v>
      </c>
      <c r="D6" s="65">
        <v>0.1</v>
      </c>
      <c r="E6" s="65">
        <v>0.1</v>
      </c>
      <c r="F6" s="65">
        <v>3</v>
      </c>
      <c r="G6" s="65">
        <v>4</v>
      </c>
      <c r="H6" s="65">
        <v>0.5</v>
      </c>
      <c r="I6" s="65">
        <v>0.5</v>
      </c>
    </row>
    <row r="7" spans="1:9" ht="27.5" customHeight="1">
      <c r="A7" s="70"/>
      <c r="B7" s="51" t="s">
        <v>137</v>
      </c>
      <c r="C7" s="66">
        <v>1</v>
      </c>
      <c r="D7" s="52">
        <v>0.1</v>
      </c>
      <c r="E7" s="52">
        <v>0.1</v>
      </c>
      <c r="F7" s="52">
        <v>2</v>
      </c>
      <c r="G7" s="52">
        <v>6</v>
      </c>
      <c r="H7" s="52">
        <v>0.5</v>
      </c>
      <c r="I7" s="52">
        <v>0.5</v>
      </c>
    </row>
    <row r="8" spans="1:9" ht="27.5" customHeight="1">
      <c r="A8" s="70"/>
      <c r="B8" s="51" t="s">
        <v>138</v>
      </c>
      <c r="C8" s="66">
        <v>1</v>
      </c>
      <c r="D8" s="52">
        <v>0.1</v>
      </c>
      <c r="E8" s="52">
        <v>0.1</v>
      </c>
      <c r="F8" s="52">
        <v>2</v>
      </c>
      <c r="G8" s="52">
        <v>4</v>
      </c>
      <c r="H8" s="52">
        <v>0.5</v>
      </c>
      <c r="I8" s="52">
        <v>0.5</v>
      </c>
    </row>
    <row r="9" spans="1:9" ht="27.5" customHeight="1">
      <c r="A9" s="70"/>
      <c r="B9" s="51" t="s">
        <v>139</v>
      </c>
      <c r="C9" s="66">
        <v>1</v>
      </c>
      <c r="D9" s="52">
        <v>0.1</v>
      </c>
      <c r="E9" s="52">
        <v>0.1</v>
      </c>
      <c r="F9" s="52">
        <v>1</v>
      </c>
      <c r="G9" s="52">
        <v>1</v>
      </c>
      <c r="H9" s="52">
        <v>0.5</v>
      </c>
      <c r="I9" s="52">
        <v>0.5</v>
      </c>
    </row>
    <row r="10" spans="1:9" ht="27.5" customHeight="1">
      <c r="A10" s="70"/>
      <c r="B10" s="51" t="s">
        <v>140</v>
      </c>
      <c r="C10" s="66">
        <v>2</v>
      </c>
      <c r="D10" s="52">
        <v>0.1</v>
      </c>
      <c r="E10" s="52">
        <v>0.1</v>
      </c>
      <c r="F10" s="52">
        <v>5</v>
      </c>
      <c r="G10" s="52">
        <v>5</v>
      </c>
      <c r="H10" s="52">
        <v>1</v>
      </c>
      <c r="I10" s="52">
        <v>1</v>
      </c>
    </row>
    <row r="11" spans="1:9" ht="27.5" customHeight="1">
      <c r="A11" s="70"/>
      <c r="B11" s="51" t="s">
        <v>141</v>
      </c>
      <c r="C11" s="66">
        <v>12</v>
      </c>
      <c r="D11" s="52">
        <v>0</v>
      </c>
      <c r="E11" s="52">
        <v>0</v>
      </c>
      <c r="F11" s="52">
        <v>36</v>
      </c>
      <c r="G11" s="52">
        <v>32</v>
      </c>
      <c r="H11" s="52">
        <v>8</v>
      </c>
      <c r="I11" s="52">
        <v>8</v>
      </c>
    </row>
    <row r="12" spans="1:9" ht="27.5" customHeight="1">
      <c r="A12" s="70"/>
      <c r="B12" s="51" t="s">
        <v>142</v>
      </c>
      <c r="C12" s="66">
        <v>5</v>
      </c>
      <c r="D12" s="52">
        <v>0</v>
      </c>
      <c r="E12" s="52">
        <v>0</v>
      </c>
      <c r="F12" s="52">
        <v>15</v>
      </c>
      <c r="G12" s="52">
        <v>14</v>
      </c>
      <c r="H12" s="52">
        <v>3</v>
      </c>
      <c r="I12" s="52">
        <v>2</v>
      </c>
    </row>
    <row r="13" spans="1:9" ht="27.5" customHeight="1">
      <c r="A13" s="70"/>
      <c r="B13" s="51" t="s">
        <v>143</v>
      </c>
      <c r="C13" s="66">
        <v>2</v>
      </c>
      <c r="D13" s="52">
        <v>0</v>
      </c>
      <c r="E13" s="52">
        <v>0</v>
      </c>
      <c r="F13" s="52">
        <v>6</v>
      </c>
      <c r="G13" s="52">
        <v>5</v>
      </c>
      <c r="H13" s="52">
        <v>0.5</v>
      </c>
      <c r="I13" s="52">
        <v>0.5</v>
      </c>
    </row>
  </sheetData>
  <mergeCells count="1">
    <mergeCell ref="A1:I1"/>
  </mergeCells>
  <pageMargins left="0.5" right="0.5" top="0.75" bottom="0.75" header="0.27777800000000002" footer="0.27777800000000002"/>
  <pageSetup scale="72" orientation="portrait"/>
  <headerFooter>
    <oddFooter>&amp;C&amp;"Helvetica Neue,Regular"&amp;12&amp;K000000&amp;P</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O10"/>
  <sheetViews>
    <sheetView showGridLines="0" workbookViewId="0">
      <pane xSplit="2" ySplit="2" topLeftCell="C3" activePane="bottomRight" state="frozen"/>
      <selection pane="topRight"/>
      <selection pane="bottomLeft"/>
      <selection pane="bottomRight" activeCell="C3" sqref="C3"/>
    </sheetView>
  </sheetViews>
  <sheetFormatPr baseColWidth="10" defaultColWidth="16.33203125" defaultRowHeight="21" customHeight="1"/>
  <cols>
    <col min="1" max="2" width="10.83203125" style="106" customWidth="1"/>
    <col min="3" max="3" width="18.33203125" style="106" customWidth="1"/>
    <col min="4" max="4" width="16.6640625" style="106" customWidth="1"/>
    <col min="5" max="6" width="19.1640625" style="106" customWidth="1"/>
    <col min="7" max="13" width="16.6640625" style="106" customWidth="1"/>
    <col min="14" max="14" width="34.6640625" style="106" customWidth="1"/>
    <col min="15" max="15" width="17.5" style="106" customWidth="1"/>
    <col min="16" max="16" width="16.33203125" style="106" customWidth="1"/>
    <col min="17" max="16384" width="16.33203125" style="106"/>
  </cols>
  <sheetData>
    <row r="1" spans="1:15" ht="29" customHeight="1">
      <c r="A1" s="137" t="s">
        <v>117</v>
      </c>
      <c r="B1" s="137"/>
      <c r="C1" s="137"/>
      <c r="D1" s="137"/>
      <c r="E1" s="137"/>
      <c r="F1" s="137"/>
      <c r="G1" s="137"/>
      <c r="H1" s="137"/>
      <c r="I1" s="137"/>
      <c r="J1" s="137"/>
      <c r="K1" s="137"/>
      <c r="L1" s="137"/>
      <c r="M1" s="137"/>
      <c r="N1" s="137"/>
      <c r="O1" s="137"/>
    </row>
    <row r="2" spans="1:15" ht="80" customHeight="1">
      <c r="A2" s="107" t="s">
        <v>119</v>
      </c>
      <c r="B2" s="107" t="s">
        <v>120</v>
      </c>
      <c r="C2" s="107" t="s">
        <v>292</v>
      </c>
      <c r="D2" s="107" t="s">
        <v>293</v>
      </c>
      <c r="E2" s="107" t="s">
        <v>294</v>
      </c>
      <c r="F2" s="107" t="s">
        <v>295</v>
      </c>
      <c r="G2" s="107" t="s">
        <v>296</v>
      </c>
      <c r="H2" s="107" t="s">
        <v>297</v>
      </c>
      <c r="I2" s="107" t="s">
        <v>127</v>
      </c>
      <c r="J2" s="107" t="s">
        <v>298</v>
      </c>
      <c r="K2" s="107" t="s">
        <v>299</v>
      </c>
      <c r="L2" s="107" t="s">
        <v>300</v>
      </c>
      <c r="M2" s="107" t="s">
        <v>301</v>
      </c>
      <c r="N2" s="107" t="s">
        <v>132</v>
      </c>
      <c r="O2" s="107" t="s">
        <v>302</v>
      </c>
    </row>
    <row r="3" spans="1:15" ht="30" customHeight="1">
      <c r="A3" s="108" t="s">
        <v>24</v>
      </c>
      <c r="B3" s="109" t="s">
        <v>133</v>
      </c>
      <c r="C3" s="142" cm="1">
        <f t="array" ref="C3">SUM(E3:E10)/SUM(D3:D10)</f>
        <v>0.15728155339805824</v>
      </c>
      <c r="D3" s="110">
        <v>59</v>
      </c>
      <c r="E3" s="110">
        <v>4</v>
      </c>
      <c r="F3" s="111" cm="1">
        <f t="array" ref="F3">D3-E3</f>
        <v>55</v>
      </c>
      <c r="G3" s="138" t="s">
        <v>249</v>
      </c>
      <c r="H3" s="138" t="s">
        <v>303</v>
      </c>
      <c r="I3" s="140" t="s">
        <v>304</v>
      </c>
      <c r="J3" s="138" t="s">
        <v>15</v>
      </c>
      <c r="K3" s="138" t="s">
        <v>15</v>
      </c>
      <c r="L3" s="138" t="s">
        <v>15</v>
      </c>
      <c r="M3" s="138" t="s">
        <v>15</v>
      </c>
      <c r="N3" s="141" t="s">
        <v>305</v>
      </c>
      <c r="O3" s="111">
        <v>98</v>
      </c>
    </row>
    <row r="4" spans="1:15" ht="30" customHeight="1">
      <c r="A4" s="112" t="s">
        <v>24</v>
      </c>
      <c r="B4" s="113" t="s">
        <v>137</v>
      </c>
      <c r="C4" s="143"/>
      <c r="D4" s="114">
        <v>52</v>
      </c>
      <c r="E4" s="114">
        <v>4</v>
      </c>
      <c r="F4" s="115" cm="1">
        <f t="array" ref="F4">D4-E4</f>
        <v>48</v>
      </c>
      <c r="G4" s="139"/>
      <c r="H4" s="139"/>
      <c r="I4" s="139"/>
      <c r="J4" s="139"/>
      <c r="K4" s="139"/>
      <c r="L4" s="139"/>
      <c r="M4" s="139"/>
      <c r="N4" s="139"/>
      <c r="O4" s="116">
        <v>417</v>
      </c>
    </row>
    <row r="5" spans="1:15" ht="30" customHeight="1">
      <c r="A5" s="112" t="s">
        <v>24</v>
      </c>
      <c r="B5" s="113" t="s">
        <v>138</v>
      </c>
      <c r="C5" s="143"/>
      <c r="D5" s="114">
        <v>31</v>
      </c>
      <c r="E5" s="114">
        <v>3</v>
      </c>
      <c r="F5" s="115" cm="1">
        <f t="array" ref="F5">D5-E5</f>
        <v>28</v>
      </c>
      <c r="G5" s="139"/>
      <c r="H5" s="139"/>
      <c r="I5" s="139"/>
      <c r="J5" s="139"/>
      <c r="K5" s="139"/>
      <c r="L5" s="139"/>
      <c r="M5" s="139"/>
      <c r="N5" s="139"/>
      <c r="O5" s="116">
        <v>210</v>
      </c>
    </row>
    <row r="6" spans="1:15" ht="30" customHeight="1">
      <c r="A6" s="112" t="s">
        <v>24</v>
      </c>
      <c r="B6" s="113" t="s">
        <v>139</v>
      </c>
      <c r="C6" s="143"/>
      <c r="D6" s="114">
        <v>53</v>
      </c>
      <c r="E6" s="114">
        <v>3</v>
      </c>
      <c r="F6" s="115" cm="1">
        <f t="array" ref="F6">D6-E6</f>
        <v>50</v>
      </c>
      <c r="G6" s="139"/>
      <c r="H6" s="139"/>
      <c r="I6" s="139"/>
      <c r="J6" s="139"/>
      <c r="K6" s="139"/>
      <c r="L6" s="139"/>
      <c r="M6" s="139"/>
      <c r="N6" s="139"/>
      <c r="O6" s="116">
        <v>72</v>
      </c>
    </row>
    <row r="7" spans="1:15" ht="30" customHeight="1">
      <c r="A7" s="112" t="s">
        <v>24</v>
      </c>
      <c r="B7" s="113" t="s">
        <v>140</v>
      </c>
      <c r="C7" s="143"/>
      <c r="D7" s="114">
        <v>95</v>
      </c>
      <c r="E7" s="114">
        <v>21</v>
      </c>
      <c r="F7" s="115" cm="1">
        <f t="array" ref="F7">D7-E7</f>
        <v>74</v>
      </c>
      <c r="G7" s="139"/>
      <c r="H7" s="139"/>
      <c r="I7" s="139"/>
      <c r="J7" s="139"/>
      <c r="K7" s="139"/>
      <c r="L7" s="139"/>
      <c r="M7" s="139"/>
      <c r="N7" s="139"/>
      <c r="O7" s="116">
        <v>290</v>
      </c>
    </row>
    <row r="8" spans="1:15" ht="30" customHeight="1">
      <c r="A8" s="112" t="s">
        <v>24</v>
      </c>
      <c r="B8" s="113" t="s">
        <v>141</v>
      </c>
      <c r="C8" s="143"/>
      <c r="D8" s="114">
        <v>152</v>
      </c>
      <c r="E8" s="114">
        <v>22</v>
      </c>
      <c r="F8" s="115" cm="1">
        <f t="array" ref="F8">D8-E8</f>
        <v>130</v>
      </c>
      <c r="G8" s="139"/>
      <c r="H8" s="139"/>
      <c r="I8" s="139"/>
      <c r="J8" s="139"/>
      <c r="K8" s="139"/>
      <c r="L8" s="139"/>
      <c r="M8" s="139"/>
      <c r="N8" s="139"/>
      <c r="O8" s="116">
        <v>266</v>
      </c>
    </row>
    <row r="9" spans="1:15" ht="30" customHeight="1">
      <c r="A9" s="112" t="s">
        <v>24</v>
      </c>
      <c r="B9" s="113" t="s">
        <v>142</v>
      </c>
      <c r="C9" s="143"/>
      <c r="D9" s="114">
        <v>48</v>
      </c>
      <c r="E9" s="114">
        <v>21</v>
      </c>
      <c r="F9" s="115" cm="1">
        <f t="array" ref="F9">D9-E9</f>
        <v>27</v>
      </c>
      <c r="G9" s="139"/>
      <c r="H9" s="139"/>
      <c r="I9" s="139"/>
      <c r="J9" s="139"/>
      <c r="K9" s="139"/>
      <c r="L9" s="139"/>
      <c r="M9" s="139"/>
      <c r="N9" s="139"/>
      <c r="O9" s="116">
        <v>103</v>
      </c>
    </row>
    <row r="10" spans="1:15" ht="30" customHeight="1">
      <c r="A10" s="112" t="s">
        <v>24</v>
      </c>
      <c r="B10" s="113" t="s">
        <v>143</v>
      </c>
      <c r="C10" s="143"/>
      <c r="D10" s="114">
        <v>25</v>
      </c>
      <c r="E10" s="114">
        <v>3</v>
      </c>
      <c r="F10" s="115" cm="1">
        <f t="array" ref="F10">D10-E10</f>
        <v>22</v>
      </c>
      <c r="G10" s="139"/>
      <c r="H10" s="139"/>
      <c r="I10" s="139"/>
      <c r="J10" s="139"/>
      <c r="K10" s="139"/>
      <c r="L10" s="139"/>
      <c r="M10" s="139"/>
      <c r="N10" s="139"/>
      <c r="O10" s="116">
        <v>87</v>
      </c>
    </row>
  </sheetData>
  <mergeCells count="10">
    <mergeCell ref="A1:O1"/>
    <mergeCell ref="G3:G10"/>
    <mergeCell ref="H3:H10"/>
    <mergeCell ref="I3:I10"/>
    <mergeCell ref="J3:J10"/>
    <mergeCell ref="K3:K10"/>
    <mergeCell ref="M3:M10"/>
    <mergeCell ref="L3:L10"/>
    <mergeCell ref="N3:N10"/>
    <mergeCell ref="C3:C10"/>
  </mergeCells>
  <pageMargins left="1" right="1" top="1" bottom="1" header="0.25" footer="0.25"/>
  <pageSetup orientation="portrait"/>
  <headerFooter>
    <oddFooter>&amp;C&amp;"Helvetica Neue,Regular"&amp;12&amp;K000000&amp;P</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G13"/>
  <sheetViews>
    <sheetView showGridLines="0" workbookViewId="0">
      <pane xSplit="2" ySplit="2" topLeftCell="C3" activePane="bottomRight" state="frozen"/>
      <selection pane="topRight"/>
      <selection pane="bottomLeft"/>
      <selection pane="bottomRight" activeCell="C3" sqref="C3"/>
    </sheetView>
  </sheetViews>
  <sheetFormatPr baseColWidth="10" defaultColWidth="16.33203125" defaultRowHeight="20" customHeight="1"/>
  <cols>
    <col min="1" max="7" width="20.83203125" style="5" customWidth="1"/>
    <col min="8" max="8" width="16.33203125" style="5" customWidth="1"/>
    <col min="9" max="16384" width="16.33203125" style="5"/>
  </cols>
  <sheetData>
    <row r="1" spans="1:7" ht="28" customHeight="1">
      <c r="A1" s="123" t="s">
        <v>145</v>
      </c>
      <c r="B1" s="123"/>
      <c r="C1" s="123"/>
      <c r="D1" s="123"/>
      <c r="E1" s="123"/>
      <c r="F1" s="123"/>
      <c r="G1" s="123"/>
    </row>
    <row r="2" spans="1:7" ht="27.5" customHeight="1">
      <c r="A2" s="46" t="s">
        <v>119</v>
      </c>
      <c r="B2" s="53" t="s">
        <v>147</v>
      </c>
      <c r="C2" s="53" t="s">
        <v>148</v>
      </c>
      <c r="D2" s="53" t="s">
        <v>149</v>
      </c>
      <c r="E2" s="53" t="s">
        <v>78</v>
      </c>
      <c r="F2" s="53" t="s">
        <v>91</v>
      </c>
      <c r="G2" s="53" t="s">
        <v>48</v>
      </c>
    </row>
    <row r="3" spans="1:7" ht="27.5" customHeight="1">
      <c r="A3" s="108" t="s">
        <v>24</v>
      </c>
      <c r="B3" s="55" t="s">
        <v>34</v>
      </c>
      <c r="C3" s="117"/>
      <c r="D3" s="83"/>
      <c r="E3" s="83"/>
      <c r="F3" s="83"/>
      <c r="G3" s="57" t="s">
        <v>307</v>
      </c>
    </row>
    <row r="4" spans="1:7" ht="27.5" customHeight="1">
      <c r="A4" s="112" t="s">
        <v>24</v>
      </c>
      <c r="B4" s="51" t="s">
        <v>157</v>
      </c>
      <c r="C4" s="67"/>
      <c r="D4" s="68"/>
      <c r="E4" s="68"/>
      <c r="F4" s="68"/>
      <c r="G4" s="59" t="s">
        <v>308</v>
      </c>
    </row>
    <row r="5" spans="1:7" ht="27.5" customHeight="1">
      <c r="A5" s="112" t="s">
        <v>24</v>
      </c>
      <c r="B5" s="61" t="s">
        <v>163</v>
      </c>
      <c r="C5" s="118"/>
      <c r="D5" s="84"/>
      <c r="E5" s="84"/>
      <c r="F5" s="84"/>
      <c r="G5" s="82" t="s">
        <v>249</v>
      </c>
    </row>
    <row r="6" spans="1:7" ht="27.5" customHeight="1">
      <c r="A6" s="112" t="s">
        <v>24</v>
      </c>
      <c r="B6" s="55" t="s">
        <v>133</v>
      </c>
      <c r="C6" s="117"/>
      <c r="D6" s="83"/>
      <c r="E6" s="83"/>
      <c r="F6" s="83"/>
      <c r="G6" s="119">
        <v>4</v>
      </c>
    </row>
    <row r="7" spans="1:7" ht="27.5" customHeight="1">
      <c r="A7" s="112" t="s">
        <v>24</v>
      </c>
      <c r="B7" s="51" t="s">
        <v>137</v>
      </c>
      <c r="C7" s="67"/>
      <c r="D7" s="68"/>
      <c r="E7" s="68"/>
      <c r="F7" s="68"/>
      <c r="G7" s="114">
        <v>4</v>
      </c>
    </row>
    <row r="8" spans="1:7" ht="27.5" customHeight="1">
      <c r="A8" s="112" t="s">
        <v>24</v>
      </c>
      <c r="B8" s="51" t="s">
        <v>138</v>
      </c>
      <c r="C8" s="67"/>
      <c r="D8" s="68"/>
      <c r="E8" s="68"/>
      <c r="F8" s="68"/>
      <c r="G8" s="114">
        <v>3</v>
      </c>
    </row>
    <row r="9" spans="1:7" ht="27.5" customHeight="1">
      <c r="A9" s="112" t="s">
        <v>24</v>
      </c>
      <c r="B9" s="51" t="s">
        <v>139</v>
      </c>
      <c r="C9" s="67"/>
      <c r="D9" s="68"/>
      <c r="E9" s="68"/>
      <c r="F9" s="68"/>
      <c r="G9" s="114">
        <v>3</v>
      </c>
    </row>
    <row r="10" spans="1:7" ht="27.5" customHeight="1">
      <c r="A10" s="112" t="s">
        <v>24</v>
      </c>
      <c r="B10" s="51" t="s">
        <v>140</v>
      </c>
      <c r="C10" s="67"/>
      <c r="D10" s="68"/>
      <c r="E10" s="68"/>
      <c r="F10" s="68"/>
      <c r="G10" s="114">
        <v>21</v>
      </c>
    </row>
    <row r="11" spans="1:7" ht="27.5" customHeight="1">
      <c r="A11" s="112" t="s">
        <v>24</v>
      </c>
      <c r="B11" s="51" t="s">
        <v>141</v>
      </c>
      <c r="C11" s="67"/>
      <c r="D11" s="68"/>
      <c r="E11" s="68"/>
      <c r="F11" s="68"/>
      <c r="G11" s="114">
        <v>22</v>
      </c>
    </row>
    <row r="12" spans="1:7" ht="27.5" customHeight="1">
      <c r="A12" s="112" t="s">
        <v>24</v>
      </c>
      <c r="B12" s="51" t="s">
        <v>142</v>
      </c>
      <c r="C12" s="67"/>
      <c r="D12" s="68"/>
      <c r="E12" s="68"/>
      <c r="F12" s="68"/>
      <c r="G12" s="114">
        <v>21</v>
      </c>
    </row>
    <row r="13" spans="1:7" ht="27.5" customHeight="1">
      <c r="A13" s="112" t="s">
        <v>24</v>
      </c>
      <c r="B13" s="51" t="s">
        <v>143</v>
      </c>
      <c r="C13" s="67"/>
      <c r="D13" s="68"/>
      <c r="E13" s="68"/>
      <c r="F13" s="68"/>
      <c r="G13" s="114">
        <v>3</v>
      </c>
    </row>
  </sheetData>
  <mergeCells count="1">
    <mergeCell ref="A1:G1"/>
  </mergeCells>
  <pageMargins left="1" right="1" top="1" bottom="1" header="0.25" footer="0.25"/>
  <pageSetup orientation="portrait"/>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21</vt:i4>
      </vt:variant>
    </vt:vector>
  </HeadingPairs>
  <TitlesOfParts>
    <vt:vector size="21" baseType="lpstr">
      <vt:lpstr>Export Summary</vt:lpstr>
      <vt:lpstr>Sheet 1 - Commercial Levers</vt:lpstr>
      <vt:lpstr>CPT Y2027 Brand New Station - T</vt:lpstr>
      <vt:lpstr>Y2027 NPI - PRM (Anna) - Resour</vt:lpstr>
      <vt:lpstr>Y2027 NPI - PRM (Anna) - Y2026 </vt:lpstr>
      <vt:lpstr>Y2027 NPI - Innorev (Fiona) - R</vt:lpstr>
      <vt:lpstr>Y2027 NPI - Innorev (Fiona) - Y</vt:lpstr>
      <vt:lpstr>Y2027 NPI - JLK (Sean) - Resour</vt:lpstr>
      <vt:lpstr>Y2027 NPI - JLK (Sean) - Y2026 </vt:lpstr>
      <vt:lpstr>Y2027 NPI - Cencorp (Rick) - Re</vt:lpstr>
      <vt:lpstr>Y2027 NPI - Cencorp (Rick) - Y2</vt:lpstr>
      <vt:lpstr>Y2027 NPI - Cencorp (Rick) - Y1</vt:lpstr>
      <vt:lpstr>Y2027 NPI - Cencorp (Rick) - Y3</vt:lpstr>
      <vt:lpstr>Y2027 NPI - HVS (Gene) - Resour</vt:lpstr>
      <vt:lpstr>Y2027 NPI - HVS (Gene) - Y2026 </vt:lpstr>
      <vt:lpstr>Y2027 NPI - Pantamaster (JS) - </vt:lpstr>
      <vt:lpstr>Y2027 NPI - Pantamaster (JS) -1</vt:lpstr>
      <vt:lpstr>Y2027 NPI - CYG (Rick) - Resour</vt:lpstr>
      <vt:lpstr>Y2027 NPI - CYG (Rick) - Y2026 </vt:lpstr>
      <vt:lpstr>Y2027 NPI - Nextas (Jessie) - R</vt:lpstr>
      <vt:lpstr>Y2027 NPI - Nextas (Jessie) - 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Neha Mishra</cp:lastModifiedBy>
  <dcterms:modified xsi:type="dcterms:W3CDTF">2026-06-09T03:09:10Z</dcterms:modified>
</cp:coreProperties>
</file>