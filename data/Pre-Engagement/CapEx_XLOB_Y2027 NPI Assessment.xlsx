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Y2027 NPI - Vendor _TEMPLATE_ -" sheetId="2" r:id="rId6"/>
    <sheet name="Y2027 NPI - Vendor _TEMPLATE_ 1" sheetId="3" r:id="rId7"/>
    <sheet name="Y2027 NPI - Vendor _TEMPLATE_ 2" sheetId="4" r:id="rId8"/>
    <sheet name="Y2027 NPI - Vendor _TEMPLATE_ 3" sheetId="5" r:id="rId9"/>
    <sheet name="Vendor Status" sheetId="6" r:id="rId10"/>
    <sheet name="2027 NPI Supportability Summary" sheetId="7" r:id="rId11"/>
    <sheet name="TE 2027 New Development Station" sheetId="8" r:id="rId12"/>
    <sheet name="AE_SAE_ME 2027 New Development " sheetId="9" r:id="rId13"/>
    <sheet name="AE DFM 2027 New Development Sta" sheetId="10" r:id="rId14"/>
    <sheet name="Y2027 NPI - PRM (Anna) - 4_23v " sheetId="11" r:id="rId15"/>
    <sheet name="Y2027 NPI - PRM (Anna) - 4_23v1" sheetId="12" r:id="rId16"/>
    <sheet name="Y2027 NPI - PRM (Anna) - 4_23v2" sheetId="13" r:id="rId17"/>
    <sheet name="Y2027 NPI - Innorev (Fiona) - R" sheetId="14" r:id="rId18"/>
    <sheet name="Y2027 NPI - Innorev (Fiona) - Y" sheetId="15" r:id="rId19"/>
    <sheet name="Y2027 NPI - JLK (Sean) - Resour" sheetId="16" r:id="rId20"/>
    <sheet name="Y2027 NPI - JLK (Sean) - Y2026 " sheetId="17" r:id="rId21"/>
    <sheet name="Y2027 NPI - JLK IN 5_18v - Reso" sheetId="18" r:id="rId22"/>
    <sheet name="Y2027 NPI - JLK IN 5_18v - Y202" sheetId="19" r:id="rId23"/>
    <sheet name="Y2027 NPI - VVDN IN 5_18 - Reso" sheetId="20" r:id="rId24"/>
    <sheet name="Y2027 NPI - VVDN IN 5_18 - Y202" sheetId="21" r:id="rId25"/>
    <sheet name="Y2027 NPI - Cencorp (Rick) - Re" sheetId="22" r:id="rId26"/>
    <sheet name="Y2027 NPI - Cencorp (Rick) - Y2" sheetId="23" r:id="rId27"/>
    <sheet name="Y2027 NPI - Cencorp (Rick) - Y1" sheetId="24" r:id="rId28"/>
    <sheet name="Y2027 NPI - Cencorp (Rick) - Y3" sheetId="25" r:id="rId29"/>
    <sheet name="Y2027 NPI - HVS (Gene) - Resour" sheetId="26" r:id="rId30"/>
    <sheet name="Y2027 NPI - HVS (Gene) - Y2026 " sheetId="27" r:id="rId31"/>
    <sheet name="Y2027 NPI - HVS (Gene) - Y2027 " sheetId="28" r:id="rId32"/>
    <sheet name="Y2027 NPI - HVS (Gene) - Drawin" sheetId="29" r:id="rId33"/>
    <sheet name="Y2027 NPI - Pantamaster (JS) - " sheetId="30" r:id="rId34"/>
    <sheet name="Y2027 NPI - Pantamaster (JS) -1" sheetId="31" r:id="rId35"/>
    <sheet name="Y2027 NPI - CYG (Rick) - Resour" sheetId="32" r:id="rId36"/>
    <sheet name="Y2027 NPI - CYG (Rick) - Y2027 " sheetId="33" r:id="rId37"/>
    <sheet name="Y2027 NPI - CYG (Rick) - Y2026 " sheetId="34" r:id="rId38"/>
    <sheet name="Y2027 NPI - Nextas (Jessie) - R" sheetId="35" r:id="rId39"/>
    <sheet name="Y2027 NPI - Nextas (Jessie) - Y" sheetId="36" r:id="rId40"/>
    <sheet name="Summary_Draft - 2027 NPI Suppor" sheetId="37" r:id="rId41"/>
    <sheet name="Y2027 NPI - PRM (Anna) - 4_13v " sheetId="38" r:id="rId42"/>
    <sheet name="Y2027 NPI - PRM (Anna) - 4_13v1" sheetId="39" r:id="rId43"/>
    <sheet name="Y2027 NPI - Accurate (Pratiksha" sheetId="40" r:id="rId44"/>
    <sheet name="Y2027 NPI - SFO (Ankan) - 5_18 " sheetId="41" r:id="rId45"/>
    <sheet name="_old_ 2027 NPI Supportability S" sheetId="42" r:id="rId46"/>
    <sheet name="Sheet 1 - Commercial Levers" sheetId="43" r:id="rId4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<sst xmlns="http://schemas.openxmlformats.org/spreadsheetml/2006/main" uniqueCount="1059">
  <si>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</si>
  <si>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</si>
  <si>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</si>
  <si>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</si>
  <si>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Y2027 NPI - Vendor [TEMPLATE]</t>
  </si>
  <si>
    <t>2027 NPI Supportability Summary - APO</t>
  </si>
  <si>
    <t>Y2027 NPI - Vendor _TEMPLATE_ -</t>
  </si>
  <si>
    <t>GSSM DRI to complete based on assessment below</t>
  </si>
  <si>
    <r>
      <rPr>
        <sz val="10"/>
        <color indexed="8"/>
        <rFont val="SF Hello Bold"/>
      </rPr>
      <t xml:space="preserve">2027 RFP Stations
</t>
    </r>
    <r>
      <rPr>
        <sz val="10"/>
        <color indexed="16"/>
        <rFont val="SF Hello Regular"/>
      </rPr>
      <t>(CPT GSSM RFPed Stations)</t>
    </r>
  </si>
  <si>
    <r>
      <rPr>
        <sz val="10"/>
        <color indexed="8"/>
        <rFont val="SF Hello Bold"/>
      </rPr>
      <t>GSSM Recommendation “</t>
    </r>
    <r>
      <rPr>
        <sz val="10"/>
        <color indexed="8"/>
        <rFont val="SF Hello Regular"/>
      </rPr>
      <t xml:space="preserve">Vendor ok2support ## RFP based on loading assessment” </t>
    </r>
  </si>
  <si>
    <t>Loading</t>
  </si>
  <si>
    <r>
      <rPr>
        <sz val="10"/>
        <color indexed="8"/>
        <rFont val="SF Hello Bold"/>
      </rPr>
      <t xml:space="preserve">Y2026 Ramp
</t>
    </r>
    <r>
      <rPr>
        <sz val="10"/>
        <color indexed="8"/>
        <rFont val="SF Hello Bold"/>
      </rPr>
      <t xml:space="preserve">Resource Loading &amp; Issue Feedback
</t>
    </r>
    <r>
      <rPr>
        <i val="1"/>
        <sz val="10"/>
        <color indexed="8"/>
        <rFont val="SF Hello Regular"/>
      </rPr>
      <t xml:space="preserve">To be completed by GSM team, bucket feedback into key areas to streamline feedback. (Buckets: resources, delivery, bring up ?)
</t>
    </r>
    <r>
      <rPr>
        <sz val="10"/>
        <color indexed="16"/>
        <rFont val="SF Hello Regular"/>
      </rPr>
      <t>(Apr’26 ~ Sep’26)</t>
    </r>
  </si>
  <si>
    <r>
      <rPr>
        <sz val="10"/>
        <color indexed="8"/>
        <rFont val="SF Hello Bold"/>
      </rPr>
      <t>“</t>
    </r>
    <r>
      <rPr>
        <sz val="10"/>
        <color indexed="8"/>
        <rFont val="SF Hello Regular"/>
      </rPr>
      <t>Vendor ok2support ## RFP based on loading assessment, but requires technical team evaluation of resource demand and quality”</t>
    </r>
  </si>
  <si>
    <t>#%</t>
  </si>
  <si>
    <t>Resource Availability for Y2027 NPI Support</t>
  </si>
  <si>
    <t>Y2027 NPI - Vendor _TEMPLATE_ 1</t>
  </si>
  <si>
    <t>Collect data from the vendor and populate here</t>
  </si>
  <si>
    <t>SI Name</t>
  </si>
  <si>
    <t>Resource</t>
  </si>
  <si>
    <t>Y2026 Loading</t>
  </si>
  <si>
    <t>Total  Resource</t>
  </si>
  <si>
    <t>Resource Occupied  for Y2026 Ramp</t>
  </si>
  <si>
    <t>Resource Leftover for Y2027 Brand-New Station NPI Build</t>
  </si>
  <si>
    <r>
      <rPr>
        <sz val="10"/>
        <color indexed="8"/>
        <rFont val="SF Hello Bold"/>
      </rPr>
      <t xml:space="preserve"># of Stations Type can support
</t>
    </r>
  </si>
  <si>
    <r>
      <rPr>
        <sz val="10"/>
        <color indexed="8"/>
        <rFont val="SF Hello Bold"/>
      </rPr>
      <t xml:space="preserve">Space Supportability 
</t>
    </r>
    <r>
      <rPr>
        <sz val="10"/>
        <color indexed="8"/>
        <rFont val="SF Hello Bold"/>
      </rPr>
      <t xml:space="preserve">
</t>
    </r>
    <r>
      <rPr>
        <sz val="10"/>
        <color indexed="16"/>
        <rFont val="SF Hello Regular"/>
      </rPr>
      <t>(Y/N)</t>
    </r>
  </si>
  <si>
    <r>
      <rPr>
        <sz val="10"/>
        <color indexed="8"/>
        <rFont val="SF Hello Bold"/>
      </rPr>
      <t xml:space="preserve">Machining Capacity Supportability 
</t>
    </r>
    <r>
      <rPr>
        <sz val="10"/>
        <color indexed="8"/>
        <rFont val="SF Hello Bold"/>
      </rPr>
      <t xml:space="preserve">
</t>
    </r>
    <r>
      <rPr>
        <sz val="10"/>
        <color indexed="16"/>
        <rFont val="SF Hello Regular"/>
      </rPr>
      <t>(Y/N)</t>
    </r>
  </si>
  <si>
    <r>
      <rPr>
        <sz val="10"/>
        <color indexed="8"/>
        <rFont val="SF Hello Bold"/>
      </rPr>
      <t xml:space="preserve">Assembly Capacity Supportability 
</t>
    </r>
    <r>
      <rPr>
        <sz val="10"/>
        <color indexed="8"/>
        <rFont val="SF Hello Bold"/>
      </rPr>
      <t xml:space="preserve">
</t>
    </r>
    <r>
      <rPr>
        <sz val="10"/>
        <color indexed="16"/>
        <rFont val="SF Hello Regular"/>
      </rPr>
      <t>(Y/N)</t>
    </r>
  </si>
  <si>
    <r>
      <rPr>
        <sz val="10"/>
        <color indexed="8"/>
        <rFont val="SF Hello Bold"/>
      </rPr>
      <t xml:space="preserve">Quality Capacity Supportability 
</t>
    </r>
    <r>
      <rPr>
        <sz val="10"/>
        <color indexed="8"/>
        <rFont val="SF Hello Bold"/>
      </rPr>
      <t xml:space="preserve">
</t>
    </r>
    <r>
      <rPr>
        <sz val="10"/>
        <color indexed="16"/>
        <rFont val="SF Hello Regular"/>
      </rPr>
      <t>(Y/N)</t>
    </r>
  </si>
  <si>
    <t>PM</t>
  </si>
  <si>
    <t>## and validated with resource plan in matrix below</t>
  </si>
  <si>
    <t xml:space="preserve">Y, ## idle capacity </t>
  </si>
  <si>
    <t>ME</t>
  </si>
  <si>
    <t>EE</t>
  </si>
  <si>
    <t>SW</t>
  </si>
  <si>
    <t>FAE</t>
  </si>
  <si>
    <t>Assembly</t>
  </si>
  <si>
    <t>Debug</t>
  </si>
  <si>
    <t xml:space="preserve">Quality </t>
  </si>
  <si>
    <t>Total</t>
  </si>
  <si>
    <t>Y2027 RFP Breakdown</t>
  </si>
  <si>
    <t>Y2027 NPI - Vendor _TEMPLATE_ 2</t>
  </si>
  <si>
    <t>Items</t>
  </si>
  <si>
    <t>Program</t>
  </si>
  <si>
    <t>Station Name</t>
  </si>
  <si>
    <t>Engagement Status (existing, new)</t>
  </si>
  <si>
    <t>“All Drawings from the Sheet”</t>
  </si>
  <si>
    <t>Y2027 NPI - Vendor _TEMPLATE_ 3</t>
  </si>
  <si>
    <t>Vendor Status</t>
  </si>
  <si>
    <t>Table 1</t>
  </si>
  <si>
    <t>Fall 2027 Program Updated (Y/N, date)</t>
  </si>
  <si>
    <t>GSSM DRI</t>
  </si>
  <si>
    <t>Innorev</t>
  </si>
  <si>
    <t>PRM</t>
  </si>
  <si>
    <t>Y</t>
  </si>
  <si>
    <t>Anna Zhou</t>
  </si>
  <si>
    <t>JLK CN</t>
  </si>
  <si>
    <t>Cencorp</t>
  </si>
  <si>
    <t>Rick Deng</t>
  </si>
  <si>
    <t>JLK IN</t>
  </si>
  <si>
    <t>Urvil</t>
  </si>
  <si>
    <t>VVDN</t>
  </si>
  <si>
    <t>Accurate</t>
  </si>
  <si>
    <t>SFO</t>
  </si>
  <si>
    <t>Pentamaster</t>
  </si>
  <si>
    <t>CYG</t>
  </si>
  <si>
    <t>Next’s</t>
  </si>
  <si>
    <t>2027 NPI Supportability Summary</t>
  </si>
  <si>
    <t>2027 SPOR - APO GSSM Recommendation</t>
  </si>
  <si>
    <t>NPI Resource</t>
  </si>
  <si>
    <t>MP Capacity</t>
  </si>
  <si>
    <t>SI Name
(APO GSM)</t>
  </si>
  <si>
    <r>
      <rPr>
        <sz val="10"/>
        <color indexed="8"/>
        <rFont val="SF Hello Bold"/>
      </rPr>
      <t xml:space="preserve">Y2027 NPI Build
</t>
    </r>
    <r>
      <rPr>
        <sz val="10"/>
        <color indexed="8"/>
        <rFont val="SF Hello Bold"/>
      </rPr>
      <t xml:space="preserve">Resource Supportability Assessment
</t>
    </r>
    <r>
      <rPr>
        <i val="1"/>
        <sz val="10"/>
        <color indexed="8"/>
        <rFont val="SF Hello Regular"/>
      </rPr>
      <t xml:space="preserve">To be completed by technical team moving forward
</t>
    </r>
    <r>
      <rPr>
        <sz val="10"/>
        <color indexed="16"/>
        <rFont val="SF Hello Regular"/>
      </rPr>
      <t>(Apr’26 ~ Sep’26)</t>
    </r>
  </si>
  <si>
    <t xml:space="preserve">Space Supportability </t>
  </si>
  <si>
    <t xml:space="preserve">Machining Capacity Supportability </t>
  </si>
  <si>
    <t xml:space="preserve">Assembly Capacity Supportability </t>
  </si>
  <si>
    <t xml:space="preserve">Quality Capacity Supportability </t>
  </si>
  <si>
    <t>PRM
(Anna)</t>
  </si>
  <si>
    <r>
      <rPr>
        <sz val="10"/>
        <color indexed="8"/>
        <rFont val="SF Hello Bold"/>
      </rPr>
      <t xml:space="preserve">iPhone V7x Station 
</t>
    </r>
    <r>
      <rPr>
        <sz val="10"/>
        <color indexed="8"/>
        <rFont val="SF Hello Regular"/>
      </rPr>
      <t xml:space="preserve">SA Barbie
</t>
    </r>
    <r>
      <rPr>
        <sz val="10"/>
        <color indexed="8"/>
        <rFont val="SF Hello Regular"/>
      </rPr>
      <t xml:space="preserve">ALS-P
</t>
    </r>
    <r>
      <rPr>
        <sz val="10"/>
        <color indexed="8"/>
        <rFont val="SF Hello Bold"/>
      </rPr>
      <t xml:space="preserve">
</t>
    </r>
    <r>
      <rPr>
        <sz val="10"/>
        <color indexed="8"/>
        <rFont val="SF Hello Bold"/>
      </rPr>
      <t xml:space="preserve">Watch 
</t>
    </r>
    <r>
      <rPr>
        <sz val="10"/>
        <color indexed="8"/>
        <rFont val="SF Hello Regular"/>
      </rPr>
      <t xml:space="preserve">FACT 
</t>
    </r>
    <r>
      <rPr>
        <sz val="10"/>
        <color indexed="8"/>
        <rFont val="SF Hello Regular"/>
      </rPr>
      <t>Cyan</t>
    </r>
  </si>
  <si>
    <r>
      <rPr>
        <sz val="10"/>
        <color indexed="8"/>
        <rFont val="SF Hello Bold"/>
      </rPr>
      <t xml:space="preserve">High risk </t>
    </r>
    <r>
      <rPr>
        <sz val="10"/>
        <color indexed="8"/>
        <rFont val="SF Hello Regular"/>
      </rPr>
      <t>to awarding any new business at 2027 given the resource constraint and unvalidated expertise, pending PRM feedback on overall resource assessment strategy</t>
    </r>
  </si>
  <si>
    <r>
      <rPr>
        <sz val="10"/>
        <color indexed="8"/>
        <rFont val="SF Hello Regular"/>
      </rPr>
      <t xml:space="preserve">Constraint Resource: PM/Technical/OSS shortage escalation
</t>
    </r>
    <r>
      <rPr>
        <sz val="10"/>
        <color indexed="8"/>
        <rFont val="SF Hello Regular"/>
      </rPr>
      <t xml:space="preserve">Lack of operation management system: escalation from SQE/CapEx PM/Tech Ops on quality / delivery / on-site activities
</t>
    </r>
    <r>
      <rPr>
        <sz val="10"/>
        <color indexed="8"/>
        <rFont val="SF Hello Regular"/>
      </rPr>
      <t xml:space="preserve">Lack of dedicated PM head to handle internal / external activities, led to Apple x-team spending huge efforts to bring up PRM cross areas </t>
    </r>
  </si>
  <si>
    <r>
      <rPr>
        <sz val="10"/>
        <color indexed="8"/>
        <rFont val="SF Hello Bold"/>
      </rPr>
      <t xml:space="preserve">
</t>
    </r>
    <r>
      <rPr>
        <sz val="10"/>
        <color indexed="8"/>
        <rFont val="SF Hello Regular"/>
      </rPr>
      <t xml:space="preserve">Reported idle resource qty </t>
    </r>
    <r>
      <rPr>
        <sz val="10"/>
        <color indexed="8"/>
        <rFont val="SF Hello Bold"/>
      </rPr>
      <t xml:space="preserve">ONLY ok2support iPhone V7x ALSP
</t>
    </r>
    <r>
      <rPr>
        <sz val="10"/>
        <color indexed="8"/>
        <rFont val="SF Hello Regular"/>
      </rPr>
      <t>Resource expertise</t>
    </r>
    <r>
      <rPr>
        <sz val="10"/>
        <color indexed="8"/>
        <rFont val="SF Hello Bold"/>
      </rPr>
      <t xml:space="preserve"> NOT validated</t>
    </r>
    <r>
      <rPr>
        <sz val="10"/>
        <color indexed="8"/>
        <rFont val="SF Hello Regular"/>
      </rPr>
      <t xml:space="preserve"> if able to meet new business requirement as </t>
    </r>
    <r>
      <rPr>
        <sz val="10"/>
        <color indexed="8"/>
        <rFont val="SF Hello Bold"/>
      </rPr>
      <t xml:space="preserve">all of them current scope at PRM are Non-A biz
</t>
    </r>
    <r>
      <rPr>
        <sz val="10"/>
        <color indexed="8"/>
        <rFont val="SF Hello Bold"/>
      </rPr>
      <t xml:space="preserve">Help Needed: </t>
    </r>
    <r>
      <rPr>
        <sz val="10"/>
        <color indexed="8"/>
        <rFont val="SF Hello Regular"/>
      </rPr>
      <t>HWTE validate resource expertise upon request</t>
    </r>
  </si>
  <si>
    <r>
      <rPr>
        <sz val="10"/>
        <color indexed="23"/>
        <rFont val="SF Hello Bold"/>
      </rPr>
      <t>◉</t>
    </r>
    <r>
      <rPr>
        <sz val="10"/>
        <color indexed="8"/>
        <rFont val="SF Hello Bold"/>
      </rPr>
      <t xml:space="preserve"> Available</t>
    </r>
  </si>
  <si>
    <t>Cencorp
(Rick)</t>
  </si>
  <si>
    <r>
      <rPr>
        <sz val="10"/>
        <color indexed="8"/>
        <rFont val="SF Hello Bold"/>
      </rPr>
      <t xml:space="preserve">iPhone V7x Station 
</t>
    </r>
    <r>
      <rPr>
        <sz val="10"/>
        <color indexed="8"/>
        <rFont val="SF Hello Regular"/>
      </rPr>
      <t xml:space="preserve">SA Barbie
</t>
    </r>
    <r>
      <rPr>
        <sz val="10"/>
        <color indexed="8"/>
        <rFont val="SF Hello Regular"/>
      </rPr>
      <t xml:space="preserve">ALS-P Odim 
</t>
    </r>
    <r>
      <rPr>
        <sz val="10"/>
        <color indexed="8"/>
        <rFont val="SF Hello Bold"/>
      </rPr>
      <t xml:space="preserve">Watch N25x
</t>
    </r>
    <r>
      <rPr>
        <sz val="10"/>
        <color indexed="8"/>
        <rFont val="SF Hello Regular"/>
      </rPr>
      <t xml:space="preserve">FACT 
</t>
    </r>
    <r>
      <rPr>
        <sz val="10"/>
        <color indexed="8"/>
        <rFont val="SF Hello Regular"/>
      </rPr>
      <t>Cyan  </t>
    </r>
    <r>
      <rPr>
        <sz val="10"/>
        <color indexed="8"/>
        <rFont val="SF Hello Bold"/>
      </rPr>
      <t>iPad J807/J830</t>
    </r>
    <r>
      <rPr>
        <sz val="10"/>
        <color indexed="8"/>
        <rFont val="SF Hello Regular"/>
      </rPr>
      <t> DVI  </t>
    </r>
    <r>
      <rPr>
        <sz val="10"/>
        <color indexed="8"/>
        <rFont val="SF Hello Bold"/>
      </rPr>
      <t>Portable K12P/K104</t>
    </r>
    <r>
      <rPr>
        <sz val="10"/>
        <color indexed="8"/>
        <rFont val="SF Hello Regular"/>
      </rPr>
      <t> SeaSalt Volga</t>
    </r>
  </si>
  <si>
    <r>
      <rPr>
        <b val="1"/>
        <sz val="10"/>
        <color indexed="8"/>
        <rFont val="Helvetica Neue"/>
      </rPr>
      <t xml:space="preserve">OK2Support </t>
    </r>
    <r>
      <rPr>
        <sz val="10"/>
        <color indexed="8"/>
        <rFont val="Helvetica Neue"/>
      </rPr>
      <t xml:space="preserve">CPT RFP’ed stations but require close monitoring on ramp execution overlap and resource list sign off. </t>
    </r>
  </si>
  <si>
    <t>- No major highlight so far from X-team on Cencorp for Y26 Ramp - GSSM had deep dive review with Cencorp on resources including engineering, PM, FAE, production, OSS, and with name list supporting.  Identified as medium-low risk.</t>
  </si>
  <si>
    <r>
      <rPr>
        <sz val="10"/>
        <color indexed="8"/>
        <rFont val="SF Hello Bold"/>
      </rPr>
      <t xml:space="preserve">
</t>
    </r>
    <r>
      <rPr>
        <sz val="10"/>
        <color indexed="8"/>
        <rFont val="SF Hello Regular"/>
      </rPr>
      <t xml:space="preserve">- Cencorp has rich experiences on conveyor station from both iPhone (Jasmine, Clematis, BEXT) and Portable (SeaSalt / Chocolate / Caramel) - Resource qty sufficient — after allocated to Y26 Ramp &amp; Y27 NPI, there are still 11% resources leftover, however they are heavily engaged on ramps across CN/VN for multiple non-phone programs - Resource working experience: ~30% with +3 years experience with Cencorp
</t>
    </r>
  </si>
  <si>
    <t>Innorev
(Fiona)</t>
  </si>
  <si>
    <r>
      <rPr>
        <sz val="10"/>
        <color indexed="8"/>
        <rFont val="SF Hello Bold"/>
      </rPr>
      <t xml:space="preserve">iPhone V7x Station
</t>
    </r>
    <r>
      <rPr>
        <sz val="10"/>
        <color indexed="8"/>
        <rFont val="SF Hello Regular"/>
      </rPr>
      <t xml:space="preserve">ALS-P Conveyor,
</t>
    </r>
    <r>
      <rPr>
        <sz val="10"/>
        <color indexed="8"/>
        <rFont val="SF Hello Regular"/>
      </rPr>
      <t xml:space="preserve">Odin Conveyor,
</t>
    </r>
    <r>
      <rPr>
        <sz val="10"/>
        <color indexed="8"/>
        <rFont val="SF Hello Regular"/>
      </rPr>
      <t xml:space="preserve">DCR/OS Tests,
</t>
    </r>
    <r>
      <rPr>
        <sz val="10"/>
        <color indexed="8"/>
        <rFont val="SF Hello Regular"/>
      </rPr>
      <t xml:space="preserve">IQC AA stations.
</t>
    </r>
    <r>
      <rPr>
        <sz val="10"/>
        <color indexed="8"/>
        <rFont val="SF Hello Regular"/>
      </rPr>
      <t xml:space="preserve">
</t>
    </r>
    <r>
      <rPr>
        <sz val="10"/>
        <color indexed="8"/>
        <rFont val="SF Hello Bold"/>
      </rPr>
      <t>iPad J8x7 Station</t>
    </r>
    <r>
      <rPr>
        <sz val="10"/>
        <color indexed="8"/>
        <rFont val="SF Hello Regular"/>
      </rPr>
      <t xml:space="preserve"> 
</t>
    </r>
    <r>
      <rPr>
        <sz val="10"/>
        <color indexed="8"/>
        <rFont val="SF Hello Regular"/>
      </rPr>
      <t xml:space="preserve">DVI Conveyor
</t>
    </r>
    <r>
      <rPr>
        <sz val="10"/>
        <color indexed="8"/>
        <rFont val="SF Hello Regular"/>
      </rPr>
      <t xml:space="preserve">
</t>
    </r>
    <r>
      <rPr>
        <sz val="10"/>
        <color indexed="8"/>
        <rFont val="SF Hello Bold"/>
      </rPr>
      <t xml:space="preserve">Watch N25x Station
</t>
    </r>
    <r>
      <rPr>
        <sz val="10"/>
        <color indexed="8"/>
        <rFont val="SF Hello Regular"/>
      </rPr>
      <t xml:space="preserve">FACT21&amp;Vent2 Conveyor,
</t>
    </r>
    <r>
      <rPr>
        <sz val="10"/>
        <color indexed="8"/>
        <rFont val="SF Hello Regular"/>
      </rPr>
      <t xml:space="preserve">Conveyor Cyan Rotary
</t>
    </r>
    <r>
      <rPr>
        <sz val="10"/>
        <color indexed="8"/>
        <rFont val="SF Hello Regular"/>
      </rPr>
      <t xml:space="preserve">
</t>
    </r>
    <r>
      <rPr>
        <sz val="10"/>
        <color indexed="8"/>
        <rFont val="SF Hello Bold"/>
      </rPr>
      <t xml:space="preserve">Audio B798 station
</t>
    </r>
    <r>
      <rPr>
        <sz val="10"/>
        <color indexed="8"/>
        <rFont val="SF Hello Regular"/>
      </rPr>
      <t xml:space="preserve">All in One Case,
</t>
    </r>
    <r>
      <rPr>
        <sz val="10"/>
        <color indexed="8"/>
        <rFont val="SF Hello Regular"/>
      </rPr>
      <t xml:space="preserve">Open Short,
</t>
    </r>
    <r>
      <rPr>
        <sz val="10"/>
        <color indexed="8"/>
        <rFont val="SF Hello Regular"/>
      </rPr>
      <t>IMU Camera.</t>
    </r>
  </si>
  <si>
    <r>
      <rPr>
        <b val="1"/>
        <sz val="10"/>
        <color indexed="8"/>
        <rFont val="Helvetica Neue"/>
      </rPr>
      <t xml:space="preserve">OK2Support </t>
    </r>
    <r>
      <rPr>
        <sz val="10"/>
        <color indexed="8"/>
        <rFont val="Helvetica Neue"/>
      </rPr>
      <t>CPT RFP’ed stations</t>
    </r>
    <r>
      <rPr>
        <b val="1"/>
        <sz val="10"/>
        <color indexed="8"/>
        <rFont val="Helvetica Neue"/>
      </rPr>
      <t xml:space="preserve"> except Odin Conveyer </t>
    </r>
    <r>
      <rPr>
        <sz val="10"/>
        <color indexed="8"/>
        <rFont val="Helvetica Neue"/>
      </rPr>
      <t>(brand new to Innorev)</t>
    </r>
  </si>
  <si>
    <r>
      <rPr>
        <sz val="10"/>
        <color indexed="8"/>
        <rFont val="SF Hello Regular"/>
      </rPr>
      <t xml:space="preserve">No major resource qtys issue for operation team but encountered DRI capability issue:
</t>
    </r>
    <r>
      <rPr>
        <sz val="10"/>
        <color indexed="8"/>
        <rFont val="SF Hello Regular"/>
      </rPr>
      <t xml:space="preserve">An experienced operation mgr is expected on board asap;
</t>
    </r>
    <r>
      <rPr>
        <sz val="10"/>
        <color indexed="8"/>
        <rFont val="SF Hello Regular"/>
      </rPr>
      <t xml:space="preserve">Sense &amp; accuracy of communications is weak;
</t>
    </r>
    <r>
      <rPr>
        <sz val="10"/>
        <color indexed="8"/>
        <rFont val="SF Hello Regular"/>
      </rPr>
      <t xml:space="preserve">OSS management team’s capability is below expectation.
</t>
    </r>
    <r>
      <rPr>
        <sz val="10"/>
        <color indexed="8"/>
        <rFont val="SF Hello Regular"/>
      </rPr>
      <t xml:space="preserve">Engineer &amp; operation team needs be more collaborated to ensure smooth transition from NPI to ramp;
</t>
    </r>
    <r>
      <rPr>
        <sz val="10"/>
        <color indexed="8"/>
        <rFont val="SF Hello Regular"/>
      </rPr>
      <t>Quality team’s capability issue is a big issue which are continuously hi-lighted by SQE.</t>
    </r>
  </si>
  <si>
    <r>
      <rPr>
        <sz val="10"/>
        <color indexed="8"/>
        <rFont val="SF Hello Bold"/>
      </rPr>
      <t xml:space="preserve">
</t>
    </r>
    <r>
      <rPr>
        <sz val="10"/>
        <color indexed="8"/>
        <rFont val="SF Hello Bold"/>
      </rPr>
      <t xml:space="preserve">
</t>
    </r>
    <r>
      <rPr>
        <sz val="10"/>
        <color indexed="8"/>
        <rFont val="SF Hello Regular"/>
      </rPr>
      <t xml:space="preserve">Quality team qtys are sufficient but the capability of DRIs need to continuously improve. </t>
    </r>
  </si>
  <si>
    <t>HVS
(Gene)</t>
  </si>
  <si>
    <r>
      <rPr>
        <sz val="10"/>
        <color indexed="8"/>
        <rFont val="SF Hello Bold"/>
      </rPr>
      <t xml:space="preserve">iPhone V7x Station
</t>
    </r>
    <r>
      <rPr>
        <sz val="10"/>
        <color indexed="8"/>
        <rFont val="SF Hello Regular"/>
      </rPr>
      <t xml:space="preserve">ALS-P Conveyor,
</t>
    </r>
    <r>
      <rPr>
        <sz val="10"/>
        <color indexed="8"/>
        <rFont val="SF Hello Regular"/>
      </rPr>
      <t xml:space="preserve">Odin Conveyor,
</t>
    </r>
    <r>
      <rPr>
        <sz val="10"/>
        <color indexed="8"/>
        <rFont val="SF Hello Regular"/>
      </rPr>
      <t xml:space="preserve">DCR/OS Tests,
</t>
    </r>
    <r>
      <rPr>
        <sz val="10"/>
        <color indexed="8"/>
        <rFont val="SF Hello Regular"/>
      </rPr>
      <t xml:space="preserve">IQC AA stations.
</t>
    </r>
    <r>
      <rPr>
        <sz val="10"/>
        <color indexed="8"/>
        <rFont val="SF Hello Regular"/>
      </rPr>
      <t xml:space="preserve">
</t>
    </r>
    <r>
      <rPr>
        <sz val="10"/>
        <color indexed="8"/>
        <rFont val="SF Hello Bold"/>
      </rPr>
      <t xml:space="preserve">Watch N25x Station
</t>
    </r>
    <r>
      <rPr>
        <sz val="10"/>
        <color indexed="8"/>
        <rFont val="SF Hello Regular"/>
      </rPr>
      <t xml:space="preserve">FACT21&amp;Vent2 Conveyor,
</t>
    </r>
    <r>
      <rPr>
        <sz val="10"/>
        <color indexed="8"/>
        <rFont val="SF Hello Regular"/>
      </rPr>
      <t xml:space="preserve">Conveyor Cyan Rotary
</t>
    </r>
    <r>
      <rPr>
        <sz val="10"/>
        <color indexed="8"/>
        <rFont val="SF Hello Regular"/>
      </rPr>
      <t xml:space="preserve">
</t>
    </r>
    <r>
      <rPr>
        <sz val="10"/>
        <color indexed="8"/>
        <rFont val="SF Hello Bold"/>
      </rPr>
      <t xml:space="preserve">Audio B798 station
</t>
    </r>
    <r>
      <rPr>
        <sz val="10"/>
        <color indexed="8"/>
        <rFont val="SF Hello Regular"/>
      </rPr>
      <t xml:space="preserve">All in One Case,
</t>
    </r>
    <r>
      <rPr>
        <sz val="10"/>
        <color indexed="8"/>
        <rFont val="SF Hello Regular"/>
      </rPr>
      <t xml:space="preserve">Open Short,
</t>
    </r>
    <r>
      <rPr>
        <sz val="10"/>
        <color indexed="8"/>
        <rFont val="SF Hello Regular"/>
      </rPr>
      <t>IMU Camera.</t>
    </r>
  </si>
  <si>
    <r>
      <rPr>
        <b val="1"/>
        <sz val="10"/>
        <color indexed="8"/>
        <rFont val="Helvetica Neue"/>
      </rPr>
      <t xml:space="preserve">OK2Support ONLY below stations
</t>
    </r>
    <r>
      <rPr>
        <sz val="10"/>
        <color indexed="8"/>
        <rFont val="Helvetica Neue"/>
      </rPr>
      <t xml:space="preserve">
</t>
    </r>
    <r>
      <rPr>
        <sz val="10"/>
        <color indexed="8"/>
        <rFont val="Helvetica Neue"/>
      </rPr>
      <t xml:space="preserve">[1] Audio - 3 stations
</t>
    </r>
    <r>
      <rPr>
        <sz val="10"/>
        <color indexed="8"/>
        <rFont val="Helvetica Neue"/>
      </rPr>
      <t xml:space="preserve">[2] Phone V7x - ALSP
</t>
    </r>
    <r>
      <rPr>
        <sz val="10"/>
        <color indexed="8"/>
        <rFont val="Helvetica Neue"/>
      </rPr>
      <t xml:space="preserve">[3] Phone V7x - Odin
</t>
    </r>
    <r>
      <rPr>
        <sz val="10"/>
        <color indexed="8"/>
        <rFont val="Helvetica Neue"/>
      </rPr>
      <t xml:space="preserve">
</t>
    </r>
    <r>
      <rPr>
        <sz val="10"/>
        <color indexed="8"/>
        <rFont val="Helvetica Neue"/>
      </rPr>
      <t>Same message from SI also shared with CPT team</t>
    </r>
  </si>
  <si>
    <r>
      <rPr>
        <sz val="10"/>
        <color indexed="8"/>
        <rFont val="SF Hello Regular"/>
      </rPr>
      <t xml:space="preserve">X-team overall feedback from FXGL show HVS need to improve  overall communication, PM capability, language barriers and OSS capability 
</t>
    </r>
    <r>
      <rPr>
        <sz val="10"/>
        <color indexed="8"/>
        <rFont val="SF Hello Regular"/>
      </rPr>
      <t xml:space="preserve">Very tough to own communication with Primary vendor to follow on-going design change / documents and parts purchasing - directly impacting EQ readiness
</t>
    </r>
    <r>
      <rPr>
        <sz val="10"/>
        <color indexed="8"/>
        <rFont val="SF Hello Regular"/>
      </rPr>
      <t xml:space="preserve">HVS China plant capability should be improved further to support China local demand especially quality and purchases
</t>
    </r>
    <r>
      <rPr>
        <sz val="10"/>
        <color indexed="8"/>
        <rFont val="SF Hello Regular"/>
      </rPr>
      <t>2026 TE 4 stations will be under offline test and validation run in parallel and with on-going feedback/design change current resources are expected to stay longer than expected for now</t>
    </r>
  </si>
  <si>
    <r>
      <rPr>
        <sz val="10"/>
        <color indexed="8"/>
        <rFont val="SF Hello Bold"/>
      </rPr>
      <t xml:space="preserve">
</t>
    </r>
    <r>
      <rPr>
        <sz val="10"/>
        <color indexed="8"/>
        <rFont val="SF Hello Bold"/>
      </rPr>
      <t xml:space="preserve">
</t>
    </r>
    <r>
      <rPr>
        <sz val="10"/>
        <color indexed="8"/>
        <rFont val="SF Hello Regular"/>
      </rPr>
      <t xml:space="preserve">R&amp;D / PM resource is OK2support limited stations and also need to focus on improving capability in China plan
</t>
    </r>
    <r>
      <rPr>
        <sz val="10"/>
        <color indexed="8"/>
        <rFont val="SF Hello Regular"/>
      </rPr>
      <t xml:space="preserve">PM need to increase resource with language capability and also need to hired from local to decrease the reliance from Korea
</t>
    </r>
    <r>
      <rPr>
        <sz val="10"/>
        <color indexed="8"/>
        <rFont val="SF Hello Regular"/>
      </rPr>
      <t xml:space="preserve">HQ TE resource also need to be allocated to support other programs CPT started engaging for India TE
</t>
    </r>
    <r>
      <rPr>
        <sz val="10"/>
        <color indexed="8"/>
        <rFont val="SF Hello Regular"/>
      </rPr>
      <t xml:space="preserve">No enough resource to work to bridge/sync to primary SI for on-going works
</t>
    </r>
    <r>
      <rPr>
        <sz val="10"/>
        <color indexed="8"/>
        <rFont val="SF Hello Regular"/>
      </rPr>
      <t xml:space="preserve">Similar feedback was also shared by SI directly to CPT team
</t>
    </r>
    <r>
      <rPr>
        <sz val="10"/>
        <color indexed="8"/>
        <rFont val="SF Hello Regular"/>
      </rPr>
      <t>Support for 3rd station (Odin) is with plan to hire more resources</t>
    </r>
  </si>
  <si>
    <t>JLK
(Sean)</t>
  </si>
  <si>
    <r>
      <rPr>
        <sz val="10"/>
        <color indexed="8"/>
        <rFont val="SF Hello Bold"/>
      </rPr>
      <t xml:space="preserve">iPhone V7x Station 
</t>
    </r>
    <r>
      <rPr>
        <sz val="10"/>
        <color indexed="8"/>
        <rFont val="SF Hello Regular"/>
      </rPr>
      <t xml:space="preserve">SA Barbie
</t>
    </r>
    <r>
      <rPr>
        <sz val="10"/>
        <color indexed="8"/>
        <rFont val="SF Hello Regular"/>
      </rPr>
      <t xml:space="preserve">ALS-P Conveyor
</t>
    </r>
    <r>
      <rPr>
        <sz val="10"/>
        <color indexed="8"/>
        <rFont val="SF Hello Regular"/>
      </rPr>
      <t xml:space="preserve">Odin Conveyor
</t>
    </r>
    <r>
      <rPr>
        <sz val="10"/>
        <color indexed="8"/>
        <rFont val="SF Hello Regular"/>
      </rPr>
      <t xml:space="preserve">
</t>
    </r>
    <r>
      <rPr>
        <b val="1"/>
        <sz val="10"/>
        <color indexed="8"/>
        <rFont val="Helvetica"/>
      </rPr>
      <t xml:space="preserve">iPad J8x7 station 
</t>
    </r>
    <r>
      <rPr>
        <sz val="10"/>
        <color indexed="8"/>
        <rFont val="Helvetica"/>
      </rPr>
      <t xml:space="preserve">DVI Conveyor
</t>
    </r>
    <r>
      <rPr>
        <sz val="10"/>
        <color indexed="8"/>
        <rFont val="Helvetica"/>
      </rPr>
      <t xml:space="preserve">
</t>
    </r>
    <r>
      <rPr>
        <b val="1"/>
        <sz val="10"/>
        <color indexed="8"/>
        <rFont val="Helvetica"/>
      </rPr>
      <t xml:space="preserve">Audio B798 Station 
</t>
    </r>
    <r>
      <rPr>
        <sz val="10"/>
        <color indexed="8"/>
        <rFont val="Helvetica"/>
      </rPr>
      <t xml:space="preserve">Touch Conveyor
</t>
    </r>
    <r>
      <rPr>
        <sz val="10"/>
        <color indexed="8"/>
        <rFont val="Helvetica"/>
      </rPr>
      <t xml:space="preserve">Force Conveyor
</t>
    </r>
    <r>
      <rPr>
        <sz val="10"/>
        <color indexed="8"/>
        <rFont val="Helvetica"/>
      </rPr>
      <t>FACT Conveyor</t>
    </r>
  </si>
  <si>
    <t>OK2Support</t>
  </si>
  <si>
    <r>
      <rPr>
        <sz val="10"/>
        <color indexed="24"/>
        <rFont val="SF Hello Regular"/>
      </rPr>
      <t>- No significant concerns have been identified regarding technical or operational resource quantities. However, quality-related issues remain, specifically:</t>
    </r>
    <r>
      <rPr>
        <sz val="10"/>
        <color indexed="8"/>
        <rFont val="Helvetica"/>
      </rPr>
      <t xml:space="preserve">
</t>
    </r>
    <r>
      <rPr>
        <sz val="10"/>
        <color indexed="24"/>
        <rFont val="SF Hello Regular"/>
      </rPr>
      <t>- Communication and data reporting competencies require further development.</t>
    </r>
    <r>
      <rPr>
        <sz val="10"/>
        <color indexed="8"/>
        <rFont val="Helvetica"/>
      </rPr>
      <t xml:space="preserve">
</t>
    </r>
    <r>
      <rPr>
        <sz val="10"/>
        <color indexed="24"/>
        <rFont val="SF Hello Regular"/>
      </rPr>
      <t>- Operations management headcount is sufficient, but the team lacks qualified project managers</t>
    </r>
  </si>
  <si>
    <r>
      <rPr>
        <sz val="10"/>
        <color indexed="8"/>
        <rFont val="SF Hello Bold"/>
      </rPr>
      <t xml:space="preserve">
</t>
    </r>
    <r>
      <rPr>
        <sz val="10"/>
        <color indexed="8"/>
        <rFont val="SF Hello Bold"/>
      </rPr>
      <t xml:space="preserve">
</t>
    </r>
    <r>
      <rPr>
        <sz val="10"/>
        <color indexed="25"/>
        <rFont val="SF Hello Regular"/>
      </rPr>
      <t>Since no entirely new station has been deployed for JLK, the technical design has no major change from the previous project. Consequently, JLK is able to provide stable support to those stations.</t>
    </r>
  </si>
  <si>
    <t>Pantamaster
(JS)</t>
  </si>
  <si>
    <r>
      <rPr>
        <sz val="10"/>
        <color indexed="8"/>
        <rFont val="SF Hello Bold"/>
      </rPr>
      <t xml:space="preserve">iPhone V7x Station 
</t>
    </r>
    <r>
      <rPr>
        <sz val="10"/>
        <color indexed="8"/>
        <rFont val="SF Hello Regular"/>
      </rPr>
      <t>SA Barbie</t>
    </r>
  </si>
  <si>
    <t>- No resource issue to support TE.  - Current TE resources have Apple project experience exposure.</t>
  </si>
  <si>
    <t>CYG
(Rick)</t>
  </si>
  <si>
    <r>
      <rPr>
        <sz val="10"/>
        <color indexed="8"/>
        <rFont val="SF Hello Bold"/>
      </rPr>
      <t xml:space="preserve">iPhone V7x Station 
</t>
    </r>
    <r>
      <rPr>
        <sz val="10"/>
        <color indexed="8"/>
        <rFont val="SF Hello Regular"/>
      </rPr>
      <t>IQC AA Test DCR/OR Test</t>
    </r>
  </si>
  <si>
    <t>- CYG FY26 demand 19% decreased compared to FY25 - CYG key talents remain high retention - No major highlight so far from X-team on CYG for Y26 ramp</t>
  </si>
  <si>
    <r>
      <rPr>
        <sz val="10"/>
        <color indexed="8"/>
        <rFont val="SF Hello Bold"/>
      </rPr>
      <t xml:space="preserve">
</t>
    </r>
    <r>
      <rPr>
        <sz val="10"/>
        <color indexed="8"/>
        <rFont val="SF Hello Bold"/>
      </rPr>
      <t> </t>
    </r>
    <r>
      <rPr>
        <sz val="10"/>
        <color indexed="8"/>
        <rFont val="SF Hello Regular"/>
      </rPr>
      <t>- Standalone &amp; less complex station - Only two new stations RFP engaged - Resource qty sufficient</t>
    </r>
  </si>
  <si>
    <t>Nextas
(Jessie)</t>
  </si>
  <si>
    <r>
      <rPr>
        <sz val="10"/>
        <color indexed="8"/>
        <rFont val="SF Hello Bold"/>
      </rPr>
      <t xml:space="preserve">iPhone V7x Station </t>
    </r>
    <r>
      <rPr>
        <sz val="10"/>
        <color indexed="8"/>
        <rFont val="SF Hello Regular"/>
      </rPr>
      <t xml:space="preserve">
</t>
    </r>
    <r>
      <rPr>
        <sz val="10"/>
        <color indexed="8"/>
        <rFont val="SF Hello Regular"/>
      </rPr>
      <t xml:space="preserve">IQC AA stations
</t>
    </r>
    <r>
      <rPr>
        <sz val="10"/>
        <color indexed="8"/>
        <rFont val="SF Hello Regular"/>
      </rPr>
      <t>DCR/OS Tests</t>
    </r>
  </si>
  <si>
    <t>-No resource issue as same group with Bojay which’s strong Engineer support NPI if need
-Share same VN facility with Bojay, Lasteck will be ready to use by May/E</t>
  </si>
  <si>
    <t>US GSSM team to fill out (need to confirm data above captures india or not)</t>
  </si>
  <si>
    <r>
      <rPr>
        <sz val="10"/>
        <color indexed="8"/>
        <rFont val="SF Hello Regular"/>
      </rPr>
      <t xml:space="preserve">New Plant 3 up and running in Hosur, have space for expansion if need be
</t>
    </r>
    <r>
      <rPr>
        <sz val="10"/>
        <color indexed="8"/>
        <rFont val="SF Hello Regular"/>
      </rPr>
      <t>Issues seen for competent PM &amp; SCM teams</t>
    </r>
  </si>
  <si>
    <r>
      <rPr>
        <sz val="10"/>
        <color indexed="8"/>
        <rFont val="SF Hello Regular"/>
      </rPr>
      <t xml:space="preserve">Significant increase new high complexity stations in audio + phone (conveyors)
</t>
    </r>
    <r>
      <rPr>
        <sz val="10"/>
        <color indexed="8"/>
        <rFont val="SF Hello Regular"/>
      </rPr>
      <t xml:space="preserve">Engg support from JLK China is critical for success 
</t>
    </r>
    <r>
      <rPr>
        <sz val="10"/>
        <color indexed="8"/>
        <rFont val="SF Hello Regular"/>
      </rPr>
      <t xml:space="preserve">PM + SCM hiring to be monitored. </t>
    </r>
  </si>
  <si>
    <t>US GSSM team to fill out</t>
  </si>
  <si>
    <t>Ok2Support (same scope as 2026)</t>
  </si>
  <si>
    <t xml:space="preserve">- Engg Resource constrained from a capability standpoint </t>
  </si>
  <si>
    <t xml:space="preserve">- Engg team remains a bottleneck, capacity to be proven through V6Y EVT, CP : </t>
  </si>
  <si>
    <r>
      <rPr>
        <sz val="10"/>
        <color indexed="8"/>
        <rFont val="SF Hello Regular"/>
      </rPr>
      <t xml:space="preserve">Steep ramp up for DVI + Magnolia
</t>
    </r>
    <r>
      <rPr>
        <sz val="10"/>
        <color indexed="8"/>
        <rFont val="SF Hello Regular"/>
      </rPr>
      <t>MLB RE is demanding maximum resource compared to TE</t>
    </r>
  </si>
  <si>
    <r>
      <rPr>
        <sz val="10"/>
        <color indexed="8"/>
        <rFont val="SF Hello Regular"/>
      </rPr>
      <t xml:space="preserve">InHouse Machining capacity needs to be increased 
</t>
    </r>
    <r>
      <rPr>
        <sz val="10"/>
        <color indexed="8"/>
        <rFont val="SF Hello Regular"/>
      </rPr>
      <t xml:space="preserve">PM + Engg resource needs to be strengthened  </t>
    </r>
  </si>
  <si>
    <t>High Risk for NB- Scope to be limited only to retrofits</t>
  </si>
  <si>
    <r>
      <rPr>
        <sz val="10"/>
        <color indexed="8"/>
        <rFont val="SF Hello Regular"/>
      </rPr>
      <t xml:space="preserve">-Major operation scale up issues in 2026
</t>
    </r>
    <r>
      <rPr>
        <sz val="10"/>
        <color indexed="8"/>
        <rFont val="SF Hello Regular"/>
      </rPr>
      <t xml:space="preserve">Poor supplier management 
</t>
    </r>
    <r>
      <rPr>
        <sz val="10"/>
        <color indexed="8"/>
        <rFont val="SF Hello Regular"/>
      </rPr>
      <t>Multiple Quality failures observed</t>
    </r>
  </si>
  <si>
    <r>
      <rPr>
        <sz val="10"/>
        <color indexed="8"/>
        <rFont val="SF Hello Regular"/>
      </rPr>
      <t xml:space="preserve">No committed action from SFO leadership 
</t>
    </r>
    <r>
      <rPr>
        <sz val="10"/>
        <color indexed="8"/>
        <rFont val="SF Hello Regular"/>
      </rPr>
      <t>Restrict scope to only N-1 retrofits</t>
    </r>
  </si>
  <si>
    <t>TE 2027 New Development Station List</t>
  </si>
  <si>
    <t>Vendor Engagement Scope</t>
  </si>
  <si>
    <t>TE 2027 New Development Station</t>
  </si>
  <si>
    <t>CapEx Space</t>
  </si>
  <si>
    <t>LOB</t>
  </si>
  <si>
    <t>Station</t>
  </si>
  <si>
    <t>Launch Timing</t>
  </si>
  <si>
    <t>Line Count</t>
  </si>
  <si>
    <t>Vendor</t>
  </si>
  <si>
    <t>CN/Global</t>
  </si>
  <si>
    <t>NPI Location</t>
  </si>
  <si>
    <t>MP Geo Impacted</t>
  </si>
  <si>
    <t>SPOR Lock Date</t>
  </si>
  <si>
    <t>Intercept EIH</t>
  </si>
  <si>
    <t>Trending GSSM Recommendation</t>
  </si>
  <si>
    <t>Station Resource/Capacity Supportability
(APO Fill - Y/N)</t>
  </si>
  <si>
    <t>Comments</t>
  </si>
  <si>
    <t>V7x</t>
  </si>
  <si>
    <t>ALS-P Conveyor</t>
  </si>
  <si>
    <t>TE</t>
  </si>
  <si>
    <t>Phone</t>
  </si>
  <si>
    <t>Fall’27</t>
  </si>
  <si>
    <t>China</t>
  </si>
  <si>
    <t>China/India</t>
  </si>
  <si>
    <t>P1 EIH Jun/M</t>
  </si>
  <si>
    <t xml:space="preserve">Y - Resource/ capability OK2Ssupport. </t>
  </si>
  <si>
    <t>1NB in P1, 1 in P2, 1 in EVT for conveyor; 3x each for standalone</t>
  </si>
  <si>
    <t>JLK</t>
  </si>
  <si>
    <t>Global</t>
  </si>
  <si>
    <t>updated based on Cencorp latest shared resource plan on 4/17</t>
  </si>
  <si>
    <t>HVS</t>
  </si>
  <si>
    <t>Y - Leveraging 26 experience in ALSP but considering free-PRC and no BOM, can’t catch P1 timeline</t>
  </si>
  <si>
    <r>
      <rPr>
        <sz val="10"/>
        <color indexed="28"/>
        <rFont val="Helvetica Neue"/>
      </rPr>
      <t>N</t>
    </r>
    <r>
      <rPr>
        <sz val="10"/>
        <color indexed="8"/>
        <rFont val="Helvetica Neue"/>
      </rPr>
      <t xml:space="preserve"> (insufficient &amp; in-capable resource highlight by x-team during Y2026 iPhone Ramp)</t>
    </r>
  </si>
  <si>
    <t>IPO to input</t>
  </si>
  <si>
    <t>Odin conveyor</t>
  </si>
  <si>
    <r>
      <rPr>
        <sz val="10"/>
        <color indexed="28"/>
        <rFont val="Helvetica Neue"/>
      </rPr>
      <t xml:space="preserve">N </t>
    </r>
    <r>
      <rPr>
        <sz val="10"/>
        <color indexed="8"/>
        <rFont val="Helvetica Neue"/>
      </rPr>
      <t>- SQE limitation</t>
    </r>
  </si>
  <si>
    <t xml:space="preserve">Out for RFP </t>
  </si>
  <si>
    <t>Y - per Hemik this station is likely to be integrated into Clematis, but regardless it will be incremental design work for Cencorp</t>
  </si>
  <si>
    <t>Y - OK2Support with additional resource hiring plan / Space is ok2support</t>
  </si>
  <si>
    <t>RFQ submitted</t>
  </si>
  <si>
    <t>IQC AA stations</t>
  </si>
  <si>
    <r>
      <rPr>
        <sz val="10"/>
        <color indexed="28"/>
        <rFont val="Helvetica Neue"/>
      </rPr>
      <t>N</t>
    </r>
    <r>
      <rPr>
        <sz val="10"/>
        <color indexed="8"/>
        <rFont val="Helvetica Neue"/>
      </rPr>
      <t xml:space="preserve"> - PM and other resource limitation considering new design &amp; Free-PRC / China settlement in 2026</t>
    </r>
  </si>
  <si>
    <t>CYG (already engaged)</t>
  </si>
  <si>
    <t>Nextas</t>
  </si>
  <si>
    <t>DCR/OS Tests</t>
  </si>
  <si>
    <t>SA-Barbie</t>
  </si>
  <si>
    <t>JLK or Cencorp</t>
  </si>
  <si>
    <t>J8x7</t>
  </si>
  <si>
    <t>DVI Conveyor RFP</t>
  </si>
  <si>
    <t>iPad</t>
  </si>
  <si>
    <t>China/Vietnam</t>
  </si>
  <si>
    <t>P2 EIH Jun/E</t>
  </si>
  <si>
    <t>B798</t>
  </si>
  <si>
    <t>ALL in One Case</t>
  </si>
  <si>
    <t>Audio</t>
  </si>
  <si>
    <t>Open</t>
  </si>
  <si>
    <t xml:space="preserve">Global </t>
  </si>
  <si>
    <t xml:space="preserve">No RFP received </t>
  </si>
  <si>
    <t>Not received RFP</t>
  </si>
  <si>
    <t xml:space="preserve">HVS </t>
  </si>
  <si>
    <t>Y - already aligned with CPT and list submitted / Capacity &amp; Resource ok to support (Produced in Korea for NPI build) - need to check station name</t>
  </si>
  <si>
    <t>Open Short</t>
  </si>
  <si>
    <t xml:space="preserve">IMU Camera </t>
  </si>
  <si>
    <t>Audio Conveyor</t>
  </si>
  <si>
    <t>Done</t>
  </si>
  <si>
    <t>N25x</t>
  </si>
  <si>
    <t>Conveyor Fact/Vent</t>
  </si>
  <si>
    <t>Watch</t>
  </si>
  <si>
    <t xml:space="preserve">Invited JLK Innorev Cencorp PRM Hyvision Pentamaster </t>
  </si>
  <si>
    <t xml:space="preserve">No, commercial reason as no profit </t>
  </si>
  <si>
    <r>
      <rPr>
        <sz val="10"/>
        <color indexed="28"/>
        <rFont val="Helvetica Neue"/>
      </rPr>
      <t xml:space="preserve">N </t>
    </r>
    <r>
      <rPr>
        <sz val="10"/>
        <color indexed="8"/>
        <rFont val="Helvetica Neue"/>
      </rPr>
      <t>(insufficient &amp; in-capable resource highlight by x-team during Y2026 iPhone Ramp)</t>
    </r>
  </si>
  <si>
    <r>
      <rPr>
        <sz val="10"/>
        <color indexed="28"/>
        <rFont val="Helvetica Neue"/>
      </rPr>
      <t xml:space="preserve">N </t>
    </r>
    <r>
      <rPr>
        <sz val="10"/>
        <color indexed="8"/>
        <rFont val="Helvetica Neue"/>
      </rPr>
      <t>- Aligned not to proceed (with Tyler)</t>
    </r>
  </si>
  <si>
    <t xml:space="preserve">Conveyor Cyan Rotary </t>
  </si>
  <si>
    <t>P1 Sept</t>
  </si>
  <si>
    <t>Out for RFP</t>
  </si>
  <si>
    <t>N (insufficient &amp; in-capable resource highlight by x-team during Y2026 iPhone Ramp)</t>
  </si>
  <si>
    <t>K12p</t>
  </si>
  <si>
    <t>Seasalt Conveyor</t>
  </si>
  <si>
    <t>Portables</t>
  </si>
  <si>
    <t>Y - Cencorp already planned the required resource early</t>
  </si>
  <si>
    <t>AE/SAE/ME 2027 New Development Station List</t>
  </si>
  <si>
    <t>TE Vendor Engagement Scope</t>
  </si>
  <si>
    <t xml:space="preserve">AE_SAE_ME 2027 New Development </t>
  </si>
  <si>
    <t>AE</t>
  </si>
  <si>
    <t>ALS-P Conveyor (example)</t>
  </si>
  <si>
    <t>CG Mic &amp; ALS PnP</t>
  </si>
  <si>
    <t>Spring’27</t>
  </si>
  <si>
    <t>ASM</t>
  </si>
  <si>
    <t>VN</t>
  </si>
  <si>
    <t>P2 Jul</t>
  </si>
  <si>
    <t>PB Housing Measurement</t>
  </si>
  <si>
    <t>BIM (PB Install)</t>
  </si>
  <si>
    <t>iPhone</t>
  </si>
  <si>
    <t>AHDP</t>
  </si>
  <si>
    <t>BZ</t>
  </si>
  <si>
    <t>CQ’4 2026</t>
  </si>
  <si>
    <t>BHDP</t>
  </si>
  <si>
    <t>FIFO</t>
  </si>
  <si>
    <t>JST</t>
  </si>
  <si>
    <t>BGS1</t>
  </si>
  <si>
    <t>Secote</t>
  </si>
  <si>
    <t>BGS2</t>
  </si>
  <si>
    <t>CIM</t>
  </si>
  <si>
    <t>Laser All-in-one (TBD)</t>
  </si>
  <si>
    <t>Hans-Lemax</t>
  </si>
  <si>
    <t>China/Global</t>
  </si>
  <si>
    <t>Taowine</t>
  </si>
  <si>
    <t>Pentamaster (XAA)</t>
  </si>
  <si>
    <t>GV SI + Trumpf core</t>
  </si>
  <si>
    <t>V78</t>
  </si>
  <si>
    <t>ZAC (combination of DAS+DPO)</t>
  </si>
  <si>
    <t>LG PRI</t>
  </si>
  <si>
    <t>PIE (XAA + HPS)</t>
  </si>
  <si>
    <t>DAS-X3P</t>
  </si>
  <si>
    <t>DAS-BGP</t>
  </si>
  <si>
    <t>ASF</t>
  </si>
  <si>
    <t>LG-PRI + Trumpf</t>
  </si>
  <si>
    <t>PIM-FF</t>
  </si>
  <si>
    <t>LG-PRI</t>
  </si>
  <si>
    <t>IT-XD</t>
  </si>
  <si>
    <t>SPUD1 (Pre)</t>
  </si>
  <si>
    <t>TEAL</t>
  </si>
  <si>
    <t>AE DFM 2027 New Development Station List</t>
  </si>
  <si>
    <t>AE DFM 2027 New Development Sta</t>
  </si>
  <si>
    <t>J91a</t>
  </si>
  <si>
    <t>Putter Assembly</t>
  </si>
  <si>
    <t>Spring 27</t>
  </si>
  <si>
    <t>Laservall</t>
  </si>
  <si>
    <t>CN</t>
  </si>
  <si>
    <t>CN, VN</t>
  </si>
  <si>
    <t>K104/K12p</t>
  </si>
  <si>
    <t>TP-TC Height Measurement</t>
  </si>
  <si>
    <t>Fall 27</t>
  </si>
  <si>
    <t>3?</t>
  </si>
  <si>
    <t>Stiwa</t>
  </si>
  <si>
    <t>TP Shim Install</t>
  </si>
  <si>
    <t>TP2TC Pre Install and TP Shim AOI</t>
  </si>
  <si>
    <t>TP Alignment Screw Fasten</t>
  </si>
  <si>
    <t>TP2TC Gap-Offset Measurement</t>
  </si>
  <si>
    <t>Flex Assembly</t>
  </si>
  <si>
    <t>SCUD 3.0 Nozzle to Cap</t>
  </si>
  <si>
    <t>CN, VN , IN</t>
  </si>
  <si>
    <t>P2</t>
  </si>
  <si>
    <t>SCUD 3.0 Slab Area on Cap</t>
  </si>
  <si>
    <t>UPCR-IR Slab Cure</t>
  </si>
  <si>
    <t>PnP + HAF Under Weld Ring Pre-Activate</t>
  </si>
  <si>
    <t>UPCR-IR Driver &amp; Actin Module Cure</t>
  </si>
  <si>
    <t>Auto Bend Cap Flex</t>
  </si>
  <si>
    <t>Delta</t>
  </si>
  <si>
    <t>PnP + HAF SC to CP</t>
  </si>
  <si>
    <t>UPCR-IR CP to HSG Cure</t>
  </si>
  <si>
    <t>PnP + Press BCF to HSG</t>
  </si>
  <si>
    <t>UPCR-IR BCF and TM Cure</t>
  </si>
  <si>
    <t>Auto Bend HSG Flex</t>
  </si>
  <si>
    <t>UPCR-IR Cap to HSG</t>
  </si>
  <si>
    <t>PnP + Press Battery to HSG</t>
  </si>
  <si>
    <t>PnP Load SC +CP to Solder</t>
  </si>
  <si>
    <t>PnP Cactus to CP</t>
  </si>
  <si>
    <t>B727</t>
  </si>
  <si>
    <t>PnP Unload Coil Flex</t>
  </si>
  <si>
    <t>PnP Load TE to UC</t>
  </si>
  <si>
    <t>SCUD3.0 Radial MG to TE glue</t>
  </si>
  <si>
    <t>Teal</t>
  </si>
  <si>
    <t>UPCR Radial MG to TE Cure</t>
  </si>
  <si>
    <t>PnP Unload  TE</t>
  </si>
  <si>
    <t>PnP BI to UC/ Label to BI</t>
  </si>
  <si>
    <t>SCUD 3.0 Bud Retention MG &amp; Shunt Glue</t>
  </si>
  <si>
    <t>PnP Unload BI</t>
  </si>
  <si>
    <t>PnP Load SK to UC</t>
  </si>
  <si>
    <t>PnP Assembly Antenna PSA to SK</t>
  </si>
  <si>
    <t>PnP Assembly Antenna to SK</t>
  </si>
  <si>
    <t>PnP BE to UC/ Label to BE</t>
  </si>
  <si>
    <t>PnP Load Lanyard to UC</t>
  </si>
  <si>
    <t>PnP TR Coverplate PSA to BE</t>
  </si>
  <si>
    <t>PnP Unload BE from UC</t>
  </si>
  <si>
    <t>Laser Weld Weldring and Mesh Welding</t>
  </si>
  <si>
    <t>Hans</t>
  </si>
  <si>
    <t>SCUD 3.0 Radial magnet Glue</t>
  </si>
  <si>
    <t>UPCR Radial magnet Cure</t>
  </si>
  <si>
    <t>UICR SPK to BE Cure</t>
  </si>
  <si>
    <t>UPnP Assembly mask to BE</t>
  </si>
  <si>
    <t>UPCR Coil to BE Cure</t>
  </si>
  <si>
    <t>Laser Weld LED Flex to LY</t>
  </si>
  <si>
    <t>NE ANT Blade Assy NE Ant Blade Assy</t>
  </si>
  <si>
    <t>P1</t>
  </si>
  <si>
    <t>NW ANT Blade Assy NW Ant Blade Assy</t>
  </si>
  <si>
    <t>N Skirt ANT Assy N Skirt ANT Assy</t>
  </si>
  <si>
    <t>S Skirt ANT Assy S Skirt ANT Assy</t>
  </si>
  <si>
    <t>HSG Auto Laser Clean HSG Auto Laser Clean</t>
  </si>
  <si>
    <t>Mic to HSG Mic Clean and Mic to HSG_Manual Frame</t>
  </si>
  <si>
    <t>Amphenol</t>
  </si>
  <si>
    <t>Mic to HS Remove Temp Screw</t>
  </si>
  <si>
    <t>Pre BCM to HSG HSG and BCM Clean</t>
  </si>
  <si>
    <t>Pre BCM to HSG Oring and Temp Screws and Lock Temp Screws</t>
  </si>
  <si>
    <t>Pre BCM to HSG Sleeve to Screws</t>
  </si>
  <si>
    <t>Pre BCM to HSG Oring to BCM</t>
  </si>
  <si>
    <t>Pre BCM to HSG Pre assy BCM to HSG</t>
  </si>
  <si>
    <t>Pre BCM to HSG Pre BCM AIO ALT</t>
  </si>
  <si>
    <t>BCM Sleeve Laser Welding Laser Welding</t>
  </si>
  <si>
    <t>Take apart BCM to HSG Remove Temp Screws</t>
  </si>
  <si>
    <t>Take apart BCM to HSG Take apart BCM Module</t>
  </si>
  <si>
    <t>Battery to HSG Grease to Oring and Oring to Screws</t>
  </si>
  <si>
    <t>Battery to HSG Lock Screws</t>
  </si>
  <si>
    <t>FATP LSJ Apply Flux to Solder Pads</t>
  </si>
  <si>
    <t>P1/P2</t>
  </si>
  <si>
    <t>FATP LSJ Battery LSJ</t>
  </si>
  <si>
    <t>FATP LSJ Solder Joint AOI</t>
  </si>
  <si>
    <t>FATP LSJ LSJ contact plug to Gasket</t>
  </si>
  <si>
    <t>Mesa Backlight Press</t>
  </si>
  <si>
    <t>TBD</t>
  </si>
  <si>
    <t>TM Press</t>
  </si>
  <si>
    <t>Y2027 NPI - PRM (Anna) - 4/23v</t>
  </si>
  <si>
    <t xml:space="preserve">Y2027 NPI - PRM (Anna) - 4_23v </t>
  </si>
  <si>
    <r>
      <rPr>
        <sz val="10"/>
        <color indexed="8"/>
        <rFont val="SF Hello Bold"/>
      </rPr>
      <t xml:space="preserve">Y2026 Loading
</t>
    </r>
    <r>
      <rPr>
        <sz val="10"/>
        <color indexed="16"/>
        <rFont val="SF Hello Regular"/>
      </rPr>
      <t>(Apr’26 ~ Sep’26)</t>
    </r>
  </si>
  <si>
    <r>
      <rPr>
        <sz val="10"/>
        <color indexed="8"/>
        <rFont val="SF Hello Bold"/>
      </rPr>
      <t xml:space="preserve">Total  Resource
</t>
    </r>
    <r>
      <rPr>
        <sz val="10"/>
        <color indexed="16"/>
        <rFont val="SF Hello Regular"/>
      </rPr>
      <t>(Cut Off Apr wk3)</t>
    </r>
  </si>
  <si>
    <r>
      <rPr>
        <sz val="10"/>
        <color indexed="8"/>
        <rFont val="SF Hello Bold"/>
      </rPr>
      <t xml:space="preserve">Resource Occupied  for Y2026 Ramp
</t>
    </r>
    <r>
      <rPr>
        <sz val="10"/>
        <color indexed="16"/>
        <rFont val="SF Hello Regular"/>
      </rPr>
      <t>(Apr’26 ~ Sep’26)</t>
    </r>
  </si>
  <si>
    <r>
      <rPr>
        <sz val="10"/>
        <color indexed="8"/>
        <rFont val="SF Hello Bold"/>
      </rPr>
      <t xml:space="preserve">Resource Leftover for Y2027 Brand-New Station NPI Build
</t>
    </r>
    <r>
      <rPr>
        <sz val="10"/>
        <color indexed="16"/>
        <rFont val="SF Hello Regular"/>
      </rPr>
      <t>(Apr’26 ~ Sep’26)</t>
    </r>
  </si>
  <si>
    <r>
      <rPr>
        <sz val="10"/>
        <color indexed="8"/>
        <rFont val="SF Hello Bold"/>
      </rPr>
      <t xml:space="preserve"># of Stations Type can support
</t>
    </r>
    <r>
      <rPr>
        <sz val="10"/>
        <color indexed="16"/>
        <rFont val="SF Hello Regular"/>
      </rPr>
      <t>(Refer CPT Y2027 RFP)</t>
    </r>
  </si>
  <si>
    <r>
      <rPr>
        <sz val="10"/>
        <color indexed="8"/>
        <rFont val="SF Hello Bold"/>
      </rPr>
      <t xml:space="preserve">Station Name can support
</t>
    </r>
    <r>
      <rPr>
        <sz val="10"/>
        <color indexed="16"/>
        <rFont val="SF Hello Regular"/>
      </rPr>
      <t>(Refer CPT Y2027 RFP)</t>
    </r>
  </si>
  <si>
    <t>Justification on why resource can support</t>
  </si>
  <si>
    <t>Station Name CANNOT Support
(Refer CPT Y2027 RFP) &amp; Justification</t>
  </si>
  <si>
    <t>1x</t>
  </si>
  <si>
    <r>
      <rPr>
        <sz val="10"/>
        <color indexed="8"/>
        <rFont val="SF Hello Regular"/>
      </rPr>
      <t xml:space="preserve">So far for </t>
    </r>
    <r>
      <rPr>
        <sz val="10"/>
        <color indexed="8"/>
        <rFont val="SF Hello Bold"/>
      </rPr>
      <t>iPhone V7x Station</t>
    </r>
    <r>
      <rPr>
        <sz val="10"/>
        <color indexed="8"/>
        <rFont val="SF Hello Regular"/>
      </rPr>
      <t xml:space="preserve">
</t>
    </r>
    <r>
      <rPr>
        <sz val="10"/>
        <color indexed="8"/>
        <rFont val="SF Hello Regular"/>
      </rPr>
      <t xml:space="preserve">ALS-P
</t>
    </r>
  </si>
  <si>
    <t>Refer to V6x FACTVENT station NPI resourced required as below: 
PM- 1x
ME - 3x
EE - 5x</t>
  </si>
  <si>
    <t>/</t>
  </si>
  <si>
    <t>VE</t>
  </si>
  <si>
    <t>Loading%</t>
  </si>
  <si>
    <t>Y2026 Loading Breakdown (Apr ~ Sep)</t>
  </si>
  <si>
    <t>Y2027 NPI - PRM (Anna) - 4_23v1</t>
  </si>
  <si>
    <t>Portable</t>
  </si>
  <si>
    <t>Pad</t>
  </si>
  <si>
    <t>Desktop</t>
  </si>
  <si>
    <t>J701/K104/J91a/K11p</t>
  </si>
  <si>
    <t>J8x7/J9xx/J510</t>
  </si>
  <si>
    <t>J775/J873/J883/J83x</t>
  </si>
  <si>
    <t>B798/B868/B790/B747a/B727</t>
  </si>
  <si>
    <t>N23x/N240</t>
  </si>
  <si>
    <t>V68/V6X</t>
  </si>
  <si>
    <t>Snoop/Snoop-c/RC FACT/FACT conveyor</t>
  </si>
  <si>
    <t>FCT/DFU/SOC</t>
  </si>
  <si>
    <t>Flex FCT/Flex Mic/FCT</t>
  </si>
  <si>
    <t>Panel DFU/FCT/GK FCT/BI/Conveyor/Bamboo/Marge&amp;X-talk</t>
  </si>
  <si>
    <t>Grape/Helios/FACT &amp; VENT /Snoop C</t>
  </si>
  <si>
    <t>Station Total Demand</t>
  </si>
  <si>
    <t>2027 Idle Resources Name List for ALS_P</t>
  </si>
  <si>
    <t>Y2027 NPI - PRM (Anna) - 4_23v2</t>
  </si>
  <si>
    <t>Namelist</t>
  </si>
  <si>
    <t>Position
PM/ME/EE/SW/FAE/AE/VE</t>
  </si>
  <si>
    <t>2026 Projects Dedicated%</t>
  </si>
  <si>
    <t>Apple Projects Experiences
(Years)</t>
  </si>
  <si>
    <t>PRM Projects Experiences
(Years)</t>
  </si>
  <si>
    <t>Current Scope at PRM</t>
  </si>
  <si>
    <t>Location</t>
  </si>
  <si>
    <t>Expertise</t>
  </si>
  <si>
    <t>李泉</t>
  </si>
  <si>
    <t>Board test and Conveyor</t>
  </si>
  <si>
    <t>张望旺</t>
  </si>
  <si>
    <t>李鹏涛</t>
  </si>
  <si>
    <t>陈二鹏</t>
  </si>
  <si>
    <t>Non-A</t>
  </si>
  <si>
    <t>Zhuhai</t>
  </si>
  <si>
    <t>TPM</t>
  </si>
  <si>
    <t>高小银</t>
  </si>
  <si>
    <t>孙小伟</t>
  </si>
  <si>
    <t>郑晨光</t>
  </si>
  <si>
    <t>高阳</t>
  </si>
  <si>
    <t>尹昌</t>
  </si>
  <si>
    <t>高楠</t>
  </si>
  <si>
    <t>汤爱苹</t>
  </si>
  <si>
    <t>周颖</t>
  </si>
  <si>
    <t>陈英武</t>
  </si>
  <si>
    <t>林艳玲</t>
  </si>
  <si>
    <t>郜继成</t>
  </si>
  <si>
    <t>刘雪</t>
  </si>
  <si>
    <t>许旭琴</t>
  </si>
  <si>
    <t>池春燕</t>
  </si>
  <si>
    <t>潘玉珍</t>
  </si>
  <si>
    <t>周毅峰</t>
  </si>
  <si>
    <t>张建</t>
  </si>
  <si>
    <t>王玲</t>
  </si>
  <si>
    <t>周嘉伟</t>
  </si>
  <si>
    <t>帅鹏程</t>
  </si>
  <si>
    <t>马焕楠</t>
  </si>
  <si>
    <t>王倩</t>
  </si>
  <si>
    <t>李林祥</t>
  </si>
  <si>
    <t>王漪棋</t>
  </si>
  <si>
    <t>王润才</t>
  </si>
  <si>
    <t>李绍超</t>
  </si>
  <si>
    <t>熊显轲</t>
  </si>
  <si>
    <t>刘春婷</t>
  </si>
  <si>
    <t>邵江帆</t>
  </si>
  <si>
    <t>王新</t>
  </si>
  <si>
    <t>王洁</t>
  </si>
  <si>
    <t>杨红卫</t>
  </si>
  <si>
    <t>曾浩</t>
  </si>
  <si>
    <t>徐甜甜</t>
  </si>
  <si>
    <t>刘学</t>
  </si>
  <si>
    <t>杨兆榕</t>
  </si>
  <si>
    <t>肖周勇</t>
  </si>
  <si>
    <t>刘丹</t>
  </si>
  <si>
    <t>郭若诗</t>
  </si>
  <si>
    <t>韩路</t>
  </si>
  <si>
    <t>曹鹏</t>
  </si>
  <si>
    <t>赵时安</t>
  </si>
  <si>
    <t>杨春峰</t>
  </si>
  <si>
    <t>黄日梅</t>
  </si>
  <si>
    <t>赖彩连</t>
  </si>
  <si>
    <t>叶文理</t>
  </si>
  <si>
    <t>PM/Automation Line</t>
  </si>
  <si>
    <t>曹秋香</t>
  </si>
  <si>
    <t>Shanghai</t>
  </si>
  <si>
    <t>叶玮</t>
  </si>
  <si>
    <t>戴文豪</t>
  </si>
  <si>
    <t>PM/Testing Equipment</t>
  </si>
  <si>
    <t>罗正波</t>
  </si>
  <si>
    <t>马思兰</t>
  </si>
  <si>
    <t>廖昌锋</t>
  </si>
  <si>
    <t>唐淑婷</t>
  </si>
  <si>
    <t>翦海怡</t>
  </si>
  <si>
    <t>曲晓雨</t>
  </si>
  <si>
    <t>武迎新</t>
  </si>
  <si>
    <t>赵鑫月</t>
  </si>
  <si>
    <t>田祖棋</t>
  </si>
  <si>
    <t>刘华东</t>
  </si>
  <si>
    <t>卢轶桐</t>
  </si>
  <si>
    <t>文慧芳</t>
  </si>
  <si>
    <t>唐莹莹</t>
  </si>
  <si>
    <t>黄敏华</t>
  </si>
  <si>
    <t>陈锡琦</t>
  </si>
  <si>
    <t>黄娟兰</t>
  </si>
  <si>
    <t>吴舒惠</t>
  </si>
  <si>
    <t>蓝世妍</t>
  </si>
  <si>
    <t>唐清华</t>
  </si>
  <si>
    <t>田国源</t>
  </si>
  <si>
    <t>钟冠群</t>
  </si>
  <si>
    <t>郑礼海</t>
  </si>
  <si>
    <t>杨未央</t>
  </si>
  <si>
    <t>李兴明</t>
  </si>
  <si>
    <t>许巧玲</t>
  </si>
  <si>
    <t>颜锋</t>
  </si>
  <si>
    <t>朱隆贵</t>
  </si>
  <si>
    <t>吕仕坚</t>
  </si>
  <si>
    <t>Testing Equipment and Automation Line</t>
  </si>
  <si>
    <t>刘小溪</t>
  </si>
  <si>
    <t>李永祥</t>
  </si>
  <si>
    <t>Conveyor</t>
  </si>
  <si>
    <t>汪伟</t>
  </si>
  <si>
    <t>周守家</t>
  </si>
  <si>
    <t>张浩</t>
  </si>
  <si>
    <t>刘振伟</t>
  </si>
  <si>
    <t>莫宗杰</t>
  </si>
  <si>
    <t>Board test</t>
  </si>
  <si>
    <t>陈龙</t>
  </si>
  <si>
    <t>黄国华</t>
  </si>
  <si>
    <t>许耀杰</t>
  </si>
  <si>
    <t>李灵灵</t>
  </si>
  <si>
    <t>黄奕鸿</t>
  </si>
  <si>
    <t>詹佳佳</t>
  </si>
  <si>
    <t>陈晓光</t>
  </si>
  <si>
    <t>吴恩海</t>
  </si>
  <si>
    <t>刘耀平</t>
  </si>
  <si>
    <t>何启豪</t>
  </si>
  <si>
    <t>贺云</t>
  </si>
  <si>
    <t>于四海</t>
  </si>
  <si>
    <t>王磊</t>
  </si>
  <si>
    <t>熊光谱</t>
  </si>
  <si>
    <t>蔡名威</t>
  </si>
  <si>
    <t>杨胜利</t>
  </si>
  <si>
    <t>翟德沛</t>
  </si>
  <si>
    <t>蒋家文</t>
  </si>
  <si>
    <t>田海翔</t>
  </si>
  <si>
    <t>卢敏兴</t>
  </si>
  <si>
    <t>Board Test</t>
  </si>
  <si>
    <t>陈国栋</t>
  </si>
  <si>
    <t>黄田孝</t>
  </si>
  <si>
    <t>刘露棣</t>
  </si>
  <si>
    <t>张建德</t>
  </si>
  <si>
    <t>杨帆</t>
  </si>
  <si>
    <t>陈胜乐</t>
  </si>
  <si>
    <t>郑胜明</t>
  </si>
  <si>
    <t>高辉</t>
  </si>
  <si>
    <t>李兴聪</t>
  </si>
  <si>
    <t>王玮</t>
  </si>
  <si>
    <t>王晓宁</t>
  </si>
  <si>
    <t>杨梓熙</t>
  </si>
  <si>
    <t>鲁秋瑞</t>
  </si>
  <si>
    <t>黄显壮</t>
  </si>
  <si>
    <t>杨锦杰</t>
  </si>
  <si>
    <t>吴信会</t>
  </si>
  <si>
    <t>陈兴顺</t>
  </si>
  <si>
    <t>戴林飞</t>
  </si>
  <si>
    <t>朱长乐</t>
  </si>
  <si>
    <t>王建祥</t>
  </si>
  <si>
    <t>张永亮</t>
  </si>
  <si>
    <t>黄胜彬</t>
  </si>
  <si>
    <t>吴伟杰</t>
  </si>
  <si>
    <t>吴亮主</t>
  </si>
  <si>
    <t>伍海鱼</t>
  </si>
  <si>
    <t>Phone V6x Helios</t>
  </si>
  <si>
    <t>陈雪刚</t>
  </si>
  <si>
    <t>陆飞</t>
  </si>
  <si>
    <t>左志祥</t>
  </si>
  <si>
    <t>黄骆峰</t>
  </si>
  <si>
    <t>林荣锋</t>
  </si>
  <si>
    <t>吴玉超</t>
  </si>
  <si>
    <t>吴锡铭</t>
  </si>
  <si>
    <t>张志恒</t>
  </si>
  <si>
    <t>陈礼衍</t>
  </si>
  <si>
    <t>陈俊佑</t>
  </si>
  <si>
    <t>孙乃涛</t>
  </si>
  <si>
    <t>蔡名斌</t>
  </si>
  <si>
    <t>Anthony Dong Tien</t>
  </si>
  <si>
    <t>覃倩倩</t>
  </si>
  <si>
    <t>吴炳堃</t>
  </si>
  <si>
    <t>李世友</t>
  </si>
  <si>
    <t>耿吕璠</t>
  </si>
  <si>
    <t>张发证</t>
  </si>
  <si>
    <t>莫昌潮</t>
  </si>
  <si>
    <t>罗剑</t>
  </si>
  <si>
    <t>冯少兵</t>
  </si>
  <si>
    <t>朱乐乐</t>
  </si>
  <si>
    <t>李华杰</t>
  </si>
  <si>
    <t>李文宗</t>
  </si>
  <si>
    <t>王国伟</t>
  </si>
  <si>
    <t>张嘉豪</t>
  </si>
  <si>
    <t>陈加卫</t>
  </si>
  <si>
    <t>梁武盛</t>
  </si>
  <si>
    <t>洪潜</t>
  </si>
  <si>
    <t>陈琼</t>
  </si>
  <si>
    <t>刘赛帅</t>
  </si>
  <si>
    <t>吴周</t>
  </si>
  <si>
    <t>林凯旋</t>
  </si>
  <si>
    <t>周瑞</t>
  </si>
  <si>
    <t>张爱选</t>
  </si>
  <si>
    <t>朱俊乐</t>
  </si>
  <si>
    <t>黄金明</t>
  </si>
  <si>
    <t>易祥勇</t>
  </si>
  <si>
    <t>张云龙</t>
  </si>
  <si>
    <t>杨宇业</t>
  </si>
  <si>
    <t>陈永东</t>
  </si>
  <si>
    <t>王聪</t>
  </si>
  <si>
    <t>任旭超</t>
  </si>
  <si>
    <t>张帆</t>
  </si>
  <si>
    <t>陈森林</t>
  </si>
  <si>
    <t>肖非凡</t>
  </si>
  <si>
    <t>何佳毅</t>
  </si>
  <si>
    <t>石博凌</t>
  </si>
  <si>
    <t>严统来</t>
  </si>
  <si>
    <t>敬志强</t>
  </si>
  <si>
    <t>陈志豪</t>
  </si>
  <si>
    <t>汤显伟</t>
  </si>
  <si>
    <t>李嘉纪</t>
  </si>
  <si>
    <t>何天赐</t>
  </si>
  <si>
    <t>傅伟钜</t>
  </si>
  <si>
    <t>孙静雯</t>
  </si>
  <si>
    <t>郝俊杰</t>
  </si>
  <si>
    <t>邬海兵</t>
  </si>
  <si>
    <t>钱万松</t>
  </si>
  <si>
    <t>李国彪</t>
  </si>
  <si>
    <t>王伟</t>
  </si>
  <si>
    <t>陈明勇</t>
  </si>
  <si>
    <t>郭浩源</t>
  </si>
  <si>
    <t>何晓峰</t>
  </si>
  <si>
    <t>黄鹏</t>
  </si>
  <si>
    <t>王祥志</t>
  </si>
  <si>
    <t>何正威</t>
  </si>
  <si>
    <t>阮春才</t>
  </si>
  <si>
    <t>阮金黄兴</t>
  </si>
  <si>
    <t>方兴</t>
  </si>
  <si>
    <t xml:space="preserve"> Test Board Design</t>
  </si>
  <si>
    <t>赵罡</t>
  </si>
  <si>
    <t>胡雁</t>
  </si>
  <si>
    <t>杨乐</t>
  </si>
  <si>
    <t>向贵海</t>
  </si>
  <si>
    <t>罗武</t>
  </si>
  <si>
    <t>蔡红建</t>
  </si>
  <si>
    <t>农志伟</t>
  </si>
  <si>
    <t>林达军</t>
  </si>
  <si>
    <t>PLC&amp;BF</t>
  </si>
  <si>
    <t>区国维</t>
  </si>
  <si>
    <t>朱青云</t>
  </si>
  <si>
    <t>吴华康</t>
  </si>
  <si>
    <t>黄永标</t>
  </si>
  <si>
    <t>李宇金</t>
  </si>
  <si>
    <t>唐根</t>
  </si>
  <si>
    <t>徐建成</t>
  </si>
  <si>
    <t>李兆钟</t>
  </si>
  <si>
    <t>朱新志</t>
  </si>
  <si>
    <t>陈辉杰</t>
  </si>
  <si>
    <t>陈广焕</t>
  </si>
  <si>
    <t>陈金城</t>
  </si>
  <si>
    <t>应福美</t>
  </si>
  <si>
    <t>陶日明</t>
  </si>
  <si>
    <t>张宇宙</t>
  </si>
  <si>
    <t>朱祥友</t>
  </si>
  <si>
    <t>杨瑞峰</t>
  </si>
  <si>
    <t>何永发</t>
  </si>
  <si>
    <t>李耀廷</t>
  </si>
  <si>
    <t>刘维涛</t>
  </si>
  <si>
    <t>征水晶</t>
  </si>
  <si>
    <t>胡大瑞</t>
  </si>
  <si>
    <t>郑长春</t>
  </si>
  <si>
    <t>张贵明</t>
  </si>
  <si>
    <t>刘贤宾</t>
  </si>
  <si>
    <t>韩思远</t>
  </si>
  <si>
    <t>李金鹏</t>
  </si>
  <si>
    <t>蒙雪晶</t>
  </si>
  <si>
    <t>谭朝勇</t>
  </si>
  <si>
    <t>黄丹妮</t>
  </si>
  <si>
    <t>张云</t>
  </si>
  <si>
    <t>罗惠斌</t>
  </si>
  <si>
    <t>周亚峰</t>
  </si>
  <si>
    <t>陈建伟</t>
  </si>
  <si>
    <t>李佩思</t>
  </si>
  <si>
    <t>曹晨晨</t>
  </si>
  <si>
    <t>翟天昊</t>
  </si>
  <si>
    <t>赵亚群</t>
  </si>
  <si>
    <t>王强</t>
  </si>
  <si>
    <t>汪杰</t>
  </si>
  <si>
    <t>梁炜</t>
  </si>
  <si>
    <t>周鑫</t>
  </si>
  <si>
    <t>汤晓豪</t>
  </si>
  <si>
    <t>甘庆平</t>
  </si>
  <si>
    <t>谭伯平</t>
  </si>
  <si>
    <t>黄志奎</t>
  </si>
  <si>
    <t>谭伟文</t>
  </si>
  <si>
    <t>林海辉</t>
  </si>
  <si>
    <t>李群</t>
  </si>
  <si>
    <t>钟仕平</t>
  </si>
  <si>
    <t>Suleman Haider</t>
  </si>
  <si>
    <t>周畅</t>
  </si>
  <si>
    <t>陈凯贤</t>
  </si>
  <si>
    <t>蒋海鑫</t>
  </si>
  <si>
    <t>曾灿荣</t>
  </si>
  <si>
    <t>黄阳姗</t>
  </si>
  <si>
    <t>邹李杰</t>
  </si>
  <si>
    <t>许龙飞</t>
  </si>
  <si>
    <t>马丹晨</t>
  </si>
  <si>
    <t>闫文达</t>
  </si>
  <si>
    <t>刘艳泽</t>
  </si>
  <si>
    <t>张亚冉</t>
  </si>
  <si>
    <t>农孟昌</t>
  </si>
  <si>
    <t>Phone V6x Factvent</t>
  </si>
  <si>
    <t>黄进杰</t>
  </si>
  <si>
    <t>赖学星</t>
  </si>
  <si>
    <t>梁伟潮</t>
  </si>
  <si>
    <t>肖永鑫</t>
  </si>
  <si>
    <t>韦祀辛</t>
  </si>
  <si>
    <t>钟飞洋</t>
  </si>
  <si>
    <t>尹星</t>
  </si>
  <si>
    <t>向义</t>
  </si>
  <si>
    <t>覃林珊</t>
  </si>
  <si>
    <t>房治文</t>
  </si>
  <si>
    <t>李吉亮</t>
  </si>
  <si>
    <t>岳滔</t>
  </si>
  <si>
    <t>林海杰</t>
  </si>
  <si>
    <t>PLC</t>
  </si>
  <si>
    <t>刘晨曦</t>
  </si>
  <si>
    <t>赖子谦</t>
  </si>
  <si>
    <t>李静双</t>
  </si>
  <si>
    <t>邓汉宏</t>
  </si>
  <si>
    <t>陈佳扬</t>
  </si>
  <si>
    <t>李信林</t>
  </si>
  <si>
    <t>蔡朝阳</t>
  </si>
  <si>
    <t>牟文远</t>
  </si>
  <si>
    <t>陈华方</t>
  </si>
  <si>
    <t>叶瀚泽</t>
  </si>
  <si>
    <t>刘洋</t>
  </si>
  <si>
    <t>郭少奇</t>
  </si>
  <si>
    <t>周彬文</t>
  </si>
  <si>
    <t>郑泽鹏</t>
  </si>
  <si>
    <t>黄磊</t>
  </si>
  <si>
    <t>伍荣宇</t>
  </si>
  <si>
    <t>Adrian Wong</t>
  </si>
  <si>
    <t>吴声潮</t>
  </si>
  <si>
    <t>陈显达</t>
  </si>
  <si>
    <t>周江楠</t>
  </si>
  <si>
    <t>陈明</t>
  </si>
  <si>
    <t>黎吉凯</t>
  </si>
  <si>
    <t>许少斌</t>
  </si>
  <si>
    <t>毛立瑞</t>
  </si>
  <si>
    <t>程广辉</t>
  </si>
  <si>
    <t>薛宇</t>
  </si>
  <si>
    <t>彭乐</t>
  </si>
  <si>
    <t>陈景亮</t>
  </si>
  <si>
    <t>程前</t>
  </si>
  <si>
    <t>黄金辉</t>
  </si>
  <si>
    <t>张萌港</t>
  </si>
  <si>
    <t>杜子龙</t>
  </si>
  <si>
    <t>周峰</t>
  </si>
  <si>
    <t>张小波</t>
  </si>
  <si>
    <t>吕海瑞</t>
  </si>
  <si>
    <t>周阳博</t>
  </si>
  <si>
    <t>丁亚威</t>
  </si>
  <si>
    <t>娄剑平</t>
  </si>
  <si>
    <t>张文光</t>
  </si>
  <si>
    <t>邓志伟</t>
  </si>
  <si>
    <t>何海峰</t>
  </si>
  <si>
    <t>杨彬</t>
  </si>
  <si>
    <t>董加成</t>
  </si>
  <si>
    <t>唐家和</t>
  </si>
  <si>
    <t>张萌</t>
  </si>
  <si>
    <t>谭耀忠</t>
  </si>
  <si>
    <t>莫文伟</t>
  </si>
  <si>
    <t>毛昊</t>
  </si>
  <si>
    <t>刘亚辉</t>
  </si>
  <si>
    <t>常瑞鹏</t>
  </si>
  <si>
    <t>陈铭光</t>
  </si>
  <si>
    <t>胡彦召</t>
  </si>
  <si>
    <t>孙正中</t>
  </si>
  <si>
    <t>Suzhou</t>
  </si>
  <si>
    <t>Test SW</t>
  </si>
  <si>
    <t>杨乐乐</t>
  </si>
  <si>
    <t>王鹍鹏</t>
  </si>
  <si>
    <t>胡胜</t>
  </si>
  <si>
    <t>刘晓琦</t>
  </si>
  <si>
    <t>林德</t>
  </si>
  <si>
    <t>彭伟翔</t>
  </si>
  <si>
    <t>程泉霖</t>
  </si>
  <si>
    <t>阳祥</t>
  </si>
  <si>
    <t>王大钊</t>
  </si>
  <si>
    <t>淦南洋</t>
  </si>
  <si>
    <t>李名晟</t>
  </si>
  <si>
    <t>莫林飞</t>
  </si>
  <si>
    <t>赵妍</t>
  </si>
  <si>
    <t>袁誉明</t>
  </si>
  <si>
    <t>张建民</t>
  </si>
  <si>
    <t>方官喜</t>
  </si>
  <si>
    <t>朱轩宁</t>
  </si>
  <si>
    <t>杨怀伟</t>
  </si>
  <si>
    <t>张铧</t>
  </si>
  <si>
    <t>陈颖煜</t>
  </si>
  <si>
    <t>胡运飞</t>
  </si>
  <si>
    <t>尹金都</t>
  </si>
  <si>
    <t>曹晓斌</t>
  </si>
  <si>
    <t>凌耀斌</t>
  </si>
  <si>
    <t>李昱飞</t>
  </si>
  <si>
    <t>周航</t>
  </si>
  <si>
    <t>桑茂强</t>
  </si>
  <si>
    <t>李振永</t>
  </si>
  <si>
    <t>汤坤明</t>
  </si>
  <si>
    <t>黄沙溪</t>
  </si>
  <si>
    <t>张衡峰</t>
  </si>
  <si>
    <t>蒋微尘</t>
  </si>
  <si>
    <t>张泽春</t>
  </si>
  <si>
    <t>潘博</t>
  </si>
  <si>
    <t>张志鹰</t>
  </si>
  <si>
    <t>袁亚鹏</t>
  </si>
  <si>
    <t>陈高杰</t>
  </si>
  <si>
    <t>黄日盛</t>
  </si>
  <si>
    <t>莫彬</t>
  </si>
  <si>
    <t>杨福涛</t>
  </si>
  <si>
    <t>黄婉怡</t>
  </si>
  <si>
    <t>肖杞华</t>
  </si>
  <si>
    <t>孙海</t>
  </si>
  <si>
    <t>李文静</t>
  </si>
  <si>
    <t>武首晨</t>
  </si>
  <si>
    <t>许立雄</t>
  </si>
  <si>
    <t>高美妍</t>
  </si>
  <si>
    <t>彭光少</t>
  </si>
  <si>
    <t>潘英东</t>
  </si>
  <si>
    <t>王吉兴</t>
  </si>
  <si>
    <t>郭卫</t>
  </si>
  <si>
    <t>Vision Debug</t>
  </si>
  <si>
    <t>肖洪露</t>
  </si>
  <si>
    <t>陈礼东</t>
  </si>
  <si>
    <t xml:space="preserve"> Vision Algorithm</t>
  </si>
  <si>
    <t>刘中佳</t>
  </si>
  <si>
    <t>彭新鑫</t>
  </si>
  <si>
    <t>王宁</t>
  </si>
  <si>
    <t>陈文金</t>
  </si>
  <si>
    <t>陈玉明</t>
  </si>
  <si>
    <t>伍洁</t>
  </si>
  <si>
    <t>唐万辉</t>
  </si>
  <si>
    <t>程小龙</t>
  </si>
  <si>
    <t>龙瞻</t>
  </si>
  <si>
    <t>廖述全</t>
  </si>
  <si>
    <t>马啸天</t>
  </si>
  <si>
    <t>逵庆端</t>
  </si>
  <si>
    <t>张海洋</t>
  </si>
  <si>
    <t>邓俊辉</t>
  </si>
  <si>
    <t>杨毅威</t>
  </si>
  <si>
    <t>王亚许</t>
  </si>
  <si>
    <t>Y2027 NPI - Innorev (Fiona)</t>
  </si>
  <si>
    <t>Y2027 NPI - Innorev (Fiona) - R</t>
  </si>
  <si>
    <t>2x,
 conveyor and standalone with a design assumptions i.e  similar as Scarlet/ASL-P/DVI/IMU conveyor and SA standalone stations.</t>
  </si>
  <si>
    <t>iPhone V7x Station
 ALS-P Conveyor,
Odin Conveyor,
DCR/OS Tests,
IQC AA stations.
iPad J8x7 Station DVI Conveyor
Watch N25x Station
   FACT21&amp;Vent2 Conveyor,
Conveyor Cyan Rotary
Audio B798 station
 All in One Case,
Open Short,
 IMU Camera.</t>
  </si>
  <si>
    <t>Refer to Mistral DVI Conveyor,V6x SA standalone and other QT stations,we had experience in similar complexity, NPI resourced required as below: 
IPhone V7x ALS-P Conveyor:
ME - 2x
EE - 2x
TPM -2x
OSS - 2x
IPhone V7x DCR /OS test and IQC AA stations:
ME - 2x
EE - 1x
TPM - 1x
OSS - 2x
IPad J8x7 DVI Conveyor:
ME - 2x
EE - 2x
TPM - 1x
OSS - 2x
Watch N25x FACT21&amp;VANT2 Conveyor:
ME - 3x
EE - 3x
TPM - 1x
OSS - 2x
Watch N25x Conveyor Cyan:
ME - 3x
EE - 3x
TPM - 1x
OSS - 2x
Audio B798 All in One Case and Open Short
ME - 1x
EE - 1x
TPM - 1x
OSS - 1x
Audio B798 IMU Camera
ME - 2x
EE - 1x
TPM - 1x
OSS - 1x</t>
  </si>
  <si>
    <t>1. IPhone V7x Station Odin Conveyor-SQE limiitation.</t>
  </si>
  <si>
    <t>Y2027 NPI - Innorev (Fiona) - Y</t>
  </si>
  <si>
    <t>J510</t>
  </si>
  <si>
    <t>B868/B790</t>
  </si>
  <si>
    <t>N23x</t>
  </si>
  <si>
    <t>V6x/Mistral</t>
  </si>
  <si>
    <t>Button/CBT/Trackpad Force/DVI/QT0/USBC/QT1/SWDL/Actuation/Impedance</t>
  </si>
  <si>
    <t>ALS Cal/CCB/Freyr/DVI/ISD/QT1/CT1/Janus</t>
  </si>
  <si>
    <t>Kinneret/Grid Flare/Shipping setting/All in one/SA-QT2/Burn in/SA-QT1/QT1/FWDL/Smart Charging/Gatekeeper</t>
  </si>
  <si>
    <t>ALS-COMBO/Magnetizer/InterConnect/Reflow line/Loading/Unloading</t>
  </si>
  <si>
    <t>Jasmine/Magnolia/IMU Conveyor/DVI Conveyor/ALS-P/Scarlet/Scarlet IMU/Alpha/Vent2/ISD</t>
  </si>
  <si>
    <t>Quality</t>
  </si>
  <si>
    <t>Y2027 NPI - JLK (Sean)</t>
  </si>
  <si>
    <t>Y2027 NPI - JLK (Sean) - Resour</t>
  </si>
  <si>
    <t>7x</t>
  </si>
  <si>
    <t>iPhone V7x Station SA-Barbie
iPhone V7x Station Odin Conveyor
iPhone V7x Station ALS-P Conveyor
iPad J8x7 station DVI Conveyor
Audio B798 Station Touch Conveyor
Audio B798 Station Force Conveyor
Audio B798 Station FACT Conveyor</t>
  </si>
  <si>
    <t xml:space="preserve">Refer to V6x SA-Ringo, V6x Odin + Clematis, V6x ALS-P, V6x DVI, B790 Touch, FACT, Force station in similar complexity, NPI resourced required as below: 
ME - 12x
EE - 5x
SW- 4x
</t>
  </si>
  <si>
    <r>
      <rPr>
        <sz val="10"/>
        <color indexed="8"/>
        <rFont val="SF Hello Regular"/>
      </rPr>
      <t xml:space="preserve">
</t>
    </r>
    <r>
      <rPr>
        <sz val="10"/>
        <color indexed="8"/>
        <rFont val="SF Hello Regular"/>
      </rPr>
      <t xml:space="preserve">Watch N25x Station FACT &amp; Vent Conveyor - Resource limitation &amp; 
</t>
    </r>
    <r>
      <rPr>
        <sz val="10"/>
        <color indexed="8"/>
        <rFont val="SF Hello Regular"/>
      </rPr>
      <t xml:space="preserve">Watch N25x Station Cyan Conveyor - Resource limitation 
</t>
    </r>
    <r>
      <rPr>
        <sz val="10"/>
        <color indexed="8"/>
        <rFont val="SF Hello Regular"/>
      </rPr>
      <t>Portable 91a Station caramel Conveyor—Tie P2 validation schedule, cannot catch up build date</t>
    </r>
  </si>
  <si>
    <t xml:space="preserve">Y2027 NPI - JLK (Sean) - Y2026 </t>
  </si>
  <si>
    <t>K11P</t>
  </si>
  <si>
    <t>J510/J581/B001</t>
  </si>
  <si>
    <t>B790/B868</t>
  </si>
  <si>
    <t>N24x</t>
  </si>
  <si>
    <t>V6x/V68</t>
  </si>
  <si>
    <t>KB PEM/ALS CAL/ALS_X-talk/Grape/ISD Standalone</t>
  </si>
  <si>
    <t>Grape Test/ALS CAL/System Test Standalone</t>
  </si>
  <si>
    <t>Touch Cal/Prox/Regia/LED Standalone</t>
  </si>
  <si>
    <t>Grape</t>
  </si>
  <si>
    <t xml:space="preserve">FACT/ALS/A-AMAI/Hydros/Barbie Standalone
FACT &amp; Vent /DVI/Grape Conveyor
</t>
  </si>
  <si>
    <t>Y2027 NPI - JLK IN 5/18v</t>
  </si>
  <si>
    <t>Y2027 NPI - JLK IN 5_18v - Reso</t>
  </si>
  <si>
    <r>
      <rPr>
        <sz val="10"/>
        <color indexed="8"/>
        <rFont val="SF Hello Bold"/>
      </rPr>
      <t xml:space="preserve">Total  Resource
</t>
    </r>
    <r>
      <rPr>
        <sz val="10"/>
        <color indexed="16"/>
        <rFont val="SF Hello Regular"/>
      </rPr>
      <t>(Cut Off May wk1)</t>
    </r>
  </si>
  <si>
    <t>iPhone V7x Station SA-Barbie
iPhone V7x Station Odin Conveyor
iPhone V7x Station ALS-P Conveyor
Audio B798 Station Touch Conveyor
Audio B798 Station Force Conveyor
Audio B798 Station FACT Conveyor</t>
  </si>
  <si>
    <t xml:space="preserve">JLK teams highly experienced with both standalone and conveyor stations like Barbie, SA-Ringo, DVI, Clematis, Odin, ALS-P, Wisteria, ALS X-Talk, Vent, Fact, Grape, Voyager. </t>
  </si>
  <si>
    <t>Y2027 NPI - JLK IN 5_18v - Y202</t>
  </si>
  <si>
    <t>-</t>
  </si>
  <si>
    <t>ALS-P conveyor, Odin conveyor, SA-Barbie</t>
  </si>
  <si>
    <t>Y2027 NPI - VVDN IN 5/18</t>
  </si>
  <si>
    <t>Y2027 NPI - VVDN IN 5_18 - Reso</t>
  </si>
  <si>
    <t>Y, 2500 Sqft. In Delh (North)i and 16,200 Sqft. In Pollachi (South)</t>
  </si>
  <si>
    <t>Y, 8x inhouse and 15x with Sub-tier</t>
  </si>
  <si>
    <t>Yes, by aligning operators and production heads</t>
  </si>
  <si>
    <t>Yes, 2x available (Hiring for additional in progress)</t>
  </si>
  <si>
    <t>Y2027 NPI - VVDN IN 5_18 - Y202</t>
  </si>
  <si>
    <t>V7X</t>
  </si>
  <si>
    <t>Odin Conveyor</t>
  </si>
  <si>
    <t>ALS Conveyor</t>
  </si>
  <si>
    <t>Chronos</t>
  </si>
  <si>
    <t>New</t>
  </si>
  <si>
    <t>Assembly (Leads + Operator)</t>
  </si>
  <si>
    <t>Y2027 NPI - Cencorp (Rick)</t>
  </si>
  <si>
    <t>Y2027 NPI - Cencorp (Rick) - Re</t>
  </si>
  <si>
    <r>
      <rPr>
        <sz val="10"/>
        <color indexed="8"/>
        <rFont val="SF Hello Bold"/>
      </rPr>
      <t>Cencorp Plan Resource Allocated to Y2027 RFP </t>
    </r>
    <r>
      <rPr>
        <sz val="10"/>
        <color indexed="16"/>
        <rFont val="SF Hello Regular"/>
      </rPr>
      <t>(Apr’26 ~ Sep’26)</t>
    </r>
  </si>
  <si>
    <t>Leftover Resource after allocated to Y2027 RFP</t>
  </si>
  <si>
    <t>PM/TPM</t>
  </si>
  <si>
    <t>Cencorp can take maximum 8x RFP stations as they are currently engaged (see column J details).  Any additional RFP will be medium-high risk to Cencorp according to their leftover engineering resources (see column H details)</t>
  </si>
  <si>
    <t>J807/J830 iPad DVI
N25x Watch Bamboo FACT
N25x Watch Bamboo Cyan
V7x iPhone Odin
V7x iPhone ALS-P
V7x iPhone SA Barbie
K12P Portable Seasalt
K104 Portable Volga</t>
  </si>
  <si>
    <t>1. Total leftover PM&amp;RD resource for brand-new stations is about 49%  2.  Leftover engineering resources allocation matrix plan showing able to support current engaged 8x RFP stations</t>
  </si>
  <si>
    <t>Taicang
Total：6000
Everest MP: 2000
Everest NPI: 500
Others: 2000
Leftover: 1500
Zhuhai
Total：3500
Everest MP: 2100
Everest NPI:300
Others: 800
Leftover: 300</t>
  </si>
  <si>
    <t>Y2027 NPI - Cencorp (Rick) - Y2</t>
  </si>
  <si>
    <t>K104</t>
  </si>
  <si>
    <t>J807/J830</t>
  </si>
  <si>
    <t>Seasalt</t>
  </si>
  <si>
    <t>Volga</t>
  </si>
  <si>
    <t>DVI</t>
  </si>
  <si>
    <t>Bamboo FACT</t>
  </si>
  <si>
    <t>Bamboo Cyan</t>
  </si>
  <si>
    <t>Odim</t>
  </si>
  <si>
    <t>ALS-P</t>
  </si>
  <si>
    <t>SA Barbie</t>
  </si>
  <si>
    <t>Engagement Status (existing, new)</t>
  </si>
  <si>
    <t>existing</t>
  </si>
  <si>
    <t>new</t>
  </si>
  <si>
    <t>Y2026 MP Loading Breakdown (Apr ~ Sep)</t>
  </si>
  <si>
    <t>Y2027 NPI - Cencorp (Rick) - Y1</t>
  </si>
  <si>
    <t>J700 / K11p / J91A/ J701</t>
  </si>
  <si>
    <t>V68/V6x</t>
  </si>
  <si>
    <t>Chocolate
Seasalt
Caramel
Nile</t>
  </si>
  <si>
    <t>Bamboo 2.0</t>
  </si>
  <si>
    <t>V68
Magnolia Plus
XDXT
Hydros
Barbie T/V/Salvage
V6x
Jasmine
Clematis
Magnolia
DVI
Barbie
V68/V6x 
MLB AP Stations </t>
  </si>
  <si>
    <t>SeaSalt PRB x 2
SeaSalt PVT x 1 Caramel OVB x1 Nile MP x 4</t>
  </si>
  <si>
    <t>Bamboo 2.0 x 4</t>
  </si>
  <si>
    <t>V68
NB x 123
RF x 80
V6x
NB x 14
RF x 159
 V6x/V68 MLB AP  NB x 600</t>
  </si>
  <si>
    <t>Y2026 MP Matrix</t>
  </si>
  <si>
    <t>Y2027 NPI - Cencorp (Rick) - Y3</t>
  </si>
  <si>
    <t>Project</t>
  </si>
  <si>
    <t>Magnolia Plus</t>
  </si>
  <si>
    <t>XDXT</t>
  </si>
  <si>
    <t>Hydros</t>
  </si>
  <si>
    <t>Barbie T/V</t>
  </si>
  <si>
    <t>Jasmine</t>
  </si>
  <si>
    <t>Clematis</t>
  </si>
  <si>
    <t>Magnolia</t>
  </si>
  <si>
    <t>Barbie</t>
  </si>
  <si>
    <t>MLB</t>
  </si>
  <si>
    <t>Chocolate</t>
  </si>
  <si>
    <t>Caramel</t>
  </si>
  <si>
    <t>Nile</t>
  </si>
  <si>
    <t>Bamboo</t>
  </si>
  <si>
    <t>Y2027 NPI - HVS (Gene)</t>
  </si>
  <si>
    <t>Y2027 NPI - HVS (Gene) - Resour</t>
  </si>
  <si>
    <t>3x</t>
  </si>
  <si>
    <r>
      <rPr>
        <sz val="10"/>
        <color indexed="8"/>
        <rFont val="SF Hello Bold"/>
      </rPr>
      <t xml:space="preserve">iPhone V7x Station </t>
    </r>
    <r>
      <rPr>
        <sz val="10"/>
        <color indexed="8"/>
        <rFont val="SF Hello Regular"/>
      </rPr>
      <t xml:space="preserve">ALS-P / Odin
</t>
    </r>
    <r>
      <rPr>
        <sz val="10"/>
        <color indexed="8"/>
        <rFont val="SF Hello Regular"/>
      </rPr>
      <t xml:space="preserve">
</t>
    </r>
    <r>
      <rPr>
        <sz val="10"/>
        <color indexed="8"/>
        <rFont val="SF Hello Bold"/>
      </rPr>
      <t>Audio</t>
    </r>
    <r>
      <rPr>
        <sz val="10"/>
        <color indexed="8"/>
        <rFont val="SF Hello Regular"/>
      </rPr>
      <t xml:space="preserve"> Open Short All-in-onc / IMU Camera / Open Conveyor</t>
    </r>
  </si>
  <si>
    <t>Refer to V6x ALSP station in similar complexity, NPI resourced required as below: 
PM- 1x
ME - 4x
EE - 1x 
Assembly：15/line
Quality- 1x
For Odin support HVS has new resource hiring plan if required
Production space is ok2support for China for China / India for India and Korea for any case if other site needs back-up</t>
  </si>
  <si>
    <r>
      <rPr>
        <sz val="10"/>
        <color indexed="8"/>
        <rFont val="SF Hello Bold"/>
      </rPr>
      <t xml:space="preserve">iPhone V7x Station </t>
    </r>
    <r>
      <rPr>
        <sz val="10"/>
        <color indexed="8"/>
        <rFont val="SF Hello Regular"/>
      </rPr>
      <t xml:space="preserve">
</t>
    </r>
    <r>
      <rPr>
        <sz val="10"/>
        <color indexed="8"/>
        <rFont val="SF Hello Regular"/>
      </rPr>
      <t xml:space="preserve">DCR / IQA AA
</t>
    </r>
    <r>
      <rPr>
        <sz val="10"/>
        <color indexed="8"/>
        <rFont val="SF Hello Regular"/>
      </rPr>
      <t xml:space="preserve">
</t>
    </r>
    <r>
      <rPr>
        <sz val="10"/>
        <color indexed="8"/>
        <rFont val="SF Hello Bold"/>
      </rPr>
      <t>Watch</t>
    </r>
    <r>
      <rPr>
        <sz val="10"/>
        <color indexed="8"/>
        <rFont val="SF Hello Regular"/>
      </rPr>
      <t xml:space="preserve"> 
</t>
    </r>
    <r>
      <rPr>
        <sz val="10"/>
        <color indexed="8"/>
        <rFont val="SF Hello Regular"/>
      </rPr>
      <t>Conveyor Fact/Vent, Rotary</t>
    </r>
  </si>
  <si>
    <t xml:space="preserve">Y2027 NPI - HVS (Gene) - Y2026 </t>
  </si>
  <si>
    <t>V68</t>
  </si>
  <si>
    <t>Scarlet Camera/Prox
Scarlet IMU
ALSP
Helios</t>
  </si>
  <si>
    <t xml:space="preserve">Y2027 NPI - HVS (Gene) - Y2027 </t>
  </si>
  <si>
    <t>ALSP</t>
  </si>
  <si>
    <t>Odin</t>
  </si>
  <si>
    <t>Y2027 NPI - HVS (Gene) - Drawin</t>
  </si>
  <si>
    <t>Y2027 NPI - Pantamaster (JS)</t>
  </si>
  <si>
    <t xml:space="preserve">Y2027 NPI - Pantamaster (JS) - </t>
  </si>
  <si>
    <t>iPhone V7x Station SA-Barbie</t>
  </si>
  <si>
    <t>Refer to V7x SA Barbie station in similar complexity, NPI resourced required as below: 
PM - 1x
ME - 1x
EE - 1x
SW - 1x
FAE - 1x (China)
Assembly - 2x
Debug - 1x
Quality - 1x</t>
  </si>
  <si>
    <t>Y2027 NPI - Pantamaster (JS) -1</t>
  </si>
  <si>
    <t>J62x</t>
  </si>
  <si>
    <t>V6x</t>
  </si>
  <si>
    <t>Chamber Conveyor</t>
  </si>
  <si>
    <t>BEXT
XDXT
FISH</t>
  </si>
  <si>
    <t>Y2027 NPI - CYG (Rick)</t>
  </si>
  <si>
    <t>Y2027 NPI - CYG (Rick) - Resour</t>
  </si>
  <si>
    <t>30x</t>
  </si>
  <si>
    <t>1: Portable K12p DFU/FCT/SOC;
2: Portable K104 DFU/FCT/SOC;
3: Portable J702 DFU/SOC;
4: Pad J8x7 SOC;
5: Audio J727 DFU/FCT;
6: Phone V7x SA Carrier&amp;Socket&amp;Pogo&amp;Tray&amp;Holder&amp;DCR；
7: Pencil B632&amp;B582 FCT&amp;Farosh FCT/BMU FCT/SA QT/Farosh/Zonai；
8:Watch N25x Combo CCD/ HSG-SA-Rioch/Burnin Rack/Sulu/FCT/DFU/BI；</t>
  </si>
  <si>
    <t xml:space="preserve">1: Portable K12p DFU/FCT/SOC: 
Refer to K11p DFU/FCT/SOC station in similar complexity, NPI resourced required as below: ME - 2x, EE - 6x, SW - 1x, FAE - 6x;
2: Portable K104 DFU/FCT/SOC: 
Refer to J804 DFU/FCT/SOC station in similar complexity, NPI resourced required as below: ME - 1x, EE - 2x, SW - 1x, FAE - 2x;
3: Portable J702 DFU/SOC: 
Refer to J701 DFU/SOC station in similar complexity, NPI resourced required as below: ME - 1x, EE - 1x,  FAE -1x;
4: Pad J8x7 SOC:
Refer to Pad J7x7 MFCT station in similar complexity, NPI resourced required as below: ME - 1x, EE - 1x, FAE - 1x;
5: Audio J727 DFU/FCT:
Refer to J747 DFU/FCT station in similar complexity, NPI resourced required as below: ME - 2x, EE - 2x, SW - 1x, FAE 2x;
6: Phone V7x SA Carrier&amp;Socket&amp;Pogo&amp;Tray&amp;Holder&amp;DCR:
Refer to V6x SA Carrier&amp;Socket&amp;Pogo&amp;Tray&amp;Holder&amp;DCR station in similar complexity, NPI resourced required as below: ME - 3x, EE - 3x,  SW - 1x, FAE 2x;
7: Pencil B632&amp;B582 FCT&amp;Farosh FCT/BMU FCT/SA QT/Farosh/Zonai:
Refer to XB532&amp;B482 FCT&amp;Farosh FCT/BMU FCT/SA QT/Farosh/Zonai station in similar complexity, NPI resourced required as below: ME - 3x, EE - 4x, SW - 2x, FAE 4x;
8:Watch N25x Combo CCD/ HSG-SA-Rioch/Burnin Rack/Sulu/FCT/DFU/BI:
Refer to N24x Combo CCD/ HSG-SA-Rioch/Burnin Rack/Sulu/FCT/DFU/BI station in similar complexity, NPI resourced required as below: ME - 4x, EE - 4x, SW - 1x, FAE 4x;
</t>
  </si>
  <si>
    <t>N/A</t>
  </si>
  <si>
    <t xml:space="preserve">Y2027 NPI - CYG (Rick) - Y2027 </t>
  </si>
  <si>
    <t>Pencil</t>
  </si>
  <si>
    <t>Apple TV</t>
  </si>
  <si>
    <t>SUM</t>
  </si>
  <si>
    <t>K12p/K104/J702</t>
  </si>
  <si>
    <t>J727</t>
  </si>
  <si>
    <t>B632&amp;B582</t>
  </si>
  <si>
    <t>NA(Next Generation Pending Confirm)</t>
  </si>
  <si>
    <t>DFU/FCT/SOC</t>
  </si>
  <si>
    <t>SOC</t>
  </si>
  <si>
    <t>DFU/FCT</t>
  </si>
  <si>
    <t>Combo CCD/ HSG-SA-Rioch/Burnin Rack/Sulu/FCT/DFU/BI</t>
  </si>
  <si>
    <t>SACarrier&amp;Socket&amp;Pogo&amp;Tray&amp;Holder&amp;DCR</t>
  </si>
  <si>
    <t>FCT&amp;Farosh FCT/BMU FCT/SA QT/Farosh/Zonai</t>
  </si>
  <si>
    <t>NA</t>
  </si>
  <si>
    <t>Existing</t>
  </si>
  <si>
    <t xml:space="preserve">Y2027 NPI - CYG (Rick) - Y2026 </t>
  </si>
  <si>
    <t>K11p/J804</t>
  </si>
  <si>
    <t>J707/J737 (Already Finish MP Ramp by Y25 Q4)</t>
  </si>
  <si>
    <t>J747( Already finish MP Ramp by Y25 Q4)</t>
  </si>
  <si>
    <t>N23xN240</t>
  </si>
  <si>
    <t>V6xV68</t>
  </si>
  <si>
    <t>X3908</t>
  </si>
  <si>
    <t>J529</t>
  </si>
  <si>
    <t>MFCT</t>
  </si>
  <si>
    <t>PFCT/PDFU/GK/Burnin/Combo CCD/Rioch/SA STHB/Sulu</t>
  </si>
  <si>
    <t>DFU/FCT/Carrier&amp;Socket&amp;Pogo&amp;Tray&amp;Holder&amp;DCR Fixture</t>
  </si>
  <si>
    <t>SA QT/Aquila/Tip Power</t>
  </si>
  <si>
    <t>FCT/Button</t>
  </si>
  <si>
    <t>1480x(Burnin 1039x; Other Station: 441x)</t>
  </si>
  <si>
    <t>1368x (BT DFU/FCT: 359x ; SA Carrier&amp;socket 1009x)</t>
  </si>
  <si>
    <t>Y2027 NPI - Nextas (Jessie)</t>
  </si>
  <si>
    <t>Y2027 NPI - Nextas (Jessie) - R</t>
  </si>
  <si>
    <r>
      <rPr>
        <sz val="11"/>
        <color indexed="8"/>
        <rFont val="SF Hello Bold"/>
      </rPr>
      <t xml:space="preserve">Y2026 Loading
</t>
    </r>
    <r>
      <rPr>
        <sz val="11"/>
        <color indexed="16"/>
        <rFont val="SF Hello Regular"/>
      </rPr>
      <t>(Apr’26 ~ Sep’26)</t>
    </r>
  </si>
  <si>
    <r>
      <rPr>
        <sz val="11"/>
        <color indexed="8"/>
        <rFont val="SF Hello Bold"/>
      </rPr>
      <t xml:space="preserve">Total  Resource
</t>
    </r>
    <r>
      <rPr>
        <sz val="11"/>
        <color indexed="16"/>
        <rFont val="SF Hello Regular"/>
      </rPr>
      <t>(Cut Off Apr wk3)</t>
    </r>
  </si>
  <si>
    <r>
      <rPr>
        <sz val="11"/>
        <color indexed="8"/>
        <rFont val="SF Hello Bold"/>
      </rPr>
      <t xml:space="preserve">Resource Occupied  for Y2026 Ramp
</t>
    </r>
    <r>
      <rPr>
        <sz val="11"/>
        <color indexed="16"/>
        <rFont val="SF Hello Regular"/>
      </rPr>
      <t>(Apr’26 ~ Sep’26)</t>
    </r>
  </si>
  <si>
    <r>
      <rPr>
        <sz val="11"/>
        <color indexed="8"/>
        <rFont val="SF Hello Bold"/>
      </rPr>
      <t xml:space="preserve">Resource Leftover for Y2027 Brand-New Station NPI Build
</t>
    </r>
    <r>
      <rPr>
        <sz val="11"/>
        <color indexed="16"/>
        <rFont val="SF Hello Regular"/>
      </rPr>
      <t>(Apr’26 ~ Sep’26)</t>
    </r>
  </si>
  <si>
    <r>
      <rPr>
        <sz val="11"/>
        <color indexed="8"/>
        <rFont val="SF Hello Bold"/>
      </rPr>
      <t xml:space="preserve"># of Stations Type can support
</t>
    </r>
    <r>
      <rPr>
        <sz val="11"/>
        <color indexed="16"/>
        <rFont val="SF Hello Regular"/>
      </rPr>
      <t>(Refer CPT Y2027 RFP)</t>
    </r>
  </si>
  <si>
    <r>
      <rPr>
        <sz val="11"/>
        <color indexed="8"/>
        <rFont val="SF Hello Bold"/>
      </rPr>
      <t xml:space="preserve">Station Name can support
</t>
    </r>
    <r>
      <rPr>
        <sz val="11"/>
        <color indexed="16"/>
        <rFont val="SF Hello Regular"/>
      </rPr>
      <t>(Refer CPT Y2027 RFP)</t>
    </r>
  </si>
  <si>
    <r>
      <rPr>
        <sz val="11"/>
        <color indexed="8"/>
        <rFont val="SF Hello Bold"/>
      </rPr>
      <t xml:space="preserve">Space Supportability 
</t>
    </r>
    <r>
      <rPr>
        <sz val="11"/>
        <color indexed="8"/>
        <rFont val="SF Hello Bold"/>
      </rPr>
      <t xml:space="preserve">
</t>
    </r>
    <r>
      <rPr>
        <sz val="11"/>
        <color indexed="16"/>
        <rFont val="SF Hello Regular"/>
      </rPr>
      <t>(Y/N)</t>
    </r>
  </si>
  <si>
    <r>
      <rPr>
        <sz val="11"/>
        <color indexed="8"/>
        <rFont val="SF Hello Bold"/>
      </rPr>
      <t xml:space="preserve">Machining Capacity Supportability 
</t>
    </r>
    <r>
      <rPr>
        <sz val="11"/>
        <color indexed="8"/>
        <rFont val="SF Hello Bold"/>
      </rPr>
      <t xml:space="preserve">
</t>
    </r>
    <r>
      <rPr>
        <sz val="11"/>
        <color indexed="16"/>
        <rFont val="SF Hello Regular"/>
      </rPr>
      <t>(Y/N)</t>
    </r>
  </si>
  <si>
    <r>
      <rPr>
        <sz val="11"/>
        <color indexed="8"/>
        <rFont val="SF Hello Bold"/>
      </rPr>
      <t xml:space="preserve">Assembly Capacity Supportability 
</t>
    </r>
    <r>
      <rPr>
        <sz val="11"/>
        <color indexed="8"/>
        <rFont val="SF Hello Bold"/>
      </rPr>
      <t xml:space="preserve">
</t>
    </r>
    <r>
      <rPr>
        <sz val="11"/>
        <color indexed="16"/>
        <rFont val="SF Hello Regular"/>
      </rPr>
      <t>(Y/N)</t>
    </r>
  </si>
  <si>
    <r>
      <rPr>
        <sz val="11"/>
        <color indexed="8"/>
        <rFont val="SF Hello Bold"/>
      </rPr>
      <t xml:space="preserve">Quality Capacity Supportability 
</t>
    </r>
    <r>
      <rPr>
        <sz val="11"/>
        <color indexed="8"/>
        <rFont val="SF Hello Bold"/>
      </rPr>
      <t xml:space="preserve">
</t>
    </r>
    <r>
      <rPr>
        <sz val="11"/>
        <color indexed="16"/>
        <rFont val="SF Hello Regular"/>
      </rPr>
      <t>(Y/N)</t>
    </r>
  </si>
  <si>
    <t>Bojay total resource</t>
  </si>
  <si>
    <t>2x</t>
  </si>
  <si>
    <t>IQC AA stations
DCR/OS Tests</t>
  </si>
  <si>
    <t xml:space="preserve">Refer to V64(RCAM IQC &amp;RIM，FCAM-IQC&amp;PAM，MLB modules in similar complexity, NPI resourced required as below: 
PM:4x
ME - 4x
EE - 3x
FAE-5x
Assembly:4
Quality: 3
</t>
  </si>
  <si>
    <r>
      <rPr>
        <sz val="11"/>
        <color indexed="8"/>
        <rFont val="SF Hello Regular"/>
      </rPr>
      <t>No issue</t>
    </r>
  </si>
  <si>
    <t>Y2027 NPI - Nextas (Jessie) - Y</t>
  </si>
  <si>
    <t xml:space="preserve"> V7x</t>
  </si>
  <si>
    <t>IQC AA stations
DCR/OS Tests</t>
  </si>
  <si>
    <t>Summary_Draft</t>
  </si>
  <si>
    <t>Summary_Draft - 2027 NPI Suppor</t>
  </si>
  <si>
    <t>Capacity</t>
  </si>
  <si>
    <t>APO GSSM Recommendations</t>
  </si>
  <si>
    <r>
      <rPr>
        <sz val="10"/>
        <color indexed="8"/>
        <rFont val="SF Hello Bold"/>
      </rPr>
      <t xml:space="preserve">Y2026 Ramp
</t>
    </r>
    <r>
      <rPr>
        <sz val="10"/>
        <color indexed="8"/>
        <rFont val="SF Hello Bold"/>
      </rPr>
      <t xml:space="preserve">Resource Loading &amp; Issue Feedback
</t>
    </r>
    <r>
      <rPr>
        <sz val="10"/>
        <color indexed="16"/>
        <rFont val="SF Hello Regular"/>
      </rPr>
      <t xml:space="preserve">
</t>
    </r>
    <r>
      <rPr>
        <sz val="10"/>
        <color indexed="16"/>
        <rFont val="SF Hello Regular"/>
      </rPr>
      <t>(Apr’26 ~ Sep’26)</t>
    </r>
  </si>
  <si>
    <r>
      <rPr>
        <sz val="10"/>
        <color indexed="8"/>
        <rFont val="SF Hello Bold"/>
      </rPr>
      <t xml:space="preserve">Y2027 NPI Build
</t>
    </r>
    <r>
      <rPr>
        <sz val="10"/>
        <color indexed="8"/>
        <rFont val="SF Hello Bold"/>
      </rPr>
      <t xml:space="preserve">Resource Supportability Assessment
</t>
    </r>
    <r>
      <rPr>
        <sz val="10"/>
        <color indexed="16"/>
        <rFont val="SF Hello Regular"/>
      </rPr>
      <t xml:space="preserve">
</t>
    </r>
    <r>
      <rPr>
        <sz val="10"/>
        <color indexed="16"/>
        <rFont val="SF Hello Regular"/>
      </rPr>
      <t>(Apr’26 ~ Sep’26)</t>
    </r>
  </si>
  <si>
    <r>
      <rPr>
        <sz val="10"/>
        <color indexed="28"/>
        <rFont val="SF Hello Bold"/>
      </rPr>
      <t>NOT Recommend</t>
    </r>
    <r>
      <rPr>
        <sz val="10"/>
        <color indexed="8"/>
        <rFont val="SF Hello Regular"/>
      </rPr>
      <t xml:space="preserve"> to awarding any new business at 2027 given the resource capability limit and expertise mismatch. </t>
    </r>
  </si>
  <si>
    <r>
      <rPr>
        <sz val="10"/>
        <color indexed="8"/>
        <rFont val="SF Hello Regular"/>
      </rPr>
      <t xml:space="preserve">Constraint technical resource: fully occupied by 2026 ramp with shortage escalation from CM(LXSZ/LXKU)
</t>
    </r>
    <r>
      <rPr>
        <sz val="10"/>
        <color indexed="8"/>
        <rFont val="SF Hello Regular"/>
      </rPr>
      <t xml:space="preserve">Lack of solid internal operation management process: escalation from SQE/CapEx PM/Ops TE/HWTE on quality / delivery / OSS / on-site activities
</t>
    </r>
    <r>
      <rPr>
        <sz val="10"/>
        <color indexed="8"/>
        <rFont val="SF Hello Regular"/>
      </rPr>
      <t xml:space="preserve">Lack of dedicated PM head to handle internal / external activities, led to Apple x-team spending huge efforts to bring up PRM cross areas 
</t>
    </r>
  </si>
  <si>
    <r>
      <rPr>
        <sz val="10"/>
        <color indexed="28"/>
        <rFont val="SF Hello Bold"/>
      </rPr>
      <t>◉</t>
    </r>
    <r>
      <rPr>
        <sz val="14"/>
        <color indexed="37"/>
        <rFont val="SF Hello Bold"/>
      </rPr>
      <t xml:space="preserve"> </t>
    </r>
    <r>
      <rPr>
        <sz val="10"/>
        <color indexed="8"/>
        <rFont val="SF Hello Bold"/>
      </rPr>
      <t xml:space="preserve">High Risk Assessment: 
</t>
    </r>
    <r>
      <rPr>
        <sz val="10"/>
        <color indexed="8"/>
        <rFont val="SF Hello Bold"/>
      </rPr>
      <t xml:space="preserve">
</t>
    </r>
    <r>
      <rPr>
        <sz val="10"/>
        <color indexed="8"/>
        <rFont val="SF Hello Regular"/>
      </rPr>
      <t xml:space="preserve">Resource qty sufficient 
</t>
    </r>
    <r>
      <rPr>
        <sz val="10"/>
        <color indexed="8"/>
        <rFont val="SF Hello Regular"/>
      </rPr>
      <t xml:space="preserve">Resource expertise NOT match new business requirement (Current - Board Test vs Needed - Display Conveyor)
</t>
    </r>
    <r>
      <rPr>
        <sz val="10"/>
        <color indexed="8"/>
        <rFont val="SF Hello Regular"/>
      </rPr>
      <t>Resource working experience: 80% less than 1y on Apple biz</t>
    </r>
  </si>
  <si>
    <r>
      <rPr>
        <sz val="14"/>
        <color indexed="23"/>
        <rFont val="SF Hello Bold"/>
      </rPr>
      <t>◉</t>
    </r>
    <r>
      <rPr>
        <sz val="10"/>
        <color indexed="8"/>
        <rFont val="SF Hello Bold"/>
      </rPr>
      <t xml:space="preserve"> Low Risk </t>
    </r>
  </si>
  <si>
    <r>
      <rPr>
        <sz val="14"/>
        <color indexed="38"/>
        <rFont val="SF Hello Bold"/>
      </rPr>
      <t>◉</t>
    </r>
    <r>
      <rPr>
        <sz val="10"/>
        <color indexed="8"/>
        <rFont val="SF Hello Bold"/>
      </rPr>
      <t xml:space="preserve"> Medium Risk 
</t>
    </r>
    <r>
      <rPr>
        <sz val="10"/>
        <color indexed="8"/>
        <rFont val="SF Hello Regular"/>
      </rPr>
      <t xml:space="preserve">-  Resource qty sufficient — after allocated to Y26 Ramp &amp; Y27 NPI, there are still 11% resources leftover -  Resource working experience: ~30% with +3 years experience with Cencorp -  Cencorp has rich experiences on conveyor station from both iPhone V5x/V6x and Portable SeaSalt / Chocolate / Caramel </t>
    </r>
  </si>
  <si>
    <r>
      <rPr>
        <sz val="14"/>
        <color indexed="23"/>
        <rFont val="SF Hello Bold"/>
      </rPr>
      <t>◉</t>
    </r>
    <r>
      <rPr>
        <sz val="10"/>
        <color indexed="8"/>
        <rFont val="SF Hello Bold"/>
      </rPr>
      <t xml:space="preserve"> Low Risk  </t>
    </r>
    <r>
      <rPr>
        <sz val="10"/>
        <color indexed="8"/>
        <rFont val="SF Hello Regular"/>
      </rPr>
      <t>- Standalone &amp; less complex station - Only two new stations RFP engaged - Resource qty sufficient</t>
    </r>
  </si>
  <si>
    <t>Since no entirely new station has been deployed for JLK, the technical design has no major change from the previous project. Consequently, JLK is able to provide stable support to those stations.</t>
  </si>
  <si>
    <r>
      <rPr>
        <sz val="10"/>
        <color indexed="24"/>
        <rFont val="SF Hello Regular"/>
      </rPr>
      <t>No significant concerns have been identified regarding technical or operational resource quantities. However, quality-related issues remain, specifically:</t>
    </r>
    <r>
      <rPr>
        <sz val="12"/>
        <color indexed="8"/>
        <rFont val="Helvetica"/>
      </rPr>
      <t xml:space="preserve">
</t>
    </r>
    <r>
      <rPr>
        <sz val="10"/>
        <color indexed="24"/>
        <rFont val="SF Hello Regular"/>
      </rPr>
      <t>- Communication and data reporting competencies require further development.</t>
    </r>
    <r>
      <rPr>
        <sz val="12"/>
        <color indexed="8"/>
        <rFont val="Helvetica"/>
      </rPr>
      <t xml:space="preserve">
</t>
    </r>
    <r>
      <rPr>
        <sz val="10"/>
        <color indexed="24"/>
        <rFont val="SF Hello Regular"/>
      </rPr>
      <t>- Operations management headcount is sufficient, but the team lacks qualified project managers</t>
    </r>
  </si>
  <si>
    <r>
      <rPr>
        <sz val="10"/>
        <color indexed="8"/>
        <rFont val="Helvetica Neue"/>
      </rPr>
      <t xml:space="preserve">OK to support the CPT team’s RFP’ed stations </t>
    </r>
    <r>
      <rPr>
        <sz val="10"/>
        <color indexed="28"/>
        <rFont val="Helvetica Neue"/>
      </rPr>
      <t>except Odin Conveyer.</t>
    </r>
    <r>
      <rPr>
        <sz val="10"/>
        <color indexed="8"/>
        <rFont val="Helvetica Neue"/>
      </rPr>
      <t xml:space="preserve"> Odin Conveyer is brand new to Innorev. </t>
    </r>
  </si>
  <si>
    <r>
      <rPr>
        <sz val="10"/>
        <color indexed="28"/>
        <rFont val="SF Hello Bold"/>
      </rPr>
      <t>◉</t>
    </r>
    <r>
      <rPr>
        <sz val="14"/>
        <color indexed="37"/>
        <rFont val="SF Hello Bold"/>
      </rPr>
      <t xml:space="preserve"> </t>
    </r>
    <r>
      <rPr>
        <sz val="10"/>
        <color indexed="8"/>
        <rFont val="SF Hello Bold"/>
      </rPr>
      <t xml:space="preserve">High Risk Assessment
</t>
    </r>
    <r>
      <rPr>
        <sz val="10"/>
        <color indexed="8"/>
        <rFont val="SF Hello Regular"/>
      </rPr>
      <t xml:space="preserve">Quality team qtys are sufficient but the capability of DRIs need to continuously improve. </t>
    </r>
  </si>
  <si>
    <t>OK to support stations limited to 
[1] Audio - 3 stations
[2] Phone V7x - ALSP
Same message from SI also shared with CPT team</t>
  </si>
  <si>
    <r>
      <rPr>
        <sz val="10"/>
        <color indexed="28"/>
        <rFont val="SF Hello Bold"/>
      </rPr>
      <t>◉</t>
    </r>
    <r>
      <rPr>
        <sz val="14"/>
        <color indexed="37"/>
        <rFont val="SF Hello Bold"/>
      </rPr>
      <t xml:space="preserve"> </t>
    </r>
    <r>
      <rPr>
        <sz val="10"/>
        <color indexed="8"/>
        <rFont val="SF Hello Bold"/>
      </rPr>
      <t xml:space="preserve">High Risk Assessment: 
</t>
    </r>
    <r>
      <rPr>
        <sz val="10"/>
        <color indexed="8"/>
        <rFont val="SF Hello Bold"/>
      </rPr>
      <t xml:space="preserve">
</t>
    </r>
    <r>
      <rPr>
        <sz val="10"/>
        <color indexed="8"/>
        <rFont val="SF Hello Regular"/>
      </rPr>
      <t xml:space="preserve">R&amp;D / PM resource is OK2support limited stations and also need to focus on improving capability in China plan
</t>
    </r>
    <r>
      <rPr>
        <sz val="10"/>
        <color indexed="8"/>
        <rFont val="SF Hello Regular"/>
      </rPr>
      <t xml:space="preserve">PM need to increase resource with language capability and also need to hired from local to decrease the reliance from Korea
</t>
    </r>
    <r>
      <rPr>
        <sz val="10"/>
        <color indexed="8"/>
        <rFont val="SF Hello Regular"/>
      </rPr>
      <t xml:space="preserve">HQ TE resource also need to be allocated to support other programs CPT started engaging for India TE
</t>
    </r>
    <r>
      <rPr>
        <sz val="10"/>
        <color indexed="8"/>
        <rFont val="SF Hello Regular"/>
      </rPr>
      <t xml:space="preserve">No enough resource to work to bridge/sync to primary SI for on-going works
</t>
    </r>
    <r>
      <rPr>
        <sz val="10"/>
        <color indexed="8"/>
        <rFont val="SF Hello Regular"/>
      </rPr>
      <t>Similar feedback was also shared by SI directly to CPT team</t>
    </r>
  </si>
  <si>
    <r>
      <rPr>
        <sz val="14"/>
        <color indexed="23"/>
        <rFont val="SF Hello Bold"/>
      </rPr>
      <t>◉</t>
    </r>
    <r>
      <rPr>
        <sz val="10"/>
        <color indexed="8"/>
        <rFont val="SF Hello Bold"/>
      </rPr>
      <t xml:space="preserve"> Low Risk 
</t>
    </r>
    <r>
      <rPr>
        <sz val="10"/>
        <color indexed="8"/>
        <rFont val="SF Hello Regular"/>
      </rPr>
      <t>- Need to be revisited after post V68 (it can require separate space not with the program on the same floor)/ 27 AE demand</t>
    </r>
  </si>
  <si>
    <r>
      <rPr>
        <sz val="14"/>
        <color indexed="23"/>
        <rFont val="SF Hello Bold"/>
      </rPr>
      <t>◉</t>
    </r>
    <r>
      <rPr>
        <sz val="10"/>
        <color indexed="8"/>
        <rFont val="SF Hello Bold"/>
      </rPr>
      <t xml:space="preserve"> Low Risk
</t>
    </r>
    <r>
      <rPr>
        <sz val="10"/>
        <color indexed="8"/>
        <rFont val="SF Hello Regular"/>
      </rPr>
      <t>- assuming latest improvement from SQE audit can stay with on-going improvement</t>
    </r>
  </si>
  <si>
    <r>
      <rPr>
        <sz val="14"/>
        <color indexed="23"/>
        <rFont val="SF Hello Regular"/>
      </rPr>
      <t>◉</t>
    </r>
    <r>
      <rPr>
        <sz val="10"/>
        <color indexed="8"/>
        <rFont val="SF Hello Regular"/>
      </rPr>
      <t xml:space="preserve"> Low Risk </t>
    </r>
    <r>
      <rPr>
        <sz val="10"/>
        <color indexed="8"/>
        <rFont val="SF Hello Regular"/>
      </rPr>
      <t xml:space="preserve"> - No resource issue to support TE. </t>
    </r>
    <r>
      <rPr>
        <sz val="10"/>
        <color indexed="8"/>
        <rFont val="SF Hello Regular"/>
      </rPr>
      <t xml:space="preserve"> - Current TE resources have Apple project experience exposure.</t>
    </r>
  </si>
  <si>
    <r>
      <rPr>
        <sz val="14"/>
        <color indexed="23"/>
        <rFont val="SF Hello Regular"/>
      </rPr>
      <t>◉</t>
    </r>
    <r>
      <rPr>
        <sz val="10"/>
        <color indexed="8"/>
        <rFont val="SF Hello Regular"/>
      </rPr>
      <t xml:space="preserve"> Low Risk </t>
    </r>
  </si>
  <si>
    <t>D</t>
  </si>
  <si>
    <r>
      <rPr>
        <sz val="14"/>
        <color indexed="23"/>
        <rFont val="SF Hello Bold"/>
      </rPr>
      <t>◉</t>
    </r>
    <r>
      <rPr>
        <sz val="10"/>
        <color indexed="8"/>
        <rFont val="SF Hello Bold"/>
      </rPr>
      <t xml:space="preserve"> Low Risk 
</t>
    </r>
    <r>
      <rPr>
        <sz val="10"/>
        <color indexed="8"/>
        <rFont val="SF Hello Regular"/>
      </rPr>
      <t xml:space="preserve">-No resource issue as same group with Bojay which’s strong Engineer support NPI if need
</t>
    </r>
    <r>
      <rPr>
        <sz val="10"/>
        <color indexed="8"/>
        <rFont val="SF Hello Regular"/>
      </rPr>
      <t>-Share same VN facility with Bojay, Lasteck will be ready to use by May/E</t>
    </r>
  </si>
  <si>
    <t>Y2027 NPI - PRM (Anna) - 4/13v</t>
  </si>
  <si>
    <t xml:space="preserve">Y2027 NPI - PRM (Anna) - 4_13v </t>
  </si>
  <si>
    <t>4x</t>
  </si>
  <si>
    <r>
      <rPr>
        <sz val="10"/>
        <color indexed="8"/>
        <rFont val="SF Hello Bold"/>
      </rPr>
      <t xml:space="preserve">iPhone V7x Station </t>
    </r>
    <r>
      <rPr>
        <sz val="10"/>
        <color indexed="8"/>
        <rFont val="SF Hello Regular"/>
      </rPr>
      <t xml:space="preserve">SA Barbie
</t>
    </r>
    <r>
      <rPr>
        <sz val="10"/>
        <color indexed="8"/>
        <rFont val="SF Hello Regular"/>
      </rPr>
      <t xml:space="preserve">ALS-P
</t>
    </r>
    <r>
      <rPr>
        <sz val="10"/>
        <color indexed="8"/>
        <rFont val="SF Hello Bold"/>
      </rPr>
      <t xml:space="preserve">Watch 
</t>
    </r>
    <r>
      <rPr>
        <sz val="10"/>
        <color indexed="8"/>
        <rFont val="SF Hello Regular"/>
      </rPr>
      <t xml:space="preserve">FACT 
</t>
    </r>
    <r>
      <rPr>
        <sz val="10"/>
        <color indexed="8"/>
        <rFont val="SF Hello Regular"/>
      </rPr>
      <t xml:space="preserve">Cyan
</t>
    </r>
  </si>
  <si>
    <t xml:space="preserve">Refer to V6x FACTVENT station in similar complexity, NPI resourced required as below: 
PM- 1x
ME - 5x
EE - 5x
VE - 3x 
Assembly：18/line
Quality- 2x
</t>
  </si>
  <si>
    <t>Y2027 NPI - PRM (Anna) - 4_13v1</t>
  </si>
  <si>
    <t>Y2027 NPI - Accurate (Pratiksha) - 5/18</t>
  </si>
  <si>
    <t>Y2027 NPI - Accurate (Pratiksha</t>
  </si>
  <si>
    <t xml:space="preserve"># of Stations Type can support
</t>
  </si>
  <si>
    <t>Space Supportability 
(Y/N)</t>
  </si>
  <si>
    <t>Machining Capacity Supportability 
(Y/N)</t>
  </si>
  <si>
    <t>Assembly Capacity Supportability 
(Y/N)</t>
  </si>
  <si>
    <t>Quality Capacity Supportability 
(Y/N)</t>
  </si>
  <si>
    <t>Y2027 NPI - SFO (Ankan) - 5/18</t>
  </si>
  <si>
    <t xml:space="preserve">Y2027 NPI - SFO (Ankan) - 5_18 </t>
  </si>
  <si>
    <t>Yes</t>
  </si>
  <si>
    <t>[old] 2027 NPI Supportability Summary - APO</t>
  </si>
  <si>
    <t>_old_ 2027 NPI Supportability S</t>
  </si>
  <si>
    <r>
      <rPr>
        <sz val="10"/>
        <color indexed="28"/>
        <rFont val="SF Hello Bold"/>
      </rPr>
      <t>NOT Recommend</t>
    </r>
    <r>
      <rPr>
        <sz val="10"/>
        <color indexed="8"/>
        <rFont val="SF Hello Regular"/>
      </rPr>
      <t xml:space="preserve"> to awarding any new business at 2027 given the resource constraint and unvalidated expertise </t>
    </r>
  </si>
  <si>
    <r>
      <rPr>
        <sz val="10"/>
        <color indexed="28"/>
        <rFont val="SF Hello Bold"/>
      </rPr>
      <t>◉</t>
    </r>
    <r>
      <rPr>
        <sz val="10"/>
        <color indexed="37"/>
        <rFont val="SF Hello Bold"/>
      </rPr>
      <t xml:space="preserve"> </t>
    </r>
    <r>
      <rPr>
        <sz val="10"/>
        <color indexed="8"/>
        <rFont val="SF Hello Bold"/>
      </rPr>
      <t xml:space="preserve">High Risk Assessment: 
</t>
    </r>
    <r>
      <rPr>
        <sz val="10"/>
        <color indexed="8"/>
        <rFont val="SF Hello Bold"/>
      </rPr>
      <t xml:space="preserve">
</t>
    </r>
    <r>
      <rPr>
        <sz val="10"/>
        <color indexed="8"/>
        <rFont val="SF Hello Regular"/>
      </rPr>
      <t xml:space="preserve">Reported idle resource qty </t>
    </r>
    <r>
      <rPr>
        <sz val="10"/>
        <color indexed="8"/>
        <rFont val="SF Hello Bold"/>
      </rPr>
      <t xml:space="preserve">ONLY ok2support iPhone V7x ALSP
</t>
    </r>
    <r>
      <rPr>
        <sz val="10"/>
        <color indexed="8"/>
        <rFont val="SF Hello Regular"/>
      </rPr>
      <t>Resource expertise</t>
    </r>
    <r>
      <rPr>
        <sz val="10"/>
        <color indexed="8"/>
        <rFont val="SF Hello Bold"/>
      </rPr>
      <t xml:space="preserve"> NOT validated</t>
    </r>
    <r>
      <rPr>
        <sz val="10"/>
        <color indexed="8"/>
        <rFont val="SF Hello Regular"/>
      </rPr>
      <t xml:space="preserve"> if able to meet new business requirement as </t>
    </r>
    <r>
      <rPr>
        <sz val="10"/>
        <color indexed="8"/>
        <rFont val="SF Hello Bold"/>
      </rPr>
      <t xml:space="preserve">all of them current scope at PRM are Non-A biz
</t>
    </r>
    <r>
      <rPr>
        <sz val="10"/>
        <color indexed="8"/>
        <rFont val="SF Hello Bold"/>
      </rPr>
      <t xml:space="preserve">Help Needed: </t>
    </r>
    <r>
      <rPr>
        <sz val="10"/>
        <color indexed="8"/>
        <rFont val="SF Hello Regular"/>
      </rPr>
      <t>HWTE validate resource expertise upon request</t>
    </r>
  </si>
  <si>
    <r>
      <rPr>
        <sz val="10"/>
        <color indexed="23"/>
        <rFont val="SF Hello Bold"/>
      </rPr>
      <t>◉</t>
    </r>
    <r>
      <rPr>
        <sz val="10"/>
        <color indexed="8"/>
        <rFont val="SF Hello Bold"/>
      </rPr>
      <t xml:space="preserve"> Low Risk </t>
    </r>
  </si>
  <si>
    <r>
      <rPr>
        <sz val="10"/>
        <color indexed="38"/>
        <rFont val="SF Hello Bold"/>
      </rPr>
      <t>◉</t>
    </r>
    <r>
      <rPr>
        <sz val="10"/>
        <color indexed="8"/>
        <rFont val="SF Hello Bold"/>
      </rPr>
      <t xml:space="preserve"> Medium Risk Assessment
</t>
    </r>
    <r>
      <rPr>
        <sz val="10"/>
        <color indexed="8"/>
        <rFont val="SF Hello Bold"/>
      </rPr>
      <t xml:space="preserve">
</t>
    </r>
    <r>
      <rPr>
        <sz val="10"/>
        <color indexed="8"/>
        <rFont val="SF Hello Regular"/>
      </rPr>
      <t xml:space="preserve">- Cencorp has rich experiences on conveyor station from both iPhone (Jasmine, Clematis, BEXT) and Portable (SeaSalt / Chocolate / Caramel) - Resource qty sufficient — after allocated to Y26 Ramp &amp; Y27 NPI, there are still 11% resources leftover, however they are heavily engaged on ramps across CN/VN for multiple non-phone programs - Resource working experience: ~30% with +3 years experience with Cencorp
</t>
    </r>
  </si>
  <si>
    <r>
      <rPr>
        <b val="1"/>
        <sz val="10"/>
        <color indexed="39"/>
        <rFont val="Helvetica Neue"/>
      </rPr>
      <t xml:space="preserve">OK2Support </t>
    </r>
    <r>
      <rPr>
        <sz val="10"/>
        <color indexed="8"/>
        <rFont val="Helvetica Neue"/>
      </rPr>
      <t>CPT RFP’ed stations</t>
    </r>
    <r>
      <rPr>
        <b val="1"/>
        <sz val="10"/>
        <color indexed="39"/>
        <rFont val="Helvetica Neue"/>
      </rPr>
      <t xml:space="preserve"> </t>
    </r>
    <r>
      <rPr>
        <b val="1"/>
        <sz val="10"/>
        <color indexed="28"/>
        <rFont val="Helvetica Neue"/>
      </rPr>
      <t xml:space="preserve">except Odin Conveyer </t>
    </r>
    <r>
      <rPr>
        <sz val="10"/>
        <color indexed="8"/>
        <rFont val="Helvetica Neue"/>
      </rPr>
      <t>(brand new to Innorev)</t>
    </r>
  </si>
  <si>
    <r>
      <rPr>
        <sz val="10"/>
        <color indexed="28"/>
        <rFont val="SF Hello Bold"/>
      </rPr>
      <t>◉</t>
    </r>
    <r>
      <rPr>
        <sz val="10"/>
        <color indexed="37"/>
        <rFont val="SF Hello Bold"/>
      </rPr>
      <t xml:space="preserve"> </t>
    </r>
    <r>
      <rPr>
        <sz val="10"/>
        <color indexed="8"/>
        <rFont val="SF Hello Bold"/>
      </rPr>
      <t xml:space="preserve">High Risk Assessment
</t>
    </r>
    <r>
      <rPr>
        <sz val="10"/>
        <color indexed="8"/>
        <rFont val="SF Hello Bold"/>
      </rPr>
      <t xml:space="preserve">
</t>
    </r>
    <r>
      <rPr>
        <sz val="10"/>
        <color indexed="8"/>
        <rFont val="SF Hello Regular"/>
      </rPr>
      <t xml:space="preserve">Quality team qtys are sufficient but the capability of DRIs need to continuously improve. </t>
    </r>
  </si>
  <si>
    <r>
      <rPr>
        <b val="1"/>
        <sz val="10"/>
        <color indexed="39"/>
        <rFont val="Helvetica Neue"/>
      </rPr>
      <t xml:space="preserve">OK2Support </t>
    </r>
    <r>
      <rPr>
        <b val="1"/>
        <sz val="10"/>
        <color indexed="16"/>
        <rFont val="Helvetica Neue"/>
      </rPr>
      <t>ONLY below stations</t>
    </r>
    <r>
      <rPr>
        <b val="1"/>
        <sz val="10"/>
        <color indexed="39"/>
        <rFont val="Helvetica Neue"/>
      </rPr>
      <t xml:space="preserve">
</t>
    </r>
    <r>
      <rPr>
        <sz val="10"/>
        <color indexed="8"/>
        <rFont val="Helvetica Neue"/>
      </rPr>
      <t xml:space="preserve">
</t>
    </r>
    <r>
      <rPr>
        <sz val="10"/>
        <color indexed="8"/>
        <rFont val="Helvetica Neue"/>
      </rPr>
      <t xml:space="preserve">[1] Audio - 3 stations
</t>
    </r>
    <r>
      <rPr>
        <sz val="10"/>
        <color indexed="8"/>
        <rFont val="Helvetica Neue"/>
      </rPr>
      <t xml:space="preserve">[2] Phone V7x - ALSP
</t>
    </r>
    <r>
      <rPr>
        <sz val="10"/>
        <color indexed="8"/>
        <rFont val="Helvetica Neue"/>
      </rPr>
      <t xml:space="preserve">
</t>
    </r>
    <r>
      <rPr>
        <sz val="10"/>
        <color indexed="8"/>
        <rFont val="Helvetica Neue"/>
      </rPr>
      <t>Same message from SI also shared with CPT team</t>
    </r>
  </si>
  <si>
    <r>
      <rPr>
        <sz val="10"/>
        <color indexed="28"/>
        <rFont val="SF Hello Bold"/>
      </rPr>
      <t>◉</t>
    </r>
    <r>
      <rPr>
        <sz val="10"/>
        <color indexed="37"/>
        <rFont val="SF Hello Bold"/>
      </rPr>
      <t xml:space="preserve"> </t>
    </r>
    <r>
      <rPr>
        <sz val="10"/>
        <color indexed="8"/>
        <rFont val="SF Hello Bold"/>
      </rPr>
      <t xml:space="preserve">High Risk Assessment: 
</t>
    </r>
    <r>
      <rPr>
        <sz val="10"/>
        <color indexed="8"/>
        <rFont val="SF Hello Bold"/>
      </rPr>
      <t xml:space="preserve">
</t>
    </r>
    <r>
      <rPr>
        <sz val="10"/>
        <color indexed="8"/>
        <rFont val="SF Hello Regular"/>
      </rPr>
      <t xml:space="preserve">R&amp;D / PM resource is OK2support limited stations and also need to focus on improving capability in China plan
</t>
    </r>
    <r>
      <rPr>
        <sz val="10"/>
        <color indexed="8"/>
        <rFont val="SF Hello Regular"/>
      </rPr>
      <t xml:space="preserve">PM need to increase resource with language capability and also need to hired from local to decrease the reliance from Korea
</t>
    </r>
    <r>
      <rPr>
        <sz val="10"/>
        <color indexed="8"/>
        <rFont val="SF Hello Regular"/>
      </rPr>
      <t xml:space="preserve">HQ TE resource also need to be allocated to support other programs CPT started engaging for India TE
</t>
    </r>
    <r>
      <rPr>
        <sz val="10"/>
        <color indexed="8"/>
        <rFont val="SF Hello Regular"/>
      </rPr>
      <t xml:space="preserve">No enough resource to work to bridge/sync to primary SI for on-going works
</t>
    </r>
    <r>
      <rPr>
        <sz val="10"/>
        <color indexed="8"/>
        <rFont val="SF Hello Regular"/>
      </rPr>
      <t>Similar feedback was also shared by SI directly to CPT team</t>
    </r>
  </si>
  <si>
    <r>
      <rPr>
        <sz val="10"/>
        <color indexed="23"/>
        <rFont val="SF Hello Bold"/>
      </rPr>
      <t>◉</t>
    </r>
    <r>
      <rPr>
        <sz val="10"/>
        <color indexed="8"/>
        <rFont val="SF Hello Bold"/>
      </rPr>
      <t xml:space="preserve"> Low Risk</t>
    </r>
  </si>
  <si>
    <r>
      <rPr>
        <sz val="10"/>
        <color indexed="23"/>
        <rFont val="SF Hello Bold"/>
      </rPr>
      <t>◉</t>
    </r>
    <r>
      <rPr>
        <sz val="10"/>
        <color indexed="8"/>
        <rFont val="SF Hello Bold"/>
      </rPr>
      <t xml:space="preserve"> Low Risk 
</t>
    </r>
    <r>
      <rPr>
        <sz val="10"/>
        <color indexed="8"/>
        <rFont val="SF Hello Bold"/>
      </rPr>
      <t xml:space="preserve">
</t>
    </r>
    <r>
      <rPr>
        <sz val="10"/>
        <color indexed="25"/>
        <rFont val="SF Hello Regular"/>
      </rPr>
      <t>Since no entirely new station has been deployed for JLK, the technical design has no major change from the previous project. Consequently, JLK is able to provide stable support to those stations.</t>
    </r>
  </si>
  <si>
    <r>
      <rPr>
        <sz val="10"/>
        <color indexed="23"/>
        <rFont val="SF Hello Bold"/>
      </rPr>
      <t>◉</t>
    </r>
    <r>
      <rPr>
        <sz val="10"/>
        <color indexed="8"/>
        <rFont val="SF Hello Bold"/>
      </rPr>
      <t xml:space="preserve"> Low Risk 
</t>
    </r>
    <r>
      <rPr>
        <sz val="10"/>
        <color indexed="8"/>
        <rFont val="SF Hello Bold"/>
      </rPr>
      <t> </t>
    </r>
    <r>
      <rPr>
        <sz val="10"/>
        <color indexed="8"/>
        <rFont val="SF Hello Regular"/>
      </rPr>
      <t>- Standalone &amp; less complex station - Only two new stations RFP engaged - Resource qty sufficient</t>
    </r>
  </si>
  <si>
    <t>Sheet 1</t>
  </si>
  <si>
    <t>Commercial Levers</t>
  </si>
  <si>
    <t>Sheet 1 - Commercial Levers</t>
  </si>
  <si>
    <t>VN/CN cost parity</t>
  </si>
  <si>
    <t>Lot 0 items/cal kit reduction</t>
  </si>
  <si>
    <t>Labor/processing rates</t>
  </si>
  <si>
    <t>Retrofit</t>
  </si>
  <si>
    <t>Flat 10% reduction</t>
  </si>
  <si>
    <t>Common Module benchmark</t>
  </si>
  <si>
    <t>Penta</t>
  </si>
  <si>
    <t>Amp</t>
  </si>
  <si>
    <t>Details</t>
  </si>
  <si>
    <t>Communicated as expectation; timeline pull in</t>
  </si>
  <si>
    <t xml:space="preserve">5%-10% cost reduction </t>
  </si>
  <si>
    <t>Meet targets from last year as NTE</t>
  </si>
  <si>
    <t>All conveyors 5% retrofit cost of NB (except gsm exceptions)</t>
  </si>
</sst>
</file>

<file path=xl/styles.xml><?xml version="1.0" encoding="utf-8"?>
<styleSheet xmlns="http://schemas.openxmlformats.org/spreadsheetml/2006/main">
  <numFmts count="5">
    <numFmt numFmtId="0" formatCode="General"/>
    <numFmt numFmtId="59" formatCode="#,##0%"/>
    <numFmt numFmtId="60" formatCode="0.0%"/>
    <numFmt numFmtId="61" formatCode="m/d"/>
    <numFmt numFmtId="62" formatCode="#,##0.00%"/>
  </numFmts>
  <fonts count="51">
    <font>
      <sz val="10"/>
      <color indexed="8"/>
      <name val="Helvetica Neue"/>
    </font>
    <font>
      <sz val="12"/>
      <color indexed="8"/>
      <name val="Helvetica Neue"/>
    </font>
    <font>
      <sz val="14"/>
      <color indexed="8"/>
      <name val="Helvetica Neue"/>
    </font>
    <font>
      <sz val="11"/>
      <color indexed="8"/>
      <name val="Helvetica Neue"/>
    </font>
    <font>
      <u val="single"/>
      <sz val="12"/>
      <color indexed="11"/>
      <name val="Helvetica Neue"/>
    </font>
    <font>
      <sz val="12"/>
      <color indexed="8"/>
      <name val="SF Hello Bold"/>
    </font>
    <font>
      <i val="1"/>
      <sz val="10"/>
      <color indexed="8"/>
      <name val="SF Hello Bold"/>
    </font>
    <font>
      <b val="1"/>
      <sz val="10"/>
      <color indexed="8"/>
      <name val="Helvetica Neue"/>
    </font>
    <font>
      <sz val="10"/>
      <color indexed="8"/>
      <name val="SF Hello Bold"/>
    </font>
    <font>
      <sz val="10"/>
      <color indexed="16"/>
      <name val="SF Hello Regular"/>
    </font>
    <font>
      <sz val="10"/>
      <color indexed="8"/>
      <name val="SF Hello Regular"/>
    </font>
    <font>
      <i val="1"/>
      <sz val="10"/>
      <color indexed="8"/>
      <name val="SF Hello Regular"/>
    </font>
    <font>
      <sz val="14"/>
      <color indexed="8"/>
      <name val="SF Hello Bold"/>
    </font>
    <font>
      <sz val="12"/>
      <color indexed="19"/>
      <name val="Helvetica Neue Medium"/>
    </font>
    <font>
      <sz val="10"/>
      <color indexed="23"/>
      <name val="SF Hello Bold"/>
    </font>
    <font>
      <b val="1"/>
      <sz val="14"/>
      <color indexed="8"/>
      <name val="Helvetica Neue"/>
    </font>
    <font>
      <b val="1"/>
      <sz val="10"/>
      <color indexed="8"/>
      <name val="Helvetica"/>
    </font>
    <font>
      <sz val="10"/>
      <color indexed="8"/>
      <name val="Helvetica"/>
    </font>
    <font>
      <sz val="10"/>
      <color indexed="24"/>
      <name val="SF Hello Regular"/>
    </font>
    <font>
      <sz val="10"/>
      <color indexed="25"/>
      <name val="SF Hello Regular"/>
    </font>
    <font>
      <sz val="10"/>
      <color indexed="28"/>
      <name val="Helvetica Neue"/>
    </font>
    <font>
      <sz val="20"/>
      <color indexed="8"/>
      <name val="SF Hello Light"/>
    </font>
    <font>
      <sz val="20"/>
      <color indexed="8"/>
      <name val="SF Hello Bold"/>
    </font>
    <font>
      <b val="1"/>
      <sz val="15"/>
      <color indexed="8"/>
      <name val="Helvetica Neue"/>
    </font>
    <font>
      <b val="1"/>
      <sz val="12"/>
      <color indexed="8"/>
      <name val="Helvetica Neue"/>
    </font>
    <font>
      <sz val="12"/>
      <color indexed="34"/>
      <name val="SF Hello Bold"/>
    </font>
    <font>
      <sz val="12"/>
      <color indexed="35"/>
      <name val="SF Hello Bold"/>
    </font>
    <font>
      <b val="1"/>
      <sz val="12"/>
      <color indexed="35"/>
      <name val="Helvetica Neue"/>
    </font>
    <font>
      <b val="1"/>
      <sz val="10"/>
      <color indexed="8"/>
      <name val="Avenir Next Regular"/>
    </font>
    <font>
      <sz val="10"/>
      <color indexed="8"/>
      <name val="Avenir Next Regular"/>
    </font>
    <font>
      <sz val="12"/>
      <color indexed="8"/>
      <name val="Helvetica Neue Medium"/>
    </font>
    <font>
      <sz val="13"/>
      <color indexed="8"/>
      <name val="SF Hello Bold"/>
    </font>
    <font>
      <sz val="11"/>
      <color indexed="8"/>
      <name val="SF Hello Bold"/>
    </font>
    <font>
      <sz val="11"/>
      <color indexed="16"/>
      <name val="SF Hello Regular"/>
    </font>
    <font>
      <sz val="11"/>
      <color indexed="8"/>
      <name val="SF Hello Regular"/>
    </font>
    <font>
      <sz val="11"/>
      <color indexed="8"/>
      <name val="Helvetica"/>
    </font>
    <font>
      <sz val="10"/>
      <color indexed="28"/>
      <name val="SF Hello Bold"/>
    </font>
    <font>
      <sz val="14"/>
      <color indexed="37"/>
      <name val="SF Hello Bold"/>
    </font>
    <font>
      <sz val="14"/>
      <color indexed="23"/>
      <name val="SF Hello Bold"/>
    </font>
    <font>
      <sz val="14"/>
      <color indexed="38"/>
      <name val="SF Hello Bold"/>
    </font>
    <font>
      <sz val="12"/>
      <color indexed="8"/>
      <name val="Helvetica"/>
    </font>
    <font>
      <sz val="14"/>
      <color indexed="23"/>
      <name val="SF Hello Regular"/>
    </font>
    <font>
      <sz val="14"/>
      <color indexed="30"/>
      <name val="SF Hello Bold"/>
    </font>
    <font>
      <sz val="14"/>
      <color indexed="28"/>
      <name val="SF Hello Bold"/>
    </font>
    <font>
      <sz val="10"/>
      <color indexed="37"/>
      <name val="SF Hello Bold"/>
    </font>
    <font>
      <b val="1"/>
      <sz val="10"/>
      <color indexed="39"/>
      <name val="Helvetica Neue"/>
    </font>
    <font>
      <b val="1"/>
      <sz val="14"/>
      <color indexed="39"/>
      <name val="Helvetica Neue"/>
    </font>
    <font>
      <sz val="10"/>
      <color indexed="38"/>
      <name val="SF Hello Bold"/>
    </font>
    <font>
      <b val="1"/>
      <sz val="10"/>
      <color indexed="28"/>
      <name val="Helvetica Neue"/>
    </font>
    <font>
      <b val="1"/>
      <sz val="10"/>
      <color indexed="16"/>
      <name val="Helvetica Neue"/>
    </font>
    <font>
      <b val="1"/>
      <sz val="14"/>
      <color indexed="34"/>
      <name val="Helvetica Neue"/>
    </font>
  </fonts>
  <fills count="1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6"/>
        <bgColor auto="1"/>
      </patternFill>
    </fill>
    <fill>
      <patternFill patternType="solid">
        <fgColor indexed="27"/>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19"/>
        <bgColor auto="1"/>
      </patternFill>
    </fill>
    <fill>
      <patternFill patternType="solid">
        <fgColor indexed="32"/>
        <bgColor auto="1"/>
      </patternFill>
    </fill>
    <fill>
      <patternFill patternType="solid">
        <fgColor indexed="33"/>
        <bgColor auto="1"/>
      </patternFill>
    </fill>
  </fills>
  <borders count="34">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
      <left style="thin">
        <color indexed="13"/>
      </left>
      <right style="thin">
        <color indexed="13"/>
      </right>
      <top style="thin">
        <color indexed="13"/>
      </top>
      <bottom style="medium">
        <color indexed="8"/>
      </bottom>
      <diagonal/>
    </border>
    <border>
      <left style="thin">
        <color indexed="13"/>
      </left>
      <right style="thin">
        <color indexed="13"/>
      </right>
      <top style="medium">
        <color indexed="8"/>
      </top>
      <bottom style="thin">
        <color indexed="13"/>
      </bottom>
      <diagonal/>
    </border>
    <border>
      <left style="thin">
        <color indexed="13"/>
      </left>
      <right style="thin">
        <color indexed="15"/>
      </right>
      <top style="medium">
        <color indexed="8"/>
      </top>
      <bottom style="thin">
        <color indexed="13"/>
      </bottom>
      <diagonal/>
    </border>
    <border>
      <left style="thin">
        <color indexed="15"/>
      </left>
      <right style="thin">
        <color indexed="13"/>
      </right>
      <top style="medium">
        <color indexed="8"/>
      </top>
      <bottom style="thin">
        <color indexed="13"/>
      </bottom>
      <diagonal/>
    </border>
    <border>
      <left style="thin">
        <color indexed="13"/>
      </left>
      <right style="thin">
        <color indexed="15"/>
      </right>
      <top style="thin">
        <color indexed="13"/>
      </top>
      <bottom style="thin">
        <color indexed="15"/>
      </bottom>
      <diagonal/>
    </border>
    <border>
      <left style="thin">
        <color indexed="15"/>
      </left>
      <right style="thin">
        <color indexed="13"/>
      </right>
      <top style="thin">
        <color indexed="13"/>
      </top>
      <bottom style="thin">
        <color indexed="15"/>
      </bottom>
      <diagonal/>
    </border>
    <border>
      <left style="thin">
        <color indexed="13"/>
      </left>
      <right style="thin">
        <color indexed="13"/>
      </right>
      <top style="thin">
        <color indexed="15"/>
      </top>
      <bottom style="thin">
        <color indexed="15"/>
      </bottom>
      <diagonal/>
    </border>
    <border>
      <left style="thin">
        <color indexed="13"/>
      </left>
      <right style="thin">
        <color indexed="15"/>
      </right>
      <top style="thin">
        <color indexed="15"/>
      </top>
      <bottom style="thin">
        <color indexed="15"/>
      </bottom>
      <diagonal/>
    </border>
    <border>
      <left style="thin">
        <color indexed="15"/>
      </left>
      <right style="thin">
        <color indexed="13"/>
      </right>
      <top style="thin">
        <color indexed="15"/>
      </top>
      <bottom style="thin">
        <color indexed="15"/>
      </bottom>
      <diagonal/>
    </border>
    <border>
      <left style="thin">
        <color indexed="13"/>
      </left>
      <right style="thin">
        <color indexed="13"/>
      </right>
      <top style="medium">
        <color indexed="8"/>
      </top>
      <bottom style="medium">
        <color indexed="8"/>
      </bottom>
      <diagonal/>
    </border>
    <border>
      <left style="thin">
        <color indexed="13"/>
      </left>
      <right style="thin">
        <color indexed="13"/>
      </right>
      <top style="medium">
        <color indexed="8"/>
      </top>
      <bottom style="thin">
        <color indexed="15"/>
      </bottom>
      <diagonal/>
    </border>
    <border>
      <left style="thin">
        <color indexed="13"/>
      </left>
      <right style="thin">
        <color indexed="15"/>
      </right>
      <top style="thin">
        <color indexed="13"/>
      </top>
      <bottom style="medium">
        <color indexed="8"/>
      </bottom>
      <diagonal/>
    </border>
    <border>
      <left style="thin">
        <color indexed="15"/>
      </left>
      <right style="thin">
        <color indexed="13"/>
      </right>
      <top style="thin">
        <color indexed="13"/>
      </top>
      <bottom style="medium">
        <color indexed="8"/>
      </bottom>
      <diagonal/>
    </border>
    <border>
      <left style="thin">
        <color indexed="13"/>
      </left>
      <right style="thin">
        <color indexed="15"/>
      </right>
      <top style="medium">
        <color indexed="8"/>
      </top>
      <bottom style="medium">
        <color indexed="8"/>
      </bottom>
      <diagonal/>
    </border>
    <border>
      <left style="thin">
        <color indexed="15"/>
      </left>
      <right style="thin">
        <color indexed="13"/>
      </right>
      <top style="medium">
        <color indexed="8"/>
      </top>
      <bottom style="medium">
        <color indexed="8"/>
      </bottom>
      <diagonal/>
    </border>
    <border>
      <left style="thin">
        <color indexed="36"/>
      </left>
      <right style="thin">
        <color indexed="13"/>
      </right>
      <top style="thin">
        <color indexed="36"/>
      </top>
      <bottom style="thin">
        <color indexed="15"/>
      </bottom>
      <diagonal/>
    </border>
    <border>
      <left style="thin">
        <color indexed="13"/>
      </left>
      <right style="thin">
        <color indexed="13"/>
      </right>
      <top style="thin">
        <color indexed="36"/>
      </top>
      <bottom style="thin">
        <color indexed="15"/>
      </bottom>
      <diagonal/>
    </border>
    <border>
      <left style="thin">
        <color indexed="13"/>
      </left>
      <right style="thin">
        <color indexed="36"/>
      </right>
      <top style="thin">
        <color indexed="36"/>
      </top>
      <bottom style="thin">
        <color indexed="15"/>
      </bottom>
      <diagonal/>
    </border>
    <border>
      <left style="thin">
        <color indexed="36"/>
      </left>
      <right style="thin">
        <color indexed="15"/>
      </right>
      <top style="thin">
        <color indexed="15"/>
      </top>
      <bottom style="thin">
        <color indexed="13"/>
      </bottom>
      <diagonal/>
    </border>
    <border>
      <left style="thin">
        <color indexed="13"/>
      </left>
      <right style="thin">
        <color indexed="36"/>
      </right>
      <top style="thin">
        <color indexed="15"/>
      </top>
      <bottom style="thin">
        <color indexed="13"/>
      </bottom>
      <diagonal/>
    </border>
    <border>
      <left style="thin">
        <color indexed="36"/>
      </left>
      <right style="thin">
        <color indexed="15"/>
      </right>
      <top style="thin">
        <color indexed="13"/>
      </top>
      <bottom style="thin">
        <color indexed="13"/>
      </bottom>
      <diagonal/>
    </border>
    <border>
      <left style="thin">
        <color indexed="13"/>
      </left>
      <right style="thin">
        <color indexed="36"/>
      </right>
      <top style="thin">
        <color indexed="13"/>
      </top>
      <bottom style="thin">
        <color indexed="13"/>
      </bottom>
      <diagonal/>
    </border>
    <border>
      <left style="thin">
        <color indexed="36"/>
      </left>
      <right style="thin">
        <color indexed="15"/>
      </right>
      <top style="thin">
        <color indexed="13"/>
      </top>
      <bottom style="thin">
        <color indexed="36"/>
      </bottom>
      <diagonal/>
    </border>
    <border>
      <left style="thin">
        <color indexed="15"/>
      </left>
      <right style="thin">
        <color indexed="13"/>
      </right>
      <top style="thin">
        <color indexed="13"/>
      </top>
      <bottom style="thin">
        <color indexed="36"/>
      </bottom>
      <diagonal/>
    </border>
    <border>
      <left style="thin">
        <color indexed="13"/>
      </left>
      <right style="thin">
        <color indexed="13"/>
      </right>
      <top style="thin">
        <color indexed="13"/>
      </top>
      <bottom style="thin">
        <color indexed="36"/>
      </bottom>
      <diagonal/>
    </border>
    <border>
      <left style="thin">
        <color indexed="13"/>
      </left>
      <right style="thin">
        <color indexed="36"/>
      </right>
      <top style="thin">
        <color indexed="13"/>
      </top>
      <bottom style="thin">
        <color indexed="36"/>
      </bottom>
      <diagonal/>
    </border>
  </borders>
  <cellStyleXfs count="1">
    <xf numFmtId="0" fontId="0" applyNumberFormat="0" applyFont="1" applyFill="0" applyBorder="0" applyAlignment="1" applyProtection="0">
      <alignment vertical="top" wrapText="1"/>
    </xf>
  </cellStyleXfs>
  <cellXfs count="302">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4"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49" fontId="6" fillId="4" borderId="1" applyNumberFormat="1" applyFont="1" applyFill="1" applyBorder="1" applyAlignment="1" applyProtection="0">
      <alignment horizontal="center" vertical="center" wrapText="1"/>
    </xf>
    <xf numFmtId="0" fontId="7" fillId="5" borderId="1" applyNumberFormat="0" applyFont="1" applyFill="1" applyBorder="1" applyAlignment="1" applyProtection="0">
      <alignment vertical="top" wrapText="1"/>
    </xf>
    <xf numFmtId="49" fontId="8" fillId="5" borderId="2" applyNumberFormat="1" applyFont="1" applyFill="1" applyBorder="1" applyAlignment="1" applyProtection="0">
      <alignment horizontal="center" vertical="center" wrapText="1"/>
    </xf>
    <xf numFmtId="49" fontId="10" borderId="3" applyNumberFormat="1" applyFont="1" applyFill="0" applyBorder="1" applyAlignment="1" applyProtection="0">
      <alignment horizontal="left" vertical="center" wrapText="1"/>
    </xf>
    <xf numFmtId="49" fontId="12" borderId="3" applyNumberFormat="1" applyFont="1" applyFill="0" applyBorder="1" applyAlignment="1" applyProtection="0">
      <alignment horizontal="center" vertical="center" wrapText="1"/>
    </xf>
    <xf numFmtId="0" fontId="10" borderId="3" applyNumberFormat="0" applyFont="1" applyFill="0" applyBorder="1" applyAlignment="1" applyProtection="0">
      <alignment horizontal="left" vertical="center" wrapText="1"/>
    </xf>
    <xf numFmtId="0" fontId="0" applyNumberFormat="1" applyFont="1" applyFill="0" applyBorder="0" applyAlignment="1" applyProtection="0">
      <alignment vertical="top" wrapText="1"/>
    </xf>
    <xf numFmtId="0" fontId="5" applyNumberFormat="0" applyFont="1" applyFill="0" applyBorder="0" applyAlignment="1" applyProtection="0">
      <alignment horizontal="left" vertical="center"/>
    </xf>
    <xf numFmtId="49" fontId="6" fillId="6" borderId="1" applyNumberFormat="1" applyFont="1" applyFill="1" applyBorder="1" applyAlignment="1" applyProtection="0">
      <alignment horizontal="center" vertical="center" wrapText="1"/>
    </xf>
    <xf numFmtId="0" fontId="8" fillId="7" borderId="3" applyNumberFormat="0" applyFont="1" applyFill="1" applyBorder="1" applyAlignment="1" applyProtection="0">
      <alignment horizontal="center" vertical="center" wrapText="1"/>
    </xf>
    <xf numFmtId="49" fontId="8" fillId="7" borderId="4" applyNumberFormat="1" applyFont="1" applyFill="1" applyBorder="1" applyAlignment="1" applyProtection="0">
      <alignment horizontal="center" vertical="center" wrapText="1"/>
    </xf>
    <xf numFmtId="9" fontId="7" borderId="5" applyNumberFormat="1" applyFont="1" applyFill="0" applyBorder="1" applyAlignment="1" applyProtection="0">
      <alignment horizontal="center" vertical="center" wrapText="1"/>
    </xf>
    <xf numFmtId="0" fontId="10" borderId="3" applyNumberFormat="0" applyFont="1" applyFill="0" applyBorder="1" applyAlignment="1" applyProtection="0">
      <alignment horizontal="center" vertical="center" wrapText="1"/>
    </xf>
    <xf numFmtId="49" fontId="10" borderId="3" applyNumberFormat="1" applyFont="1" applyFill="0" applyBorder="1" applyAlignment="1" applyProtection="0">
      <alignment horizontal="center" vertical="center" wrapText="1"/>
    </xf>
    <xf numFmtId="0" fontId="8" fillId="7" borderId="1" applyNumberFormat="0" applyFont="1" applyFill="1" applyBorder="1" applyAlignment="1" applyProtection="0">
      <alignment horizontal="center" vertical="center" wrapText="1"/>
    </xf>
    <xf numFmtId="49" fontId="8" fillId="7" borderId="6" applyNumberFormat="1" applyFont="1" applyFill="1" applyBorder="1" applyAlignment="1" applyProtection="0">
      <alignment horizontal="center" vertical="center" wrapText="1"/>
    </xf>
    <xf numFmtId="0" fontId="0" borderId="7" applyNumberFormat="0" applyFont="1" applyFill="0" applyBorder="1" applyAlignment="1" applyProtection="0">
      <alignment vertical="top" wrapText="1"/>
    </xf>
    <xf numFmtId="0" fontId="10" borderId="1" applyNumberFormat="0" applyFont="1" applyFill="0" applyBorder="1" applyAlignment="1" applyProtection="0">
      <alignment horizontal="center" vertical="center" wrapText="1"/>
    </xf>
    <xf numFmtId="0" fontId="0" borderId="1" applyNumberFormat="0" applyFont="1" applyFill="0" applyBorder="1" applyAlignment="1" applyProtection="0">
      <alignment vertical="top" wrapText="1"/>
    </xf>
    <xf numFmtId="59" fontId="10" borderId="7" applyNumberFormat="1" applyFont="1" applyFill="0" applyBorder="1" applyAlignment="1" applyProtection="0">
      <alignment horizontal="center" vertical="center" wrapText="1"/>
    </xf>
    <xf numFmtId="0" fontId="8" borderId="1"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5" applyNumberFormat="0" applyFont="1" applyFill="0" applyBorder="0" applyAlignment="1" applyProtection="0">
      <alignment horizontal="center" vertical="center"/>
    </xf>
    <xf numFmtId="49" fontId="8" fillId="5" borderId="8" applyNumberFormat="1" applyFont="1" applyFill="1" applyBorder="1" applyAlignment="1" applyProtection="0">
      <alignment horizontal="center" vertical="center" wrapText="1"/>
    </xf>
    <xf numFmtId="0" fontId="8" fillId="5" borderId="8" applyNumberFormat="0" applyFont="1" applyFill="1" applyBorder="1" applyAlignment="1" applyProtection="0">
      <alignment horizontal="center" vertical="center" wrapText="1"/>
    </xf>
    <xf numFmtId="0" fontId="8" fillId="7" borderId="9" applyNumberFormat="0" applyFont="1" applyFill="1" applyBorder="1" applyAlignment="1" applyProtection="0">
      <alignment horizontal="center" vertical="center" wrapText="1"/>
    </xf>
    <xf numFmtId="49" fontId="8" fillId="7" borderId="10" applyNumberFormat="1" applyFont="1" applyFill="1" applyBorder="1" applyAlignment="1" applyProtection="0">
      <alignment horizontal="center" vertical="center" wrapText="1"/>
    </xf>
    <xf numFmtId="0" fontId="10" borderId="11" applyNumberFormat="0" applyFont="1" applyFill="0" applyBorder="1" applyAlignment="1" applyProtection="0">
      <alignment horizontal="center" vertical="center" wrapText="1"/>
    </xf>
    <xf numFmtId="0" fontId="10" borderId="9" applyNumberFormat="0" applyFont="1" applyFill="0" applyBorder="1" applyAlignment="1" applyProtection="0">
      <alignment horizontal="center" vertical="center" wrapText="1"/>
    </xf>
    <xf numFmtId="0" fontId="8" fillId="7" borderId="2" applyNumberFormat="0" applyFont="1" applyFill="1" applyBorder="1" applyAlignment="1" applyProtection="0">
      <alignment horizontal="center" vertical="center" wrapText="1"/>
    </xf>
    <xf numFmtId="49" fontId="8" fillId="7" borderId="12" applyNumberFormat="1" applyFont="1" applyFill="1" applyBorder="1" applyAlignment="1" applyProtection="0">
      <alignment horizontal="center" vertical="center" wrapText="1"/>
    </xf>
    <xf numFmtId="0" fontId="10" borderId="13" applyNumberFormat="0" applyFont="1" applyFill="0" applyBorder="1" applyAlignment="1" applyProtection="0">
      <alignment horizontal="center" vertical="center" wrapText="1"/>
    </xf>
    <xf numFmtId="0" fontId="10" borderId="2" applyNumberFormat="0" applyFont="1" applyFill="0" applyBorder="1" applyAlignment="1" applyProtection="0">
      <alignment horizontal="center" vertical="center" wrapText="1"/>
    </xf>
    <xf numFmtId="0" fontId="8" fillId="7" borderId="14" applyNumberFormat="0" applyFont="1" applyFill="1" applyBorder="1" applyAlignment="1" applyProtection="0">
      <alignment horizontal="center" vertical="center" wrapText="1"/>
    </xf>
    <xf numFmtId="49" fontId="8" fillId="7" borderId="15" applyNumberFormat="1" applyFont="1" applyFill="1" applyBorder="1" applyAlignment="1" applyProtection="0">
      <alignment horizontal="center" vertical="center" wrapText="1"/>
    </xf>
    <xf numFmtId="0" fontId="10" borderId="16" applyNumberFormat="0" applyFont="1" applyFill="0" applyBorder="1" applyAlignment="1" applyProtection="0">
      <alignment horizontal="center" vertical="center" wrapText="1"/>
    </xf>
    <xf numFmtId="0" fontId="10" borderId="14" applyNumberFormat="0" applyFont="1" applyFill="0" applyBorder="1" applyAlignment="1" applyProtection="0">
      <alignment horizontal="center" vertical="center" wrapText="1"/>
    </xf>
    <xf numFmtId="0" fontId="10" borderId="5" applyNumberFormat="0" applyFont="1" applyFill="0" applyBorder="1" applyAlignment="1" applyProtection="0">
      <alignment horizontal="center" vertical="center" wrapText="1"/>
    </xf>
    <xf numFmtId="0" fontId="10" borderId="7" applyNumberFormat="0"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7" fillId="5" borderId="2" applyNumberFormat="0" applyFont="1" applyFill="1" applyBorder="1" applyAlignment="1" applyProtection="0">
      <alignment vertical="top" wrapText="1"/>
    </xf>
    <xf numFmtId="49" fontId="7" fillId="5" borderId="2" applyNumberFormat="1" applyFont="1" applyFill="1" applyBorder="1" applyAlignment="1" applyProtection="0">
      <alignment vertical="top" wrapText="1"/>
    </xf>
    <xf numFmtId="49" fontId="7" fillId="7" borderId="4" applyNumberFormat="1" applyFont="1" applyFill="1" applyBorder="1" applyAlignment="1" applyProtection="0">
      <alignment vertical="top" wrapText="1"/>
    </xf>
    <xf numFmtId="0" fontId="0" borderId="5" applyNumberFormat="0" applyFont="1" applyFill="0" applyBorder="1" applyAlignment="1" applyProtection="0">
      <alignment vertical="top" wrapText="1"/>
    </xf>
    <xf numFmtId="0" fontId="0" borderId="3" applyNumberFormat="0" applyFont="1" applyFill="0" applyBorder="1" applyAlignment="1" applyProtection="0">
      <alignment vertical="top" wrapText="1"/>
    </xf>
    <xf numFmtId="49" fontId="7" fillId="7" borderId="6" applyNumberFormat="1" applyFont="1" applyFill="1" applyBorder="1" applyAlignment="1" applyProtection="0">
      <alignment vertical="top" wrapText="1"/>
    </xf>
    <xf numFmtId="49" fontId="0" borderId="7" applyNumberFormat="1" applyFont="1" applyFill="0" applyBorder="1" applyAlignment="1" applyProtection="0">
      <alignment vertical="top" wrapText="1"/>
    </xf>
    <xf numFmtId="49" fontId="0" borderId="1"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8" fillId="8" borderId="1" applyNumberFormat="1" applyFont="1" applyFill="1" applyBorder="1" applyAlignment="1" applyProtection="0">
      <alignment horizontal="center" vertical="center" wrapText="1"/>
    </xf>
    <xf numFmtId="49" fontId="8" fillId="9" borderId="1" applyNumberFormat="1" applyFont="1" applyFill="1" applyBorder="1" applyAlignment="1" applyProtection="0">
      <alignment horizontal="center" vertical="center" wrapText="1"/>
    </xf>
    <xf numFmtId="49" fontId="8" fillId="10" borderId="1" applyNumberFormat="1" applyFont="1" applyFill="1" applyBorder="1" applyAlignment="1" applyProtection="0">
      <alignment horizontal="center" vertical="center" wrapText="1"/>
    </xf>
    <xf numFmtId="0" fontId="8" fillId="10" borderId="1" applyNumberFormat="0" applyFont="1" applyFill="1" applyBorder="1" applyAlignment="1" applyProtection="0">
      <alignment horizontal="center" vertical="center" wrapText="1"/>
    </xf>
    <xf numFmtId="49" fontId="10" borderId="5" applyNumberFormat="1" applyFont="1" applyFill="0" applyBorder="1" applyAlignment="1" applyProtection="0">
      <alignment horizontal="left" vertical="center" wrapText="1"/>
    </xf>
    <xf numFmtId="59" fontId="12" borderId="3" applyNumberFormat="1" applyFont="1" applyFill="0" applyBorder="1" applyAlignment="1" applyProtection="0">
      <alignment horizontal="center" vertical="center" wrapText="1"/>
    </xf>
    <xf numFmtId="49" fontId="10" borderId="3" applyNumberFormat="1" applyFont="1" applyFill="0" applyBorder="1" applyAlignment="1" applyProtection="0">
      <alignment horizontal="left" vertical="center" indent="1" wrapText="1"/>
    </xf>
    <xf numFmtId="49" fontId="10" borderId="7" applyNumberFormat="1" applyFont="1" applyFill="0" applyBorder="1" applyAlignment="1" applyProtection="0">
      <alignment horizontal="left" vertical="center" wrapText="1"/>
    </xf>
    <xf numFmtId="49" fontId="7" borderId="1" applyNumberFormat="1" applyFont="1" applyFill="0" applyBorder="1" applyAlignment="1" applyProtection="0">
      <alignment horizontal="left" vertical="center" wrapText="1"/>
    </xf>
    <xf numFmtId="9" fontId="15" borderId="1" applyNumberFormat="1" applyFont="1" applyFill="0" applyBorder="1" applyAlignment="1" applyProtection="0">
      <alignment horizontal="center" vertical="center" wrapText="1"/>
    </xf>
    <xf numFmtId="49" fontId="10" borderId="1" applyNumberFormat="1" applyFont="1" applyFill="0" applyBorder="1" applyAlignment="1" applyProtection="0">
      <alignment horizontal="left" vertical="center" wrapText="1"/>
    </xf>
    <xf numFmtId="49" fontId="10" borderId="1" applyNumberFormat="1" applyFont="1" applyFill="0" applyBorder="1" applyAlignment="1" applyProtection="0">
      <alignment horizontal="center" vertical="center" wrapText="1"/>
    </xf>
    <xf numFmtId="49" fontId="0" borderId="1" applyNumberFormat="1" applyFont="1" applyFill="0" applyBorder="1" applyAlignment="1" applyProtection="0">
      <alignment horizontal="left" vertical="center" wrapText="1"/>
    </xf>
    <xf numFmtId="49" fontId="10" borderId="1" applyNumberFormat="1" applyFont="1" applyFill="0" applyBorder="1" applyAlignment="1" applyProtection="0">
      <alignment horizontal="left" vertical="center" indent="1" wrapText="1"/>
    </xf>
    <xf numFmtId="49" fontId="0" borderId="7" applyNumberFormat="1" applyFont="1" applyFill="0" applyBorder="1" applyAlignment="1" applyProtection="0">
      <alignment horizontal="left" vertical="center" wrapText="1"/>
    </xf>
    <xf numFmtId="0" fontId="8" borderId="1" applyNumberFormat="0" applyFont="1" applyFill="0" applyBorder="1" applyAlignment="1" applyProtection="0">
      <alignment horizontal="left" vertical="center" wrapText="1"/>
    </xf>
    <xf numFmtId="49" fontId="8" borderId="1" applyNumberFormat="1" applyFont="1" applyFill="0" applyBorder="1" applyAlignment="1" applyProtection="0">
      <alignment horizontal="left" vertical="center" indent="1" wrapText="1"/>
    </xf>
    <xf numFmtId="60" fontId="15" borderId="1" applyNumberFormat="1" applyFont="1" applyFill="0" applyBorder="1" applyAlignment="1" applyProtection="0">
      <alignment horizontal="center" vertical="center" wrapText="1"/>
    </xf>
    <xf numFmtId="0" fontId="8" fillId="7" borderId="6" applyNumberFormat="0" applyFont="1" applyFill="1" applyBorder="1" applyAlignment="1" applyProtection="0">
      <alignment horizontal="center" vertical="center" wrapText="1"/>
    </xf>
    <xf numFmtId="0" fontId="15" borderId="1" applyNumberFormat="0" applyFont="1" applyFill="0" applyBorder="1" applyAlignment="1" applyProtection="0">
      <alignment horizontal="center" vertical="center" wrapText="1"/>
    </xf>
    <xf numFmtId="0" fontId="10" borderId="1" applyNumberFormat="0" applyFont="1" applyFill="0" applyBorder="1" applyAlignment="1" applyProtection="0">
      <alignment horizontal="left" vertical="center" wrapText="1"/>
    </xf>
    <xf numFmtId="0" fontId="0" applyNumberFormat="1" applyFont="1" applyFill="0" applyBorder="0" applyAlignment="1" applyProtection="0">
      <alignment vertical="top" wrapText="1"/>
    </xf>
    <xf numFmtId="0" fontId="7" fillId="5" borderId="8" applyNumberFormat="0" applyFont="1" applyFill="1" applyBorder="1" applyAlignment="1" applyProtection="0">
      <alignment vertical="top" wrapText="1"/>
    </xf>
    <xf numFmtId="49" fontId="7" fillId="5" borderId="8" applyNumberFormat="1" applyFont="1" applyFill="1" applyBorder="1" applyAlignment="1" applyProtection="0">
      <alignment vertical="top" wrapText="1"/>
    </xf>
    <xf numFmtId="49" fontId="7" fillId="6" borderId="8" applyNumberFormat="1" applyFont="1" applyFill="1" applyBorder="1" applyAlignment="1" applyProtection="0">
      <alignment horizontal="center" vertical="center" wrapText="1"/>
    </xf>
    <xf numFmtId="49" fontId="7" fillId="11" borderId="17" applyNumberFormat="1" applyFont="1" applyFill="1" applyBorder="1" applyAlignment="1" applyProtection="0">
      <alignment vertical="top"/>
    </xf>
    <xf numFmtId="0" fontId="7" fillId="11" borderId="17" applyNumberFormat="0" applyFont="1" applyFill="1" applyBorder="1" applyAlignment="1" applyProtection="0">
      <alignment vertical="top"/>
    </xf>
    <xf numFmtId="49" fontId="7" fillId="12" borderId="18" applyNumberFormat="1" applyFont="1" applyFill="1" applyBorder="1" applyAlignment="1" applyProtection="0">
      <alignment vertical="top"/>
    </xf>
    <xf numFmtId="0" fontId="7" fillId="12" borderId="18" applyNumberFormat="0" applyFont="1" applyFill="1" applyBorder="1" applyAlignment="1" applyProtection="0">
      <alignment vertical="top"/>
    </xf>
    <xf numFmtId="0" fontId="7" fillId="7" borderId="3" applyNumberFormat="0" applyFont="1" applyFill="1" applyBorder="1" applyAlignment="1" applyProtection="0">
      <alignment vertical="top" wrapText="1"/>
    </xf>
    <xf numFmtId="49" fontId="7" fillId="7" borderId="3" applyNumberFormat="1" applyFont="1" applyFill="1" applyBorder="1" applyAlignment="1" applyProtection="0">
      <alignment vertical="top" wrapText="1"/>
    </xf>
    <xf numFmtId="49" fontId="0" borderId="5" applyNumberFormat="1" applyFont="1" applyFill="0" applyBorder="1" applyAlignment="1" applyProtection="0">
      <alignment vertical="top" wrapText="1"/>
    </xf>
    <xf numFmtId="49" fontId="0" borderId="3" applyNumberFormat="1" applyFont="1" applyFill="0" applyBorder="1" applyAlignment="1" applyProtection="0">
      <alignment vertical="top" wrapText="1"/>
    </xf>
    <xf numFmtId="61" fontId="0" borderId="3" applyNumberFormat="1" applyFont="1" applyFill="0" applyBorder="1" applyAlignment="1" applyProtection="0">
      <alignment vertical="top" wrapText="1"/>
    </xf>
    <xf numFmtId="0" fontId="7" fillId="7" borderId="1" applyNumberFormat="0" applyFont="1" applyFill="1" applyBorder="1" applyAlignment="1" applyProtection="0">
      <alignment vertical="top" wrapText="1"/>
    </xf>
    <xf numFmtId="49" fontId="7" fillId="7" borderId="1" applyNumberFormat="1" applyFont="1" applyFill="1" applyBorder="1" applyAlignment="1" applyProtection="0">
      <alignment vertical="top" wrapText="1"/>
    </xf>
    <xf numFmtId="61" fontId="0" borderId="1" applyNumberFormat="1" applyFont="1" applyFill="0" applyBorder="1" applyAlignment="1" applyProtection="0">
      <alignment vertical="top" wrapText="1"/>
    </xf>
    <xf numFmtId="0" fontId="7" fillId="7" borderId="8" applyNumberFormat="0" applyFont="1" applyFill="1" applyBorder="1" applyAlignment="1" applyProtection="0">
      <alignment vertical="top" wrapText="1"/>
    </xf>
    <xf numFmtId="49" fontId="7" fillId="7" borderId="8" applyNumberFormat="1" applyFont="1" applyFill="1" applyBorder="1" applyAlignment="1" applyProtection="0">
      <alignment vertical="top" wrapText="1"/>
    </xf>
    <xf numFmtId="49" fontId="7" fillId="7" borderId="19" applyNumberFormat="1" applyFont="1" applyFill="1" applyBorder="1" applyAlignment="1" applyProtection="0">
      <alignment vertical="top" wrapText="1"/>
    </xf>
    <xf numFmtId="49" fontId="0" borderId="20" applyNumberFormat="1" applyFont="1" applyFill="0" applyBorder="1" applyAlignment="1" applyProtection="0">
      <alignment vertical="top" wrapText="1"/>
    </xf>
    <xf numFmtId="49" fontId="0" borderId="8" applyNumberFormat="1" applyFont="1" applyFill="0" applyBorder="1" applyAlignment="1" applyProtection="0">
      <alignment vertical="top" wrapText="1"/>
    </xf>
    <xf numFmtId="0" fontId="0" borderId="8" applyNumberFormat="0" applyFont="1" applyFill="0" applyBorder="1" applyAlignment="1" applyProtection="0">
      <alignment vertical="top" wrapText="1"/>
    </xf>
    <xf numFmtId="61" fontId="0" borderId="8" applyNumberFormat="1" applyFont="1" applyFill="0" applyBorder="1" applyAlignment="1" applyProtection="0">
      <alignment vertical="top" wrapText="1"/>
    </xf>
    <xf numFmtId="49" fontId="20" borderId="1"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7" fillId="6" borderId="2" applyNumberFormat="1" applyFont="1" applyFill="1" applyBorder="1" applyAlignment="1" applyProtection="0">
      <alignment horizontal="center" vertical="center" wrapText="1"/>
    </xf>
    <xf numFmtId="49" fontId="0" borderId="13" applyNumberFormat="1" applyFont="1" applyFill="0" applyBorder="1" applyAlignment="1" applyProtection="0">
      <alignment vertical="top" wrapText="1"/>
    </xf>
    <xf numFmtId="49" fontId="0" borderId="2" applyNumberFormat="1" applyFont="1" applyFill="0" applyBorder="1" applyAlignment="1" applyProtection="0">
      <alignment vertical="top" wrapText="1"/>
    </xf>
    <xf numFmtId="49" fontId="21" borderId="16" applyNumberFormat="1" applyFont="1" applyFill="0" applyBorder="1" applyAlignment="1" applyProtection="0">
      <alignment vertical="top" wrapText="1"/>
    </xf>
    <xf numFmtId="49" fontId="21" borderId="3" applyNumberFormat="1" applyFont="1" applyFill="0" applyBorder="1" applyAlignment="1" applyProtection="0">
      <alignment vertical="top" wrapText="1"/>
    </xf>
    <xf numFmtId="49" fontId="21" borderId="1" applyNumberFormat="1" applyFont="1" applyFill="0" applyBorder="1" applyAlignment="1" applyProtection="0">
      <alignment vertical="top" wrapText="1"/>
    </xf>
    <xf numFmtId="49" fontId="21" borderId="2" applyNumberFormat="1" applyFont="1" applyFill="0" applyBorder="1" applyAlignment="1" applyProtection="0">
      <alignment vertical="top" wrapText="1"/>
    </xf>
    <xf numFmtId="49" fontId="21" fillId="13" borderId="1" applyNumberFormat="1" applyFont="1" applyFill="1" applyBorder="1" applyAlignment="1" applyProtection="0">
      <alignment vertical="top" wrapText="1"/>
    </xf>
    <xf numFmtId="49" fontId="21" borderId="5" applyNumberFormat="1" applyFont="1" applyFill="0" applyBorder="1" applyAlignment="1" applyProtection="0">
      <alignment vertical="top" wrapText="1"/>
    </xf>
    <xf numFmtId="49" fontId="21" borderId="7" applyNumberFormat="1" applyFont="1" applyFill="0" applyBorder="1" applyAlignment="1" applyProtection="0">
      <alignment vertical="top" wrapText="1"/>
    </xf>
    <xf numFmtId="49" fontId="21" fillId="14" borderId="1" applyNumberFormat="1" applyFont="1" applyFill="1" applyBorder="1" applyAlignment="1" applyProtection="0">
      <alignment vertical="top" wrapText="1"/>
    </xf>
    <xf numFmtId="49" fontId="21" borderId="20" applyNumberFormat="1" applyFont="1" applyFill="0" applyBorder="1" applyAlignment="1" applyProtection="0">
      <alignment vertical="top" wrapText="1"/>
    </xf>
    <xf numFmtId="49" fontId="21" borderId="8" applyNumberFormat="1" applyFont="1" applyFill="0" applyBorder="1" applyAlignment="1" applyProtection="0">
      <alignment vertical="top" wrapText="1"/>
    </xf>
    <xf numFmtId="49" fontId="21" fillId="14" borderId="8" applyNumberFormat="1" applyFont="1" applyFill="1" applyBorder="1" applyAlignment="1" applyProtection="0">
      <alignment vertical="top" wrapText="1"/>
    </xf>
    <xf numFmtId="49" fontId="21" borderId="11" applyNumberFormat="1" applyFont="1" applyFill="0" applyBorder="1" applyAlignment="1" applyProtection="0">
      <alignment vertical="top" wrapText="1"/>
    </xf>
    <xf numFmtId="49" fontId="21" borderId="9" applyNumberFormat="1" applyFont="1" applyFill="0" applyBorder="1" applyAlignment="1" applyProtection="0">
      <alignment vertical="top" wrapText="1"/>
    </xf>
    <xf numFmtId="49" fontId="21" fillId="14" borderId="9" applyNumberFormat="1" applyFont="1" applyFill="1" applyBorder="1" applyAlignment="1" applyProtection="0">
      <alignment vertical="top" wrapText="1"/>
    </xf>
    <xf numFmtId="49" fontId="22" borderId="1"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0" borderId="2" applyNumberFormat="1" applyFont="1" applyFill="0" applyBorder="1" applyAlignment="1" applyProtection="0">
      <alignment horizontal="left" vertical="center" wrapText="1"/>
    </xf>
    <xf numFmtId="49" fontId="7" borderId="2" applyNumberFormat="1" applyFont="1" applyFill="0" applyBorder="1" applyAlignment="1" applyProtection="0">
      <alignment horizontal="left" vertical="center" wrapText="1"/>
    </xf>
    <xf numFmtId="49" fontId="7" borderId="4" applyNumberFormat="1" applyFont="1" applyFill="0" applyBorder="1" applyAlignment="1" applyProtection="0">
      <alignment vertical="center" wrapText="1"/>
    </xf>
    <xf numFmtId="49" fontId="7" borderId="5" applyNumberFormat="1" applyFont="1" applyFill="0" applyBorder="1" applyAlignment="1" applyProtection="0">
      <alignment horizontal="left" vertical="center" wrapText="1"/>
    </xf>
    <xf numFmtId="49" fontId="0" borderId="3" applyNumberFormat="1" applyFont="1" applyFill="0" applyBorder="1" applyAlignment="1" applyProtection="0">
      <alignment horizontal="left" vertical="center" wrapText="1"/>
    </xf>
    <xf numFmtId="0" fontId="0" borderId="3" applyNumberFormat="1" applyFont="1" applyFill="0" applyBorder="1" applyAlignment="1" applyProtection="0">
      <alignment vertical="center" wrapText="1"/>
    </xf>
    <xf numFmtId="0" fontId="0" borderId="3" applyNumberFormat="0" applyFont="1" applyFill="0" applyBorder="1" applyAlignment="1" applyProtection="0">
      <alignment vertical="center" wrapText="1"/>
    </xf>
    <xf numFmtId="49" fontId="7" borderId="6" applyNumberFormat="1" applyFont="1" applyFill="0" applyBorder="1" applyAlignment="1" applyProtection="0">
      <alignment vertical="center" wrapText="1"/>
    </xf>
    <xf numFmtId="49" fontId="7" borderId="7" applyNumberFormat="1" applyFont="1" applyFill="0" applyBorder="1" applyAlignment="1" applyProtection="0">
      <alignment horizontal="left" vertical="center" wrapText="1"/>
    </xf>
    <xf numFmtId="0" fontId="0" borderId="1" applyNumberFormat="0" applyFont="1" applyFill="0" applyBorder="1" applyAlignment="1" applyProtection="0">
      <alignment vertical="center" wrapText="1"/>
    </xf>
    <xf numFmtId="49" fontId="11" borderId="1" applyNumberFormat="1" applyFont="1" applyFill="0" applyBorder="1" applyAlignment="1" applyProtection="0">
      <alignment horizontal="left" vertical="center" wrapText="1"/>
    </xf>
    <xf numFmtId="0" fontId="0" borderId="1" applyNumberFormat="1" applyFont="1" applyFill="0" applyBorder="1" applyAlignment="1" applyProtection="0">
      <alignment vertical="center" wrapText="1"/>
    </xf>
    <xf numFmtId="0" fontId="0" applyNumberFormat="1" applyFont="1" applyFill="0" applyBorder="0" applyAlignment="1" applyProtection="0">
      <alignment vertical="top" wrapText="1"/>
    </xf>
    <xf numFmtId="49" fontId="8" fillId="7" borderId="3" applyNumberFormat="1" applyFont="1" applyFill="1" applyBorder="1" applyAlignment="1" applyProtection="0">
      <alignment horizontal="center" vertical="center" wrapText="1"/>
    </xf>
    <xf numFmtId="59" fontId="10" borderId="5" applyNumberFormat="1" applyFont="1" applyFill="0" applyBorder="1" applyAlignment="1" applyProtection="0">
      <alignment horizontal="center" vertical="center" wrapText="1"/>
    </xf>
    <xf numFmtId="0" fontId="10" borderId="3" applyNumberFormat="1" applyFont="1" applyFill="0" applyBorder="1" applyAlignment="1" applyProtection="0">
      <alignment horizontal="center" vertical="center" wrapText="1"/>
    </xf>
    <xf numFmtId="49" fontId="8" fillId="7" borderId="1" applyNumberFormat="1" applyFont="1" applyFill="1" applyBorder="1" applyAlignment="1" applyProtection="0">
      <alignment horizontal="center" vertical="center" wrapText="1"/>
    </xf>
    <xf numFmtId="0" fontId="10" borderId="1" applyNumberFormat="1" applyFont="1" applyFill="0" applyBorder="1" applyAlignment="1" applyProtection="0">
      <alignment horizontal="center" vertical="center" wrapText="1"/>
    </xf>
    <xf numFmtId="0" fontId="7" fillId="7" borderId="6" applyNumberFormat="0" applyFont="1" applyFill="1" applyBorder="1" applyAlignment="1" applyProtection="0">
      <alignment vertical="top" wrapText="1"/>
    </xf>
    <xf numFmtId="62" fontId="8" borderId="1"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8" fillId="7" borderId="9" applyNumberFormat="1" applyFont="1" applyFill="1" applyBorder="1" applyAlignment="1" applyProtection="0">
      <alignment horizontal="center" vertical="center" wrapText="1"/>
    </xf>
    <xf numFmtId="49" fontId="10" borderId="11" applyNumberFormat="1" applyFont="1" applyFill="0" applyBorder="1" applyAlignment="1" applyProtection="0">
      <alignment horizontal="center" vertical="center" wrapText="1"/>
    </xf>
    <xf numFmtId="49" fontId="10" borderId="9" applyNumberFormat="1" applyFont="1" applyFill="0" applyBorder="1" applyAlignment="1" applyProtection="0">
      <alignment horizontal="center" vertical="center" wrapText="1"/>
    </xf>
    <xf numFmtId="49" fontId="10" borderId="7" applyNumberFormat="1" applyFont="1" applyFill="0" applyBorder="1" applyAlignment="1" applyProtection="0">
      <alignment horizontal="center" vertical="center" wrapText="1"/>
    </xf>
    <xf numFmtId="49" fontId="8" fillId="7" borderId="8" applyNumberFormat="1" applyFont="1" applyFill="1" applyBorder="1" applyAlignment="1" applyProtection="0">
      <alignment horizontal="center" vertical="center" wrapText="1"/>
    </xf>
    <xf numFmtId="49" fontId="8" fillId="7" borderId="19" applyNumberFormat="1" applyFont="1" applyFill="1" applyBorder="1" applyAlignment="1" applyProtection="0">
      <alignment horizontal="center" vertical="center" wrapText="1"/>
    </xf>
    <xf numFmtId="0" fontId="10" borderId="20" applyNumberFormat="1" applyFont="1" applyFill="0" applyBorder="1" applyAlignment="1" applyProtection="0">
      <alignment horizontal="center" vertical="center" wrapText="1"/>
    </xf>
    <xf numFmtId="0" fontId="10" borderId="8" applyNumberFormat="1" applyFont="1" applyFill="0" applyBorder="1" applyAlignment="1" applyProtection="0">
      <alignment horizontal="center" vertical="center" wrapText="1"/>
    </xf>
    <xf numFmtId="0" fontId="10" borderId="11" applyNumberFormat="1" applyFont="1" applyFill="0" applyBorder="1" applyAlignment="1" applyProtection="0">
      <alignment horizontal="center" vertical="center" wrapText="1"/>
    </xf>
    <xf numFmtId="0" fontId="10" borderId="9" applyNumberFormat="1" applyFont="1" applyFill="0" applyBorder="1" applyAlignment="1" applyProtection="0">
      <alignment horizontal="center" vertical="center" wrapText="1"/>
    </xf>
    <xf numFmtId="0" fontId="10" borderId="7"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23" applyNumberFormat="0" applyFont="1" applyFill="0" applyBorder="0" applyAlignment="1" applyProtection="0">
      <alignment horizontal="center" vertical="center"/>
    </xf>
    <xf numFmtId="49" fontId="24" fillId="5" borderId="8" applyNumberFormat="1" applyFont="1" applyFill="1" applyBorder="1" applyAlignment="1" applyProtection="0">
      <alignment horizontal="center" vertical="center" wrapText="1"/>
    </xf>
    <xf numFmtId="49" fontId="7" fillId="11" borderId="9" applyNumberFormat="1" applyFont="1" applyFill="1" applyBorder="1" applyAlignment="1" applyProtection="0">
      <alignment vertical="top"/>
    </xf>
    <xf numFmtId="0" fontId="7" fillId="11" borderId="9" applyNumberFormat="0" applyFont="1" applyFill="1" applyBorder="1" applyAlignment="1" applyProtection="0">
      <alignment vertical="top"/>
    </xf>
    <xf numFmtId="49" fontId="0" borderId="6" applyNumberFormat="1" applyFont="1" applyFill="0" applyBorder="1" applyAlignment="1" applyProtection="0">
      <alignment horizontal="center" vertical="center" wrapText="1"/>
    </xf>
    <xf numFmtId="49" fontId="0" borderId="7" applyNumberFormat="1" applyFont="1" applyFill="0" applyBorder="1" applyAlignment="1" applyProtection="0">
      <alignment horizontal="center" vertical="center" wrapText="1"/>
    </xf>
    <xf numFmtId="9" fontId="0" borderId="1" applyNumberFormat="1" applyFont="1" applyFill="0" applyBorder="1" applyAlignment="1" applyProtection="0">
      <alignment horizontal="center" vertical="center" wrapText="1"/>
    </xf>
    <xf numFmtId="0" fontId="0" borderId="1" applyNumberFormat="1" applyFont="1" applyFill="0" applyBorder="1" applyAlignment="1" applyProtection="0">
      <alignment horizontal="center" vertical="center" wrapText="1"/>
    </xf>
    <xf numFmtId="0" fontId="0" borderId="1" applyNumberFormat="0" applyFont="1" applyFill="0" applyBorder="1" applyAlignment="1" applyProtection="0">
      <alignment horizontal="center" vertical="center" wrapText="1"/>
    </xf>
    <xf numFmtId="49" fontId="0" borderId="1" applyNumberFormat="1" applyFont="1" applyFill="0" applyBorder="1" applyAlignment="1" applyProtection="0">
      <alignment horizontal="center" vertical="center" wrapText="1"/>
    </xf>
    <xf numFmtId="49" fontId="0" fillId="6" borderId="6" applyNumberFormat="1" applyFont="1" applyFill="1" applyBorder="1" applyAlignment="1" applyProtection="0">
      <alignment horizontal="center" vertical="center" wrapText="1"/>
    </xf>
    <xf numFmtId="60" fontId="0" borderId="1" applyNumberFormat="1" applyFont="1" applyFill="0" applyBorder="1" applyAlignment="1" applyProtection="0">
      <alignment horizontal="center" vertical="center" wrapText="1"/>
    </xf>
    <xf numFmtId="49" fontId="0" fillId="15" borderId="6" applyNumberFormat="1" applyFont="1" applyFill="1" applyBorder="1" applyAlignment="1" applyProtection="0">
      <alignment horizontal="center" vertical="center" wrapText="1"/>
    </xf>
    <xf numFmtId="49" fontId="0" borderId="19" applyNumberFormat="1" applyFont="1" applyFill="0" applyBorder="1" applyAlignment="1" applyProtection="0">
      <alignment horizontal="center" vertical="center" wrapText="1"/>
    </xf>
    <xf numFmtId="49" fontId="0" borderId="20" applyNumberFormat="1" applyFont="1" applyFill="0" applyBorder="1" applyAlignment="1" applyProtection="0">
      <alignment horizontal="center" vertical="center" wrapText="1"/>
    </xf>
    <xf numFmtId="9" fontId="0" borderId="8" applyNumberFormat="1" applyFont="1" applyFill="0" applyBorder="1" applyAlignment="1" applyProtection="0">
      <alignment horizontal="center" vertical="center" wrapText="1"/>
    </xf>
    <xf numFmtId="0" fontId="0" borderId="8" applyNumberFormat="1" applyFont="1" applyFill="0" applyBorder="1" applyAlignment="1" applyProtection="0">
      <alignment horizontal="center" vertical="center" wrapText="1"/>
    </xf>
    <xf numFmtId="49" fontId="0" borderId="8" applyNumberFormat="1" applyFont="1" applyFill="0" applyBorder="1" applyAlignment="1" applyProtection="0">
      <alignment horizontal="center" vertical="center" wrapText="1"/>
    </xf>
    <xf numFmtId="0" fontId="7" fillId="7" borderId="17" applyNumberFormat="0" applyFont="1" applyFill="1" applyBorder="1" applyAlignment="1" applyProtection="0">
      <alignment vertical="top" wrapText="1"/>
    </xf>
    <xf numFmtId="49" fontId="0" borderId="21" applyNumberFormat="1" applyFont="1" applyFill="0" applyBorder="1" applyAlignment="1" applyProtection="0">
      <alignment horizontal="center" vertical="center" wrapText="1"/>
    </xf>
    <xf numFmtId="49" fontId="0" borderId="22" applyNumberFormat="1" applyFont="1" applyFill="0" applyBorder="1" applyAlignment="1" applyProtection="0">
      <alignment horizontal="center" vertical="center" wrapText="1"/>
    </xf>
    <xf numFmtId="60" fontId="0" borderId="17" applyNumberFormat="1" applyFont="1" applyFill="0" applyBorder="1" applyAlignment="1" applyProtection="0">
      <alignment horizontal="center" vertical="center" wrapText="1"/>
    </xf>
    <xf numFmtId="0" fontId="0" borderId="17" applyNumberFormat="1" applyFont="1" applyFill="0" applyBorder="1" applyAlignment="1" applyProtection="0">
      <alignment horizontal="center" vertical="center" wrapText="1"/>
    </xf>
    <xf numFmtId="0" fontId="0" borderId="17" applyNumberFormat="0" applyFont="1" applyFill="0" applyBorder="1" applyAlignment="1" applyProtection="0">
      <alignment horizontal="center" vertical="center" wrapText="1"/>
    </xf>
    <xf numFmtId="49" fontId="0" borderId="17" applyNumberFormat="1" applyFont="1" applyFill="0" applyBorder="1" applyAlignment="1" applyProtection="0">
      <alignment horizontal="center" vertical="center" wrapText="1"/>
    </xf>
    <xf numFmtId="9" fontId="0" borderId="17" applyNumberFormat="1" applyFont="1" applyFill="0" applyBorder="1" applyAlignment="1" applyProtection="0">
      <alignment horizontal="center" vertical="center" wrapText="1"/>
    </xf>
    <xf numFmtId="49" fontId="0" fillId="15" borderId="21" applyNumberFormat="1" applyFont="1" applyFill="1" applyBorder="1" applyAlignment="1" applyProtection="0">
      <alignment horizontal="center" vertical="center" wrapText="1"/>
    </xf>
    <xf numFmtId="49" fontId="7" fillId="11" borderId="18" applyNumberFormat="1" applyFont="1" applyFill="1" applyBorder="1" applyAlignment="1" applyProtection="0">
      <alignment vertical="top"/>
    </xf>
    <xf numFmtId="0" fontId="7" fillId="11" borderId="18" applyNumberFormat="0" applyFont="1" applyFill="1" applyBorder="1" applyAlignment="1" applyProtection="0">
      <alignment vertical="top"/>
    </xf>
    <xf numFmtId="49" fontId="0" borderId="4" applyNumberFormat="1" applyFont="1" applyFill="0" applyBorder="1" applyAlignment="1" applyProtection="0">
      <alignment horizontal="center" vertical="center" wrapText="1"/>
    </xf>
    <xf numFmtId="49" fontId="0" borderId="5" applyNumberFormat="1" applyFont="1" applyFill="0" applyBorder="1" applyAlignment="1" applyProtection="0">
      <alignment horizontal="center" vertical="center" wrapText="1"/>
    </xf>
    <xf numFmtId="9" fontId="0" borderId="3" applyNumberFormat="1" applyFont="1" applyFill="0" applyBorder="1" applyAlignment="1" applyProtection="0">
      <alignment horizontal="center" vertical="center" wrapText="1"/>
    </xf>
    <xf numFmtId="0" fontId="0" borderId="3" applyNumberFormat="1" applyFont="1" applyFill="0" applyBorder="1" applyAlignment="1" applyProtection="0">
      <alignment horizontal="center" vertical="center" wrapText="1"/>
    </xf>
    <xf numFmtId="49" fontId="0" borderId="3" applyNumberFormat="1" applyFont="1" applyFill="0" applyBorder="1" applyAlignment="1" applyProtection="0">
      <alignment horizontal="center" vertical="center" wrapText="1"/>
    </xf>
    <xf numFmtId="0" fontId="7" fillId="7" borderId="1" applyNumberFormat="0" applyFont="1" applyFill="1" applyBorder="1" applyAlignment="1" applyProtection="0">
      <alignment horizontal="center" vertical="top" wrapText="1"/>
    </xf>
    <xf numFmtId="0" fontId="0" applyNumberFormat="1" applyFont="1" applyFill="0" applyBorder="0" applyAlignment="1" applyProtection="0">
      <alignment vertical="top" wrapText="1"/>
    </xf>
    <xf numFmtId="9" fontId="10" borderId="5"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17" borderId="3" applyNumberFormat="1" applyFont="1" applyFill="0" applyBorder="1" applyAlignment="1" applyProtection="0">
      <alignment horizontal="center" vertical="center" wrapText="1"/>
    </xf>
    <xf numFmtId="0" fontId="17" borderId="1"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8" fillId="7" borderId="8" applyNumberFormat="0" applyFont="1" applyFill="1" applyBorder="1" applyAlignment="1" applyProtection="0">
      <alignment horizontal="center" vertical="center"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10" borderId="20" applyNumberFormat="1" applyFont="1" applyFill="0" applyBorder="1" applyAlignment="1" applyProtection="0">
      <alignment horizontal="center" vertical="center" wrapText="1"/>
    </xf>
    <xf numFmtId="49" fontId="10" borderId="8"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10" borderId="3" applyNumberFormat="1" applyFont="1" applyFill="0" applyBorder="1" applyAlignment="1" applyProtection="0">
      <alignment vertical="center" wrapText="1"/>
    </xf>
    <xf numFmtId="0" fontId="10" borderId="1" applyNumberFormat="1" applyFont="1" applyFill="0" applyBorder="1" applyAlignment="1" applyProtection="0">
      <alignment vertical="center" wrapText="1"/>
    </xf>
    <xf numFmtId="0" fontId="0" applyNumberFormat="1" applyFont="1" applyFill="0" applyBorder="0" applyAlignment="1" applyProtection="0">
      <alignment vertical="top" wrapText="1"/>
    </xf>
    <xf numFmtId="49" fontId="8" fillId="7" borderId="17" applyNumberFormat="1" applyFont="1" applyFill="1" applyBorder="1" applyAlignment="1" applyProtection="0">
      <alignment horizontal="center" vertical="center" wrapText="1"/>
    </xf>
    <xf numFmtId="49" fontId="10" borderId="5" applyNumberFormat="1" applyFont="1" applyFill="0" applyBorder="1" applyAlignment="1" applyProtection="0">
      <alignment horizontal="center" vertical="center" wrapText="1"/>
    </xf>
    <xf numFmtId="49" fontId="8" fillId="16" borderId="10" applyNumberFormat="1" applyFont="1" applyFill="1" applyBorder="1" applyAlignment="1" applyProtection="0">
      <alignment horizontal="center" vertical="center" wrapText="1"/>
    </xf>
    <xf numFmtId="0" fontId="10" borderId="7" applyNumberFormat="1" applyFont="1" applyFill="0" applyBorder="1" applyAlignment="1" applyProtection="0">
      <alignment vertical="center" wrapText="1"/>
    </xf>
    <xf numFmtId="49" fontId="8" fillId="16" borderId="6" applyNumberFormat="1" applyFont="1" applyFill="1" applyBorder="1" applyAlignment="1" applyProtection="0">
      <alignment horizontal="center" vertical="center" wrapText="1"/>
    </xf>
    <xf numFmtId="0" fontId="0" borderId="7" applyNumberFormat="0" applyFont="1" applyFill="0" applyBorder="1" applyAlignment="1" applyProtection="0">
      <alignment vertical="center" wrapText="1"/>
    </xf>
    <xf numFmtId="0" fontId="0" applyNumberFormat="1" applyFont="1" applyFill="0" applyBorder="0" applyAlignment="1" applyProtection="0">
      <alignment vertical="top" wrapText="1"/>
    </xf>
    <xf numFmtId="49" fontId="8" fillId="17" borderId="2" applyNumberFormat="1" applyFont="1" applyFill="1" applyBorder="1" applyAlignment="1" applyProtection="0">
      <alignment horizontal="center" vertical="center" wrapText="1"/>
    </xf>
    <xf numFmtId="49" fontId="8" fillId="18" borderId="2" applyNumberFormat="1" applyFont="1" applyFill="1" applyBorder="1" applyAlignment="1" applyProtection="0">
      <alignment horizontal="center" vertical="center" wrapText="1"/>
    </xf>
    <xf numFmtId="0" fontId="8" fillId="17" borderId="3" applyNumberFormat="1" applyFont="1" applyFill="1" applyBorder="1" applyAlignment="1" applyProtection="0">
      <alignment horizontal="center" vertical="center" wrapText="1"/>
    </xf>
    <xf numFmtId="0" fontId="8" fillId="18" borderId="3" applyNumberFormat="1" applyFont="1" applyFill="1" applyBorder="1" applyAlignment="1" applyProtection="0">
      <alignment horizontal="center" vertical="center" wrapText="1"/>
    </xf>
    <xf numFmtId="49" fontId="10" borderId="3" applyNumberFormat="1" applyFont="1" applyFill="0" applyBorder="1" applyAlignment="1" applyProtection="0">
      <alignment horizontal="left" vertical="center" indent="2" wrapText="1"/>
    </xf>
    <xf numFmtId="0" fontId="8" fillId="17" borderId="1" applyNumberFormat="1" applyFont="1" applyFill="1" applyBorder="1" applyAlignment="1" applyProtection="0">
      <alignment horizontal="center" vertical="center" wrapText="1"/>
    </xf>
    <xf numFmtId="0" fontId="8" fillId="18" borderId="1" applyNumberFormat="1" applyFont="1" applyFill="1" applyBorder="1" applyAlignment="1" applyProtection="0">
      <alignment horizontal="center" vertical="center" wrapText="1"/>
    </xf>
    <xf numFmtId="9" fontId="10" borderId="7"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25" applyNumberFormat="0" applyFont="1" applyFill="0" applyBorder="0" applyAlignment="1" applyProtection="0">
      <alignment horizontal="center" vertical="center"/>
    </xf>
    <xf numFmtId="0" fontId="0" applyNumberFormat="1" applyFont="1" applyFill="0" applyBorder="0" applyAlignment="1" applyProtection="0">
      <alignment vertical="top" wrapText="1"/>
    </xf>
    <xf numFmtId="0" fontId="26" applyNumberFormat="0" applyFont="1" applyFill="0" applyBorder="0" applyAlignment="1" applyProtection="0">
      <alignment horizontal="center" vertical="center"/>
    </xf>
    <xf numFmtId="0" fontId="10" borderId="8" applyNumberFormat="0"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27" applyNumberFormat="0" applyFont="1" applyFill="0" applyBorder="0" applyAlignment="1" applyProtection="0">
      <alignment horizontal="center" vertical="center"/>
    </xf>
    <xf numFmtId="49" fontId="28" fillId="5" borderId="23" applyNumberFormat="1" applyFont="1" applyFill="1" applyBorder="1" applyAlignment="1" applyProtection="0">
      <alignment horizontal="center" vertical="center" wrapText="1"/>
    </xf>
    <xf numFmtId="49" fontId="28" fillId="5" borderId="24" applyNumberFormat="1" applyFont="1" applyFill="1" applyBorder="1" applyAlignment="1" applyProtection="0">
      <alignment horizontal="center" vertical="center" wrapText="1"/>
    </xf>
    <xf numFmtId="49" fontId="28" fillId="5" borderId="25" applyNumberFormat="1" applyFont="1" applyFill="1" applyBorder="1" applyAlignment="1" applyProtection="0">
      <alignment horizontal="center" vertical="center" wrapText="1"/>
    </xf>
    <xf numFmtId="49" fontId="28" fillId="7" borderId="26" applyNumberFormat="1" applyFont="1" applyFill="1" applyBorder="1" applyAlignment="1" applyProtection="0">
      <alignment horizontal="center" vertical="center" wrapText="1"/>
    </xf>
    <xf numFmtId="0" fontId="29" borderId="5" applyNumberFormat="1" applyFont="1" applyFill="0" applyBorder="1" applyAlignment="1" applyProtection="0">
      <alignment horizontal="center" vertical="center" wrapText="1" readingOrder="1"/>
    </xf>
    <xf numFmtId="0" fontId="29" borderId="3" applyNumberFormat="1" applyFont="1" applyFill="0" applyBorder="1" applyAlignment="1" applyProtection="0">
      <alignment horizontal="center" vertical="center" wrapText="1" readingOrder="1"/>
    </xf>
    <xf numFmtId="0" fontId="29" borderId="27" applyNumberFormat="1" applyFont="1" applyFill="0" applyBorder="1" applyAlignment="1" applyProtection="0">
      <alignment horizontal="center" vertical="center" wrapText="1" readingOrder="1"/>
    </xf>
    <xf numFmtId="49" fontId="28" fillId="7" borderId="28" applyNumberFormat="1" applyFont="1" applyFill="1" applyBorder="1" applyAlignment="1" applyProtection="0">
      <alignment horizontal="center" vertical="center" wrapText="1"/>
    </xf>
    <xf numFmtId="0" fontId="29" borderId="7" applyNumberFormat="1" applyFont="1" applyFill="0" applyBorder="1" applyAlignment="1" applyProtection="0">
      <alignment horizontal="center" vertical="center" wrapText="1" readingOrder="1"/>
    </xf>
    <xf numFmtId="0" fontId="29" borderId="1" applyNumberFormat="1" applyFont="1" applyFill="0" applyBorder="1" applyAlignment="1" applyProtection="0">
      <alignment horizontal="center" vertical="center" wrapText="1" readingOrder="1"/>
    </xf>
    <xf numFmtId="0" fontId="29" borderId="1" applyNumberFormat="0" applyFont="1" applyFill="0" applyBorder="1" applyAlignment="1" applyProtection="0">
      <alignment horizontal="center" vertical="center" wrapText="1" readingOrder="1"/>
    </xf>
    <xf numFmtId="0" fontId="29" borderId="29" applyNumberFormat="1" applyFont="1" applyFill="0" applyBorder="1" applyAlignment="1" applyProtection="0">
      <alignment horizontal="center" vertical="center" wrapText="1" readingOrder="1"/>
    </xf>
    <xf numFmtId="0" fontId="29" borderId="7" applyNumberFormat="1" applyFont="1" applyFill="0" applyBorder="1" applyAlignment="1" applyProtection="0">
      <alignment horizontal="center" vertical="center" wrapText="1"/>
    </xf>
    <xf numFmtId="0" fontId="29" borderId="1" applyNumberFormat="1" applyFont="1" applyFill="0" applyBorder="1" applyAlignment="1" applyProtection="0">
      <alignment horizontal="center" vertical="center" wrapText="1"/>
    </xf>
    <xf numFmtId="0" fontId="29" borderId="29" applyNumberFormat="1" applyFont="1" applyFill="0" applyBorder="1" applyAlignment="1" applyProtection="0">
      <alignment horizontal="center" vertical="center" wrapText="1"/>
    </xf>
    <xf numFmtId="0" fontId="29" borderId="1" applyNumberFormat="0" applyFont="1" applyFill="0" applyBorder="1" applyAlignment="1" applyProtection="0">
      <alignment horizontal="center" vertical="center" wrapText="1"/>
    </xf>
    <xf numFmtId="49" fontId="28" fillId="7" borderId="30" applyNumberFormat="1" applyFont="1" applyFill="1" applyBorder="1" applyAlignment="1" applyProtection="0">
      <alignment horizontal="center" vertical="center" wrapText="1"/>
    </xf>
    <xf numFmtId="0" fontId="29" borderId="31" applyNumberFormat="1" applyFont="1" applyFill="0" applyBorder="1" applyAlignment="1" applyProtection="0">
      <alignment horizontal="center" vertical="center" wrapText="1" readingOrder="1"/>
    </xf>
    <xf numFmtId="0" fontId="29" borderId="32" applyNumberFormat="1" applyFont="1" applyFill="0" applyBorder="1" applyAlignment="1" applyProtection="0">
      <alignment horizontal="center" vertical="center" wrapText="1" readingOrder="1"/>
    </xf>
    <xf numFmtId="0" fontId="29" borderId="33" applyNumberFormat="1" applyFont="1" applyFill="0" applyBorder="1" applyAlignment="1" applyProtection="0">
      <alignment horizontal="center" vertical="center" wrapText="1" readingOrder="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10" borderId="13" applyNumberFormat="1" applyFont="1" applyFill="0" applyBorder="1" applyAlignment="1" applyProtection="0">
      <alignment horizontal="center" vertical="center" wrapText="1"/>
    </xf>
    <xf numFmtId="49" fontId="10" borderId="2" applyNumberFormat="1" applyFont="1" applyFill="0" applyBorder="1" applyAlignment="1" applyProtection="0">
      <alignment horizontal="center" vertical="center" wrapText="1"/>
    </xf>
    <xf numFmtId="49" fontId="10" borderId="16" applyNumberFormat="1" applyFont="1" applyFill="0" applyBorder="1" applyAlignment="1" applyProtection="0">
      <alignment horizontal="center" vertical="center" wrapText="1"/>
    </xf>
    <xf numFmtId="0" fontId="10" borderId="5"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3" applyNumberFormat="1" applyFont="1" applyFill="0" applyBorder="0" applyAlignment="1" applyProtection="0">
      <alignment vertical="top" wrapText="1"/>
    </xf>
    <xf numFmtId="0" fontId="31" applyNumberFormat="0" applyFont="1" applyFill="0" applyBorder="0" applyAlignment="1" applyProtection="0">
      <alignment horizontal="center" vertical="center"/>
    </xf>
    <xf numFmtId="49" fontId="32" fillId="5" borderId="2" applyNumberFormat="1" applyFont="1" applyFill="1" applyBorder="1" applyAlignment="1" applyProtection="0">
      <alignment horizontal="center" vertical="center" wrapText="1"/>
    </xf>
    <xf numFmtId="49" fontId="32" fillId="7" borderId="3" applyNumberFormat="1" applyFont="1" applyFill="1" applyBorder="1" applyAlignment="1" applyProtection="0">
      <alignment horizontal="center" vertical="center" wrapText="1"/>
    </xf>
    <xf numFmtId="49" fontId="32" fillId="7" borderId="4" applyNumberFormat="1" applyFont="1" applyFill="1" applyBorder="1" applyAlignment="1" applyProtection="0">
      <alignment horizontal="center" vertical="center" wrapText="1"/>
    </xf>
    <xf numFmtId="9" fontId="34" borderId="5" applyNumberFormat="1" applyFont="1" applyFill="0" applyBorder="1" applyAlignment="1" applyProtection="0">
      <alignment horizontal="center" vertical="center" wrapText="1"/>
    </xf>
    <xf numFmtId="0" fontId="35" fillId="16" borderId="3" applyNumberFormat="1" applyFont="1" applyFill="1" applyBorder="1" applyAlignment="1" applyProtection="0">
      <alignment horizontal="center" vertical="center" wrapText="1" readingOrder="1"/>
    </xf>
    <xf numFmtId="0" fontId="34" borderId="3" applyNumberFormat="1" applyFont="1" applyFill="0" applyBorder="1" applyAlignment="1" applyProtection="0">
      <alignment horizontal="center" vertical="center" wrapText="1"/>
    </xf>
    <xf numFmtId="49" fontId="34" borderId="3" applyNumberFormat="1" applyFont="1" applyFill="0" applyBorder="1" applyAlignment="1" applyProtection="0">
      <alignment horizontal="center" vertical="center" wrapText="1"/>
    </xf>
    <xf numFmtId="49" fontId="34" borderId="3" applyNumberFormat="1" applyFont="1" applyFill="0" applyBorder="1" applyAlignment="1" applyProtection="0">
      <alignment horizontal="left" vertical="center" wrapText="1"/>
    </xf>
    <xf numFmtId="49" fontId="34" borderId="3" applyNumberFormat="1" applyFont="1" applyFill="0" applyBorder="1" applyAlignment="1" applyProtection="0">
      <alignment horizontal="left" vertical="center" indent="2" wrapText="1"/>
    </xf>
    <xf numFmtId="49" fontId="32" fillId="7" borderId="1" applyNumberFormat="1" applyFont="1" applyFill="1" applyBorder="1" applyAlignment="1" applyProtection="0">
      <alignment horizontal="center" vertical="center" wrapText="1"/>
    </xf>
    <xf numFmtId="49" fontId="32" fillId="7" borderId="6" applyNumberFormat="1" applyFont="1" applyFill="1" applyBorder="1" applyAlignment="1" applyProtection="0">
      <alignment horizontal="center" vertical="center" wrapText="1"/>
    </xf>
    <xf numFmtId="0" fontId="3" borderId="7" applyNumberFormat="0" applyFont="1" applyFill="0" applyBorder="1" applyAlignment="1" applyProtection="0">
      <alignment vertical="top" wrapText="1"/>
    </xf>
    <xf numFmtId="0" fontId="35" fillId="16" borderId="1" applyNumberFormat="1" applyFont="1" applyFill="1" applyBorder="1" applyAlignment="1" applyProtection="0">
      <alignment horizontal="center" vertical="center" wrapText="1" readingOrder="1"/>
    </xf>
    <xf numFmtId="0" fontId="34" borderId="1" applyNumberFormat="1" applyFont="1" applyFill="0" applyBorder="1" applyAlignment="1" applyProtection="0">
      <alignment horizontal="center" vertical="center" wrapText="1"/>
    </xf>
    <xf numFmtId="0" fontId="3" borderId="1" applyNumberFormat="0" applyFont="1" applyFill="0" applyBorder="1" applyAlignment="1" applyProtection="0">
      <alignment vertical="top" wrapText="1"/>
    </xf>
    <xf numFmtId="0" fontId="3" borderId="1" applyNumberFormat="1" applyFont="1" applyFill="0" applyBorder="1" applyAlignment="1" applyProtection="0">
      <alignment horizontal="center" vertical="top" wrapText="1"/>
    </xf>
    <xf numFmtId="0" fontId="0" applyNumberFormat="1" applyFont="1" applyFill="0" applyBorder="0" applyAlignment="1" applyProtection="0">
      <alignment vertical="top" wrapText="1"/>
    </xf>
    <xf numFmtId="0" fontId="10" borderId="20" applyNumberFormat="0" applyFont="1" applyFill="0" applyBorder="1" applyAlignment="1" applyProtection="0">
      <alignment horizontal="center" vertical="center" wrapText="1"/>
    </xf>
    <xf numFmtId="0" fontId="35" fillId="16" borderId="9" applyNumberFormat="1" applyFont="1" applyFill="1" applyBorder="1" applyAlignment="1" applyProtection="0">
      <alignment horizontal="center" vertical="center" wrapText="1" readingOrder="1"/>
    </xf>
    <xf numFmtId="0" fontId="0" applyNumberFormat="1" applyFont="1" applyFill="0" applyBorder="0" applyAlignment="1" applyProtection="0">
      <alignment vertical="top" wrapText="1"/>
    </xf>
    <xf numFmtId="49" fontId="8" fillId="8" borderId="1" applyNumberFormat="1" applyFont="1" applyFill="1" applyBorder="1" applyAlignment="1" applyProtection="0">
      <alignment horizontal="center" vertical="top" wrapText="1"/>
    </xf>
    <xf numFmtId="59" fontId="10" borderId="3" applyNumberFormat="1" applyFont="1" applyFill="0" applyBorder="1" applyAlignment="1" applyProtection="0">
      <alignment horizontal="center" vertical="center" wrapText="1"/>
    </xf>
    <xf numFmtId="49" fontId="10" borderId="3" applyNumberFormat="1" applyFont="1" applyFill="0" applyBorder="1" applyAlignment="1" applyProtection="0">
      <alignment horizontal="center" vertical="center" indent="1" wrapText="1"/>
    </xf>
    <xf numFmtId="49" fontId="0" borderId="1" applyNumberFormat="1" applyFont="1" applyFill="0" applyBorder="1" applyAlignment="1" applyProtection="0">
      <alignment vertical="center" wrapText="1"/>
    </xf>
    <xf numFmtId="9" fontId="0" borderId="1" applyNumberFormat="1" applyFont="1" applyFill="0" applyBorder="1" applyAlignment="1" applyProtection="0">
      <alignment horizontal="center" vertical="top" wrapText="1"/>
    </xf>
    <xf numFmtId="49" fontId="19" borderId="1" applyNumberFormat="1" applyFont="1" applyFill="0" applyBorder="1" applyAlignment="1" applyProtection="0">
      <alignment horizontal="left" vertical="center" wrapText="1"/>
    </xf>
    <xf numFmtId="49" fontId="10" borderId="7" applyNumberFormat="1" applyFont="1" applyFill="0" applyBorder="1" applyAlignment="1" applyProtection="0">
      <alignment horizontal="left" vertical="top" wrapText="1"/>
    </xf>
    <xf numFmtId="9" fontId="0" borderId="1" applyNumberFormat="1" applyFont="1" applyFill="0" applyBorder="1" applyAlignment="1" applyProtection="0">
      <alignment vertical="center" wrapText="1"/>
    </xf>
    <xf numFmtId="49" fontId="0" borderId="7" applyNumberFormat="1" applyFont="1" applyFill="0" applyBorder="1" applyAlignment="1" applyProtection="0">
      <alignment vertical="center" wrapText="1"/>
    </xf>
    <xf numFmtId="49" fontId="34" borderId="7"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59" fontId="43" borderId="3" applyNumberFormat="1" applyFont="1" applyFill="0" applyBorder="1" applyAlignment="1" applyProtection="0">
      <alignment horizontal="center" vertical="center" wrapText="1"/>
    </xf>
    <xf numFmtId="49" fontId="45" borderId="1" applyNumberFormat="1" applyFont="1" applyFill="0" applyBorder="1" applyAlignment="1" applyProtection="0">
      <alignment horizontal="left" vertical="center" wrapText="1"/>
    </xf>
    <xf numFmtId="9" fontId="46" borderId="1" applyNumberFormat="1" applyFont="1" applyFill="0" applyBorder="1" applyAlignment="1" applyProtection="0">
      <alignment horizontal="center" vertical="center" wrapText="1"/>
    </xf>
    <xf numFmtId="9" fontId="50" borderId="1"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60d836"/>
      <rgbColor rgb="ffa5a5a5"/>
      <rgbColor rgb="ffbdc0bf"/>
      <rgbColor rgb="ff3f3f3f"/>
      <rgbColor rgb="ff0432ff"/>
      <rgbColor rgb="ff56c1fe"/>
      <rgbColor rgb="ffdbdbdb"/>
      <rgbColor rgb="fffefffe"/>
      <rgbColor rgb="ff8acfff"/>
      <rgbColor rgb="fffffaca"/>
      <rgbColor rgb="ffddf2ff"/>
      <rgbColor rgb="ff00f800"/>
      <rgbColor rgb="ff0c0d11"/>
      <rgbColor rgb="ff0e1114"/>
      <rgbColor rgb="ffd3d3d3"/>
      <rgbColor rgb="ffcacaca"/>
      <rgbColor rgb="ffff2600"/>
      <rgbColor rgb="ff51a7f9"/>
      <rgbColor rgb="fffefb00"/>
      <rgbColor rgb="ffd5d5d5"/>
      <rgbColor rgb="fffff056"/>
      <rgbColor rgb="ff72fce9"/>
      <rgbColor rgb="fff27100"/>
      <rgbColor rgb="ff0075b9"/>
      <rgbColor rgb="ff7f7f7f"/>
      <rgbColor rgb="ffff9200"/>
      <rgbColor rgb="fffdad00"/>
      <rgbColor rgb="ff1cb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 Id="rId27" Type="http://schemas.openxmlformats.org/officeDocument/2006/relationships/worksheet" Target="worksheets/sheet23.xml"/><Relationship Id="rId28" Type="http://schemas.openxmlformats.org/officeDocument/2006/relationships/worksheet" Target="worksheets/sheet24.xml"/><Relationship Id="rId29" Type="http://schemas.openxmlformats.org/officeDocument/2006/relationships/worksheet" Target="worksheets/sheet25.xml"/><Relationship Id="rId30" Type="http://schemas.openxmlformats.org/officeDocument/2006/relationships/worksheet" Target="worksheets/sheet26.xml"/><Relationship Id="rId31" Type="http://schemas.openxmlformats.org/officeDocument/2006/relationships/worksheet" Target="worksheets/sheet27.xml"/><Relationship Id="rId32" Type="http://schemas.openxmlformats.org/officeDocument/2006/relationships/worksheet" Target="worksheets/sheet28.xml"/><Relationship Id="rId33" Type="http://schemas.openxmlformats.org/officeDocument/2006/relationships/worksheet" Target="worksheets/sheet29.xml"/><Relationship Id="rId34" Type="http://schemas.openxmlformats.org/officeDocument/2006/relationships/worksheet" Target="worksheets/sheet30.xml"/><Relationship Id="rId35" Type="http://schemas.openxmlformats.org/officeDocument/2006/relationships/worksheet" Target="worksheets/sheet31.xml"/><Relationship Id="rId36" Type="http://schemas.openxmlformats.org/officeDocument/2006/relationships/worksheet" Target="worksheets/sheet32.xml"/><Relationship Id="rId37" Type="http://schemas.openxmlformats.org/officeDocument/2006/relationships/worksheet" Target="worksheets/sheet33.xml"/><Relationship Id="rId38" Type="http://schemas.openxmlformats.org/officeDocument/2006/relationships/worksheet" Target="worksheets/sheet34.xml"/><Relationship Id="rId39" Type="http://schemas.openxmlformats.org/officeDocument/2006/relationships/worksheet" Target="worksheets/sheet35.xml"/><Relationship Id="rId40" Type="http://schemas.openxmlformats.org/officeDocument/2006/relationships/worksheet" Target="worksheets/sheet36.xml"/><Relationship Id="rId41" Type="http://schemas.openxmlformats.org/officeDocument/2006/relationships/worksheet" Target="worksheets/sheet37.xml"/><Relationship Id="rId42" Type="http://schemas.openxmlformats.org/officeDocument/2006/relationships/worksheet" Target="worksheets/sheet38.xml"/><Relationship Id="rId43" Type="http://schemas.openxmlformats.org/officeDocument/2006/relationships/worksheet" Target="worksheets/sheet39.xml"/><Relationship Id="rId44" Type="http://schemas.openxmlformats.org/officeDocument/2006/relationships/worksheet" Target="worksheets/sheet40.xml"/><Relationship Id="rId45" Type="http://schemas.openxmlformats.org/officeDocument/2006/relationships/worksheet" Target="worksheets/sheet41.xml"/><Relationship Id="rId46" Type="http://schemas.openxmlformats.org/officeDocument/2006/relationships/worksheet" Target="worksheets/sheet42.xml"/><Relationship Id="rId47" Type="http://schemas.openxmlformats.org/officeDocument/2006/relationships/worksheet" Target="worksheets/sheet4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12</xdr:col>
      <xdr:colOff>613395</xdr:colOff>
      <xdr:row>1</xdr:row>
      <xdr:rowOff>165005</xdr:rowOff>
    </xdr:from>
    <xdr:to>
      <xdr:col>19</xdr:col>
      <xdr:colOff>246030</xdr:colOff>
      <xdr:row>15</xdr:row>
      <xdr:rowOff>51389</xdr:rowOff>
    </xdr:to>
    <xdr:sp>
      <xdr:nvSpPr>
        <xdr:cNvPr id="2" name="Instructions: 1.duplicate template for each new vendor…"/>
        <xdr:cNvSpPr/>
      </xdr:nvSpPr>
      <xdr:spPr>
        <a:xfrm>
          <a:off x="9757395" y="330105"/>
          <a:ext cx="4966636" cy="2197785"/>
        </a:xfrm>
        <a:prstGeom prst="roundRect">
          <a:avLst>
            <a:gd name="adj" fmla="val 9968"/>
          </a:avLst>
        </a:prstGeom>
        <a:solidFill>
          <a:srgbClr val="000000"/>
        </a:solid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ctr">
          <a:noAutofit/>
        </a:bodyPr>
        <a:lstStyle/>
        <a:p>
          <a:pPr marL="0" marR="0" indent="0" algn="ctr" defTabSz="584200" rtl="0" latinLnBrk="0">
            <a:lnSpc>
              <a:spcPct val="100000"/>
            </a:lnSpc>
            <a:spcBef>
              <a:spcPts val="0"/>
            </a:spcBef>
            <a:spcAft>
              <a:spcPts val="0"/>
            </a:spcAft>
            <a:buClrTx/>
            <a:buSzTx/>
            <a:buFontTx/>
            <a:buNone/>
            <a:defRPr b="0" baseline="0" cap="none" i="0" spc="0" strike="noStrike" sz="1200" u="none">
              <a:solidFill>
                <a:srgbClr val="FFFFFF"/>
              </a:solidFill>
              <a:uFillTx/>
              <a:latin typeface="Helvetica Neue Medium"/>
              <a:ea typeface="Helvetica Neue Medium"/>
              <a:cs typeface="Helvetica Neue Medium"/>
              <a:sym typeface="Helvetica Neue Medium"/>
            </a:defRPr>
          </a:pPr>
          <a:r>
            <a:rPr b="0" baseline="0" cap="none" i="0" spc="0" strike="noStrike" sz="1200" u="none">
              <a:solidFill>
                <a:srgbClr val="FFFFFF"/>
              </a:solidFill>
              <a:uFillTx/>
              <a:latin typeface="Helvetica Neue Medium"/>
              <a:ea typeface="Helvetica Neue Medium"/>
              <a:cs typeface="Helvetica Neue Medium"/>
              <a:sym typeface="Helvetica Neue Medium"/>
            </a:rPr>
            <a:t>Instructions:</a:t>
          </a:r>
          <a:br>
            <a:rPr b="0" baseline="0" cap="none" i="0" spc="0" strike="noStrike" sz="1200" u="none">
              <a:solidFill>
                <a:srgbClr val="FFFFFF"/>
              </a:solidFill>
              <a:uFillTx/>
              <a:latin typeface="Helvetica Neue Medium"/>
              <a:ea typeface="Helvetica Neue Medium"/>
              <a:cs typeface="Helvetica Neue Medium"/>
              <a:sym typeface="Helvetica Neue Medium"/>
            </a:rPr>
          </a:br>
          <a:r>
            <a:rPr b="0" baseline="0" cap="none" i="0" spc="0" strike="noStrike" sz="1200" u="none">
              <a:solidFill>
                <a:srgbClr val="FFFFFF"/>
              </a:solidFill>
              <a:uFillTx/>
              <a:latin typeface="Helvetica Neue Medium"/>
              <a:ea typeface="Helvetica Neue Medium"/>
              <a:cs typeface="Helvetica Neue Medium"/>
              <a:sym typeface="Helvetica Neue Medium"/>
            </a:rPr>
            <a:t>1.duplicate template for each new vendor</a:t>
          </a:r>
          <a:endParaRPr b="0" baseline="0" cap="none" i="0" spc="0" strike="noStrike" sz="1200" u="none">
            <a:solidFill>
              <a:srgbClr val="FFFFFF"/>
            </a:solidFill>
            <a:uFillTx/>
            <a:latin typeface="Helvetica Neue Medium"/>
            <a:ea typeface="Helvetica Neue Medium"/>
            <a:cs typeface="Helvetica Neue Medium"/>
            <a:sym typeface="Helvetica Neue Medium"/>
          </a:endParaRPr>
        </a:p>
        <a:p>
          <a:pPr marL="0" marR="0" indent="0" algn="ctr" defTabSz="584200" rtl="0" latinLnBrk="0">
            <a:lnSpc>
              <a:spcPct val="100000"/>
            </a:lnSpc>
            <a:spcBef>
              <a:spcPts val="0"/>
            </a:spcBef>
            <a:spcAft>
              <a:spcPts val="0"/>
            </a:spcAft>
            <a:buClrTx/>
            <a:buSzTx/>
            <a:buFontTx/>
            <a:buNone/>
            <a:defRPr b="0" baseline="0" cap="none" i="0" spc="0" strike="noStrike" sz="1200" u="none">
              <a:solidFill>
                <a:srgbClr val="FFFFFF"/>
              </a:solidFill>
              <a:uFillTx/>
              <a:latin typeface="Helvetica Neue Medium"/>
              <a:ea typeface="Helvetica Neue Medium"/>
              <a:cs typeface="Helvetica Neue Medium"/>
              <a:sym typeface="Helvetica Neue Medium"/>
            </a:defRPr>
          </a:pPr>
          <a:r>
            <a:rPr b="0" baseline="0" cap="none" i="0" spc="0" strike="noStrike" sz="1200" u="none">
              <a:solidFill>
                <a:srgbClr val="FFFFFF"/>
              </a:solidFill>
              <a:uFillTx/>
              <a:latin typeface="Helvetica Neue Medium"/>
              <a:ea typeface="Helvetica Neue Medium"/>
              <a:cs typeface="Helvetica Neue Medium"/>
              <a:sym typeface="Helvetica Neue Medium"/>
            </a:rPr>
            <a:t> 2. GSSM DRI to complete summary at the top</a:t>
          </a:r>
          <a:endParaRPr b="0" baseline="0" cap="none" i="0" spc="0" strike="noStrike" sz="1200" u="none">
            <a:solidFill>
              <a:srgbClr val="FFFFFF"/>
            </a:solidFill>
            <a:uFillTx/>
            <a:latin typeface="Helvetica Neue Medium"/>
            <a:ea typeface="Helvetica Neue Medium"/>
            <a:cs typeface="Helvetica Neue Medium"/>
            <a:sym typeface="Helvetica Neue Medium"/>
          </a:endParaRPr>
        </a:p>
        <a:p>
          <a:pPr marL="0" marR="0" indent="0" algn="ctr" defTabSz="584200" rtl="0" latinLnBrk="0">
            <a:lnSpc>
              <a:spcPct val="100000"/>
            </a:lnSpc>
            <a:spcBef>
              <a:spcPts val="0"/>
            </a:spcBef>
            <a:spcAft>
              <a:spcPts val="0"/>
            </a:spcAft>
            <a:buClrTx/>
            <a:buSzTx/>
            <a:buFontTx/>
            <a:buNone/>
            <a:defRPr b="0" baseline="0" cap="none" i="0" spc="0" strike="noStrike" sz="1200" u="none">
              <a:solidFill>
                <a:srgbClr val="FFFFFF"/>
              </a:solidFill>
              <a:uFillTx/>
              <a:latin typeface="Helvetica Neue Medium"/>
              <a:ea typeface="Helvetica Neue Medium"/>
              <a:cs typeface="Helvetica Neue Medium"/>
              <a:sym typeface="Helvetica Neue Medium"/>
            </a:defRPr>
          </a:pPr>
          <a:r>
            <a:rPr b="0" baseline="0" cap="none" i="0" spc="0" strike="noStrike" sz="1200" u="none">
              <a:solidFill>
                <a:srgbClr val="FFFFFF"/>
              </a:solidFill>
              <a:uFillTx/>
              <a:latin typeface="Helvetica Neue Medium"/>
              <a:ea typeface="Helvetica Neue Medium"/>
              <a:cs typeface="Helvetica Neue Medium"/>
              <a:sym typeface="Helvetica Neue Medium"/>
            </a:rPr>
            <a:t>3. Collect data from vendors to complete resource availability and RFP breakdown tables below. </a:t>
          </a: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21</xdr:col>
      <xdr:colOff>926945</xdr:colOff>
      <xdr:row>0</xdr:row>
      <xdr:rowOff>0</xdr:rowOff>
    </xdr:from>
    <xdr:to>
      <xdr:col>24</xdr:col>
      <xdr:colOff>279244</xdr:colOff>
      <xdr:row>5</xdr:row>
      <xdr:rowOff>19050</xdr:rowOff>
    </xdr:to>
    <xdr:sp>
      <xdr:nvSpPr>
        <xdr:cNvPr id="4" name="Trending recommendation - gssm only"/>
        <xdr:cNvSpPr/>
      </xdr:nvSpPr>
      <xdr:spPr>
        <a:xfrm>
          <a:off x="26911144" y="-40217"/>
          <a:ext cx="3086101" cy="2044701"/>
        </a:xfrm>
        <a:prstGeom prst="rect">
          <a:avLst/>
        </a:prstGeom>
        <a:gradFill flip="none" rotWithShape="1">
          <a:gsLst>
            <a:gs pos="0">
              <a:srgbClr val="FED5D5"/>
            </a:gs>
            <a:gs pos="100000">
              <a:srgbClr val="FECDD6"/>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Bella Canova, Apr 9 at 10:32 AM
</a:t>
          </a: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Trending recommendation - gssm only </a:t>
          </a:r>
        </a:p>
      </xdr:txBody>
    </xdr:sp>
    <xdr:clientData/>
  </xdr:twoCellAnchor>
  <xdr:twoCellAnchor>
    <xdr:from>
      <xdr:col>21</xdr:col>
      <xdr:colOff>402648</xdr:colOff>
      <xdr:row>45</xdr:row>
      <xdr:rowOff>171281</xdr:rowOff>
    </xdr:from>
    <xdr:to>
      <xdr:col>23</xdr:col>
      <xdr:colOff>999548</xdr:colOff>
      <xdr:row>51</xdr:row>
      <xdr:rowOff>238591</xdr:rowOff>
    </xdr:to>
    <xdr:sp>
      <xdr:nvSpPr>
        <xdr:cNvPr id="5" name="Capacity difference between V73/V74…"/>
        <xdr:cNvSpPr/>
      </xdr:nvSpPr>
      <xdr:spPr>
        <a:xfrm>
          <a:off x="26386848" y="15144581"/>
          <a:ext cx="3086101" cy="2044701"/>
        </a:xfrm>
        <a:prstGeom prst="rect">
          <a:avLst/>
        </a:prstGeom>
        <a:gradFill flip="none" rotWithShape="1">
          <a:gsLst>
            <a:gs pos="0">
              <a:srgbClr val="FED5D5"/>
            </a:gs>
            <a:gs pos="100000">
              <a:srgbClr val="FECDD6"/>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Bella Canova, Apr 2 at 6:21 PM
</a:t>
          </a: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Capacity difference between V73/V74</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SPOR lock date </a:t>
          </a:r>
        </a:p>
      </xdr:txBody>
    </xdr:sp>
    <xdr:clientData/>
  </xdr:twoCellAnchor>
  <xdr:twoCellAnchor>
    <xdr:from>
      <xdr:col>22</xdr:col>
      <xdr:colOff>366452</xdr:colOff>
      <xdr:row>7</xdr:row>
      <xdr:rowOff>357831</xdr:rowOff>
    </xdr:from>
    <xdr:to>
      <xdr:col>24</xdr:col>
      <xdr:colOff>747809</xdr:colOff>
      <xdr:row>18</xdr:row>
      <xdr:rowOff>140524</xdr:rowOff>
    </xdr:to>
    <xdr:sp>
      <xdr:nvSpPr>
        <xdr:cNvPr id="6" name="Vendors provide their own data on what they can support for 2027…"/>
        <xdr:cNvSpPr/>
      </xdr:nvSpPr>
      <xdr:spPr>
        <a:xfrm>
          <a:off x="27595252" y="3045151"/>
          <a:ext cx="2870558" cy="3548879"/>
        </a:xfrm>
        <a:prstGeom prst="rect">
          <a:avLst/>
        </a:prstGeom>
        <a:gradFill flip="none" rotWithShape="1">
          <a:gsLst>
            <a:gs pos="0">
              <a:srgbClr val="FED5D5"/>
            </a:gs>
            <a:gs pos="100000">
              <a:srgbClr val="FECDD6"/>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Bella Canova, Apr 9 at 6:16 PM
</a:t>
          </a: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Vendors provide their own data on what they can support for 2027</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2026 demand used as baseline, currently occupied, whats remaining and new demand</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Phone Fact/vent conveyor</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CPT team to fill out column H and L</a:t>
          </a:r>
          <a:endParaRPr b="0" baseline="0" cap="none" i="0" spc="0" strike="noStrike" sz="1200" u="none">
            <a:solidFill>
              <a:srgbClr val="000000"/>
            </a:solidFill>
            <a:uFillTx/>
            <a:latin typeface="+mn-lt"/>
            <a:ea typeface="+mn-ea"/>
            <a:cs typeface="+mn-cs"/>
            <a:sym typeface="Helvetica Neue"/>
          </a:endParaRPr>
        </a:p>
      </xdr:txBody>
    </xdr:sp>
    <xdr:clientData/>
  </xdr:twoCellAnchor>
  <xdr:twoCellAnchor>
    <xdr:from>
      <xdr:col>18</xdr:col>
      <xdr:colOff>1117934</xdr:colOff>
      <xdr:row>9</xdr:row>
      <xdr:rowOff>262127</xdr:rowOff>
    </xdr:from>
    <xdr:to>
      <xdr:col>21</xdr:col>
      <xdr:colOff>470234</xdr:colOff>
      <xdr:row>16</xdr:row>
      <xdr:rowOff>31622</xdr:rowOff>
    </xdr:to>
    <xdr:sp>
      <xdr:nvSpPr>
        <xdr:cNvPr id="7" name="Complexity…"/>
        <xdr:cNvSpPr/>
      </xdr:nvSpPr>
      <xdr:spPr>
        <a:xfrm>
          <a:off x="23368334" y="3915917"/>
          <a:ext cx="3086101" cy="2044701"/>
        </a:xfrm>
        <a:prstGeom prst="rect">
          <a:avLst/>
        </a:prstGeom>
        <a:gradFill flip="none" rotWithShape="1">
          <a:gsLst>
            <a:gs pos="0">
              <a:srgbClr val="DAE6FF"/>
            </a:gs>
            <a:gs pos="100000">
              <a:srgbClr val="C6D8FF"/>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Isabella Canova, Apr 14 at 5:49 PM
</a:t>
          </a: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Complexity</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Share link to Nellie, compare to Nellie’s dashboard rating</a:t>
          </a:r>
        </a:p>
      </xdr:txBody>
    </xdr:sp>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20</xdr:col>
      <xdr:colOff>926945</xdr:colOff>
      <xdr:row>0</xdr:row>
      <xdr:rowOff>0</xdr:rowOff>
    </xdr:from>
    <xdr:to>
      <xdr:col>23</xdr:col>
      <xdr:colOff>279244</xdr:colOff>
      <xdr:row>5</xdr:row>
      <xdr:rowOff>60325</xdr:rowOff>
    </xdr:to>
    <xdr:sp>
      <xdr:nvSpPr>
        <xdr:cNvPr id="9" name="Trending recommendation - gssm only"/>
        <xdr:cNvSpPr/>
      </xdr:nvSpPr>
      <xdr:spPr>
        <a:xfrm>
          <a:off x="26276144" y="-40217"/>
          <a:ext cx="3086101" cy="2044701"/>
        </a:xfrm>
        <a:prstGeom prst="rect">
          <a:avLst/>
        </a:prstGeom>
        <a:gradFill flip="none" rotWithShape="1">
          <a:gsLst>
            <a:gs pos="0">
              <a:srgbClr val="FED5D5"/>
            </a:gs>
            <a:gs pos="100000">
              <a:srgbClr val="FECDD6"/>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Bella Canova, Apr 9 at 10:32 AM
</a:t>
          </a: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Trending recommendation - gssm only </a:t>
          </a:r>
        </a:p>
      </xdr:txBody>
    </xdr:sp>
    <xdr:clientData/>
  </xdr:twoCellAnchor>
  <xdr:twoCellAnchor>
    <xdr:from>
      <xdr:col>20</xdr:col>
      <xdr:colOff>1037648</xdr:colOff>
      <xdr:row>29</xdr:row>
      <xdr:rowOff>311616</xdr:rowOff>
    </xdr:from>
    <xdr:to>
      <xdr:col>23</xdr:col>
      <xdr:colOff>389948</xdr:colOff>
      <xdr:row>34</xdr:row>
      <xdr:rowOff>145246</xdr:rowOff>
    </xdr:to>
    <xdr:sp>
      <xdr:nvSpPr>
        <xdr:cNvPr id="10" name="Capacity difference between V73/V74…"/>
        <xdr:cNvSpPr/>
      </xdr:nvSpPr>
      <xdr:spPr>
        <a:xfrm>
          <a:off x="26386848" y="15144581"/>
          <a:ext cx="3086101" cy="2044701"/>
        </a:xfrm>
        <a:prstGeom prst="rect">
          <a:avLst/>
        </a:prstGeom>
        <a:gradFill flip="none" rotWithShape="1">
          <a:gsLst>
            <a:gs pos="0">
              <a:srgbClr val="FED5D5"/>
            </a:gs>
            <a:gs pos="100000">
              <a:srgbClr val="FECDD6"/>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Bella Canova, Apr 2 at 6:21 PM
</a:t>
          </a: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Capacity difference between V73/V74</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SPOR lock date </a:t>
          </a:r>
        </a:p>
      </xdr:txBody>
    </xdr:sp>
    <xdr:clientData/>
  </xdr:twoCellAnchor>
  <xdr:twoCellAnchor>
    <xdr:from>
      <xdr:col>21</xdr:col>
      <xdr:colOff>366452</xdr:colOff>
      <xdr:row>7</xdr:row>
      <xdr:rowOff>387676</xdr:rowOff>
    </xdr:from>
    <xdr:to>
      <xdr:col>23</xdr:col>
      <xdr:colOff>747809</xdr:colOff>
      <xdr:row>15</xdr:row>
      <xdr:rowOff>304354</xdr:rowOff>
    </xdr:to>
    <xdr:sp>
      <xdr:nvSpPr>
        <xdr:cNvPr id="11" name="Vendors provide their own data on what they can support for 2027…"/>
        <xdr:cNvSpPr/>
      </xdr:nvSpPr>
      <xdr:spPr>
        <a:xfrm>
          <a:off x="26960252" y="3045151"/>
          <a:ext cx="2870558" cy="3548879"/>
        </a:xfrm>
        <a:prstGeom prst="rect">
          <a:avLst/>
        </a:prstGeom>
        <a:gradFill flip="none" rotWithShape="1">
          <a:gsLst>
            <a:gs pos="0">
              <a:srgbClr val="FED5D5"/>
            </a:gs>
            <a:gs pos="100000">
              <a:srgbClr val="FECDD6"/>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Bella Canova, Apr 9 at 6:16 PM
</a:t>
          </a: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Vendors provide their own data on what they can support for 2027</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2026 demand used as baseline, currently occupied, whats remaining and new demand</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Phone Fact/vent conveyor</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CPT team to fill out column H and L</a:t>
          </a:r>
          <a:endParaRPr b="0" baseline="0" cap="none" i="0" spc="0" strike="noStrike" sz="1200" u="none">
            <a:solidFill>
              <a:srgbClr val="000000"/>
            </a:solidFill>
            <a:uFillTx/>
            <a:latin typeface="+mn-lt"/>
            <a:ea typeface="+mn-ea"/>
            <a:cs typeface="+mn-cs"/>
            <a:sym typeface="Helvetica Neue"/>
          </a:endParaRPr>
        </a:p>
      </xdr:txBody>
    </xdr:sp>
    <xdr:clientData/>
  </xdr:twoCellAnchor>
  <xdr:twoCellAnchor>
    <xdr:from>
      <xdr:col>18</xdr:col>
      <xdr:colOff>508334</xdr:colOff>
      <xdr:row>10</xdr:row>
      <xdr:rowOff>10667</xdr:rowOff>
    </xdr:from>
    <xdr:to>
      <xdr:col>20</xdr:col>
      <xdr:colOff>1105234</xdr:colOff>
      <xdr:row>14</xdr:row>
      <xdr:rowOff>86867</xdr:rowOff>
    </xdr:to>
    <xdr:sp>
      <xdr:nvSpPr>
        <xdr:cNvPr id="12" name="Complexity…"/>
        <xdr:cNvSpPr/>
      </xdr:nvSpPr>
      <xdr:spPr>
        <a:xfrm>
          <a:off x="23368334" y="3915917"/>
          <a:ext cx="3086101" cy="2044701"/>
        </a:xfrm>
        <a:prstGeom prst="rect">
          <a:avLst/>
        </a:prstGeom>
        <a:gradFill flip="none" rotWithShape="1">
          <a:gsLst>
            <a:gs pos="0">
              <a:srgbClr val="DAE6FF"/>
            </a:gs>
            <a:gs pos="100000">
              <a:srgbClr val="C6D8FF"/>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Isabella Canova, Apr 14 at 5:49 PM
</a:t>
          </a: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Complexity</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Share link to Nellie, compare to Nellie’s dashboard rating</a:t>
          </a:r>
        </a:p>
      </xdr:txBody>
    </xdr:sp>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12</xdr:col>
      <xdr:colOff>729215</xdr:colOff>
      <xdr:row>77</xdr:row>
      <xdr:rowOff>80695</xdr:rowOff>
    </xdr:from>
    <xdr:to>
      <xdr:col>13</xdr:col>
      <xdr:colOff>337585</xdr:colOff>
      <xdr:row>79</xdr:row>
      <xdr:rowOff>584</xdr:rowOff>
    </xdr:to>
    <xdr:sp>
      <xdr:nvSpPr>
        <xdr:cNvPr id="14" name="Text"/>
        <xdr:cNvSpPr txBox="1"/>
      </xdr:nvSpPr>
      <xdr:spPr>
        <a:xfrm>
          <a:off x="9873215" y="12793395"/>
          <a:ext cx="370371" cy="250090"/>
        </a:xfrm>
        <a:prstGeom prst="rect">
          <a:avLst/>
        </a:prstGeom>
        <a:noFill/>
        <a:ln w="12700" cap="flat">
          <a:noFill/>
          <a:miter lim="400000"/>
        </a:ln>
        <a:effectLst/>
      </xdr:spPr>
      <xdr:txBody>
        <a:bodyPr/>
        <a:lstStyle/>
        <a:p>
          <a:pPr/>
        </a:p>
      </xdr:txBody>
    </xdr:sp>
    <xdr:clientData/>
  </xdr:twoCellAnchor>
  <xdr:twoCellAnchor>
    <xdr:from>
      <xdr:col>5</xdr:col>
      <xdr:colOff>392429</xdr:colOff>
      <xdr:row>82</xdr:row>
      <xdr:rowOff>18451</xdr:rowOff>
    </xdr:from>
    <xdr:to>
      <xdr:col>9</xdr:col>
      <xdr:colOff>391637</xdr:colOff>
      <xdr:row>98</xdr:row>
      <xdr:rowOff>131765</xdr:rowOff>
    </xdr:to>
    <xdr:sp>
      <xdr:nvSpPr>
        <xdr:cNvPr id="15" name="Only RFQ submitted as of 5/7"/>
        <xdr:cNvSpPr/>
      </xdr:nvSpPr>
      <xdr:spPr>
        <a:xfrm>
          <a:off x="4202429" y="13556651"/>
          <a:ext cx="3047209" cy="2754915"/>
        </a:xfrm>
        <a:prstGeom prst="roundRect">
          <a:avLst>
            <a:gd name="adj" fmla="val 7952"/>
          </a:avLst>
        </a:prstGeom>
        <a:solidFill>
          <a:schemeClr val="accent4">
            <a:hueOff val="348544"/>
            <a:lumOff val="7139"/>
          </a:schemeClr>
        </a:solid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ctr">
          <a:noAutofit/>
        </a:bodyPr>
        <a:lstStyle/>
        <a:p>
          <a:pPr marL="0" marR="0" indent="0" algn="ctr" defTabSz="584200" latinLnBrk="0">
            <a:lnSpc>
              <a:spcPct val="100000"/>
            </a:lnSpc>
            <a:spcBef>
              <a:spcPts val="0"/>
            </a:spcBef>
            <a:spcAft>
              <a:spcPts val="0"/>
            </a:spcAft>
            <a:buClrTx/>
            <a:buSzTx/>
            <a:buFontTx/>
            <a:buNone/>
            <a:defRPr b="0" baseline="0" cap="none" i="0" spc="0" strike="noStrike" sz="1200" u="none">
              <a:solidFill>
                <a:srgbClr val="000000"/>
              </a:solidFill>
              <a:uFillTx/>
              <a:latin typeface="Helvetica Neue Medium"/>
              <a:ea typeface="Helvetica Neue Medium"/>
              <a:cs typeface="Helvetica Neue Medium"/>
              <a:sym typeface="Helvetica Neue Medium"/>
            </a:defRPr>
          </a:pPr>
          <a:r>
            <a:rPr b="0" baseline="0" cap="none" i="0" spc="0" strike="noStrike" sz="1200" u="none">
              <a:solidFill>
                <a:srgbClr val="000000"/>
              </a:solidFill>
              <a:uFillTx/>
              <a:latin typeface="Helvetica Neue Medium"/>
              <a:ea typeface="Helvetica Neue Medium"/>
              <a:cs typeface="Helvetica Neue Medium"/>
              <a:sym typeface="Helvetica Neue Medium"/>
            </a:rPr>
            <a:t>Only RFQ submitted as of 5/7</a:t>
          </a:r>
        </a:p>
      </xdr:txBody>
    </xdr:sp>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71550</xdr:colOff>
      <xdr:row>0</xdr:row>
      <xdr:rowOff>0</xdr:rowOff>
    </xdr:from>
    <xdr:to>
      <xdr:col>3</xdr:col>
      <xdr:colOff>1746821</xdr:colOff>
      <xdr:row>0</xdr:row>
      <xdr:rowOff>332002</xdr:rowOff>
    </xdr:to>
    <xdr:sp>
      <xdr:nvSpPr>
        <xdr:cNvPr id="17" name="Legend: ◉ Low Risk  ◉ Medium-Low Risk  ◉ Medium Risk  ◉ High Risk"/>
        <xdr:cNvSpPr txBox="1"/>
      </xdr:nvSpPr>
      <xdr:spPr>
        <a:xfrm>
          <a:off x="71550" y="-174053"/>
          <a:ext cx="4672472" cy="33200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ctr" defTabSz="457200" latinLnBrk="0">
            <a:lnSpc>
              <a:spcPct val="100000"/>
            </a:lnSpc>
            <a:spcBef>
              <a:spcPts val="0"/>
            </a:spcBef>
            <a:spcAft>
              <a:spcPts val="0"/>
            </a:spcAft>
            <a:buClrTx/>
            <a:buSzTx/>
            <a:buFontTx/>
            <a:buNone/>
            <a:defRPr b="0" baseline="0" cap="none" i="0" spc="0" strike="noStrike" sz="1000" u="none">
              <a:solidFill>
                <a:srgbClr val="000000"/>
              </a:solidFill>
              <a:uFillTx/>
              <a:latin typeface="SF Hello Bold"/>
              <a:ea typeface="SF Hello Bold"/>
              <a:cs typeface="SF Hello Bold"/>
              <a:sym typeface="SF Hello Bold"/>
            </a:defRPr>
          </a:pPr>
          <a:r>
            <a:rPr b="0" baseline="0" cap="none" i="0" spc="0" strike="noStrike" sz="1000" u="none">
              <a:solidFill>
                <a:srgbClr val="000000"/>
              </a:solidFill>
              <a:uFillTx/>
              <a:latin typeface="SF Hello Bold"/>
              <a:ea typeface="SF Hello Bold"/>
              <a:cs typeface="SF Hello Bold"/>
              <a:sym typeface="SF Hello Bold"/>
            </a:rPr>
            <a:t>Legend: </a:t>
          </a:r>
          <a:r>
            <a:rPr b="0" baseline="0" cap="none" i="0" spc="0" strike="noStrike" sz="1400" u="none">
              <a:solidFill>
                <a:srgbClr val="00F900"/>
              </a:solidFill>
              <a:uFillTx/>
              <a:latin typeface="SF Hello Bold"/>
              <a:ea typeface="SF Hello Bold"/>
              <a:cs typeface="SF Hello Bold"/>
              <a:sym typeface="SF Hello Bold"/>
            </a:rPr>
            <a:t>◉</a:t>
          </a:r>
          <a:r>
            <a:rPr b="0" baseline="0" cap="none" i="0" spc="0" strike="noStrike" sz="1000" u="none">
              <a:solidFill>
                <a:srgbClr val="000000"/>
              </a:solidFill>
              <a:uFillTx/>
              <a:latin typeface="SF Hello Bold"/>
              <a:ea typeface="SF Hello Bold"/>
              <a:cs typeface="SF Hello Bold"/>
              <a:sym typeface="SF Hello Bold"/>
            </a:rPr>
            <a:t> Low Risk  </a:t>
          </a:r>
          <a:r>
            <a:rPr b="0" baseline="0" cap="none" i="0" spc="0" strike="noStrike" sz="1400" u="none">
              <a:solidFill>
                <a:srgbClr val="FFFB00"/>
              </a:solidFill>
              <a:uFillTx/>
              <a:latin typeface="SF Hello Bold"/>
              <a:ea typeface="SF Hello Bold"/>
              <a:cs typeface="SF Hello Bold"/>
              <a:sym typeface="SF Hello Bold"/>
            </a:rPr>
            <a:t>◉</a:t>
          </a:r>
          <a:r>
            <a:rPr b="0" baseline="0" cap="none" i="0" spc="0" strike="noStrike" sz="1000" u="none">
              <a:solidFill>
                <a:srgbClr val="000000"/>
              </a:solidFill>
              <a:uFillTx/>
              <a:latin typeface="SF Hello Bold"/>
              <a:ea typeface="SF Hello Bold"/>
              <a:cs typeface="SF Hello Bold"/>
              <a:sym typeface="SF Hello Bold"/>
            </a:rPr>
            <a:t> Medium-Low Risk  </a:t>
          </a:r>
          <a:r>
            <a:rPr b="0" baseline="0" cap="none" i="0" spc="0" strike="noStrike" sz="1400" u="none">
              <a:solidFill>
                <a:schemeClr val="accent4">
                  <a:hueOff val="-858837"/>
                  <a:lumOff val="-9791"/>
                </a:schemeClr>
              </a:solidFill>
              <a:uFillTx/>
              <a:latin typeface="SF Hello Bold"/>
              <a:ea typeface="SF Hello Bold"/>
              <a:cs typeface="SF Hello Bold"/>
              <a:sym typeface="SF Hello Bold"/>
            </a:rPr>
            <a:t>◉</a:t>
          </a:r>
          <a:r>
            <a:rPr b="0" baseline="0" cap="none" i="0" spc="0" strike="noStrike" sz="1000" u="none">
              <a:solidFill>
                <a:srgbClr val="000000"/>
              </a:solidFill>
              <a:uFillTx/>
              <a:latin typeface="SF Hello Bold"/>
              <a:ea typeface="SF Hello Bold"/>
              <a:cs typeface="SF Hello Bold"/>
              <a:sym typeface="SF Hello Bold"/>
            </a:rPr>
            <a:t> Medium Risk  </a:t>
          </a:r>
          <a:r>
            <a:rPr b="0" baseline="0" cap="none" i="0" spc="0" strike="noStrike" sz="1000" u="none">
              <a:solidFill>
                <a:srgbClr val="FF2600"/>
              </a:solidFill>
              <a:uFillTx/>
              <a:latin typeface="SF Hello Bold"/>
              <a:ea typeface="SF Hello Bold"/>
              <a:cs typeface="SF Hello Bold"/>
              <a:sym typeface="SF Hello Bold"/>
            </a:rPr>
            <a:t>◉</a:t>
          </a:r>
          <a:r>
            <a:rPr b="0" baseline="0" cap="none" i="0" spc="0" strike="noStrike" sz="1000" u="none">
              <a:solidFill>
                <a:srgbClr val="000000"/>
              </a:solidFill>
              <a:uFillTx/>
              <a:latin typeface="SF Hello Bold"/>
              <a:ea typeface="SF Hello Bold"/>
              <a:cs typeface="SF Hello Bold"/>
              <a:sym typeface="SF Hello Bold"/>
            </a:rPr>
            <a:t> High Risk </a:t>
          </a:r>
        </a:p>
      </xdr:txBody>
    </xdr:sp>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70837</xdr:colOff>
      <xdr:row>0</xdr:row>
      <xdr:rowOff>0</xdr:rowOff>
    </xdr:from>
    <xdr:to>
      <xdr:col>5</xdr:col>
      <xdr:colOff>157728</xdr:colOff>
      <xdr:row>0</xdr:row>
      <xdr:rowOff>332002</xdr:rowOff>
    </xdr:to>
    <xdr:sp>
      <xdr:nvSpPr>
        <xdr:cNvPr id="19" name="Legend: ◉ Low Risk (or &lt;60%)  ◉ Medium Risk (or 60%~80%)  ◉ High Risk (or &gt;80%)"/>
        <xdr:cNvSpPr txBox="1"/>
      </xdr:nvSpPr>
      <xdr:spPr>
        <a:xfrm>
          <a:off x="70837" y="-174053"/>
          <a:ext cx="5560592" cy="33200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ctr" defTabSz="457200" latinLnBrk="0">
            <a:lnSpc>
              <a:spcPct val="100000"/>
            </a:lnSpc>
            <a:spcBef>
              <a:spcPts val="0"/>
            </a:spcBef>
            <a:spcAft>
              <a:spcPts val="0"/>
            </a:spcAft>
            <a:buClrTx/>
            <a:buSzTx/>
            <a:buFontTx/>
            <a:buNone/>
            <a:defRPr b="0" baseline="0" cap="none" i="0" spc="0" strike="noStrike" sz="1000" u="none">
              <a:solidFill>
                <a:srgbClr val="000000"/>
              </a:solidFill>
              <a:uFillTx/>
              <a:latin typeface="SF Hello Bold"/>
              <a:ea typeface="SF Hello Bold"/>
              <a:cs typeface="SF Hello Bold"/>
              <a:sym typeface="SF Hello Bold"/>
            </a:defRPr>
          </a:pPr>
          <a:r>
            <a:rPr b="0" baseline="0" cap="none" i="0" spc="0" strike="noStrike" sz="1000" u="none">
              <a:solidFill>
                <a:srgbClr val="000000"/>
              </a:solidFill>
              <a:uFillTx/>
              <a:latin typeface="SF Hello Bold"/>
              <a:ea typeface="SF Hello Bold"/>
              <a:cs typeface="SF Hello Bold"/>
              <a:sym typeface="SF Hello Bold"/>
            </a:rPr>
            <a:t>Legend: </a:t>
          </a:r>
          <a:r>
            <a:rPr b="0" baseline="0" cap="none" i="0" spc="0" strike="noStrike" sz="1400" u="none">
              <a:solidFill>
                <a:srgbClr val="00F900"/>
              </a:solidFill>
              <a:uFillTx/>
              <a:latin typeface="SF Hello Bold"/>
              <a:ea typeface="SF Hello Bold"/>
              <a:cs typeface="SF Hello Bold"/>
              <a:sym typeface="SF Hello Bold"/>
            </a:rPr>
            <a:t>◉</a:t>
          </a:r>
          <a:r>
            <a:rPr b="0" baseline="0" cap="none" i="0" spc="0" strike="noStrike" sz="1000" u="none">
              <a:solidFill>
                <a:srgbClr val="000000"/>
              </a:solidFill>
              <a:uFillTx/>
              <a:latin typeface="SF Hello Bold"/>
              <a:ea typeface="SF Hello Bold"/>
              <a:cs typeface="SF Hello Bold"/>
              <a:sym typeface="SF Hello Bold"/>
            </a:rPr>
            <a:t> Low Risk (or &lt;60%)  </a:t>
          </a:r>
          <a:r>
            <a:rPr b="0" baseline="0" cap="none" i="0" spc="0" strike="noStrike" sz="1400" u="none">
              <a:solidFill>
                <a:schemeClr val="accent4">
                  <a:hueOff val="-858837"/>
                  <a:lumOff val="-9791"/>
                </a:schemeClr>
              </a:solidFill>
              <a:uFillTx/>
              <a:latin typeface="SF Hello Bold"/>
              <a:ea typeface="SF Hello Bold"/>
              <a:cs typeface="SF Hello Bold"/>
              <a:sym typeface="SF Hello Bold"/>
            </a:rPr>
            <a:t>◉</a:t>
          </a:r>
          <a:r>
            <a:rPr b="0" baseline="0" cap="none" i="0" spc="0" strike="noStrike" sz="1000" u="none">
              <a:solidFill>
                <a:srgbClr val="000000"/>
              </a:solidFill>
              <a:uFillTx/>
              <a:latin typeface="SF Hello Bold"/>
              <a:ea typeface="SF Hello Bold"/>
              <a:cs typeface="SF Hello Bold"/>
              <a:sym typeface="SF Hello Bold"/>
            </a:rPr>
            <a:t> Medium Risk (or 60%~80%)  </a:t>
          </a:r>
          <a:r>
            <a:rPr b="0" baseline="0" cap="none" i="0" spc="0" strike="noStrike" sz="1000" u="none">
              <a:solidFill>
                <a:srgbClr val="FF2600"/>
              </a:solidFill>
              <a:uFillTx/>
              <a:latin typeface="SF Hello Bold"/>
              <a:ea typeface="SF Hello Bold"/>
              <a:cs typeface="SF Hello Bold"/>
              <a:sym typeface="SF Hello Bold"/>
            </a:rPr>
            <a:t>◉</a:t>
          </a:r>
          <a:r>
            <a:rPr b="0" baseline="0" cap="none" i="0" spc="0" strike="noStrike" sz="1000" u="none">
              <a:solidFill>
                <a:srgbClr val="000000"/>
              </a:solidFill>
              <a:uFillTx/>
              <a:latin typeface="SF Hello Bold"/>
              <a:ea typeface="SF Hello Bold"/>
              <a:cs typeface="SF Hello Bold"/>
              <a:sym typeface="SF Hello Bold"/>
            </a:rPr>
            <a:t> High Risk (or &gt;80%)</a:t>
          </a:r>
        </a:p>
      </xdr:txBody>
    </xdr:sp>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12</xdr:col>
      <xdr:colOff>1235710</xdr:colOff>
      <xdr:row>1</xdr:row>
      <xdr:rowOff>267335</xdr:rowOff>
    </xdr:from>
    <xdr:to>
      <xdr:col>15</xdr:col>
      <xdr:colOff>588010</xdr:colOff>
      <xdr:row>9</xdr:row>
      <xdr:rowOff>117475</xdr:rowOff>
    </xdr:to>
    <xdr:sp>
      <xdr:nvSpPr>
        <xdr:cNvPr id="21" name="Make sure whole team is on this file…"/>
        <xdr:cNvSpPr/>
      </xdr:nvSpPr>
      <xdr:spPr>
        <a:xfrm>
          <a:off x="16170910" y="618490"/>
          <a:ext cx="3086101" cy="2044701"/>
        </a:xfrm>
        <a:prstGeom prst="rect">
          <a:avLst/>
        </a:prstGeom>
        <a:gradFill flip="none" rotWithShape="1">
          <a:gsLst>
            <a:gs pos="0">
              <a:srgbClr val="DAE6FF"/>
            </a:gs>
            <a:gs pos="100000">
              <a:srgbClr val="C6D8FF"/>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Isabella Canova, Apr 14 at 9:44 AM
</a:t>
          </a: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Make sure whole team is on this file</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Copy k12p</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5.xml.rels><?xml version="1.0" encoding="UTF-8"?>
<Relationships xmlns="http://schemas.openxmlformats.org/package/2006/relationships"><Relationship Id="rId1" Type="http://schemas.openxmlformats.org/officeDocument/2006/relationships/drawing" Target="../drawings/drawing1.xml"/></Relationships>

</file>

<file path=xl/worksheets/_rels/sheet8.xml.rels><?xml version="1.0" encoding="UTF-8"?>
<Relationships xmlns="http://schemas.openxmlformats.org/package/2006/relationships"><Relationship Id="rId1" Type="http://schemas.openxmlformats.org/officeDocument/2006/relationships/drawing" Target="../drawings/drawing2.xml"/></Relationships>

</file>

<file path=xl/worksheets/_rels/sheet9.xml.rels><?xml version="1.0" encoding="UTF-8"?>
<Relationships xmlns="http://schemas.openxmlformats.org/package/2006/relationships"><Relationship Id="rId1" Type="http://schemas.openxmlformats.org/officeDocument/2006/relationships/drawing" Target="../drawings/drawing3.xml"/></Relationships>

</file>

<file path=xl/worksheets/_rels/sheet29.xml.rels><?xml version="1.0" encoding="UTF-8"?>
<Relationships xmlns="http://schemas.openxmlformats.org/package/2006/relationships"><Relationship Id="rId1" Type="http://schemas.openxmlformats.org/officeDocument/2006/relationships/drawing" Target="../drawings/drawing4.xml"/></Relationships>

</file>

<file path=xl/worksheets/_rels/sheet37.xml.rels><?xml version="1.0" encoding="UTF-8"?>
<Relationships xmlns="http://schemas.openxmlformats.org/package/2006/relationships"><Relationship Id="rId1" Type="http://schemas.openxmlformats.org/officeDocument/2006/relationships/drawing" Target="../drawings/drawing5.xml"/></Relationships>

</file>

<file path=xl/worksheets/_rels/sheet42.xml.rels><?xml version="1.0" encoding="UTF-8"?>
<Relationships xmlns="http://schemas.openxmlformats.org/package/2006/relationships"><Relationship Id="rId1" Type="http://schemas.openxmlformats.org/officeDocument/2006/relationships/drawing" Target="../drawings/drawing6.xml"/></Relationships>

</file>

<file path=xl/worksheets/_rels/sheet43.xml.rels><?xml version="1.0" encoding="UTF-8"?>
<Relationships xmlns="http://schemas.openxmlformats.org/package/2006/relationships"><Relationship Id="rId1" Type="http://schemas.openxmlformats.org/officeDocument/2006/relationships/drawing" Target="../drawings/drawing7.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14</v>
      </c>
      <c r="D11" t="s" s="5">
        <v>15</v>
      </c>
    </row>
    <row r="12">
      <c r="B12" s="4"/>
      <c r="C12" t="s" s="4">
        <v>39</v>
      </c>
      <c r="D12" t="s" s="5">
        <v>40</v>
      </c>
    </row>
    <row r="13">
      <c r="B13" s="4"/>
      <c r="C13" t="s" s="4">
        <v>45</v>
      </c>
      <c r="D13" t="s" s="5">
        <v>46</v>
      </c>
    </row>
    <row r="14">
      <c r="B14" t="s" s="3">
        <v>47</v>
      </c>
      <c r="C14" s="3"/>
      <c r="D14" s="3"/>
    </row>
    <row r="15">
      <c r="B15" s="4"/>
      <c r="C15" t="s" s="4">
        <v>48</v>
      </c>
      <c r="D15" t="s" s="5">
        <v>47</v>
      </c>
    </row>
    <row r="16">
      <c r="B16" t="s" s="3">
        <v>66</v>
      </c>
      <c r="C16" s="3"/>
      <c r="D16" s="3"/>
    </row>
    <row r="17">
      <c r="B17" s="4"/>
      <c r="C17" t="s" s="4">
        <v>5</v>
      </c>
      <c r="D17" t="s" s="5">
        <v>66</v>
      </c>
    </row>
    <row r="18">
      <c r="B18" t="s" s="3">
        <v>124</v>
      </c>
      <c r="C18" s="3"/>
      <c r="D18" s="3"/>
    </row>
    <row r="19">
      <c r="B19" s="4"/>
      <c r="C19" t="s" s="4">
        <v>125</v>
      </c>
      <c r="D19" t="s" s="5">
        <v>126</v>
      </c>
    </row>
    <row r="20">
      <c r="B20" t="s" s="3">
        <v>204</v>
      </c>
      <c r="C20" s="3"/>
      <c r="D20" s="3"/>
    </row>
    <row r="21">
      <c r="B21" s="4"/>
      <c r="C21" t="s" s="4">
        <v>205</v>
      </c>
      <c r="D21" t="s" s="5">
        <v>206</v>
      </c>
    </row>
    <row r="22">
      <c r="B22" t="s" s="3">
        <v>246</v>
      </c>
      <c r="C22" s="3"/>
      <c r="D22" s="3"/>
    </row>
    <row r="23">
      <c r="B23" s="4"/>
      <c r="C23" t="s" s="4">
        <v>48</v>
      </c>
      <c r="D23" t="s" s="5">
        <v>247</v>
      </c>
    </row>
    <row r="24">
      <c r="B24" t="s" s="3">
        <v>335</v>
      </c>
      <c r="C24" s="3"/>
      <c r="D24" s="3"/>
    </row>
    <row r="25">
      <c r="B25" s="4"/>
      <c r="C25" t="s" s="4">
        <v>14</v>
      </c>
      <c r="D25" t="s" s="5">
        <v>336</v>
      </c>
    </row>
    <row r="26">
      <c r="B26" s="4"/>
      <c r="C26" t="s" s="4">
        <v>351</v>
      </c>
      <c r="D26" t="s" s="5">
        <v>352</v>
      </c>
    </row>
    <row r="27">
      <c r="B27" s="4"/>
      <c r="C27" t="s" s="4">
        <v>368</v>
      </c>
      <c r="D27" t="s" s="5">
        <v>369</v>
      </c>
    </row>
    <row r="28">
      <c r="B28" t="s" s="3">
        <v>807</v>
      </c>
      <c r="C28" s="3"/>
      <c r="D28" s="3"/>
    </row>
    <row r="29">
      <c r="B29" s="4"/>
      <c r="C29" t="s" s="4">
        <v>14</v>
      </c>
      <c r="D29" t="s" s="5">
        <v>808</v>
      </c>
    </row>
    <row r="30">
      <c r="B30" s="4"/>
      <c r="C30" t="s" s="4">
        <v>351</v>
      </c>
      <c r="D30" t="s" s="5">
        <v>813</v>
      </c>
    </row>
    <row r="31">
      <c r="B31" t="s" s="3">
        <v>824</v>
      </c>
      <c r="C31" s="3"/>
      <c r="D31" s="3"/>
    </row>
    <row r="32">
      <c r="B32" s="4"/>
      <c r="C32" t="s" s="4">
        <v>14</v>
      </c>
      <c r="D32" t="s" s="5">
        <v>825</v>
      </c>
    </row>
    <row r="33">
      <c r="B33" s="4"/>
      <c r="C33" t="s" s="4">
        <v>351</v>
      </c>
      <c r="D33" t="s" s="5">
        <v>830</v>
      </c>
    </row>
    <row r="34">
      <c r="B34" t="s" s="3">
        <v>841</v>
      </c>
      <c r="C34" s="3"/>
      <c r="D34" s="3"/>
    </row>
    <row r="35">
      <c r="B35" s="4"/>
      <c r="C35" t="s" s="4">
        <v>14</v>
      </c>
      <c r="D35" t="s" s="5">
        <v>842</v>
      </c>
    </row>
    <row r="36">
      <c r="B36" s="4"/>
      <c r="C36" t="s" s="4">
        <v>39</v>
      </c>
      <c r="D36" t="s" s="5">
        <v>846</v>
      </c>
    </row>
    <row r="37">
      <c r="B37" t="s" s="3">
        <v>849</v>
      </c>
      <c r="C37" s="3"/>
      <c r="D37" s="3"/>
    </row>
    <row r="38">
      <c r="B38" s="4"/>
      <c r="C38" t="s" s="4">
        <v>14</v>
      </c>
      <c r="D38" t="s" s="5">
        <v>850</v>
      </c>
    </row>
    <row r="39">
      <c r="B39" s="4"/>
      <c r="C39" t="s" s="4">
        <v>39</v>
      </c>
      <c r="D39" t="s" s="5">
        <v>855</v>
      </c>
    </row>
    <row r="40">
      <c r="B40" t="s" s="3">
        <v>862</v>
      </c>
      <c r="C40" s="3"/>
      <c r="D40" s="3"/>
    </row>
    <row r="41">
      <c r="B41" s="4"/>
      <c r="C41" t="s" s="4">
        <v>14</v>
      </c>
      <c r="D41" t="s" s="5">
        <v>863</v>
      </c>
    </row>
    <row r="42">
      <c r="B42" s="4"/>
      <c r="C42" t="s" s="4">
        <v>39</v>
      </c>
      <c r="D42" t="s" s="5">
        <v>871</v>
      </c>
    </row>
    <row r="43">
      <c r="B43" s="4"/>
      <c r="C43" t="s" s="4">
        <v>885</v>
      </c>
      <c r="D43" t="s" s="5">
        <v>886</v>
      </c>
    </row>
    <row r="44">
      <c r="B44" s="4"/>
      <c r="C44" t="s" s="4">
        <v>895</v>
      </c>
      <c r="D44" t="s" s="5">
        <v>896</v>
      </c>
    </row>
    <row r="45">
      <c r="B45" t="s" s="3">
        <v>911</v>
      </c>
      <c r="C45" s="3"/>
      <c r="D45" s="3"/>
    </row>
    <row r="46">
      <c r="B46" s="4"/>
      <c r="C46" t="s" s="4">
        <v>14</v>
      </c>
      <c r="D46" t="s" s="5">
        <v>912</v>
      </c>
    </row>
    <row r="47">
      <c r="B47" s="4"/>
      <c r="C47" t="s" s="4">
        <v>351</v>
      </c>
      <c r="D47" t="s" s="5">
        <v>917</v>
      </c>
    </row>
    <row r="48">
      <c r="B48" s="4"/>
      <c r="C48" t="s" s="4">
        <v>39</v>
      </c>
      <c r="D48" t="s" s="5">
        <v>920</v>
      </c>
    </row>
    <row r="49">
      <c r="B49" s="4"/>
      <c r="C49" t="s" s="4">
        <v>45</v>
      </c>
      <c r="D49" t="s" s="5">
        <v>923</v>
      </c>
    </row>
    <row r="50">
      <c r="B50" t="s" s="3">
        <v>924</v>
      </c>
      <c r="C50" s="3"/>
      <c r="D50" s="3"/>
    </row>
    <row r="51">
      <c r="B51" s="4"/>
      <c r="C51" t="s" s="4">
        <v>14</v>
      </c>
      <c r="D51" t="s" s="5">
        <v>925</v>
      </c>
    </row>
    <row r="52">
      <c r="B52" s="4"/>
      <c r="C52" t="s" s="4">
        <v>351</v>
      </c>
      <c r="D52" t="s" s="5">
        <v>928</v>
      </c>
    </row>
    <row r="53">
      <c r="B53" t="s" s="3">
        <v>933</v>
      </c>
      <c r="C53" s="3"/>
      <c r="D53" s="3"/>
    </row>
    <row r="54">
      <c r="B54" s="4"/>
      <c r="C54" t="s" s="4">
        <v>14</v>
      </c>
      <c r="D54" t="s" s="5">
        <v>934</v>
      </c>
    </row>
    <row r="55">
      <c r="B55" s="4"/>
      <c r="C55" t="s" s="4">
        <v>39</v>
      </c>
      <c r="D55" t="s" s="5">
        <v>939</v>
      </c>
    </row>
    <row r="56">
      <c r="B56" s="4"/>
      <c r="C56" t="s" s="4">
        <v>885</v>
      </c>
      <c r="D56" t="s" s="5">
        <v>955</v>
      </c>
    </row>
    <row r="57">
      <c r="B57" t="s" s="3">
        <v>970</v>
      </c>
      <c r="C57" s="3"/>
      <c r="D57" s="3"/>
    </row>
    <row r="58">
      <c r="B58" s="4"/>
      <c r="C58" t="s" s="4">
        <v>14</v>
      </c>
      <c r="D58" t="s" s="5">
        <v>971</v>
      </c>
    </row>
    <row r="59">
      <c r="B59" s="4"/>
      <c r="C59" t="s" s="4">
        <v>351</v>
      </c>
      <c r="D59" t="s" s="5">
        <v>987</v>
      </c>
    </row>
    <row r="60">
      <c r="B60" t="s" s="3">
        <v>990</v>
      </c>
      <c r="C60" s="3"/>
      <c r="D60" s="3"/>
    </row>
    <row r="61">
      <c r="B61" s="4"/>
      <c r="C61" t="s" s="4">
        <v>5</v>
      </c>
      <c r="D61" t="s" s="5">
        <v>991</v>
      </c>
    </row>
    <row r="62">
      <c r="B62" t="s" s="3">
        <v>1014</v>
      </c>
      <c r="C62" s="3"/>
      <c r="D62" s="3"/>
    </row>
    <row r="63">
      <c r="B63" s="4"/>
      <c r="C63" t="s" s="4">
        <v>14</v>
      </c>
      <c r="D63" t="s" s="5">
        <v>1015</v>
      </c>
    </row>
    <row r="64">
      <c r="B64" s="4"/>
      <c r="C64" t="s" s="4">
        <v>351</v>
      </c>
      <c r="D64" t="s" s="5">
        <v>1019</v>
      </c>
    </row>
    <row r="65">
      <c r="B65" t="s" s="3">
        <v>1020</v>
      </c>
      <c r="C65" s="3"/>
      <c r="D65" s="3"/>
    </row>
    <row r="66">
      <c r="B66" s="4"/>
      <c r="C66" t="s" s="4">
        <v>14</v>
      </c>
      <c r="D66" t="s" s="5">
        <v>1021</v>
      </c>
    </row>
    <row r="67">
      <c r="B67" t="s" s="3">
        <v>1027</v>
      </c>
      <c r="C67" s="3"/>
      <c r="D67" s="3"/>
    </row>
    <row r="68">
      <c r="B68" s="4"/>
      <c r="C68" t="s" s="4">
        <v>14</v>
      </c>
      <c r="D68" t="s" s="5">
        <v>1028</v>
      </c>
    </row>
    <row r="69">
      <c r="B69" t="s" s="3">
        <v>1030</v>
      </c>
      <c r="C69" s="3"/>
      <c r="D69" s="3"/>
    </row>
    <row r="70">
      <c r="B70" s="4"/>
      <c r="C70" t="s" s="4">
        <v>5</v>
      </c>
      <c r="D70" t="s" s="5">
        <v>1031</v>
      </c>
    </row>
    <row r="71">
      <c r="B71" t="s" s="3">
        <v>1043</v>
      </c>
      <c r="C71" s="3"/>
      <c r="D71" s="3"/>
    </row>
    <row r="72">
      <c r="B72" s="4"/>
      <c r="C72" t="s" s="4">
        <v>1044</v>
      </c>
      <c r="D72" t="s" s="5">
        <v>1045</v>
      </c>
    </row>
  </sheetData>
  <mergeCells count="1">
    <mergeCell ref="B3:D3"/>
  </mergeCells>
  <hyperlinks>
    <hyperlink ref="D10" location="'Y2027 NPI - Vendor _TEMPLATE_ -'!R1C1" tooltip="" display="Y2027 NPI - Vendor _TEMPLATE_ -"/>
    <hyperlink ref="D11" location="'Y2027 NPI - Vendor _TEMPLATE_ 1'!R2C1" tooltip="" display="Y2027 NPI - Vendor _TEMPLATE_ 1"/>
    <hyperlink ref="D12" location="'Y2027 NPI - Vendor _TEMPLATE_ 2'!R2C1" tooltip="" display="Y2027 NPI - Vendor _TEMPLATE_ 2"/>
    <hyperlink ref="D13" location="'Y2027 NPI - Vendor _TEMPLATE_ 3'!R1C1" tooltip="" display="Y2027 NPI - Vendor _TEMPLATE_ 3"/>
    <hyperlink ref="D15" location="'Vendor Status'!R2C1" tooltip="" display="Vendor Status"/>
    <hyperlink ref="D17" location="'2027 NPI Supportability Summary'!R2C2" tooltip="" display="2027 NPI Supportability Summary"/>
    <hyperlink ref="D19" location="'TE 2027 New Development Station'!R2C1" tooltip="" display="TE 2027 New Development Station"/>
    <hyperlink ref="D21" location="'AE_SAE_ME 2027 New Development '!R2C1" tooltip="" display="AE_SAE_ME 2027 New Development "/>
    <hyperlink ref="D23" location="'AE DFM 2027 New Development Sta'!R2C1" tooltip="" display="AE DFM 2027 New Development Sta"/>
    <hyperlink ref="D25" location="'Y2027 NPI - PRM (Anna) - 4_23v '!R2C1" tooltip="" display="Y2027 NPI - PRM (Anna) - 4_23v "/>
    <hyperlink ref="D26" location="'Y2027 NPI - PRM (Anna) - 4_23v1'!R2C1" tooltip="" display="Y2027 NPI - PRM (Anna) - 4_23v1"/>
    <hyperlink ref="D27" location="'Y2027 NPI - PRM (Anna) - 4_23v2'!R2C1" tooltip="" display="Y2027 NPI - PRM (Anna) - 4_23v2"/>
    <hyperlink ref="D29" location="'Y2027 NPI - Innorev (Fiona) - R'!R2C1" tooltip="" display="Y2027 NPI - Innorev (Fiona) - R"/>
    <hyperlink ref="D30" location="'Y2027 NPI - Innorev (Fiona) - Y'!R2C1" tooltip="" display="Y2027 NPI - Innorev (Fiona) - Y"/>
    <hyperlink ref="D32" location="'Y2027 NPI - JLK (Sean) - Resour'!R2C1" tooltip="" display="Y2027 NPI - JLK (Sean) - Resour"/>
    <hyperlink ref="D33" location="'Y2027 NPI - JLK (Sean) - Y2026 '!R2C1" tooltip="" display="Y2027 NPI - JLK (Sean) - Y2026 "/>
    <hyperlink ref="D35" location="'Y2027 NPI - JLK IN 5_18v - Reso'!R2C1" tooltip="" display="Y2027 NPI - JLK IN 5_18v - Reso"/>
    <hyperlink ref="D36" location="'Y2027 NPI - JLK IN 5_18v - Y202'!R2C1" tooltip="" display="Y2027 NPI - JLK IN 5_18v - Y202"/>
    <hyperlink ref="D38" location="'Y2027 NPI - VVDN IN 5_18 - Reso'!R2C1" tooltip="" display="Y2027 NPI - VVDN IN 5_18 - Reso"/>
    <hyperlink ref="D39" location="'Y2027 NPI - VVDN IN 5_18 - Y202'!R2C1" tooltip="" display="Y2027 NPI - VVDN IN 5_18 - Y202"/>
    <hyperlink ref="D41" location="'Y2027 NPI - Cencorp (Rick) - Re'!R2C1" tooltip="" display="Y2027 NPI - Cencorp (Rick) - Re"/>
    <hyperlink ref="D42" location="'Y2027 NPI - Cencorp (Rick) - Y2'!R2C1" tooltip="" display="Y2027 NPI - Cencorp (Rick) - Y2"/>
    <hyperlink ref="D43" location="'Y2027 NPI - Cencorp (Rick) - Y1'!R2C1" tooltip="" display="Y2027 NPI - Cencorp (Rick) - Y1"/>
    <hyperlink ref="D44" location="'Y2027 NPI - Cencorp (Rick) - Y3'!R2C1" tooltip="" display="Y2027 NPI - Cencorp (Rick) - Y3"/>
    <hyperlink ref="D46" location="'Y2027 NPI - HVS (Gene) - Resour'!R2C1" tooltip="" display="Y2027 NPI - HVS (Gene) - Resour"/>
    <hyperlink ref="D47" location="'Y2027 NPI - HVS (Gene) - Y2026 '!R2C1" tooltip="" display="Y2027 NPI - HVS (Gene) - Y2026 "/>
    <hyperlink ref="D48" location="'Y2027 NPI - HVS (Gene) - Y2027 '!R2C1" tooltip="" display="Y2027 NPI - HVS (Gene) - Y2027 "/>
    <hyperlink ref="D49" location="'Y2027 NPI - HVS (Gene) - Drawin'!R1C1" tooltip="" display="Y2027 NPI - HVS (Gene) - Drawin"/>
    <hyperlink ref="D51" location="'Y2027 NPI - Pantamaster (JS) - '!R2C1" tooltip="" display="Y2027 NPI - Pantamaster (JS) - "/>
    <hyperlink ref="D52" location="'Y2027 NPI - Pantamaster (JS) -1'!R2C1" tooltip="" display="Y2027 NPI - Pantamaster (JS) -1"/>
    <hyperlink ref="D54" location="'Y2027 NPI - CYG (Rick) - Resour'!R2C1" tooltip="" display="Y2027 NPI - CYG (Rick) - Resour"/>
    <hyperlink ref="D55" location="'Y2027 NPI - CYG (Rick) - Y2027 '!R2C1" tooltip="" display="Y2027 NPI - CYG (Rick) - Y2027 "/>
    <hyperlink ref="D56" location="'Y2027 NPI - CYG (Rick) - Y2026 '!R2C1" tooltip="" display="Y2027 NPI - CYG (Rick) - Y2026 "/>
    <hyperlink ref="D58" location="'Y2027 NPI - Nextas (Jessie) - R'!R2C1" tooltip="" display="Y2027 NPI - Nextas (Jessie) - R"/>
    <hyperlink ref="D59" location="'Y2027 NPI - Nextas (Jessie) - Y'!R2C1" tooltip="" display="Y2027 NPI - Nextas (Jessie) - Y"/>
    <hyperlink ref="D61" location="'Summary_Draft - 2027 NPI Suppor'!R3C2" tooltip="" display="Summary_Draft - 2027 NPI Suppor"/>
    <hyperlink ref="D63" location="'Y2027 NPI - PRM (Anna) - 4_13v '!R2C1" tooltip="" display="Y2027 NPI - PRM (Anna) - 4_13v "/>
    <hyperlink ref="D64" location="'Y2027 NPI - PRM (Anna) - 4_13v1'!R2C1" tooltip="" display="Y2027 NPI - PRM (Anna) - 4_13v1"/>
    <hyperlink ref="D66" location="'Y2027 NPI - Accurate (Pratiksha'!R3C2" tooltip="" display="Y2027 NPI - Accurate (Pratiksha"/>
    <hyperlink ref="D68" location="'Y2027 NPI - SFO (Ankan) - 5_18 '!R3C2" tooltip="" display="Y2027 NPI - SFO (Ankan) - 5_18 "/>
    <hyperlink ref="D70" location="'_old_ 2027 NPI Supportability S'!R2C2" tooltip="" display="_old_ 2027 NPI Supportability S"/>
    <hyperlink ref="D72" location="'Sheet 1 - Commercial Levers'!R2C1" tooltip="" display="Sheet 1 - Commercial Levers"/>
  </hyperlinks>
</worksheet>
</file>

<file path=xl/worksheets/sheet2.xml><?xml version="1.0" encoding="utf-8"?>
<worksheet xmlns:r="http://schemas.openxmlformats.org/officeDocument/2006/relationships" xmlns="http://schemas.openxmlformats.org/spreadsheetml/2006/main">
  <sheetPr>
    <pageSetUpPr fitToPage="1"/>
  </sheetPr>
  <dimension ref="A1:D3"/>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2" width="24.9375" style="6" customWidth="1"/>
    <col min="3" max="3" width="9.17188" style="6" customWidth="1"/>
    <col min="4" max="4" width="50" style="6" customWidth="1"/>
    <col min="5" max="16384" width="16.3516" style="6" customWidth="1"/>
  </cols>
  <sheetData>
    <row r="1" ht="20.35" customHeight="1">
      <c r="A1" t="s" s="7">
        <v>7</v>
      </c>
      <c r="B1" s="8"/>
      <c r="C1" s="8"/>
      <c r="D1" s="8"/>
    </row>
    <row r="2" ht="80" customHeight="1">
      <c r="A2" t="s" s="9">
        <v>8</v>
      </c>
      <c r="B2" t="s" s="9">
        <v>9</v>
      </c>
      <c r="C2" t="s" s="9">
        <v>10</v>
      </c>
      <c r="D2" t="s" s="9">
        <v>11</v>
      </c>
    </row>
    <row r="3" ht="104.05" customHeight="1">
      <c r="A3" s="10"/>
      <c r="B3" t="s" s="10">
        <v>12</v>
      </c>
      <c r="C3" t="s" s="11">
        <v>13</v>
      </c>
      <c r="D3" s="12"/>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K12"/>
  <sheetViews>
    <sheetView workbookViewId="0" showGridLines="0" defaultGridColor="1">
      <pane topLeftCell="C4" xSplit="2" ySplit="3" activePane="bottomRight" state="frozen"/>
    </sheetView>
  </sheetViews>
  <sheetFormatPr defaultColWidth="16.3333" defaultRowHeight="19.9" customHeight="1" outlineLevelRow="0" outlineLevelCol="0"/>
  <cols>
    <col min="1" max="2" width="10.7969" style="13" customWidth="1"/>
    <col min="3" max="4" width="16.6797" style="13" customWidth="1"/>
    <col min="5" max="6" width="19.1797" style="13" customWidth="1"/>
    <col min="7" max="7" width="16.2266" style="13" customWidth="1"/>
    <col min="8" max="11" width="16.6797" style="13" customWidth="1"/>
    <col min="12" max="16384" width="16.3516" style="13" customWidth="1"/>
  </cols>
  <sheetData>
    <row r="1" ht="28" customHeight="1">
      <c r="A1" t="s" s="14">
        <v>14</v>
      </c>
      <c r="B1" s="14"/>
      <c r="C1" s="14"/>
      <c r="D1" s="14"/>
      <c r="E1" s="14"/>
      <c r="F1" s="14"/>
      <c r="G1" s="14"/>
      <c r="H1" s="14"/>
      <c r="I1" s="14"/>
      <c r="J1" s="14"/>
      <c r="K1" s="14"/>
    </row>
    <row r="2" ht="20.35" customHeight="1">
      <c r="A2" t="s" s="15">
        <v>16</v>
      </c>
      <c r="B2" s="8"/>
      <c r="C2" s="8"/>
      <c r="D2" s="8"/>
      <c r="E2" s="8"/>
      <c r="F2" s="8"/>
      <c r="G2" s="8"/>
      <c r="H2" s="8"/>
      <c r="I2" s="8"/>
      <c r="J2" s="8"/>
      <c r="K2" s="8"/>
    </row>
    <row r="3" ht="80" customHeight="1">
      <c r="A3" t="s" s="9">
        <v>17</v>
      </c>
      <c r="B3" t="s" s="9">
        <v>18</v>
      </c>
      <c r="C3" t="s" s="9">
        <v>19</v>
      </c>
      <c r="D3" t="s" s="9">
        <v>20</v>
      </c>
      <c r="E3" t="s" s="9">
        <v>21</v>
      </c>
      <c r="F3" t="s" s="9">
        <v>22</v>
      </c>
      <c r="G3" t="s" s="9">
        <v>23</v>
      </c>
      <c r="H3" t="s" s="9">
        <v>24</v>
      </c>
      <c r="I3" t="s" s="9">
        <v>25</v>
      </c>
      <c r="J3" t="s" s="9">
        <v>26</v>
      </c>
      <c r="K3" t="s" s="9">
        <v>27</v>
      </c>
    </row>
    <row r="4" ht="30" customHeight="1">
      <c r="A4" s="16"/>
      <c r="B4" t="s" s="17">
        <v>28</v>
      </c>
      <c r="C4" s="18" cm="1">
        <f t="array" ref="C4">SUM(E4:E11/SUM(D4:D11))</f>
      </c>
      <c r="D4" s="19"/>
      <c r="E4" s="19"/>
      <c r="F4" s="19"/>
      <c r="G4" t="s" s="20">
        <v>29</v>
      </c>
      <c r="H4" t="s" s="20">
        <v>30</v>
      </c>
      <c r="I4" t="s" s="20">
        <v>30</v>
      </c>
      <c r="J4" t="s" s="20">
        <v>30</v>
      </c>
      <c r="K4" t="s" s="20">
        <v>30</v>
      </c>
    </row>
    <row r="5" ht="30" customHeight="1">
      <c r="A5" s="21"/>
      <c r="B5" t="s" s="22">
        <v>31</v>
      </c>
      <c r="C5" s="23"/>
      <c r="D5" s="24"/>
      <c r="E5" s="24"/>
      <c r="F5" s="24"/>
      <c r="G5" s="25"/>
      <c r="H5" s="25"/>
      <c r="I5" s="25"/>
      <c r="J5" s="25"/>
      <c r="K5" s="25"/>
    </row>
    <row r="6" ht="30" customHeight="1">
      <c r="A6" s="21"/>
      <c r="B6" t="s" s="22">
        <v>32</v>
      </c>
      <c r="C6" s="23"/>
      <c r="D6" s="24"/>
      <c r="E6" s="24"/>
      <c r="F6" s="24"/>
      <c r="G6" s="25"/>
      <c r="H6" s="25"/>
      <c r="I6" s="25"/>
      <c r="J6" s="25"/>
      <c r="K6" s="25"/>
    </row>
    <row r="7" ht="30" customHeight="1">
      <c r="A7" s="21"/>
      <c r="B7" t="s" s="22">
        <v>33</v>
      </c>
      <c r="C7" s="23"/>
      <c r="D7" s="24"/>
      <c r="E7" s="24"/>
      <c r="F7" s="24"/>
      <c r="G7" s="25"/>
      <c r="H7" s="25"/>
      <c r="I7" s="25"/>
      <c r="J7" s="25"/>
      <c r="K7" s="25"/>
    </row>
    <row r="8" ht="30" customHeight="1">
      <c r="A8" s="21"/>
      <c r="B8" t="s" s="22">
        <v>34</v>
      </c>
      <c r="C8" s="23"/>
      <c r="D8" s="24"/>
      <c r="E8" s="24"/>
      <c r="F8" s="24"/>
      <c r="G8" s="25"/>
      <c r="H8" s="25"/>
      <c r="I8" s="25"/>
      <c r="J8" s="25"/>
      <c r="K8" s="25"/>
    </row>
    <row r="9" ht="30" customHeight="1">
      <c r="A9" s="21"/>
      <c r="B9" t="s" s="22">
        <v>35</v>
      </c>
      <c r="C9" s="23"/>
      <c r="D9" s="24"/>
      <c r="E9" s="24"/>
      <c r="F9" s="24"/>
      <c r="G9" s="24"/>
      <c r="H9" s="24"/>
      <c r="I9" s="24"/>
      <c r="J9" s="24"/>
      <c r="K9" s="24"/>
    </row>
    <row r="10" ht="30" customHeight="1">
      <c r="A10" s="21"/>
      <c r="B10" t="s" s="22">
        <v>36</v>
      </c>
      <c r="C10" s="23"/>
      <c r="D10" s="24"/>
      <c r="E10" s="24"/>
      <c r="F10" s="24"/>
      <c r="G10" s="24"/>
      <c r="H10" s="24"/>
      <c r="I10" s="24"/>
      <c r="J10" s="24"/>
      <c r="K10" s="24"/>
    </row>
    <row r="11" ht="30" customHeight="1">
      <c r="A11" s="21"/>
      <c r="B11" t="s" s="22">
        <v>37</v>
      </c>
      <c r="C11" s="23"/>
      <c r="D11" s="24"/>
      <c r="E11" s="24"/>
      <c r="F11" s="24"/>
      <c r="G11" s="24"/>
      <c r="H11" s="24"/>
      <c r="I11" s="24"/>
      <c r="J11" s="24"/>
      <c r="K11" s="24"/>
    </row>
    <row r="12" ht="30" customHeight="1">
      <c r="A12" s="21"/>
      <c r="B12" t="s" s="22">
        <v>38</v>
      </c>
      <c r="C12" s="26"/>
      <c r="D12" s="27" cm="1">
        <f t="array" ref="D12">SUM(D4:D11)</f>
        <v>0</v>
      </c>
      <c r="E12" s="27" cm="1">
        <f t="array" ref="E12">SUM(E4:E11)</f>
        <v>0</v>
      </c>
      <c r="F12" s="27" cm="1">
        <f t="array" ref="F12">SUM(F4:F11)</f>
        <v>0</v>
      </c>
      <c r="G12" s="24"/>
      <c r="H12" s="24"/>
      <c r="I12" s="24"/>
      <c r="J12" s="24"/>
      <c r="K12" s="24"/>
    </row>
  </sheetData>
  <mergeCells count="8">
    <mergeCell ref="A1:K1"/>
    <mergeCell ref="G4:G8"/>
    <mergeCell ref="H4:H8"/>
    <mergeCell ref="I4:I8"/>
    <mergeCell ref="J4:J8"/>
    <mergeCell ref="K4:K8"/>
    <mergeCell ref="C4:C11"/>
    <mergeCell ref="A2:K2"/>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J15"/>
  <sheetViews>
    <sheetView workbookViewId="0" showGridLines="0" defaultGridColor="1">
      <pane topLeftCell="C4" xSplit="2" ySplit="3" activePane="bottomRight" state="frozen"/>
    </sheetView>
  </sheetViews>
  <sheetFormatPr defaultColWidth="16.3333" defaultRowHeight="19.9" customHeight="1" outlineLevelRow="0" outlineLevelCol="0"/>
  <cols>
    <col min="1" max="1" width="12.3594" style="28" customWidth="1"/>
    <col min="2" max="10" width="20.8203" style="28" customWidth="1"/>
    <col min="11" max="16384" width="16.3516" style="28" customWidth="1"/>
  </cols>
  <sheetData>
    <row r="1" ht="28" customHeight="1">
      <c r="A1" t="s" s="29">
        <v>39</v>
      </c>
      <c r="B1" s="29"/>
      <c r="C1" s="29"/>
      <c r="D1" s="29"/>
      <c r="E1" s="29"/>
      <c r="F1" s="29"/>
      <c r="G1" s="29"/>
      <c r="H1" s="29"/>
      <c r="I1" s="29"/>
      <c r="J1" s="29"/>
    </row>
    <row r="2" ht="27.55" customHeight="1">
      <c r="A2" t="s" s="15">
        <v>16</v>
      </c>
      <c r="B2" s="8"/>
      <c r="C2" s="8"/>
      <c r="D2" s="8"/>
      <c r="E2" s="8"/>
      <c r="F2" s="8"/>
      <c r="G2" s="8"/>
      <c r="H2" s="8"/>
      <c r="I2" s="8"/>
      <c r="J2" s="8"/>
    </row>
    <row r="3" ht="27.55" customHeight="1">
      <c r="A3" t="s" s="30">
        <v>17</v>
      </c>
      <c r="B3" t="s" s="30">
        <v>41</v>
      </c>
      <c r="C3" s="31"/>
      <c r="D3" s="31"/>
      <c r="E3" s="31"/>
      <c r="F3" s="31"/>
      <c r="G3" s="31"/>
      <c r="H3" s="31"/>
      <c r="I3" s="31"/>
      <c r="J3" s="31"/>
    </row>
    <row r="4" ht="35.2" customHeight="1">
      <c r="A4" s="32"/>
      <c r="B4" t="s" s="33">
        <v>42</v>
      </c>
      <c r="C4" s="34"/>
      <c r="D4" s="35"/>
      <c r="E4" s="35"/>
      <c r="F4" s="35"/>
      <c r="G4" s="35"/>
      <c r="H4" s="35"/>
      <c r="I4" s="35"/>
      <c r="J4" s="35"/>
    </row>
    <row r="5" ht="27.7" customHeight="1">
      <c r="A5" s="36"/>
      <c r="B5" t="s" s="37">
        <v>43</v>
      </c>
      <c r="C5" s="38"/>
      <c r="D5" s="39"/>
      <c r="E5" s="39"/>
      <c r="F5" s="39"/>
      <c r="G5" s="39"/>
      <c r="H5" s="39"/>
      <c r="I5" s="39"/>
      <c r="J5" s="39"/>
    </row>
    <row r="6" ht="30.2" customHeight="1">
      <c r="A6" s="40"/>
      <c r="B6" t="s" s="41">
        <v>44</v>
      </c>
      <c r="C6" s="42"/>
      <c r="D6" s="43"/>
      <c r="E6" s="43"/>
      <c r="F6" s="43"/>
      <c r="G6" s="43"/>
      <c r="H6" s="43"/>
      <c r="I6" s="43"/>
      <c r="J6" s="43"/>
    </row>
    <row r="7" ht="22.1" customHeight="1">
      <c r="A7" s="16"/>
      <c r="B7" t="s" s="17">
        <v>28</v>
      </c>
      <c r="C7" s="44"/>
      <c r="D7" s="19"/>
      <c r="E7" s="19"/>
      <c r="F7" s="19"/>
      <c r="G7" s="19"/>
      <c r="H7" s="19"/>
      <c r="I7" s="19"/>
      <c r="J7" s="19"/>
    </row>
    <row r="8" ht="22.1" customHeight="1">
      <c r="A8" s="21"/>
      <c r="B8" t="s" s="22">
        <v>31</v>
      </c>
      <c r="C8" s="45"/>
      <c r="D8" s="24"/>
      <c r="E8" s="24"/>
      <c r="F8" s="24"/>
      <c r="G8" s="24"/>
      <c r="H8" s="24"/>
      <c r="I8" s="24"/>
      <c r="J8" s="24"/>
    </row>
    <row r="9" ht="22.1" customHeight="1">
      <c r="A9" s="21"/>
      <c r="B9" t="s" s="22">
        <v>32</v>
      </c>
      <c r="C9" s="45"/>
      <c r="D9" s="24"/>
      <c r="E9" s="24"/>
      <c r="F9" s="24"/>
      <c r="G9" s="24"/>
      <c r="H9" s="24"/>
      <c r="I9" s="24"/>
      <c r="J9" s="24"/>
    </row>
    <row r="10" ht="22.1" customHeight="1">
      <c r="A10" s="21"/>
      <c r="B10" t="s" s="22">
        <v>33</v>
      </c>
      <c r="C10" s="45"/>
      <c r="D10" s="24"/>
      <c r="E10" s="24"/>
      <c r="F10" s="24"/>
      <c r="G10" s="24"/>
      <c r="H10" s="24"/>
      <c r="I10" s="24"/>
      <c r="J10" s="24"/>
    </row>
    <row r="11" ht="22.1" customHeight="1">
      <c r="A11" s="21"/>
      <c r="B11" t="s" s="22">
        <v>34</v>
      </c>
      <c r="C11" s="45"/>
      <c r="D11" s="24"/>
      <c r="E11" s="24"/>
      <c r="F11" s="24"/>
      <c r="G11" s="24"/>
      <c r="H11" s="24"/>
      <c r="I11" s="24"/>
      <c r="J11" s="24"/>
    </row>
    <row r="12" ht="22.1" customHeight="1">
      <c r="A12" s="21"/>
      <c r="B12" t="s" s="22">
        <v>37</v>
      </c>
      <c r="C12" s="45"/>
      <c r="D12" s="24"/>
      <c r="E12" s="24"/>
      <c r="F12" s="24"/>
      <c r="G12" s="24"/>
      <c r="H12" s="24"/>
      <c r="I12" s="24"/>
      <c r="J12" s="24"/>
    </row>
    <row r="13" ht="22.1" customHeight="1">
      <c r="A13" s="21"/>
      <c r="B13" t="s" s="22">
        <v>35</v>
      </c>
      <c r="C13" s="45"/>
      <c r="D13" s="24"/>
      <c r="E13" s="24"/>
      <c r="F13" s="24"/>
      <c r="G13" s="24"/>
      <c r="H13" s="24"/>
      <c r="I13" s="24"/>
      <c r="J13" s="24"/>
    </row>
    <row r="14" ht="22.1" customHeight="1">
      <c r="A14" s="21"/>
      <c r="B14" t="s" s="22">
        <v>36</v>
      </c>
      <c r="C14" s="45"/>
      <c r="D14" s="24"/>
      <c r="E14" s="24"/>
      <c r="F14" s="24"/>
      <c r="G14" s="24"/>
      <c r="H14" s="24"/>
      <c r="I14" s="24"/>
      <c r="J14" s="24"/>
    </row>
    <row r="15" ht="22.1" customHeight="1">
      <c r="A15" s="21"/>
      <c r="B15" t="s" s="22">
        <v>37</v>
      </c>
      <c r="C15" s="45"/>
      <c r="D15" s="24"/>
      <c r="E15" s="24"/>
      <c r="F15" s="24"/>
      <c r="G15" s="24"/>
      <c r="H15" s="24"/>
      <c r="I15" s="24"/>
      <c r="J15" s="24"/>
    </row>
  </sheetData>
  <mergeCells count="2">
    <mergeCell ref="A1:J1"/>
    <mergeCell ref="A2:J2"/>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5.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1" right="1" top="1" bottom="1" header="0.25" footer="0.25"/>
  <pageSetup firstPageNumber="1" fitToHeight="1" fitToWidth="1" scale="100" useFirstPageNumber="0" orientation="portrait" pageOrder="downThenOver"/>
  <headerFooter>
    <oddFooter>&amp;C&amp;"Helvetica Neue,Regular"&amp;11&amp;K000000&amp;P</oddFooter>
  </headerFooter>
  <drawing r:id="rId1"/>
</worksheet>
</file>

<file path=xl/worksheets/sheet6.xml><?xml version="1.0" encoding="utf-8"?>
<worksheet xmlns:r="http://schemas.openxmlformats.org/officeDocument/2006/relationships" xmlns="http://schemas.openxmlformats.org/spreadsheetml/2006/main">
  <sheetPr>
    <pageSetUpPr fitToPage="1"/>
  </sheetPr>
  <dimension ref="A2:E1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46" customWidth="1"/>
    <col min="6" max="16384" width="16.3516" style="46" customWidth="1"/>
  </cols>
  <sheetData>
    <row r="1" ht="27.65" customHeight="1">
      <c r="A1" t="s" s="47">
        <v>48</v>
      </c>
      <c r="B1" s="47"/>
      <c r="C1" s="47"/>
      <c r="D1" s="47"/>
      <c r="E1" s="47"/>
    </row>
    <row r="2" ht="44.25" customHeight="1">
      <c r="A2" s="48"/>
      <c r="B2" t="s" s="49">
        <v>49</v>
      </c>
      <c r="C2" t="s" s="49">
        <v>50</v>
      </c>
      <c r="D2" s="48"/>
      <c r="E2" s="48"/>
    </row>
    <row r="3" ht="20.25" customHeight="1">
      <c r="A3" t="s" s="50">
        <v>51</v>
      </c>
      <c r="B3" s="51"/>
      <c r="C3" s="52"/>
      <c r="D3" s="52"/>
      <c r="E3" s="52"/>
    </row>
    <row r="4" ht="20.05" customHeight="1">
      <c r="A4" t="s" s="53">
        <v>52</v>
      </c>
      <c r="B4" t="s" s="54">
        <v>53</v>
      </c>
      <c r="C4" t="s" s="55">
        <v>54</v>
      </c>
      <c r="D4" s="25"/>
      <c r="E4" s="25"/>
    </row>
    <row r="5" ht="20.05" customHeight="1">
      <c r="A5" t="s" s="53">
        <v>55</v>
      </c>
      <c r="B5" s="23"/>
      <c r="C5" s="25"/>
      <c r="D5" s="25"/>
      <c r="E5" s="25"/>
    </row>
    <row r="6" ht="20.05" customHeight="1">
      <c r="A6" t="s" s="53">
        <v>56</v>
      </c>
      <c r="B6" t="s" s="54">
        <v>53</v>
      </c>
      <c r="C6" t="s" s="55">
        <v>57</v>
      </c>
      <c r="D6" s="25"/>
      <c r="E6" s="25"/>
    </row>
    <row r="7" ht="20.05" customHeight="1">
      <c r="A7" t="s" s="53">
        <v>58</v>
      </c>
      <c r="B7" t="s" s="54">
        <v>53</v>
      </c>
      <c r="C7" t="s" s="55">
        <v>59</v>
      </c>
      <c r="D7" s="25"/>
      <c r="E7" s="25"/>
    </row>
    <row r="8" ht="20.05" customHeight="1">
      <c r="A8" t="s" s="53">
        <v>60</v>
      </c>
      <c r="B8" s="23"/>
      <c r="C8" s="25"/>
      <c r="D8" s="25"/>
      <c r="E8" s="25"/>
    </row>
    <row r="9" ht="20.05" customHeight="1">
      <c r="A9" t="s" s="53">
        <v>61</v>
      </c>
      <c r="B9" s="23"/>
      <c r="C9" s="25"/>
      <c r="D9" s="25"/>
      <c r="E9" s="25"/>
    </row>
    <row r="10" ht="20.05" customHeight="1">
      <c r="A10" t="s" s="53">
        <v>62</v>
      </c>
      <c r="B10" s="23"/>
      <c r="C10" s="25"/>
      <c r="D10" s="25"/>
      <c r="E10" s="25"/>
    </row>
    <row r="11" ht="20.05" customHeight="1">
      <c r="A11" t="s" s="53">
        <v>63</v>
      </c>
      <c r="B11" s="23"/>
      <c r="C11" s="25"/>
      <c r="D11" s="25"/>
      <c r="E11" s="25"/>
    </row>
    <row r="12" ht="20.05" customHeight="1">
      <c r="A12" t="s" s="53">
        <v>64</v>
      </c>
      <c r="B12" t="s" s="54">
        <v>53</v>
      </c>
      <c r="C12" t="s" s="55">
        <v>57</v>
      </c>
      <c r="D12" s="25"/>
      <c r="E12" s="25"/>
    </row>
    <row r="13" ht="20.05" customHeight="1">
      <c r="A13" t="s" s="53">
        <v>65</v>
      </c>
      <c r="B13" s="23"/>
      <c r="C13" s="25"/>
      <c r="D13" s="25"/>
      <c r="E13" s="25"/>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B2:K16"/>
  <sheetViews>
    <sheetView workbookViewId="0" showGridLines="0" defaultGridColor="1">
      <pane topLeftCell="C4" xSplit="2" ySplit="3" activePane="bottomRight" state="frozen"/>
    </sheetView>
  </sheetViews>
  <sheetFormatPr defaultColWidth="16.3333" defaultRowHeight="19.9" customHeight="1" outlineLevelRow="0" outlineLevelCol="0"/>
  <cols>
    <col min="1" max="1" width="1.07031" style="56" customWidth="1"/>
    <col min="2" max="2" width="13.3516" style="56" customWidth="1"/>
    <col min="3" max="4" width="24.9375" style="56" customWidth="1"/>
    <col min="5" max="5" width="9.17188" style="56" customWidth="1"/>
    <col min="6" max="6" width="50" style="56" customWidth="1"/>
    <col min="7" max="7" width="53.2266" style="56" customWidth="1"/>
    <col min="8" max="11" width="18.2969" style="56" customWidth="1"/>
    <col min="12" max="16384" width="16.3516" style="56" customWidth="1"/>
  </cols>
  <sheetData>
    <row r="1" ht="34.55" customHeight="1"/>
    <row r="2" ht="33.7" customHeight="1">
      <c r="B2" t="s" s="57">
        <v>67</v>
      </c>
      <c r="C2" s="8"/>
      <c r="D2" s="8"/>
      <c r="E2" t="s" s="58">
        <v>68</v>
      </c>
      <c r="F2" s="8"/>
      <c r="G2" s="8"/>
      <c r="H2" t="s" s="59">
        <v>69</v>
      </c>
      <c r="I2" s="8"/>
      <c r="J2" s="60"/>
      <c r="K2" s="8"/>
    </row>
    <row r="3" ht="80" customHeight="1">
      <c r="B3" t="s" s="9">
        <v>70</v>
      </c>
      <c r="C3" t="s" s="9">
        <v>8</v>
      </c>
      <c r="D3" t="s" s="9">
        <v>9</v>
      </c>
      <c r="E3" t="s" s="9">
        <v>10</v>
      </c>
      <c r="F3" t="s" s="9">
        <v>11</v>
      </c>
      <c r="G3" t="s" s="9">
        <v>71</v>
      </c>
      <c r="H3" t="s" s="9">
        <v>72</v>
      </c>
      <c r="I3" t="s" s="9">
        <v>73</v>
      </c>
      <c r="J3" t="s" s="9">
        <v>74</v>
      </c>
      <c r="K3" t="s" s="9">
        <v>75</v>
      </c>
    </row>
    <row r="4" ht="104.05" customHeight="1">
      <c r="B4" t="s" s="17">
        <v>76</v>
      </c>
      <c r="C4" t="s" s="61">
        <v>77</v>
      </c>
      <c r="D4" t="s" s="10">
        <v>78</v>
      </c>
      <c r="E4" s="62">
        <v>0.8100000000000001</v>
      </c>
      <c r="F4" t="s" s="63">
        <v>79</v>
      </c>
      <c r="G4" t="s" s="10">
        <v>80</v>
      </c>
      <c r="H4" t="s" s="20">
        <v>81</v>
      </c>
      <c r="I4" t="s" s="20">
        <v>81</v>
      </c>
      <c r="J4" t="s" s="20">
        <v>81</v>
      </c>
      <c r="K4" t="s" s="20">
        <v>81</v>
      </c>
    </row>
    <row r="5" ht="188.35" customHeight="1">
      <c r="B5" t="s" s="22">
        <v>82</v>
      </c>
      <c r="C5" t="s" s="64">
        <v>83</v>
      </c>
      <c r="D5" t="s" s="65">
        <v>84</v>
      </c>
      <c r="E5" s="66">
        <v>0.67</v>
      </c>
      <c r="F5" t="s" s="67">
        <v>85</v>
      </c>
      <c r="G5" t="s" s="67">
        <v>86</v>
      </c>
      <c r="H5" t="s" s="68">
        <v>81</v>
      </c>
      <c r="I5" t="s" s="68">
        <v>81</v>
      </c>
      <c r="J5" t="s" s="68">
        <v>81</v>
      </c>
      <c r="K5" t="s" s="68">
        <v>81</v>
      </c>
    </row>
    <row r="6" ht="212.35" customHeight="1">
      <c r="B6" t="s" s="22">
        <v>87</v>
      </c>
      <c r="C6" t="s" s="64">
        <v>88</v>
      </c>
      <c r="D6" t="s" s="69">
        <v>89</v>
      </c>
      <c r="E6" s="66">
        <v>0.51</v>
      </c>
      <c r="F6" t="s" s="70">
        <v>90</v>
      </c>
      <c r="G6" t="s" s="67">
        <v>91</v>
      </c>
      <c r="H6" t="s" s="68">
        <v>81</v>
      </c>
      <c r="I6" t="s" s="68">
        <v>81</v>
      </c>
      <c r="J6" t="s" s="68">
        <v>81</v>
      </c>
      <c r="K6" t="s" s="68">
        <v>81</v>
      </c>
    </row>
    <row r="7" ht="176.35" customHeight="1">
      <c r="B7" t="s" s="22">
        <v>92</v>
      </c>
      <c r="C7" t="s" s="64">
        <v>93</v>
      </c>
      <c r="D7" t="s" s="69">
        <v>94</v>
      </c>
      <c r="E7" s="66">
        <v>0.64</v>
      </c>
      <c r="F7" t="s" s="70">
        <v>95</v>
      </c>
      <c r="G7" t="s" s="67">
        <v>96</v>
      </c>
      <c r="H7" t="s" s="68">
        <v>81</v>
      </c>
      <c r="I7" t="s" s="68">
        <v>81</v>
      </c>
      <c r="J7" t="s" s="68">
        <v>81</v>
      </c>
      <c r="K7" t="s" s="68">
        <v>81</v>
      </c>
    </row>
    <row r="8" ht="152.35" customHeight="1">
      <c r="B8" t="s" s="22">
        <v>97</v>
      </c>
      <c r="C8" t="s" s="64">
        <v>98</v>
      </c>
      <c r="D8" t="s" s="65">
        <v>99</v>
      </c>
      <c r="E8" s="66">
        <v>0.59</v>
      </c>
      <c r="F8" t="s" s="67">
        <v>100</v>
      </c>
      <c r="G8" t="s" s="67">
        <v>101</v>
      </c>
      <c r="H8" t="s" s="68">
        <v>81</v>
      </c>
      <c r="I8" t="s" s="68">
        <v>81</v>
      </c>
      <c r="J8" t="s" s="68">
        <v>81</v>
      </c>
      <c r="K8" t="s" s="68">
        <v>81</v>
      </c>
    </row>
    <row r="9" ht="104.05" customHeight="1">
      <c r="B9" t="s" s="22">
        <v>102</v>
      </c>
      <c r="C9" t="s" s="71">
        <v>103</v>
      </c>
      <c r="D9" t="s" s="65">
        <v>99</v>
      </c>
      <c r="E9" s="66" cm="1">
        <f t="array" ref="E9">'Y2027 NPI - Pantamaster (JS) - '!C3</f>
        <v>0.5390625</v>
      </c>
      <c r="F9" t="s" s="67">
        <v>104</v>
      </c>
      <c r="G9" s="72"/>
      <c r="H9" t="s" s="68">
        <v>81</v>
      </c>
      <c r="I9" t="s" s="68">
        <v>81</v>
      </c>
      <c r="J9" t="s" s="68">
        <v>81</v>
      </c>
      <c r="K9" t="s" s="68">
        <v>81</v>
      </c>
    </row>
    <row r="10" ht="104.05" customHeight="1">
      <c r="B10" t="s" s="22">
        <v>105</v>
      </c>
      <c r="C10" t="s" s="64">
        <v>106</v>
      </c>
      <c r="D10" t="s" s="65">
        <v>99</v>
      </c>
      <c r="E10" s="66">
        <v>0.48</v>
      </c>
      <c r="F10" t="s" s="67">
        <v>107</v>
      </c>
      <c r="G10" t="s" s="67">
        <v>108</v>
      </c>
      <c r="H10" t="s" s="68">
        <v>81</v>
      </c>
      <c r="I10" t="s" s="68">
        <v>81</v>
      </c>
      <c r="J10" t="s" s="68">
        <v>81</v>
      </c>
      <c r="K10" t="s" s="68">
        <v>81</v>
      </c>
    </row>
    <row r="11" ht="104.05" customHeight="1">
      <c r="B11" t="s" s="22">
        <v>109</v>
      </c>
      <c r="C11" t="s" s="64">
        <v>110</v>
      </c>
      <c r="D11" t="s" s="65">
        <v>99</v>
      </c>
      <c r="E11" s="66">
        <v>0.16</v>
      </c>
      <c r="F11" t="s" s="67">
        <v>111</v>
      </c>
      <c r="G11" s="72"/>
      <c r="H11" t="s" s="68">
        <v>81</v>
      </c>
      <c r="I11" t="s" s="68">
        <v>81</v>
      </c>
      <c r="J11" t="s" s="68">
        <v>81</v>
      </c>
      <c r="K11" t="s" s="68">
        <v>81</v>
      </c>
    </row>
    <row r="12" ht="104.05" customHeight="1">
      <c r="B12" t="s" s="22">
        <v>58</v>
      </c>
      <c r="C12" t="s" s="64">
        <v>112</v>
      </c>
      <c r="D12" t="s" s="65">
        <v>99</v>
      </c>
      <c r="E12" s="66">
        <v>0.71</v>
      </c>
      <c r="F12" t="s" s="70">
        <v>113</v>
      </c>
      <c r="G12" t="s" s="73">
        <v>114</v>
      </c>
      <c r="H12" t="s" s="68">
        <v>81</v>
      </c>
      <c r="I12" t="s" s="68">
        <v>81</v>
      </c>
      <c r="J12" t="s" s="68">
        <v>81</v>
      </c>
      <c r="K12" t="s" s="68">
        <v>81</v>
      </c>
    </row>
    <row r="13" ht="104.05" customHeight="1">
      <c r="B13" t="s" s="22">
        <v>61</v>
      </c>
      <c r="C13" t="s" s="64">
        <v>115</v>
      </c>
      <c r="D13" t="s" s="65">
        <v>116</v>
      </c>
      <c r="E13" s="74">
        <v>0.6</v>
      </c>
      <c r="F13" t="s" s="67">
        <v>117</v>
      </c>
      <c r="G13" t="s" s="67">
        <v>118</v>
      </c>
      <c r="H13" t="s" s="68">
        <v>81</v>
      </c>
      <c r="I13" t="s" s="68">
        <v>81</v>
      </c>
      <c r="J13" t="s" s="68">
        <v>81</v>
      </c>
      <c r="K13" t="s" s="68">
        <v>81</v>
      </c>
    </row>
    <row r="14" ht="104.05" customHeight="1">
      <c r="B14" t="s" s="22">
        <v>60</v>
      </c>
      <c r="C14" t="s" s="64">
        <v>115</v>
      </c>
      <c r="D14" t="s" s="65">
        <v>99</v>
      </c>
      <c r="E14" s="66">
        <v>0.74</v>
      </c>
      <c r="F14" t="s" s="70">
        <v>119</v>
      </c>
      <c r="G14" t="s" s="70">
        <v>120</v>
      </c>
      <c r="H14" t="s" s="68">
        <v>81</v>
      </c>
      <c r="I14" t="s" s="68">
        <v>81</v>
      </c>
      <c r="J14" t="s" s="68">
        <v>81</v>
      </c>
      <c r="K14" t="s" s="68">
        <v>81</v>
      </c>
    </row>
    <row r="15" ht="104.05" customHeight="1">
      <c r="B15" t="s" s="22">
        <v>62</v>
      </c>
      <c r="C15" t="s" s="64">
        <v>115</v>
      </c>
      <c r="D15" t="s" s="65">
        <v>121</v>
      </c>
      <c r="E15" s="66">
        <v>0.39</v>
      </c>
      <c r="F15" t="s" s="67">
        <v>122</v>
      </c>
      <c r="G15" t="s" s="70">
        <v>123</v>
      </c>
      <c r="H15" t="s" s="68">
        <v>81</v>
      </c>
      <c r="I15" t="s" s="68">
        <v>81</v>
      </c>
      <c r="J15" t="s" s="68">
        <v>81</v>
      </c>
      <c r="K15" t="s" s="68">
        <v>81</v>
      </c>
    </row>
    <row r="16" ht="104.05" customHeight="1">
      <c r="B16" s="75"/>
      <c r="C16" s="64"/>
      <c r="D16" s="65"/>
      <c r="E16" s="76"/>
      <c r="F16" s="77"/>
      <c r="G16" s="72"/>
      <c r="H16" s="24"/>
      <c r="I16" s="24"/>
      <c r="J16" s="24"/>
      <c r="K16" s="24"/>
    </row>
  </sheetData>
  <mergeCells count="3">
    <mergeCell ref="E2:G2"/>
    <mergeCell ref="B2:D2"/>
    <mergeCell ref="H2:K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2:P76"/>
  <sheetViews>
    <sheetView workbookViewId="0" showGridLines="0" defaultGridColor="1">
      <pane topLeftCell="D3" xSplit="3" ySplit="2" activePane="bottomRight" state="frozen"/>
    </sheetView>
  </sheetViews>
  <sheetFormatPr defaultColWidth="16.3333" defaultRowHeight="19.9" customHeight="1" outlineLevelRow="0" outlineLevelCol="0"/>
  <cols>
    <col min="1" max="1" width="8.35156" style="78" customWidth="1"/>
    <col min="2" max="3" width="16.3516" style="78" customWidth="1"/>
    <col min="4" max="4" width="10.0391" style="78" customWidth="1"/>
    <col min="5" max="5" width="22.1406" style="78" customWidth="1"/>
    <col min="6" max="6" width="9.95312" style="78" customWidth="1"/>
    <col min="7" max="7" width="8.375" style="78" customWidth="1"/>
    <col min="8" max="8" width="15.2812" style="78" customWidth="1"/>
    <col min="9" max="9" width="11.3828" style="78" customWidth="1"/>
    <col min="10" max="10" width="11.7266" style="78" customWidth="1"/>
    <col min="11" max="11" width="12.9531" style="78" customWidth="1"/>
    <col min="12" max="12" width="9.36719" style="78" customWidth="1"/>
    <col min="13" max="13" width="14.6406" style="78" customWidth="1"/>
    <col min="14" max="14" width="12.1875" style="78" customWidth="1"/>
    <col min="15" max="15" width="39.3594" style="78" customWidth="1"/>
    <col min="16" max="16" width="40.9609" style="78" customWidth="1"/>
    <col min="17" max="16384" width="16.3516" style="78" customWidth="1"/>
  </cols>
  <sheetData>
    <row r="1" ht="27.65" customHeight="1">
      <c r="A1" t="s" s="47">
        <v>125</v>
      </c>
      <c r="B1" s="47"/>
      <c r="C1" s="47"/>
      <c r="D1" s="47"/>
      <c r="E1" s="47"/>
      <c r="F1" s="47"/>
      <c r="G1" s="47"/>
      <c r="H1" s="47"/>
      <c r="I1" s="47"/>
      <c r="J1" s="47"/>
      <c r="K1" s="47"/>
      <c r="L1" s="47"/>
      <c r="M1" s="47"/>
      <c r="N1" s="47"/>
      <c r="O1" s="47"/>
      <c r="P1" s="47"/>
    </row>
    <row r="2" ht="56.85" customHeight="1">
      <c r="A2" s="79"/>
      <c r="B2" t="s" s="80">
        <v>127</v>
      </c>
      <c r="C2" t="s" s="80">
        <v>128</v>
      </c>
      <c r="D2" t="s" s="80">
        <v>42</v>
      </c>
      <c r="E2" t="s" s="80">
        <v>129</v>
      </c>
      <c r="F2" t="s" s="80">
        <v>130</v>
      </c>
      <c r="G2" t="s" s="80">
        <v>131</v>
      </c>
      <c r="H2" t="s" s="80">
        <v>132</v>
      </c>
      <c r="I2" t="s" s="80">
        <v>133</v>
      </c>
      <c r="J2" t="s" s="80">
        <v>134</v>
      </c>
      <c r="K2" t="s" s="80">
        <v>135</v>
      </c>
      <c r="L2" t="s" s="80">
        <v>136</v>
      </c>
      <c r="M2" t="s" s="80">
        <v>137</v>
      </c>
      <c r="N2" t="s" s="80">
        <v>138</v>
      </c>
      <c r="O2" t="s" s="81">
        <v>139</v>
      </c>
      <c r="P2" t="s" s="80">
        <v>140</v>
      </c>
    </row>
    <row r="3" ht="21.7" customHeight="1">
      <c r="A3" t="s" s="82">
        <v>141</v>
      </c>
      <c r="B3" s="83"/>
      <c r="C3" s="83"/>
      <c r="D3" s="83"/>
      <c r="E3" s="83"/>
      <c r="F3" s="83"/>
      <c r="G3" s="83"/>
      <c r="H3" s="83"/>
      <c r="I3" s="83"/>
      <c r="J3" s="83"/>
      <c r="K3" s="83"/>
      <c r="L3" s="83"/>
      <c r="M3" s="83"/>
      <c r="N3" s="83"/>
      <c r="O3" s="83"/>
      <c r="P3" s="83"/>
    </row>
    <row r="4" ht="21.05" customHeight="1">
      <c r="A4" t="s" s="84">
        <v>142</v>
      </c>
      <c r="B4" s="85"/>
      <c r="C4" s="85"/>
      <c r="D4" s="85"/>
      <c r="E4" s="85"/>
      <c r="F4" s="85"/>
      <c r="G4" s="85"/>
      <c r="H4" s="85"/>
      <c r="I4" s="85"/>
      <c r="J4" s="85"/>
      <c r="K4" s="85"/>
      <c r="L4" s="85"/>
      <c r="M4" s="85"/>
      <c r="N4" s="85"/>
      <c r="O4" s="85"/>
      <c r="P4" s="85"/>
    </row>
    <row r="5" ht="32.25" customHeight="1">
      <c r="A5" s="86"/>
      <c r="B5" t="s" s="87">
        <v>143</v>
      </c>
      <c r="C5" t="s" s="50">
        <v>144</v>
      </c>
      <c r="D5" t="s" s="88">
        <v>141</v>
      </c>
      <c r="E5" t="s" s="89">
        <v>142</v>
      </c>
      <c r="F5" t="s" s="89">
        <v>145</v>
      </c>
      <c r="G5" s="52"/>
      <c r="H5" t="s" s="89">
        <v>51</v>
      </c>
      <c r="I5" t="s" s="89">
        <v>146</v>
      </c>
      <c r="J5" t="s" s="89">
        <v>146</v>
      </c>
      <c r="K5" t="s" s="89">
        <v>147</v>
      </c>
      <c r="L5" s="90">
        <v>46127</v>
      </c>
      <c r="M5" t="s" s="89">
        <v>148</v>
      </c>
      <c r="N5" s="52"/>
      <c r="O5" t="s" s="89">
        <v>149</v>
      </c>
      <c r="P5" t="s" s="89">
        <v>150</v>
      </c>
    </row>
    <row r="6" ht="20.05" customHeight="1">
      <c r="A6" s="91"/>
      <c r="B6" t="s" s="92">
        <v>143</v>
      </c>
      <c r="C6" t="s" s="53">
        <v>144</v>
      </c>
      <c r="D6" t="s" s="54">
        <v>141</v>
      </c>
      <c r="E6" t="s" s="55">
        <v>142</v>
      </c>
      <c r="F6" t="s" s="55">
        <v>145</v>
      </c>
      <c r="G6" s="25"/>
      <c r="H6" t="s" s="55">
        <v>151</v>
      </c>
      <c r="I6" t="s" s="55">
        <v>152</v>
      </c>
      <c r="J6" t="s" s="55">
        <v>146</v>
      </c>
      <c r="K6" t="s" s="55">
        <v>147</v>
      </c>
      <c r="L6" s="93">
        <v>46127</v>
      </c>
      <c r="M6" t="s" s="55">
        <v>148</v>
      </c>
      <c r="N6" s="25"/>
      <c r="O6" t="s" s="55">
        <v>149</v>
      </c>
      <c r="P6" s="25"/>
    </row>
    <row r="7" ht="32.05" customHeight="1">
      <c r="A7" s="91"/>
      <c r="B7" t="s" s="92">
        <v>143</v>
      </c>
      <c r="C7" t="s" s="53">
        <v>144</v>
      </c>
      <c r="D7" t="s" s="54">
        <v>141</v>
      </c>
      <c r="E7" t="s" s="55">
        <v>142</v>
      </c>
      <c r="F7" t="s" s="55">
        <v>145</v>
      </c>
      <c r="G7" s="25"/>
      <c r="H7" t="s" s="55">
        <v>56</v>
      </c>
      <c r="I7" t="s" s="55">
        <v>146</v>
      </c>
      <c r="J7" t="s" s="55">
        <v>146</v>
      </c>
      <c r="K7" t="s" s="55">
        <v>147</v>
      </c>
      <c r="L7" s="93">
        <v>46127</v>
      </c>
      <c r="M7" t="s" s="55">
        <v>148</v>
      </c>
      <c r="N7" s="25"/>
      <c r="O7" t="s" s="55">
        <v>149</v>
      </c>
      <c r="P7" t="s" s="55">
        <v>153</v>
      </c>
    </row>
    <row r="8" ht="44.05" customHeight="1">
      <c r="A8" s="91"/>
      <c r="B8" t="s" s="92">
        <v>143</v>
      </c>
      <c r="C8" t="s" s="53">
        <v>144</v>
      </c>
      <c r="D8" t="s" s="54">
        <v>141</v>
      </c>
      <c r="E8" t="s" s="55">
        <v>142</v>
      </c>
      <c r="F8" t="s" s="55">
        <v>145</v>
      </c>
      <c r="G8" s="25"/>
      <c r="H8" t="s" s="55">
        <v>154</v>
      </c>
      <c r="I8" t="s" s="55">
        <v>152</v>
      </c>
      <c r="J8" t="s" s="55">
        <v>146</v>
      </c>
      <c r="K8" t="s" s="55">
        <v>147</v>
      </c>
      <c r="L8" s="93">
        <v>46127</v>
      </c>
      <c r="M8" t="s" s="55">
        <v>148</v>
      </c>
      <c r="N8" s="25"/>
      <c r="O8" t="s" s="55">
        <v>155</v>
      </c>
      <c r="P8" s="25"/>
    </row>
    <row r="9" ht="32.05" customHeight="1">
      <c r="A9" s="91"/>
      <c r="B9" t="s" s="92">
        <v>143</v>
      </c>
      <c r="C9" t="s" s="53">
        <v>144</v>
      </c>
      <c r="D9" t="s" s="54">
        <v>141</v>
      </c>
      <c r="E9" t="s" s="55">
        <v>142</v>
      </c>
      <c r="F9" t="s" s="55">
        <v>145</v>
      </c>
      <c r="G9" s="25"/>
      <c r="H9" t="s" s="55">
        <v>52</v>
      </c>
      <c r="I9" t="s" s="55">
        <v>146</v>
      </c>
      <c r="J9" t="s" s="55">
        <v>146</v>
      </c>
      <c r="K9" t="s" s="55">
        <v>147</v>
      </c>
      <c r="L9" s="93">
        <v>46127</v>
      </c>
      <c r="M9" t="s" s="55">
        <v>148</v>
      </c>
      <c r="N9" s="25"/>
      <c r="O9" t="s" s="55">
        <v>156</v>
      </c>
      <c r="P9" s="25"/>
    </row>
    <row r="10" ht="20.85" customHeight="1">
      <c r="A10" s="94"/>
      <c r="B10" t="s" s="95">
        <v>143</v>
      </c>
      <c r="C10" t="s" s="96">
        <v>144</v>
      </c>
      <c r="D10" t="s" s="97">
        <v>141</v>
      </c>
      <c r="E10" t="s" s="98">
        <v>142</v>
      </c>
      <c r="F10" t="s" s="98">
        <v>145</v>
      </c>
      <c r="G10" s="99"/>
      <c r="H10" t="s" s="98">
        <v>60</v>
      </c>
      <c r="I10" t="s" s="98">
        <v>152</v>
      </c>
      <c r="J10" t="s" s="98">
        <v>146</v>
      </c>
      <c r="K10" t="s" s="98">
        <v>147</v>
      </c>
      <c r="L10" s="100">
        <v>46127</v>
      </c>
      <c r="M10" t="s" s="98">
        <v>148</v>
      </c>
      <c r="N10" s="99"/>
      <c r="O10" s="99"/>
      <c r="P10" t="s" s="98">
        <v>157</v>
      </c>
    </row>
    <row r="11" ht="21.05" customHeight="1">
      <c r="A11" t="s" s="84">
        <v>158</v>
      </c>
      <c r="B11" s="85"/>
      <c r="C11" s="85"/>
      <c r="D11" s="85"/>
      <c r="E11" s="85"/>
      <c r="F11" s="85"/>
      <c r="G11" s="85"/>
      <c r="H11" s="85"/>
      <c r="I11" s="85"/>
      <c r="J11" s="85"/>
      <c r="K11" s="85"/>
      <c r="L11" s="85"/>
      <c r="M11" s="85"/>
      <c r="N11" s="85"/>
      <c r="O11" s="85"/>
      <c r="P11" s="85"/>
    </row>
    <row r="12" ht="20.25" customHeight="1">
      <c r="A12" s="86"/>
      <c r="B12" t="s" s="87">
        <v>143</v>
      </c>
      <c r="C12" t="s" s="50">
        <v>144</v>
      </c>
      <c r="D12" t="s" s="88">
        <v>141</v>
      </c>
      <c r="E12" t="s" s="89">
        <v>158</v>
      </c>
      <c r="F12" t="s" s="89">
        <v>145</v>
      </c>
      <c r="G12" s="52"/>
      <c r="H12" t="s" s="89">
        <v>51</v>
      </c>
      <c r="I12" t="s" s="89">
        <v>146</v>
      </c>
      <c r="J12" t="s" s="89">
        <v>146</v>
      </c>
      <c r="K12" t="s" s="89">
        <v>147</v>
      </c>
      <c r="L12" s="90">
        <v>46127</v>
      </c>
      <c r="M12" t="s" s="89">
        <v>148</v>
      </c>
      <c r="N12" s="52"/>
      <c r="O12" t="s" s="89">
        <v>159</v>
      </c>
      <c r="P12" t="s" s="89">
        <v>160</v>
      </c>
    </row>
    <row r="13" ht="20.05" customHeight="1">
      <c r="A13" s="91"/>
      <c r="B13" t="s" s="92">
        <v>143</v>
      </c>
      <c r="C13" t="s" s="53">
        <v>144</v>
      </c>
      <c r="D13" t="s" s="54">
        <v>141</v>
      </c>
      <c r="E13" t="s" s="55">
        <v>158</v>
      </c>
      <c r="F13" t="s" s="55">
        <v>145</v>
      </c>
      <c r="G13" s="25"/>
      <c r="H13" t="s" s="55">
        <v>151</v>
      </c>
      <c r="I13" t="s" s="55">
        <v>152</v>
      </c>
      <c r="J13" t="s" s="55">
        <v>146</v>
      </c>
      <c r="K13" t="s" s="55">
        <v>147</v>
      </c>
      <c r="L13" s="93">
        <v>46127</v>
      </c>
      <c r="M13" t="s" s="55">
        <v>148</v>
      </c>
      <c r="N13" s="25"/>
      <c r="O13" t="s" s="55">
        <v>149</v>
      </c>
      <c r="P13" s="25"/>
    </row>
    <row r="14" ht="44.05" customHeight="1">
      <c r="A14" s="91"/>
      <c r="B14" t="s" s="92">
        <v>143</v>
      </c>
      <c r="C14" t="s" s="53">
        <v>144</v>
      </c>
      <c r="D14" t="s" s="54">
        <v>141</v>
      </c>
      <c r="E14" t="s" s="55">
        <v>158</v>
      </c>
      <c r="F14" t="s" s="55">
        <v>145</v>
      </c>
      <c r="G14" s="25"/>
      <c r="H14" t="s" s="55">
        <v>56</v>
      </c>
      <c r="I14" t="s" s="55">
        <v>146</v>
      </c>
      <c r="J14" t="s" s="55">
        <v>146</v>
      </c>
      <c r="K14" t="s" s="55">
        <v>147</v>
      </c>
      <c r="L14" s="93">
        <v>46127</v>
      </c>
      <c r="M14" t="s" s="55">
        <v>148</v>
      </c>
      <c r="N14" s="25"/>
      <c r="O14" t="s" s="55">
        <v>161</v>
      </c>
      <c r="P14" s="25"/>
    </row>
    <row r="15" ht="32.05" customHeight="1">
      <c r="A15" s="91"/>
      <c r="B15" t="s" s="92">
        <v>143</v>
      </c>
      <c r="C15" t="s" s="53">
        <v>144</v>
      </c>
      <c r="D15" t="s" s="54">
        <v>141</v>
      </c>
      <c r="E15" t="s" s="55">
        <v>158</v>
      </c>
      <c r="F15" t="s" s="55">
        <v>145</v>
      </c>
      <c r="G15" s="25"/>
      <c r="H15" t="s" s="55">
        <v>154</v>
      </c>
      <c r="I15" t="s" s="55">
        <v>152</v>
      </c>
      <c r="J15" t="s" s="55">
        <v>146</v>
      </c>
      <c r="K15" t="s" s="55">
        <v>147</v>
      </c>
      <c r="L15" s="93">
        <v>46127</v>
      </c>
      <c r="M15" t="s" s="55">
        <v>148</v>
      </c>
      <c r="N15" s="25"/>
      <c r="O15" t="s" s="55">
        <v>162</v>
      </c>
      <c r="P15" t="s" s="55">
        <v>163</v>
      </c>
    </row>
    <row r="16" ht="20.85" customHeight="1">
      <c r="A16" s="94"/>
      <c r="B16" t="s" s="95">
        <v>143</v>
      </c>
      <c r="C16" t="s" s="96">
        <v>144</v>
      </c>
      <c r="D16" t="s" s="97">
        <v>141</v>
      </c>
      <c r="E16" t="s" s="98">
        <v>158</v>
      </c>
      <c r="F16" t="s" s="98">
        <v>145</v>
      </c>
      <c r="G16" s="99"/>
      <c r="H16" t="s" s="98">
        <v>60</v>
      </c>
      <c r="I16" t="s" s="98">
        <v>152</v>
      </c>
      <c r="J16" t="s" s="98">
        <v>146</v>
      </c>
      <c r="K16" t="s" s="98">
        <v>147</v>
      </c>
      <c r="L16" s="100">
        <v>46127</v>
      </c>
      <c r="M16" t="s" s="98">
        <v>148</v>
      </c>
      <c r="N16" s="99"/>
      <c r="O16" s="99"/>
      <c r="P16" t="s" s="98">
        <v>157</v>
      </c>
    </row>
    <row r="17" ht="21.05" customHeight="1">
      <c r="A17" t="s" s="84">
        <v>164</v>
      </c>
      <c r="B17" s="85"/>
      <c r="C17" s="85"/>
      <c r="D17" s="85"/>
      <c r="E17" s="85"/>
      <c r="F17" s="85"/>
      <c r="G17" s="85"/>
      <c r="H17" s="85"/>
      <c r="I17" s="85"/>
      <c r="J17" s="85"/>
      <c r="K17" s="85"/>
      <c r="L17" s="85"/>
      <c r="M17" s="85"/>
      <c r="N17" s="85"/>
      <c r="O17" s="85"/>
      <c r="P17" s="85"/>
    </row>
    <row r="18" ht="20.25" customHeight="1">
      <c r="A18" s="86"/>
      <c r="B18" t="s" s="87">
        <v>143</v>
      </c>
      <c r="C18" t="s" s="50">
        <v>144</v>
      </c>
      <c r="D18" t="s" s="88">
        <v>141</v>
      </c>
      <c r="E18" t="s" s="89">
        <v>164</v>
      </c>
      <c r="F18" t="s" s="89">
        <v>145</v>
      </c>
      <c r="G18" s="52"/>
      <c r="H18" t="s" s="89">
        <v>51</v>
      </c>
      <c r="I18" t="s" s="89">
        <v>146</v>
      </c>
      <c r="J18" t="s" s="89">
        <v>146</v>
      </c>
      <c r="K18" t="s" s="89">
        <v>147</v>
      </c>
      <c r="L18" s="90">
        <v>46127</v>
      </c>
      <c r="M18" t="s" s="89">
        <v>148</v>
      </c>
      <c r="N18" s="52"/>
      <c r="O18" t="s" s="89">
        <v>149</v>
      </c>
      <c r="P18" s="52"/>
    </row>
    <row r="19" ht="32.05" customHeight="1">
      <c r="A19" s="91"/>
      <c r="B19" t="s" s="92">
        <v>143</v>
      </c>
      <c r="C19" t="s" s="53">
        <v>144</v>
      </c>
      <c r="D19" t="s" s="54">
        <v>141</v>
      </c>
      <c r="E19" t="s" s="55">
        <v>164</v>
      </c>
      <c r="F19" t="s" s="55">
        <v>145</v>
      </c>
      <c r="G19" s="25"/>
      <c r="H19" t="s" s="55">
        <v>154</v>
      </c>
      <c r="I19" t="s" s="55">
        <v>152</v>
      </c>
      <c r="J19" t="s" s="55">
        <v>146</v>
      </c>
      <c r="K19" t="s" s="55">
        <v>147</v>
      </c>
      <c r="L19" s="93">
        <v>46127</v>
      </c>
      <c r="M19" t="s" s="55">
        <v>148</v>
      </c>
      <c r="N19" s="25"/>
      <c r="O19" t="s" s="55">
        <v>165</v>
      </c>
      <c r="P19" s="25"/>
    </row>
    <row r="20" ht="20.05" customHeight="1">
      <c r="A20" s="91"/>
      <c r="B20" t="s" s="92">
        <v>143</v>
      </c>
      <c r="C20" t="s" s="53">
        <v>144</v>
      </c>
      <c r="D20" t="s" s="54">
        <v>141</v>
      </c>
      <c r="E20" t="s" s="55">
        <v>164</v>
      </c>
      <c r="F20" t="s" s="55">
        <v>145</v>
      </c>
      <c r="G20" s="25"/>
      <c r="H20" t="s" s="55">
        <v>60</v>
      </c>
      <c r="I20" t="s" s="55">
        <v>152</v>
      </c>
      <c r="J20" t="s" s="55">
        <v>146</v>
      </c>
      <c r="K20" t="s" s="55">
        <v>147</v>
      </c>
      <c r="L20" s="93">
        <v>46127</v>
      </c>
      <c r="M20" t="s" s="55">
        <v>148</v>
      </c>
      <c r="N20" s="25"/>
      <c r="O20" s="25"/>
      <c r="P20" t="s" s="55">
        <v>157</v>
      </c>
    </row>
    <row r="21" ht="32.05" customHeight="1">
      <c r="A21" s="91"/>
      <c r="B21" t="s" s="92">
        <v>143</v>
      </c>
      <c r="C21" t="s" s="53">
        <v>144</v>
      </c>
      <c r="D21" t="s" s="54">
        <v>141</v>
      </c>
      <c r="E21" t="s" s="55">
        <v>164</v>
      </c>
      <c r="F21" t="s" s="55">
        <v>145</v>
      </c>
      <c r="G21" s="25"/>
      <c r="H21" t="s" s="55">
        <v>166</v>
      </c>
      <c r="I21" t="s" s="55">
        <v>152</v>
      </c>
      <c r="J21" t="s" s="55">
        <v>146</v>
      </c>
      <c r="K21" t="s" s="55">
        <v>147</v>
      </c>
      <c r="L21" s="93">
        <v>46127</v>
      </c>
      <c r="M21" t="s" s="55">
        <v>148</v>
      </c>
      <c r="N21" s="25"/>
      <c r="O21" t="s" s="55">
        <v>53</v>
      </c>
      <c r="P21" s="25"/>
    </row>
    <row r="22" ht="20.85" customHeight="1">
      <c r="A22" s="94"/>
      <c r="B22" t="s" s="95">
        <v>143</v>
      </c>
      <c r="C22" t="s" s="96">
        <v>144</v>
      </c>
      <c r="D22" t="s" s="97">
        <v>141</v>
      </c>
      <c r="E22" t="s" s="98">
        <v>164</v>
      </c>
      <c r="F22" t="s" s="98">
        <v>145</v>
      </c>
      <c r="G22" s="99"/>
      <c r="H22" t="s" s="98">
        <v>167</v>
      </c>
      <c r="I22" t="s" s="98">
        <v>146</v>
      </c>
      <c r="J22" t="s" s="98">
        <v>146</v>
      </c>
      <c r="K22" t="s" s="98">
        <v>147</v>
      </c>
      <c r="L22" s="100">
        <v>46127</v>
      </c>
      <c r="M22" t="s" s="98">
        <v>148</v>
      </c>
      <c r="N22" s="99"/>
      <c r="O22" t="s" s="98">
        <v>53</v>
      </c>
      <c r="P22" s="99"/>
    </row>
    <row r="23" ht="21.05" customHeight="1">
      <c r="A23" t="s" s="84">
        <v>168</v>
      </c>
      <c r="B23" s="85"/>
      <c r="C23" s="85"/>
      <c r="D23" s="85"/>
      <c r="E23" s="85"/>
      <c r="F23" s="85"/>
      <c r="G23" s="85"/>
      <c r="H23" s="85"/>
      <c r="I23" s="85"/>
      <c r="J23" s="85"/>
      <c r="K23" s="85"/>
      <c r="L23" s="85"/>
      <c r="M23" s="85"/>
      <c r="N23" s="85"/>
      <c r="O23" s="85"/>
      <c r="P23" s="85"/>
    </row>
    <row r="24" ht="20.25" customHeight="1">
      <c r="A24" s="86"/>
      <c r="B24" t="s" s="87">
        <v>143</v>
      </c>
      <c r="C24" t="s" s="50">
        <v>144</v>
      </c>
      <c r="D24" t="s" s="88">
        <v>141</v>
      </c>
      <c r="E24" t="s" s="89">
        <v>168</v>
      </c>
      <c r="F24" t="s" s="89">
        <v>145</v>
      </c>
      <c r="G24" s="52"/>
      <c r="H24" t="s" s="89">
        <v>51</v>
      </c>
      <c r="I24" t="s" s="89">
        <v>146</v>
      </c>
      <c r="J24" t="s" s="89">
        <v>146</v>
      </c>
      <c r="K24" t="s" s="89">
        <v>147</v>
      </c>
      <c r="L24" s="90">
        <v>46127</v>
      </c>
      <c r="M24" t="s" s="89">
        <v>148</v>
      </c>
      <c r="N24" s="52"/>
      <c r="O24" t="s" s="89">
        <v>149</v>
      </c>
      <c r="P24" s="52"/>
    </row>
    <row r="25" ht="32.05" customHeight="1">
      <c r="A25" s="91"/>
      <c r="B25" t="s" s="92">
        <v>143</v>
      </c>
      <c r="C25" t="s" s="53">
        <v>144</v>
      </c>
      <c r="D25" t="s" s="54">
        <v>141</v>
      </c>
      <c r="E25" t="s" s="55">
        <v>168</v>
      </c>
      <c r="F25" t="s" s="55">
        <v>145</v>
      </c>
      <c r="G25" s="25"/>
      <c r="H25" t="s" s="55">
        <v>154</v>
      </c>
      <c r="I25" t="s" s="55">
        <v>152</v>
      </c>
      <c r="J25" t="s" s="55">
        <v>146</v>
      </c>
      <c r="K25" t="s" s="55">
        <v>147</v>
      </c>
      <c r="L25" s="93">
        <v>46127</v>
      </c>
      <c r="M25" t="s" s="55">
        <v>148</v>
      </c>
      <c r="N25" s="25"/>
      <c r="O25" t="s" s="55">
        <v>165</v>
      </c>
      <c r="P25" s="25"/>
    </row>
    <row r="26" ht="20.05" customHeight="1">
      <c r="A26" s="91"/>
      <c r="B26" t="s" s="92">
        <v>143</v>
      </c>
      <c r="C26" t="s" s="53">
        <v>144</v>
      </c>
      <c r="D26" t="s" s="54">
        <v>141</v>
      </c>
      <c r="E26" t="s" s="55">
        <v>168</v>
      </c>
      <c r="F26" t="s" s="55">
        <v>145</v>
      </c>
      <c r="G26" s="25"/>
      <c r="H26" t="s" s="55">
        <v>60</v>
      </c>
      <c r="I26" t="s" s="55">
        <v>152</v>
      </c>
      <c r="J26" t="s" s="55">
        <v>146</v>
      </c>
      <c r="K26" t="s" s="55">
        <v>147</v>
      </c>
      <c r="L26" s="93">
        <v>46127</v>
      </c>
      <c r="M26" t="s" s="55">
        <v>148</v>
      </c>
      <c r="N26" s="25"/>
      <c r="O26" s="25"/>
      <c r="P26" t="s" s="55">
        <v>157</v>
      </c>
    </row>
    <row r="27" ht="32.05" customHeight="1">
      <c r="A27" s="91"/>
      <c r="B27" t="s" s="92">
        <v>143</v>
      </c>
      <c r="C27" t="s" s="53">
        <v>144</v>
      </c>
      <c r="D27" t="s" s="54">
        <v>141</v>
      </c>
      <c r="E27" t="s" s="55">
        <v>168</v>
      </c>
      <c r="F27" t="s" s="55">
        <v>145</v>
      </c>
      <c r="G27" s="25"/>
      <c r="H27" t="s" s="55">
        <v>166</v>
      </c>
      <c r="I27" t="s" s="55">
        <v>152</v>
      </c>
      <c r="J27" t="s" s="55">
        <v>146</v>
      </c>
      <c r="K27" t="s" s="55">
        <v>147</v>
      </c>
      <c r="L27" s="93">
        <v>46127</v>
      </c>
      <c r="M27" t="s" s="55">
        <v>148</v>
      </c>
      <c r="N27" s="25"/>
      <c r="O27" t="s" s="55">
        <v>53</v>
      </c>
      <c r="P27" s="25"/>
    </row>
    <row r="28" ht="20.85" customHeight="1">
      <c r="A28" s="94"/>
      <c r="B28" t="s" s="95">
        <v>143</v>
      </c>
      <c r="C28" t="s" s="96">
        <v>144</v>
      </c>
      <c r="D28" t="s" s="97">
        <v>141</v>
      </c>
      <c r="E28" t="s" s="98">
        <v>168</v>
      </c>
      <c r="F28" t="s" s="98">
        <v>145</v>
      </c>
      <c r="G28" s="99"/>
      <c r="H28" t="s" s="98">
        <v>167</v>
      </c>
      <c r="I28" t="s" s="98">
        <v>146</v>
      </c>
      <c r="J28" t="s" s="98">
        <v>146</v>
      </c>
      <c r="K28" t="s" s="98">
        <v>147</v>
      </c>
      <c r="L28" s="100">
        <v>46127</v>
      </c>
      <c r="M28" t="s" s="98">
        <v>148</v>
      </c>
      <c r="N28" s="99"/>
      <c r="O28" t="s" s="98">
        <v>53</v>
      </c>
      <c r="P28" s="99"/>
    </row>
    <row r="29" ht="21.05" customHeight="1">
      <c r="A29" t="s" s="84">
        <v>169</v>
      </c>
      <c r="B29" s="85"/>
      <c r="C29" s="85"/>
      <c r="D29" s="85"/>
      <c r="E29" s="85"/>
      <c r="F29" s="85"/>
      <c r="G29" s="85"/>
      <c r="H29" s="85"/>
      <c r="I29" s="85"/>
      <c r="J29" s="85"/>
      <c r="K29" s="85"/>
      <c r="L29" s="85"/>
      <c r="M29" s="85"/>
      <c r="N29" s="85"/>
      <c r="O29" s="85"/>
      <c r="P29" s="85"/>
    </row>
    <row r="30" ht="32.25" customHeight="1">
      <c r="A30" s="86"/>
      <c r="B30" t="s" s="87">
        <v>143</v>
      </c>
      <c r="C30" t="s" s="50">
        <v>144</v>
      </c>
      <c r="D30" t="s" s="88">
        <v>141</v>
      </c>
      <c r="E30" t="s" s="89">
        <v>169</v>
      </c>
      <c r="F30" t="s" s="89">
        <v>145</v>
      </c>
      <c r="G30" s="52"/>
      <c r="H30" t="s" s="89">
        <v>151</v>
      </c>
      <c r="I30" t="s" s="89">
        <v>152</v>
      </c>
      <c r="J30" t="s" s="89">
        <v>146</v>
      </c>
      <c r="K30" t="s" s="89">
        <v>147</v>
      </c>
      <c r="L30" s="90">
        <v>46127</v>
      </c>
      <c r="M30" t="s" s="89">
        <v>148</v>
      </c>
      <c r="N30" t="s" s="89">
        <v>170</v>
      </c>
      <c r="O30" t="s" s="89">
        <v>149</v>
      </c>
      <c r="P30" s="52"/>
    </row>
    <row r="31" ht="20.05" customHeight="1">
      <c r="A31" s="91"/>
      <c r="B31" t="s" s="92">
        <v>143</v>
      </c>
      <c r="C31" t="s" s="53">
        <v>144</v>
      </c>
      <c r="D31" t="s" s="54">
        <v>141</v>
      </c>
      <c r="E31" t="s" s="55">
        <v>169</v>
      </c>
      <c r="F31" t="s" s="55">
        <v>145</v>
      </c>
      <c r="G31" s="25"/>
      <c r="H31" t="s" s="55">
        <v>56</v>
      </c>
      <c r="I31" t="s" s="55">
        <v>146</v>
      </c>
      <c r="J31" t="s" s="55">
        <v>146</v>
      </c>
      <c r="K31" t="s" s="55">
        <v>147</v>
      </c>
      <c r="L31" s="93">
        <v>46127</v>
      </c>
      <c r="M31" t="s" s="55">
        <v>148</v>
      </c>
      <c r="N31" s="25"/>
      <c r="O31" t="s" s="55">
        <v>149</v>
      </c>
      <c r="P31" s="25"/>
    </row>
    <row r="32" ht="32.05" customHeight="1">
      <c r="A32" s="91"/>
      <c r="B32" t="s" s="92">
        <v>143</v>
      </c>
      <c r="C32" t="s" s="53">
        <v>144</v>
      </c>
      <c r="D32" t="s" s="54">
        <v>141</v>
      </c>
      <c r="E32" t="s" s="55">
        <v>169</v>
      </c>
      <c r="F32" t="s" s="55">
        <v>145</v>
      </c>
      <c r="G32" s="25"/>
      <c r="H32" t="s" s="55">
        <v>52</v>
      </c>
      <c r="I32" t="s" s="55">
        <v>146</v>
      </c>
      <c r="J32" t="s" s="55">
        <v>146</v>
      </c>
      <c r="K32" t="s" s="55">
        <v>147</v>
      </c>
      <c r="L32" s="93">
        <v>46127</v>
      </c>
      <c r="M32" t="s" s="55">
        <v>148</v>
      </c>
      <c r="N32" s="25"/>
      <c r="O32" t="s" s="55">
        <v>156</v>
      </c>
      <c r="P32" s="25"/>
    </row>
    <row r="33" ht="20.85" customHeight="1">
      <c r="A33" s="94"/>
      <c r="B33" t="s" s="95">
        <v>143</v>
      </c>
      <c r="C33" t="s" s="96">
        <v>144</v>
      </c>
      <c r="D33" t="s" s="97">
        <v>141</v>
      </c>
      <c r="E33" t="s" s="98">
        <v>169</v>
      </c>
      <c r="F33" t="s" s="98">
        <v>145</v>
      </c>
      <c r="G33" s="99"/>
      <c r="H33" t="s" s="98">
        <v>63</v>
      </c>
      <c r="I33" t="s" s="98">
        <v>152</v>
      </c>
      <c r="J33" t="s" s="98">
        <v>146</v>
      </c>
      <c r="K33" t="s" s="98">
        <v>147</v>
      </c>
      <c r="L33" s="100">
        <v>46127</v>
      </c>
      <c r="M33" t="s" s="98">
        <v>148</v>
      </c>
      <c r="N33" s="99"/>
      <c r="O33" t="s" s="98">
        <v>149</v>
      </c>
      <c r="P33" s="99"/>
    </row>
    <row r="34" ht="21.7" customHeight="1">
      <c r="A34" t="s" s="82">
        <v>171</v>
      </c>
      <c r="B34" s="83"/>
      <c r="C34" s="83"/>
      <c r="D34" s="83"/>
      <c r="E34" s="83"/>
      <c r="F34" s="83"/>
      <c r="G34" s="83"/>
      <c r="H34" s="83"/>
      <c r="I34" s="83"/>
      <c r="J34" s="83"/>
      <c r="K34" s="83"/>
      <c r="L34" s="83"/>
      <c r="M34" s="83"/>
      <c r="N34" s="83"/>
      <c r="O34" s="83"/>
      <c r="P34" s="83"/>
    </row>
    <row r="35" ht="21.05" customHeight="1">
      <c r="A35" t="s" s="84">
        <v>172</v>
      </c>
      <c r="B35" s="85"/>
      <c r="C35" s="85"/>
      <c r="D35" s="85"/>
      <c r="E35" s="85"/>
      <c r="F35" s="85"/>
      <c r="G35" s="85"/>
      <c r="H35" s="85"/>
      <c r="I35" s="85"/>
      <c r="J35" s="85"/>
      <c r="K35" s="85"/>
      <c r="L35" s="85"/>
      <c r="M35" s="85"/>
      <c r="N35" s="85"/>
      <c r="O35" s="85"/>
      <c r="P35" s="85"/>
    </row>
    <row r="36" ht="20.25" customHeight="1">
      <c r="A36" s="86"/>
      <c r="B36" t="s" s="87">
        <v>143</v>
      </c>
      <c r="C36" t="s" s="50">
        <v>173</v>
      </c>
      <c r="D36" t="s" s="88">
        <v>171</v>
      </c>
      <c r="E36" t="s" s="89">
        <v>172</v>
      </c>
      <c r="F36" s="52"/>
      <c r="G36" s="52"/>
      <c r="H36" t="s" s="89">
        <v>51</v>
      </c>
      <c r="I36" t="s" s="89">
        <v>146</v>
      </c>
      <c r="J36" t="s" s="89">
        <v>146</v>
      </c>
      <c r="K36" t="s" s="89">
        <v>174</v>
      </c>
      <c r="L36" s="90">
        <v>46141</v>
      </c>
      <c r="M36" t="s" s="89">
        <v>175</v>
      </c>
      <c r="N36" s="52"/>
      <c r="O36" t="s" s="89">
        <v>149</v>
      </c>
      <c r="P36" s="52"/>
    </row>
    <row r="37" ht="20.05" customHeight="1">
      <c r="A37" s="91"/>
      <c r="B37" t="s" s="92">
        <v>143</v>
      </c>
      <c r="C37" t="s" s="53">
        <v>173</v>
      </c>
      <c r="D37" t="s" s="54">
        <v>171</v>
      </c>
      <c r="E37" t="s" s="55">
        <v>172</v>
      </c>
      <c r="F37" s="25"/>
      <c r="G37" s="25"/>
      <c r="H37" t="s" s="55">
        <v>151</v>
      </c>
      <c r="I37" t="s" s="55">
        <v>152</v>
      </c>
      <c r="J37" t="s" s="55">
        <v>146</v>
      </c>
      <c r="K37" t="s" s="55">
        <v>174</v>
      </c>
      <c r="L37" s="93">
        <v>46141</v>
      </c>
      <c r="M37" t="s" s="55">
        <v>175</v>
      </c>
      <c r="N37" s="25"/>
      <c r="O37" t="s" s="55">
        <v>149</v>
      </c>
      <c r="P37" s="25"/>
    </row>
    <row r="38" ht="32.85" customHeight="1">
      <c r="A38" s="94"/>
      <c r="B38" t="s" s="95">
        <v>143</v>
      </c>
      <c r="C38" t="s" s="96">
        <v>173</v>
      </c>
      <c r="D38" t="s" s="97">
        <v>171</v>
      </c>
      <c r="E38" t="s" s="98">
        <v>172</v>
      </c>
      <c r="F38" s="99"/>
      <c r="G38" s="99"/>
      <c r="H38" t="s" s="98">
        <v>56</v>
      </c>
      <c r="I38" t="s" s="98">
        <v>146</v>
      </c>
      <c r="J38" t="s" s="98">
        <v>146</v>
      </c>
      <c r="K38" t="s" s="98">
        <v>174</v>
      </c>
      <c r="L38" s="100">
        <v>46141</v>
      </c>
      <c r="M38" t="s" s="98">
        <v>175</v>
      </c>
      <c r="N38" s="99"/>
      <c r="O38" t="s" s="98">
        <v>149</v>
      </c>
      <c r="P38" t="s" s="98">
        <v>153</v>
      </c>
    </row>
    <row r="39" ht="21.7" customHeight="1">
      <c r="A39" t="s" s="82">
        <v>176</v>
      </c>
      <c r="B39" s="83"/>
      <c r="C39" s="83"/>
      <c r="D39" s="83"/>
      <c r="E39" s="83"/>
      <c r="F39" s="83"/>
      <c r="G39" s="83"/>
      <c r="H39" s="83"/>
      <c r="I39" s="83"/>
      <c r="J39" s="83"/>
      <c r="K39" s="83"/>
      <c r="L39" s="83"/>
      <c r="M39" s="83"/>
      <c r="N39" s="83"/>
      <c r="O39" s="83"/>
      <c r="P39" s="83"/>
    </row>
    <row r="40" ht="21.05" customHeight="1">
      <c r="A40" t="s" s="84">
        <v>177</v>
      </c>
      <c r="B40" s="85"/>
      <c r="C40" s="85"/>
      <c r="D40" s="85"/>
      <c r="E40" s="85"/>
      <c r="F40" s="85"/>
      <c r="G40" s="85"/>
      <c r="H40" s="85"/>
      <c r="I40" s="85"/>
      <c r="J40" s="85"/>
      <c r="K40" s="85"/>
      <c r="L40" s="85"/>
      <c r="M40" s="85"/>
      <c r="N40" s="85"/>
      <c r="O40" s="85"/>
      <c r="P40" s="85"/>
    </row>
    <row r="41" ht="20.25" customHeight="1">
      <c r="A41" s="86"/>
      <c r="B41" t="s" s="87">
        <v>143</v>
      </c>
      <c r="C41" t="s" s="50">
        <v>178</v>
      </c>
      <c r="D41" t="s" s="88">
        <v>176</v>
      </c>
      <c r="E41" t="s" s="89">
        <v>177</v>
      </c>
      <c r="F41" t="s" s="89">
        <v>145</v>
      </c>
      <c r="G41" s="52"/>
      <c r="H41" t="s" s="89">
        <v>51</v>
      </c>
      <c r="I41" t="s" s="89">
        <v>146</v>
      </c>
      <c r="J41" t="s" s="89">
        <v>146</v>
      </c>
      <c r="K41" t="s" s="89">
        <v>146</v>
      </c>
      <c r="L41" t="s" s="89">
        <v>179</v>
      </c>
      <c r="M41" t="s" s="89">
        <v>175</v>
      </c>
      <c r="N41" s="52"/>
      <c r="O41" t="s" s="89">
        <v>149</v>
      </c>
      <c r="P41" t="s" s="89">
        <v>160</v>
      </c>
    </row>
    <row r="42" ht="20.05" customHeight="1">
      <c r="A42" s="91"/>
      <c r="B42" t="s" s="92">
        <v>143</v>
      </c>
      <c r="C42" t="s" s="53">
        <v>178</v>
      </c>
      <c r="D42" t="s" s="54">
        <v>176</v>
      </c>
      <c r="E42" t="s" s="55">
        <v>177</v>
      </c>
      <c r="F42" t="s" s="55">
        <v>145</v>
      </c>
      <c r="G42" s="25"/>
      <c r="H42" t="s" s="55">
        <v>151</v>
      </c>
      <c r="I42" t="s" s="55">
        <v>180</v>
      </c>
      <c r="J42" t="s" s="55">
        <v>146</v>
      </c>
      <c r="K42" t="s" s="55">
        <v>146</v>
      </c>
      <c r="L42" t="s" s="55">
        <v>179</v>
      </c>
      <c r="M42" t="s" s="55">
        <v>175</v>
      </c>
      <c r="N42" s="25"/>
      <c r="O42" t="s" s="55">
        <v>181</v>
      </c>
      <c r="P42" t="s" s="55">
        <v>160</v>
      </c>
    </row>
    <row r="43" ht="20.05" customHeight="1">
      <c r="A43" s="91"/>
      <c r="B43" t="s" s="92">
        <v>143</v>
      </c>
      <c r="C43" t="s" s="53">
        <v>178</v>
      </c>
      <c r="D43" t="s" s="54">
        <v>176</v>
      </c>
      <c r="E43" t="s" s="55">
        <v>177</v>
      </c>
      <c r="F43" t="s" s="55">
        <v>145</v>
      </c>
      <c r="G43" s="25"/>
      <c r="H43" t="s" s="55">
        <v>52</v>
      </c>
      <c r="I43" t="s" s="55">
        <v>146</v>
      </c>
      <c r="J43" t="s" s="55">
        <v>146</v>
      </c>
      <c r="K43" t="s" s="55">
        <v>146</v>
      </c>
      <c r="L43" t="s" s="55">
        <v>179</v>
      </c>
      <c r="M43" t="s" s="55">
        <v>175</v>
      </c>
      <c r="N43" s="25"/>
      <c r="O43" t="s" s="101">
        <v>182</v>
      </c>
      <c r="P43" t="s" s="55">
        <v>160</v>
      </c>
    </row>
    <row r="44" ht="20.05" customHeight="1">
      <c r="A44" s="91"/>
      <c r="B44" t="s" s="92">
        <v>143</v>
      </c>
      <c r="C44" t="s" s="53">
        <v>178</v>
      </c>
      <c r="D44" t="s" s="54">
        <v>176</v>
      </c>
      <c r="E44" t="s" s="55">
        <v>177</v>
      </c>
      <c r="F44" t="s" s="55">
        <v>145</v>
      </c>
      <c r="G44" s="25"/>
      <c r="H44" t="s" s="55">
        <v>63</v>
      </c>
      <c r="I44" t="s" s="55">
        <v>180</v>
      </c>
      <c r="J44" t="s" s="55">
        <v>146</v>
      </c>
      <c r="K44" t="s" s="55">
        <v>146</v>
      </c>
      <c r="L44" t="s" s="55">
        <v>179</v>
      </c>
      <c r="M44" t="s" s="55">
        <v>175</v>
      </c>
      <c r="N44" s="25"/>
      <c r="O44" t="s" s="101">
        <v>181</v>
      </c>
      <c r="P44" t="s" s="55">
        <v>160</v>
      </c>
    </row>
    <row r="45" ht="54.25" customHeight="1">
      <c r="A45" s="94"/>
      <c r="B45" t="s" s="95">
        <v>143</v>
      </c>
      <c r="C45" t="s" s="96">
        <v>178</v>
      </c>
      <c r="D45" t="s" s="97">
        <v>176</v>
      </c>
      <c r="E45" t="s" s="98">
        <v>177</v>
      </c>
      <c r="F45" t="s" s="98">
        <v>145</v>
      </c>
      <c r="G45" s="99"/>
      <c r="H45" t="s" s="98">
        <v>183</v>
      </c>
      <c r="I45" t="s" s="98">
        <v>180</v>
      </c>
      <c r="J45" t="s" s="98">
        <v>146</v>
      </c>
      <c r="K45" t="s" s="98">
        <v>146</v>
      </c>
      <c r="L45" t="s" s="98">
        <v>179</v>
      </c>
      <c r="M45" t="s" s="98">
        <v>175</v>
      </c>
      <c r="N45" s="99"/>
      <c r="O45" t="s" s="98">
        <v>184</v>
      </c>
      <c r="P45" t="s" s="98">
        <v>160</v>
      </c>
    </row>
    <row r="46" ht="21.05" customHeight="1">
      <c r="A46" t="s" s="84">
        <v>185</v>
      </c>
      <c r="B46" s="85"/>
      <c r="C46" s="85"/>
      <c r="D46" s="85"/>
      <c r="E46" s="85"/>
      <c r="F46" s="85"/>
      <c r="G46" s="85"/>
      <c r="H46" s="85"/>
      <c r="I46" s="85"/>
      <c r="J46" s="85"/>
      <c r="K46" s="85"/>
      <c r="L46" s="85"/>
      <c r="M46" s="85"/>
      <c r="N46" s="85"/>
      <c r="O46" s="85"/>
      <c r="P46" s="85"/>
    </row>
    <row r="47" ht="20.25" customHeight="1">
      <c r="A47" s="86"/>
      <c r="B47" t="s" s="87">
        <v>143</v>
      </c>
      <c r="C47" t="s" s="50">
        <v>178</v>
      </c>
      <c r="D47" t="s" s="88">
        <v>176</v>
      </c>
      <c r="E47" t="s" s="89">
        <v>185</v>
      </c>
      <c r="F47" t="s" s="89">
        <v>145</v>
      </c>
      <c r="G47" s="52"/>
      <c r="H47" t="s" s="89">
        <v>51</v>
      </c>
      <c r="I47" t="s" s="89">
        <v>146</v>
      </c>
      <c r="J47" t="s" s="89">
        <v>146</v>
      </c>
      <c r="K47" t="s" s="89">
        <v>146</v>
      </c>
      <c r="L47" t="s" s="89">
        <v>179</v>
      </c>
      <c r="M47" t="s" s="89">
        <v>175</v>
      </c>
      <c r="N47" s="52"/>
      <c r="O47" t="s" s="89">
        <v>149</v>
      </c>
      <c r="P47" t="s" s="89">
        <v>160</v>
      </c>
    </row>
    <row r="48" ht="20.05" customHeight="1">
      <c r="A48" s="91"/>
      <c r="B48" t="s" s="92">
        <v>143</v>
      </c>
      <c r="C48" t="s" s="53">
        <v>178</v>
      </c>
      <c r="D48" t="s" s="54">
        <v>176</v>
      </c>
      <c r="E48" t="s" s="55">
        <v>185</v>
      </c>
      <c r="F48" t="s" s="55">
        <v>145</v>
      </c>
      <c r="G48" s="25"/>
      <c r="H48" t="s" s="55">
        <v>151</v>
      </c>
      <c r="I48" t="s" s="55">
        <v>180</v>
      </c>
      <c r="J48" t="s" s="55">
        <v>146</v>
      </c>
      <c r="K48" t="s" s="55">
        <v>146</v>
      </c>
      <c r="L48" t="s" s="55">
        <v>179</v>
      </c>
      <c r="M48" t="s" s="55">
        <v>175</v>
      </c>
      <c r="N48" s="25"/>
      <c r="O48" t="s" s="55">
        <v>181</v>
      </c>
      <c r="P48" t="s" s="55">
        <v>160</v>
      </c>
    </row>
    <row r="49" ht="20.05" customHeight="1">
      <c r="A49" s="91"/>
      <c r="B49" t="s" s="92">
        <v>143</v>
      </c>
      <c r="C49" t="s" s="53">
        <v>178</v>
      </c>
      <c r="D49" t="s" s="54">
        <v>176</v>
      </c>
      <c r="E49" t="s" s="55">
        <v>185</v>
      </c>
      <c r="F49" t="s" s="55">
        <v>145</v>
      </c>
      <c r="G49" s="25"/>
      <c r="H49" t="s" s="55">
        <v>52</v>
      </c>
      <c r="I49" t="s" s="55">
        <v>146</v>
      </c>
      <c r="J49" t="s" s="55">
        <v>146</v>
      </c>
      <c r="K49" t="s" s="55">
        <v>146</v>
      </c>
      <c r="L49" t="s" s="55">
        <v>179</v>
      </c>
      <c r="M49" t="s" s="55">
        <v>175</v>
      </c>
      <c r="N49" s="25"/>
      <c r="O49" t="s" s="101">
        <v>182</v>
      </c>
      <c r="P49" t="s" s="55">
        <v>160</v>
      </c>
    </row>
    <row r="50" ht="20.05" customHeight="1">
      <c r="A50" s="91"/>
      <c r="B50" t="s" s="92">
        <v>143</v>
      </c>
      <c r="C50" t="s" s="53">
        <v>178</v>
      </c>
      <c r="D50" t="s" s="54">
        <v>176</v>
      </c>
      <c r="E50" t="s" s="55">
        <v>185</v>
      </c>
      <c r="F50" t="s" s="55">
        <v>145</v>
      </c>
      <c r="G50" s="25"/>
      <c r="H50" t="s" s="55">
        <v>63</v>
      </c>
      <c r="I50" t="s" s="55">
        <v>180</v>
      </c>
      <c r="J50" t="s" s="55">
        <v>146</v>
      </c>
      <c r="K50" t="s" s="55">
        <v>146</v>
      </c>
      <c r="L50" t="s" s="55">
        <v>179</v>
      </c>
      <c r="M50" t="s" s="55">
        <v>175</v>
      </c>
      <c r="N50" s="25"/>
      <c r="O50" t="s" s="101">
        <v>181</v>
      </c>
      <c r="P50" t="s" s="55">
        <v>160</v>
      </c>
    </row>
    <row r="51" ht="54.25" customHeight="1">
      <c r="A51" s="94"/>
      <c r="B51" t="s" s="95">
        <v>143</v>
      </c>
      <c r="C51" t="s" s="96">
        <v>178</v>
      </c>
      <c r="D51" t="s" s="97">
        <v>176</v>
      </c>
      <c r="E51" t="s" s="98">
        <v>185</v>
      </c>
      <c r="F51" t="s" s="98">
        <v>145</v>
      </c>
      <c r="G51" s="99"/>
      <c r="H51" t="s" s="98">
        <v>183</v>
      </c>
      <c r="I51" t="s" s="98">
        <v>180</v>
      </c>
      <c r="J51" t="s" s="98">
        <v>146</v>
      </c>
      <c r="K51" t="s" s="98">
        <v>146</v>
      </c>
      <c r="L51" t="s" s="98">
        <v>179</v>
      </c>
      <c r="M51" t="s" s="98">
        <v>175</v>
      </c>
      <c r="N51" s="99"/>
      <c r="O51" t="s" s="98">
        <v>184</v>
      </c>
      <c r="P51" t="s" s="98">
        <v>160</v>
      </c>
    </row>
    <row r="52" ht="21.05" customHeight="1">
      <c r="A52" t="s" s="84">
        <v>186</v>
      </c>
      <c r="B52" s="85"/>
      <c r="C52" s="85"/>
      <c r="D52" s="85"/>
      <c r="E52" s="85"/>
      <c r="F52" s="85"/>
      <c r="G52" s="85"/>
      <c r="H52" s="85"/>
      <c r="I52" s="85"/>
      <c r="J52" s="85"/>
      <c r="K52" s="85"/>
      <c r="L52" s="85"/>
      <c r="M52" s="85"/>
      <c r="N52" s="85"/>
      <c r="O52" s="85"/>
      <c r="P52" s="85"/>
    </row>
    <row r="53" ht="20.25" customHeight="1">
      <c r="A53" s="86"/>
      <c r="B53" t="s" s="87">
        <v>143</v>
      </c>
      <c r="C53" t="s" s="50">
        <v>178</v>
      </c>
      <c r="D53" t="s" s="88">
        <v>176</v>
      </c>
      <c r="E53" t="s" s="89">
        <v>186</v>
      </c>
      <c r="F53" t="s" s="89">
        <v>145</v>
      </c>
      <c r="G53" s="52"/>
      <c r="H53" t="s" s="89">
        <v>51</v>
      </c>
      <c r="I53" t="s" s="89">
        <v>146</v>
      </c>
      <c r="J53" t="s" s="89">
        <v>146</v>
      </c>
      <c r="K53" t="s" s="89">
        <v>146</v>
      </c>
      <c r="L53" t="s" s="89">
        <v>179</v>
      </c>
      <c r="M53" t="s" s="89">
        <v>175</v>
      </c>
      <c r="N53" s="52"/>
      <c r="O53" t="s" s="89">
        <v>149</v>
      </c>
      <c r="P53" t="s" s="89">
        <v>160</v>
      </c>
    </row>
    <row r="54" ht="20.05" customHeight="1">
      <c r="A54" s="91"/>
      <c r="B54" t="s" s="92">
        <v>143</v>
      </c>
      <c r="C54" t="s" s="53">
        <v>178</v>
      </c>
      <c r="D54" t="s" s="54">
        <v>176</v>
      </c>
      <c r="E54" t="s" s="55">
        <v>186</v>
      </c>
      <c r="F54" t="s" s="55">
        <v>145</v>
      </c>
      <c r="G54" s="25"/>
      <c r="H54" t="s" s="55">
        <v>151</v>
      </c>
      <c r="I54" t="s" s="55">
        <v>180</v>
      </c>
      <c r="J54" t="s" s="55">
        <v>146</v>
      </c>
      <c r="K54" t="s" s="55">
        <v>146</v>
      </c>
      <c r="L54" t="s" s="55">
        <v>179</v>
      </c>
      <c r="M54" t="s" s="55">
        <v>175</v>
      </c>
      <c r="N54" s="25"/>
      <c r="O54" t="s" s="55">
        <v>181</v>
      </c>
      <c r="P54" t="s" s="55">
        <v>160</v>
      </c>
    </row>
    <row r="55" ht="20.05" customHeight="1">
      <c r="A55" s="91"/>
      <c r="B55" t="s" s="92">
        <v>143</v>
      </c>
      <c r="C55" t="s" s="53">
        <v>178</v>
      </c>
      <c r="D55" t="s" s="54">
        <v>176</v>
      </c>
      <c r="E55" t="s" s="55">
        <v>186</v>
      </c>
      <c r="F55" t="s" s="55">
        <v>145</v>
      </c>
      <c r="G55" s="25"/>
      <c r="H55" t="s" s="55">
        <v>52</v>
      </c>
      <c r="I55" t="s" s="55">
        <v>146</v>
      </c>
      <c r="J55" t="s" s="55">
        <v>146</v>
      </c>
      <c r="K55" t="s" s="55">
        <v>146</v>
      </c>
      <c r="L55" t="s" s="55">
        <v>179</v>
      </c>
      <c r="M55" t="s" s="55">
        <v>175</v>
      </c>
      <c r="N55" s="25"/>
      <c r="O55" t="s" s="101">
        <v>182</v>
      </c>
      <c r="P55" t="s" s="55">
        <v>160</v>
      </c>
    </row>
    <row r="56" ht="20.05" customHeight="1">
      <c r="A56" s="91"/>
      <c r="B56" t="s" s="92">
        <v>143</v>
      </c>
      <c r="C56" t="s" s="53">
        <v>178</v>
      </c>
      <c r="D56" t="s" s="54">
        <v>176</v>
      </c>
      <c r="E56" t="s" s="55">
        <v>186</v>
      </c>
      <c r="F56" t="s" s="55">
        <v>145</v>
      </c>
      <c r="G56" s="25"/>
      <c r="H56" t="s" s="55">
        <v>63</v>
      </c>
      <c r="I56" t="s" s="55">
        <v>180</v>
      </c>
      <c r="J56" t="s" s="55">
        <v>146</v>
      </c>
      <c r="K56" t="s" s="55">
        <v>146</v>
      </c>
      <c r="L56" t="s" s="55">
        <v>179</v>
      </c>
      <c r="M56" t="s" s="55">
        <v>175</v>
      </c>
      <c r="N56" s="25"/>
      <c r="O56" t="s" s="101">
        <v>181</v>
      </c>
      <c r="P56" t="s" s="55">
        <v>160</v>
      </c>
    </row>
    <row r="57" ht="54.25" customHeight="1">
      <c r="A57" s="94"/>
      <c r="B57" t="s" s="95">
        <v>143</v>
      </c>
      <c r="C57" t="s" s="96">
        <v>178</v>
      </c>
      <c r="D57" t="s" s="97">
        <v>176</v>
      </c>
      <c r="E57" t="s" s="98">
        <v>186</v>
      </c>
      <c r="F57" t="s" s="98">
        <v>145</v>
      </c>
      <c r="G57" s="99"/>
      <c r="H57" t="s" s="98">
        <v>183</v>
      </c>
      <c r="I57" t="s" s="98">
        <v>180</v>
      </c>
      <c r="J57" t="s" s="98">
        <v>146</v>
      </c>
      <c r="K57" t="s" s="98">
        <v>146</v>
      </c>
      <c r="L57" t="s" s="98">
        <v>179</v>
      </c>
      <c r="M57" t="s" s="98">
        <v>175</v>
      </c>
      <c r="N57" s="99"/>
      <c r="O57" t="s" s="98">
        <v>184</v>
      </c>
      <c r="P57" t="s" s="98">
        <v>160</v>
      </c>
    </row>
    <row r="58" ht="21.05" customHeight="1">
      <c r="A58" t="s" s="84">
        <v>187</v>
      </c>
      <c r="B58" s="85"/>
      <c r="C58" s="85"/>
      <c r="D58" s="85"/>
      <c r="E58" s="85"/>
      <c r="F58" s="85"/>
      <c r="G58" s="85"/>
      <c r="H58" s="85"/>
      <c r="I58" s="85"/>
      <c r="J58" s="85"/>
      <c r="K58" s="85"/>
      <c r="L58" s="85"/>
      <c r="M58" s="85"/>
      <c r="N58" s="85"/>
      <c r="O58" s="85"/>
      <c r="P58" s="85"/>
    </row>
    <row r="59" ht="20.25" customHeight="1">
      <c r="A59" s="86"/>
      <c r="B59" t="s" s="87">
        <v>143</v>
      </c>
      <c r="C59" t="s" s="50">
        <v>178</v>
      </c>
      <c r="D59" t="s" s="88">
        <v>176</v>
      </c>
      <c r="E59" t="s" s="89">
        <v>187</v>
      </c>
      <c r="F59" t="s" s="89">
        <v>145</v>
      </c>
      <c r="G59" s="52"/>
      <c r="H59" t="s" s="89">
        <v>151</v>
      </c>
      <c r="I59" t="s" s="89">
        <v>152</v>
      </c>
      <c r="J59" t="s" s="89">
        <v>146</v>
      </c>
      <c r="K59" t="s" s="89">
        <v>146</v>
      </c>
      <c r="L59" t="s" s="89">
        <v>188</v>
      </c>
      <c r="M59" t="s" s="89">
        <v>175</v>
      </c>
      <c r="N59" s="52"/>
      <c r="O59" t="s" s="89">
        <v>149</v>
      </c>
      <c r="P59" s="52"/>
    </row>
    <row r="60" ht="54.25" customHeight="1">
      <c r="A60" s="94"/>
      <c r="B60" t="s" s="95">
        <v>143</v>
      </c>
      <c r="C60" t="s" s="96">
        <v>178</v>
      </c>
      <c r="D60" t="s" s="97">
        <v>176</v>
      </c>
      <c r="E60" t="s" s="98">
        <v>187</v>
      </c>
      <c r="F60" t="s" s="98">
        <v>145</v>
      </c>
      <c r="G60" s="99"/>
      <c r="H60" t="s" s="98">
        <v>183</v>
      </c>
      <c r="I60" t="s" s="98">
        <v>180</v>
      </c>
      <c r="J60" t="s" s="98">
        <v>146</v>
      </c>
      <c r="K60" t="s" s="98">
        <v>146</v>
      </c>
      <c r="L60" t="s" s="98">
        <v>188</v>
      </c>
      <c r="M60" t="s" s="98">
        <v>175</v>
      </c>
      <c r="N60" s="99"/>
      <c r="O60" t="s" s="98">
        <v>184</v>
      </c>
      <c r="P60" t="s" s="98">
        <v>160</v>
      </c>
    </row>
    <row r="61" ht="21.7" customHeight="1">
      <c r="A61" t="s" s="82">
        <v>189</v>
      </c>
      <c r="B61" s="83"/>
      <c r="C61" s="83"/>
      <c r="D61" s="83"/>
      <c r="E61" s="83"/>
      <c r="F61" s="83"/>
      <c r="G61" s="83"/>
      <c r="H61" s="83"/>
      <c r="I61" s="83"/>
      <c r="J61" s="83"/>
      <c r="K61" s="83"/>
      <c r="L61" s="83"/>
      <c r="M61" s="83"/>
      <c r="N61" s="83"/>
      <c r="O61" s="83"/>
      <c r="P61" s="83"/>
    </row>
    <row r="62" ht="21.05" customHeight="1">
      <c r="A62" t="s" s="84">
        <v>190</v>
      </c>
      <c r="B62" s="85"/>
      <c r="C62" s="85"/>
      <c r="D62" s="85"/>
      <c r="E62" s="85"/>
      <c r="F62" s="85"/>
      <c r="G62" s="85"/>
      <c r="H62" s="85"/>
      <c r="I62" s="85"/>
      <c r="J62" s="85"/>
      <c r="K62" s="85"/>
      <c r="L62" s="85"/>
      <c r="M62" s="85"/>
      <c r="N62" s="85"/>
      <c r="O62" s="85"/>
      <c r="P62" s="85"/>
    </row>
    <row r="63" ht="32.25" customHeight="1">
      <c r="A63" s="86"/>
      <c r="B63" t="s" s="87">
        <v>143</v>
      </c>
      <c r="C63" t="s" s="50">
        <v>191</v>
      </c>
      <c r="D63" t="s" s="88">
        <v>189</v>
      </c>
      <c r="E63" t="s" s="89">
        <v>190</v>
      </c>
      <c r="F63" t="s" s="89">
        <v>145</v>
      </c>
      <c r="G63" s="52"/>
      <c r="H63" t="s" s="89">
        <v>51</v>
      </c>
      <c r="I63" t="s" s="89">
        <v>146</v>
      </c>
      <c r="J63" t="s" s="89">
        <v>146</v>
      </c>
      <c r="K63" t="s" s="89">
        <v>174</v>
      </c>
      <c r="L63" s="90">
        <v>46141</v>
      </c>
      <c r="M63" t="s" s="89">
        <v>175</v>
      </c>
      <c r="N63" s="52"/>
      <c r="O63" t="s" s="89">
        <v>149</v>
      </c>
      <c r="P63" t="s" s="89">
        <v>192</v>
      </c>
    </row>
    <row r="64" ht="20.05" customHeight="1">
      <c r="A64" s="91"/>
      <c r="B64" t="s" s="92">
        <v>143</v>
      </c>
      <c r="C64" t="s" s="53">
        <v>191</v>
      </c>
      <c r="D64" t="s" s="54">
        <v>189</v>
      </c>
      <c r="E64" t="s" s="55">
        <v>190</v>
      </c>
      <c r="F64" t="s" s="55">
        <v>145</v>
      </c>
      <c r="G64" s="25"/>
      <c r="H64" t="s" s="55">
        <v>151</v>
      </c>
      <c r="I64" t="s" s="55">
        <v>180</v>
      </c>
      <c r="J64" t="s" s="55">
        <v>146</v>
      </c>
      <c r="K64" s="25"/>
      <c r="L64" s="25"/>
      <c r="M64" s="25"/>
      <c r="N64" s="25"/>
      <c r="O64" t="s" s="55">
        <v>193</v>
      </c>
      <c r="P64" s="25"/>
    </row>
    <row r="65" ht="32.05" customHeight="1">
      <c r="A65" s="91"/>
      <c r="B65" t="s" s="92">
        <v>143</v>
      </c>
      <c r="C65" t="s" s="53">
        <v>191</v>
      </c>
      <c r="D65" t="s" s="54">
        <v>189</v>
      </c>
      <c r="E65" t="s" s="55">
        <v>190</v>
      </c>
      <c r="F65" t="s" s="55">
        <v>145</v>
      </c>
      <c r="G65" s="25"/>
      <c r="H65" t="s" s="55">
        <v>52</v>
      </c>
      <c r="I65" t="s" s="55">
        <v>146</v>
      </c>
      <c r="J65" t="s" s="55">
        <v>146</v>
      </c>
      <c r="K65" s="25"/>
      <c r="L65" s="25"/>
      <c r="M65" s="25"/>
      <c r="N65" s="25"/>
      <c r="O65" t="s" s="55">
        <v>194</v>
      </c>
      <c r="P65" s="25"/>
    </row>
    <row r="66" ht="20.05" customHeight="1">
      <c r="A66" s="91"/>
      <c r="B66" t="s" s="92">
        <v>143</v>
      </c>
      <c r="C66" t="s" s="53">
        <v>191</v>
      </c>
      <c r="D66" t="s" s="54">
        <v>189</v>
      </c>
      <c r="E66" t="s" s="55">
        <v>190</v>
      </c>
      <c r="F66" t="s" s="55">
        <v>145</v>
      </c>
      <c r="G66" s="25"/>
      <c r="H66" t="s" s="55">
        <v>63</v>
      </c>
      <c r="I66" t="s" s="55">
        <v>180</v>
      </c>
      <c r="J66" t="s" s="55">
        <v>146</v>
      </c>
      <c r="K66" s="25"/>
      <c r="L66" s="25"/>
      <c r="M66" s="25"/>
      <c r="N66" s="25"/>
      <c r="O66" t="s" s="101">
        <v>181</v>
      </c>
      <c r="P66" s="25"/>
    </row>
    <row r="67" ht="33.25" customHeight="1">
      <c r="A67" s="94"/>
      <c r="B67" t="s" s="95">
        <v>143</v>
      </c>
      <c r="C67" t="s" s="96">
        <v>191</v>
      </c>
      <c r="D67" t="s" s="97">
        <v>189</v>
      </c>
      <c r="E67" t="s" s="98">
        <v>190</v>
      </c>
      <c r="F67" t="s" s="98">
        <v>145</v>
      </c>
      <c r="G67" s="99"/>
      <c r="H67" t="s" s="98">
        <v>183</v>
      </c>
      <c r="I67" t="s" s="98">
        <v>180</v>
      </c>
      <c r="J67" t="s" s="98">
        <v>146</v>
      </c>
      <c r="K67" s="99"/>
      <c r="L67" s="99"/>
      <c r="M67" s="99"/>
      <c r="N67" s="99"/>
      <c r="O67" t="s" s="98">
        <v>195</v>
      </c>
      <c r="P67" s="99"/>
    </row>
    <row r="68" ht="21.05" customHeight="1">
      <c r="A68" t="s" s="84">
        <v>196</v>
      </c>
      <c r="B68" s="85"/>
      <c r="C68" s="85"/>
      <c r="D68" s="85"/>
      <c r="E68" s="85"/>
      <c r="F68" s="85"/>
      <c r="G68" s="85"/>
      <c r="H68" s="85"/>
      <c r="I68" s="85"/>
      <c r="J68" s="85"/>
      <c r="K68" s="85"/>
      <c r="L68" s="85"/>
      <c r="M68" s="85"/>
      <c r="N68" s="85"/>
      <c r="O68" s="85"/>
      <c r="P68" s="85"/>
    </row>
    <row r="69" ht="20.25" customHeight="1">
      <c r="A69" s="86"/>
      <c r="B69" t="s" s="87">
        <v>143</v>
      </c>
      <c r="C69" t="s" s="50">
        <v>191</v>
      </c>
      <c r="D69" t="s" s="88">
        <v>189</v>
      </c>
      <c r="E69" t="s" s="89">
        <v>196</v>
      </c>
      <c r="F69" t="s" s="89">
        <v>145</v>
      </c>
      <c r="G69" s="52"/>
      <c r="H69" t="s" s="89">
        <v>51</v>
      </c>
      <c r="I69" t="s" s="89">
        <v>146</v>
      </c>
      <c r="J69" t="s" s="89">
        <v>146</v>
      </c>
      <c r="K69" t="s" s="89">
        <v>174</v>
      </c>
      <c r="L69" t="s" s="89">
        <v>179</v>
      </c>
      <c r="M69" t="s" s="89">
        <v>197</v>
      </c>
      <c r="N69" s="52"/>
      <c r="O69" t="s" s="89">
        <v>149</v>
      </c>
      <c r="P69" t="s" s="89">
        <v>198</v>
      </c>
    </row>
    <row r="70" ht="20.05" customHeight="1">
      <c r="A70" s="91"/>
      <c r="B70" t="s" s="92">
        <v>143</v>
      </c>
      <c r="C70" t="s" s="53">
        <v>191</v>
      </c>
      <c r="D70" t="s" s="54">
        <v>189</v>
      </c>
      <c r="E70" t="s" s="55">
        <v>196</v>
      </c>
      <c r="F70" t="s" s="55">
        <v>145</v>
      </c>
      <c r="G70" s="25"/>
      <c r="H70" t="s" s="55">
        <v>151</v>
      </c>
      <c r="I70" t="s" s="55">
        <v>180</v>
      </c>
      <c r="J70" t="s" s="55">
        <v>146</v>
      </c>
      <c r="K70" t="s" s="55">
        <v>174</v>
      </c>
      <c r="L70" t="s" s="55">
        <v>179</v>
      </c>
      <c r="M70" t="s" s="55">
        <v>197</v>
      </c>
      <c r="N70" s="25"/>
      <c r="O70" t="s" s="55">
        <v>193</v>
      </c>
      <c r="P70" t="s" s="55">
        <v>198</v>
      </c>
    </row>
    <row r="71" ht="32.05" customHeight="1">
      <c r="A71" s="91"/>
      <c r="B71" t="s" s="92">
        <v>143</v>
      </c>
      <c r="C71" t="s" s="53">
        <v>191</v>
      </c>
      <c r="D71" t="s" s="54">
        <v>189</v>
      </c>
      <c r="E71" t="s" s="55">
        <v>196</v>
      </c>
      <c r="F71" t="s" s="55">
        <v>145</v>
      </c>
      <c r="G71" s="25"/>
      <c r="H71" t="s" s="55">
        <v>52</v>
      </c>
      <c r="I71" t="s" s="55">
        <v>146</v>
      </c>
      <c r="J71" t="s" s="55">
        <v>146</v>
      </c>
      <c r="K71" t="s" s="55">
        <v>174</v>
      </c>
      <c r="L71" t="s" s="55">
        <v>179</v>
      </c>
      <c r="M71" t="s" s="55">
        <v>197</v>
      </c>
      <c r="N71" s="25"/>
      <c r="O71" t="s" s="55">
        <v>199</v>
      </c>
      <c r="P71" t="s" s="55">
        <v>198</v>
      </c>
    </row>
    <row r="72" ht="20.05" customHeight="1">
      <c r="A72" s="91"/>
      <c r="B72" t="s" s="92">
        <v>143</v>
      </c>
      <c r="C72" t="s" s="53">
        <v>191</v>
      </c>
      <c r="D72" t="s" s="54">
        <v>189</v>
      </c>
      <c r="E72" t="s" s="55">
        <v>196</v>
      </c>
      <c r="F72" t="s" s="55">
        <v>145</v>
      </c>
      <c r="G72" s="25"/>
      <c r="H72" t="s" s="55">
        <v>63</v>
      </c>
      <c r="I72" t="s" s="55">
        <v>180</v>
      </c>
      <c r="J72" t="s" s="55">
        <v>146</v>
      </c>
      <c r="K72" t="s" s="55">
        <v>174</v>
      </c>
      <c r="L72" t="s" s="55">
        <v>179</v>
      </c>
      <c r="M72" t="s" s="55">
        <v>197</v>
      </c>
      <c r="N72" s="25"/>
      <c r="O72" t="s" s="101">
        <v>181</v>
      </c>
      <c r="P72" t="s" s="55">
        <v>198</v>
      </c>
    </row>
    <row r="73" ht="33.25" customHeight="1">
      <c r="A73" s="94"/>
      <c r="B73" t="s" s="95">
        <v>143</v>
      </c>
      <c r="C73" t="s" s="96">
        <v>191</v>
      </c>
      <c r="D73" t="s" s="97">
        <v>189</v>
      </c>
      <c r="E73" t="s" s="98">
        <v>196</v>
      </c>
      <c r="F73" t="s" s="98">
        <v>145</v>
      </c>
      <c r="G73" s="99"/>
      <c r="H73" t="s" s="98">
        <v>183</v>
      </c>
      <c r="I73" t="s" s="98">
        <v>180</v>
      </c>
      <c r="J73" t="s" s="98">
        <v>146</v>
      </c>
      <c r="K73" t="s" s="98">
        <v>174</v>
      </c>
      <c r="L73" t="s" s="98">
        <v>179</v>
      </c>
      <c r="M73" t="s" s="98">
        <v>197</v>
      </c>
      <c r="N73" s="99"/>
      <c r="O73" t="s" s="98">
        <v>195</v>
      </c>
      <c r="P73" t="s" s="98">
        <v>198</v>
      </c>
    </row>
    <row r="74" ht="21.7" customHeight="1">
      <c r="A74" t="s" s="82">
        <v>200</v>
      </c>
      <c r="B74" s="83"/>
      <c r="C74" s="83"/>
      <c r="D74" s="83"/>
      <c r="E74" s="83"/>
      <c r="F74" s="83"/>
      <c r="G74" s="83"/>
      <c r="H74" s="83"/>
      <c r="I74" s="83"/>
      <c r="J74" s="83"/>
      <c r="K74" s="83"/>
      <c r="L74" s="83"/>
      <c r="M74" s="83"/>
      <c r="N74" s="83"/>
      <c r="O74" s="83"/>
      <c r="P74" s="83"/>
    </row>
    <row r="75" ht="21.05" customHeight="1">
      <c r="A75" t="s" s="84">
        <v>201</v>
      </c>
      <c r="B75" s="85"/>
      <c r="C75" s="85"/>
      <c r="D75" s="85"/>
      <c r="E75" s="85"/>
      <c r="F75" s="85"/>
      <c r="G75" s="85"/>
      <c r="H75" s="85"/>
      <c r="I75" s="85"/>
      <c r="J75" s="85"/>
      <c r="K75" s="85"/>
      <c r="L75" s="85"/>
      <c r="M75" s="85"/>
      <c r="N75" s="85"/>
      <c r="O75" s="85"/>
      <c r="P75" s="85"/>
    </row>
    <row r="76" ht="32.25" customHeight="1">
      <c r="A76" s="86"/>
      <c r="B76" t="s" s="87">
        <v>143</v>
      </c>
      <c r="C76" t="s" s="50">
        <v>202</v>
      </c>
      <c r="D76" t="s" s="88">
        <v>200</v>
      </c>
      <c r="E76" t="s" s="89">
        <v>201</v>
      </c>
      <c r="F76" s="52"/>
      <c r="G76" s="52"/>
      <c r="H76" t="s" s="89">
        <v>56</v>
      </c>
      <c r="I76" t="s" s="89">
        <v>146</v>
      </c>
      <c r="J76" t="s" s="89">
        <v>146</v>
      </c>
      <c r="K76" s="52"/>
      <c r="L76" s="52"/>
      <c r="M76" s="52"/>
      <c r="N76" s="52"/>
      <c r="O76" t="s" s="89">
        <v>203</v>
      </c>
      <c r="P76" s="52"/>
    </row>
  </sheetData>
  <mergeCells count="1">
    <mergeCell ref="A1:P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drawing r:id="rId1"/>
</worksheet>
</file>

<file path=xl/worksheets/sheet9.xml><?xml version="1.0" encoding="utf-8"?>
<worksheet xmlns:r="http://schemas.openxmlformats.org/officeDocument/2006/relationships" xmlns="http://schemas.openxmlformats.org/spreadsheetml/2006/main">
  <dimension ref="A2:O3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6.3516" style="102" customWidth="1"/>
    <col min="3" max="3" width="10.0391" style="102" customWidth="1"/>
    <col min="4" max="4" width="22.1406" style="102" customWidth="1"/>
    <col min="5" max="5" width="9.95312" style="102" customWidth="1"/>
    <col min="6" max="6" width="8.375" style="102" customWidth="1"/>
    <col min="7" max="7" width="15.2812" style="102" customWidth="1"/>
    <col min="8" max="8" width="11.3828" style="102" customWidth="1"/>
    <col min="9" max="9" width="11.7266" style="102" customWidth="1"/>
    <col min="10" max="10" width="12.9531" style="102" customWidth="1"/>
    <col min="11" max="11" width="9.36719" style="102" customWidth="1"/>
    <col min="12" max="12" width="14.6406" style="102" customWidth="1"/>
    <col min="13" max="13" width="12.1875" style="102" customWidth="1"/>
    <col min="14" max="14" width="39.3594" style="102" customWidth="1"/>
    <col min="15" max="15" width="40.9609" style="102" customWidth="1"/>
    <col min="16" max="16384" width="16.3516" style="102" customWidth="1"/>
  </cols>
  <sheetData>
    <row r="1" ht="27.65" customHeight="1">
      <c r="A1" t="s" s="47">
        <v>205</v>
      </c>
      <c r="B1" s="47"/>
      <c r="C1" s="47"/>
      <c r="D1" s="47"/>
      <c r="E1" s="47"/>
      <c r="F1" s="47"/>
      <c r="G1" s="47"/>
      <c r="H1" s="47"/>
      <c r="I1" s="47"/>
      <c r="J1" s="47"/>
      <c r="K1" s="47"/>
      <c r="L1" s="47"/>
      <c r="M1" s="47"/>
      <c r="N1" s="47"/>
      <c r="O1" s="47"/>
    </row>
    <row r="2" ht="56.25" customHeight="1">
      <c r="A2" t="s" s="49">
        <v>127</v>
      </c>
      <c r="B2" t="s" s="49">
        <v>128</v>
      </c>
      <c r="C2" t="s" s="49">
        <v>42</v>
      </c>
      <c r="D2" t="s" s="49">
        <v>129</v>
      </c>
      <c r="E2" t="s" s="49">
        <v>130</v>
      </c>
      <c r="F2" t="s" s="49">
        <v>131</v>
      </c>
      <c r="G2" t="s" s="49">
        <v>132</v>
      </c>
      <c r="H2" t="s" s="49">
        <v>133</v>
      </c>
      <c r="I2" t="s" s="49">
        <v>134</v>
      </c>
      <c r="J2" t="s" s="49">
        <v>135</v>
      </c>
      <c r="K2" t="s" s="49">
        <v>136</v>
      </c>
      <c r="L2" t="s" s="49">
        <v>137</v>
      </c>
      <c r="M2" t="s" s="49">
        <v>138</v>
      </c>
      <c r="N2" t="s" s="103">
        <v>139</v>
      </c>
      <c r="O2" t="s" s="49">
        <v>140</v>
      </c>
    </row>
    <row r="3" ht="32.25" customHeight="1">
      <c r="A3" t="s" s="87">
        <v>207</v>
      </c>
      <c r="B3" t="s" s="50">
        <v>144</v>
      </c>
      <c r="C3" t="s" s="88">
        <v>141</v>
      </c>
      <c r="D3" t="s" s="89">
        <v>208</v>
      </c>
      <c r="E3" t="s" s="89">
        <v>145</v>
      </c>
      <c r="F3" s="52"/>
      <c r="G3" t="s" s="89">
        <v>51</v>
      </c>
      <c r="H3" t="s" s="89">
        <v>146</v>
      </c>
      <c r="I3" t="s" s="89">
        <v>146</v>
      </c>
      <c r="J3" t="s" s="89">
        <v>147</v>
      </c>
      <c r="K3" s="90">
        <v>46127</v>
      </c>
      <c r="L3" t="s" s="89">
        <v>148</v>
      </c>
      <c r="M3" s="52"/>
      <c r="N3" t="s" s="89">
        <v>149</v>
      </c>
      <c r="O3" t="s" s="89">
        <v>150</v>
      </c>
    </row>
    <row r="4" ht="20.05" customHeight="1">
      <c r="A4" t="s" s="92">
        <v>207</v>
      </c>
      <c r="B4" t="s" s="53">
        <v>173</v>
      </c>
      <c r="C4" t="s" s="54">
        <v>171</v>
      </c>
      <c r="D4" t="s" s="55">
        <v>209</v>
      </c>
      <c r="E4" t="s" s="55">
        <v>210</v>
      </c>
      <c r="F4" s="25"/>
      <c r="G4" t="s" s="55">
        <v>211</v>
      </c>
      <c r="H4" t="s" s="55">
        <v>152</v>
      </c>
      <c r="I4" t="s" s="55">
        <v>146</v>
      </c>
      <c r="J4" t="s" s="55">
        <v>212</v>
      </c>
      <c r="K4" s="25"/>
      <c r="L4" t="s" s="55">
        <v>213</v>
      </c>
      <c r="M4" s="25"/>
      <c r="N4" s="25"/>
      <c r="O4" s="25"/>
    </row>
    <row r="5" ht="20.05" customHeight="1">
      <c r="A5" t="s" s="92">
        <v>207</v>
      </c>
      <c r="B5" t="s" s="53">
        <v>173</v>
      </c>
      <c r="C5" t="s" s="54">
        <v>171</v>
      </c>
      <c r="D5" t="s" s="55">
        <v>214</v>
      </c>
      <c r="E5" t="s" s="55">
        <v>210</v>
      </c>
      <c r="F5" s="25"/>
      <c r="G5" t="s" s="55">
        <v>211</v>
      </c>
      <c r="H5" t="s" s="55">
        <v>152</v>
      </c>
      <c r="I5" t="s" s="55">
        <v>146</v>
      </c>
      <c r="J5" t="s" s="55">
        <v>212</v>
      </c>
      <c r="K5" s="25"/>
      <c r="L5" t="s" s="55">
        <v>213</v>
      </c>
      <c r="M5" s="25"/>
      <c r="N5" s="25"/>
      <c r="O5" s="25"/>
    </row>
    <row r="6" ht="20.25" customHeight="1">
      <c r="A6" t="s" s="92">
        <v>207</v>
      </c>
      <c r="B6" t="s" s="53">
        <v>173</v>
      </c>
      <c r="C6" t="s" s="104">
        <v>171</v>
      </c>
      <c r="D6" t="s" s="105">
        <v>215</v>
      </c>
      <c r="E6" t="s" s="55">
        <v>210</v>
      </c>
      <c r="F6" s="25"/>
      <c r="G6" t="s" s="55">
        <v>211</v>
      </c>
      <c r="H6" t="s" s="55">
        <v>152</v>
      </c>
      <c r="I6" t="s" s="55">
        <v>146</v>
      </c>
      <c r="J6" t="s" s="55">
        <v>212</v>
      </c>
      <c r="K6" s="25"/>
      <c r="L6" t="s" s="55">
        <v>213</v>
      </c>
      <c r="M6" s="25"/>
      <c r="N6" s="25"/>
      <c r="O6" s="25"/>
    </row>
    <row r="7" ht="32.75" customHeight="1">
      <c r="A7" t="s" s="92">
        <v>207</v>
      </c>
      <c r="B7" t="s" s="53">
        <v>216</v>
      </c>
      <c r="C7" t="s" s="106">
        <v>141</v>
      </c>
      <c r="D7" t="s" s="107">
        <v>217</v>
      </c>
      <c r="E7" t="s" s="55">
        <v>145</v>
      </c>
      <c r="F7" s="25"/>
      <c r="G7" t="s" s="108">
        <v>218</v>
      </c>
      <c r="H7" t="s" s="55">
        <v>146</v>
      </c>
      <c r="I7" t="s" s="55">
        <v>146</v>
      </c>
      <c r="J7" t="s" s="55">
        <v>147</v>
      </c>
      <c r="K7" t="s" s="55">
        <v>219</v>
      </c>
      <c r="L7" s="25"/>
      <c r="M7" s="25"/>
      <c r="N7" s="25"/>
      <c r="O7" s="25"/>
    </row>
    <row r="8" ht="32.75" customHeight="1">
      <c r="A8" t="s" s="92">
        <v>207</v>
      </c>
      <c r="B8" t="s" s="53">
        <v>216</v>
      </c>
      <c r="C8" t="s" s="106">
        <v>141</v>
      </c>
      <c r="D8" t="s" s="108">
        <v>220</v>
      </c>
      <c r="E8" t="s" s="55">
        <v>145</v>
      </c>
      <c r="F8" s="25"/>
      <c r="G8" t="s" s="108">
        <v>218</v>
      </c>
      <c r="H8" t="s" s="55">
        <v>146</v>
      </c>
      <c r="I8" t="s" s="55">
        <v>146</v>
      </c>
      <c r="J8" t="s" s="55">
        <v>147</v>
      </c>
      <c r="K8" t="s" s="55">
        <v>219</v>
      </c>
      <c r="L8" s="25"/>
      <c r="M8" s="25"/>
      <c r="N8" s="25"/>
      <c r="O8" s="25"/>
    </row>
    <row r="9" ht="32.75" customHeight="1">
      <c r="A9" t="s" s="92">
        <v>207</v>
      </c>
      <c r="B9" t="s" s="53">
        <v>216</v>
      </c>
      <c r="C9" t="s" s="106">
        <v>141</v>
      </c>
      <c r="D9" t="s" s="108">
        <v>221</v>
      </c>
      <c r="E9" t="s" s="55">
        <v>145</v>
      </c>
      <c r="F9" s="25"/>
      <c r="G9" t="s" s="108">
        <v>222</v>
      </c>
      <c r="H9" t="s" s="55">
        <v>146</v>
      </c>
      <c r="I9" t="s" s="55">
        <v>146</v>
      </c>
      <c r="J9" t="s" s="55">
        <v>146</v>
      </c>
      <c r="K9" t="s" s="55">
        <v>219</v>
      </c>
      <c r="L9" s="25"/>
      <c r="M9" s="25"/>
      <c r="N9" s="25"/>
      <c r="O9" s="25"/>
    </row>
    <row r="10" ht="32.75" customHeight="1">
      <c r="A10" t="s" s="92">
        <v>207</v>
      </c>
      <c r="B10" t="s" s="53">
        <v>216</v>
      </c>
      <c r="C10" t="s" s="106">
        <v>141</v>
      </c>
      <c r="D10" t="s" s="108">
        <v>223</v>
      </c>
      <c r="E10" t="s" s="55">
        <v>145</v>
      </c>
      <c r="F10" s="25"/>
      <c r="G10" t="s" s="108">
        <v>224</v>
      </c>
      <c r="H10" t="s" s="55">
        <v>146</v>
      </c>
      <c r="I10" t="s" s="55">
        <v>146</v>
      </c>
      <c r="J10" t="s" s="55">
        <v>146</v>
      </c>
      <c r="K10" t="s" s="55">
        <v>219</v>
      </c>
      <c r="L10" s="25"/>
      <c r="M10" s="25"/>
      <c r="N10" s="25"/>
      <c r="O10" s="25"/>
    </row>
    <row r="11" ht="32.75" customHeight="1">
      <c r="A11" t="s" s="92">
        <v>207</v>
      </c>
      <c r="B11" t="s" s="53">
        <v>216</v>
      </c>
      <c r="C11" t="s" s="106">
        <v>141</v>
      </c>
      <c r="D11" t="s" s="108">
        <v>225</v>
      </c>
      <c r="E11" t="s" s="55">
        <v>145</v>
      </c>
      <c r="F11" s="25"/>
      <c r="G11" t="s" s="108">
        <v>224</v>
      </c>
      <c r="H11" t="s" s="55">
        <v>146</v>
      </c>
      <c r="I11" t="s" s="55">
        <v>146</v>
      </c>
      <c r="J11" t="s" s="55">
        <v>146</v>
      </c>
      <c r="K11" t="s" s="55">
        <v>219</v>
      </c>
      <c r="L11" s="25"/>
      <c r="M11" s="25"/>
      <c r="N11" s="25"/>
      <c r="O11" s="25"/>
    </row>
    <row r="12" ht="32.75" customHeight="1">
      <c r="A12" t="s" s="92">
        <v>207</v>
      </c>
      <c r="B12" t="s" s="53">
        <v>216</v>
      </c>
      <c r="C12" t="s" s="106">
        <v>141</v>
      </c>
      <c r="D12" t="s" s="108">
        <v>226</v>
      </c>
      <c r="E12" t="s" s="55">
        <v>145</v>
      </c>
      <c r="F12" s="25"/>
      <c r="G12" t="s" s="108">
        <v>222</v>
      </c>
      <c r="H12" t="s" s="55">
        <v>146</v>
      </c>
      <c r="I12" t="s" s="55">
        <v>146</v>
      </c>
      <c r="J12" t="s" s="55">
        <v>146</v>
      </c>
      <c r="K12" t="s" s="55">
        <v>219</v>
      </c>
      <c r="L12" s="25"/>
      <c r="M12" s="25"/>
      <c r="N12" s="25"/>
      <c r="O12" s="25"/>
    </row>
    <row r="13" ht="56.75" customHeight="1">
      <c r="A13" t="s" s="92">
        <v>207</v>
      </c>
      <c r="B13" t="s" s="53">
        <v>216</v>
      </c>
      <c r="C13" t="s" s="106">
        <v>141</v>
      </c>
      <c r="D13" t="s" s="109">
        <v>227</v>
      </c>
      <c r="E13" t="s" s="55">
        <v>145</v>
      </c>
      <c r="F13" s="25"/>
      <c r="G13" t="s" s="108">
        <v>228</v>
      </c>
      <c r="H13" t="s" s="55">
        <v>229</v>
      </c>
      <c r="I13" t="s" s="55">
        <v>146</v>
      </c>
      <c r="J13" t="s" s="55">
        <v>229</v>
      </c>
      <c r="K13" t="s" s="55">
        <v>219</v>
      </c>
      <c r="L13" s="25"/>
      <c r="M13" s="25"/>
      <c r="N13" s="25"/>
      <c r="O13" s="25"/>
    </row>
    <row r="14" ht="32.75" customHeight="1">
      <c r="A14" t="s" s="92">
        <v>207</v>
      </c>
      <c r="B14" t="s" s="53">
        <v>216</v>
      </c>
      <c r="C14" t="s" s="106">
        <v>141</v>
      </c>
      <c r="D14" t="s" s="107">
        <v>217</v>
      </c>
      <c r="E14" t="s" s="55">
        <v>145</v>
      </c>
      <c r="F14" s="25"/>
      <c r="G14" t="s" s="110">
        <v>230</v>
      </c>
      <c r="H14" t="s" s="55">
        <v>146</v>
      </c>
      <c r="I14" t="s" s="55">
        <v>146</v>
      </c>
      <c r="J14" t="s" s="55">
        <v>146</v>
      </c>
      <c r="K14" t="s" s="55">
        <v>219</v>
      </c>
      <c r="L14" s="25"/>
      <c r="M14" s="25"/>
      <c r="N14" s="25"/>
      <c r="O14" s="25"/>
    </row>
    <row r="15" ht="32.75" customHeight="1">
      <c r="A15" t="s" s="92">
        <v>207</v>
      </c>
      <c r="B15" t="s" s="53">
        <v>216</v>
      </c>
      <c r="C15" t="s" s="106">
        <v>141</v>
      </c>
      <c r="D15" t="s" s="108">
        <v>220</v>
      </c>
      <c r="E15" t="s" s="55">
        <v>145</v>
      </c>
      <c r="F15" s="25"/>
      <c r="G15" t="s" s="110">
        <v>230</v>
      </c>
      <c r="H15" t="s" s="55">
        <v>146</v>
      </c>
      <c r="I15" t="s" s="55">
        <v>146</v>
      </c>
      <c r="J15" t="s" s="55">
        <v>146</v>
      </c>
      <c r="K15" t="s" s="55">
        <v>219</v>
      </c>
      <c r="L15" s="25"/>
      <c r="M15" s="25"/>
      <c r="N15" s="25"/>
      <c r="O15" s="25"/>
    </row>
    <row r="16" ht="32.75" customHeight="1">
      <c r="A16" t="s" s="92">
        <v>207</v>
      </c>
      <c r="B16" t="s" s="53">
        <v>216</v>
      </c>
      <c r="C16" t="s" s="106">
        <v>141</v>
      </c>
      <c r="D16" t="s" s="108">
        <v>221</v>
      </c>
      <c r="E16" t="s" s="55">
        <v>145</v>
      </c>
      <c r="F16" s="25"/>
      <c r="G16" t="s" s="108">
        <v>218</v>
      </c>
      <c r="H16" t="s" s="55">
        <v>146</v>
      </c>
      <c r="I16" t="s" s="55">
        <v>146</v>
      </c>
      <c r="J16" t="s" s="55">
        <v>146</v>
      </c>
      <c r="K16" t="s" s="55">
        <v>219</v>
      </c>
      <c r="L16" s="25"/>
      <c r="M16" s="25"/>
      <c r="N16" s="25"/>
      <c r="O16" s="25"/>
    </row>
    <row r="17" ht="32.75" customHeight="1">
      <c r="A17" t="s" s="92">
        <v>207</v>
      </c>
      <c r="B17" t="s" s="53">
        <v>216</v>
      </c>
      <c r="C17" t="s" s="106">
        <v>141</v>
      </c>
      <c r="D17" t="s" s="108">
        <v>223</v>
      </c>
      <c r="E17" t="s" s="55">
        <v>145</v>
      </c>
      <c r="F17" s="25"/>
      <c r="G17" t="s" s="108">
        <v>222</v>
      </c>
      <c r="H17" t="s" s="55">
        <v>146</v>
      </c>
      <c r="I17" t="s" s="55">
        <v>146</v>
      </c>
      <c r="J17" t="s" s="55">
        <v>146</v>
      </c>
      <c r="K17" t="s" s="55">
        <v>219</v>
      </c>
      <c r="L17" s="25"/>
      <c r="M17" s="25"/>
      <c r="N17" s="25"/>
      <c r="O17" s="25"/>
    </row>
    <row r="18" ht="32.75" customHeight="1">
      <c r="A18" t="s" s="92">
        <v>207</v>
      </c>
      <c r="B18" t="s" s="53">
        <v>216</v>
      </c>
      <c r="C18" t="s" s="106">
        <v>141</v>
      </c>
      <c r="D18" t="s" s="108">
        <v>225</v>
      </c>
      <c r="E18" t="s" s="55">
        <v>145</v>
      </c>
      <c r="F18" s="25"/>
      <c r="G18" t="s" s="108">
        <v>222</v>
      </c>
      <c r="H18" t="s" s="55">
        <v>146</v>
      </c>
      <c r="I18" t="s" s="55">
        <v>146</v>
      </c>
      <c r="J18" t="s" s="55">
        <v>146</v>
      </c>
      <c r="K18" t="s" s="55">
        <v>219</v>
      </c>
      <c r="L18" s="25"/>
      <c r="M18" s="25"/>
      <c r="N18" s="25"/>
      <c r="O18" s="25"/>
    </row>
    <row r="19" ht="80.75" customHeight="1">
      <c r="A19" t="s" s="92">
        <v>207</v>
      </c>
      <c r="B19" t="s" s="53">
        <v>216</v>
      </c>
      <c r="C19" t="s" s="106">
        <v>141</v>
      </c>
      <c r="D19" t="s" s="108">
        <v>226</v>
      </c>
      <c r="E19" t="s" s="55">
        <v>145</v>
      </c>
      <c r="F19" s="25"/>
      <c r="G19" t="s" s="108">
        <v>231</v>
      </c>
      <c r="H19" t="s" s="55">
        <v>152</v>
      </c>
      <c r="I19" t="s" s="55">
        <v>146</v>
      </c>
      <c r="J19" t="s" s="55">
        <v>229</v>
      </c>
      <c r="K19" t="s" s="55">
        <v>219</v>
      </c>
      <c r="L19" s="25"/>
      <c r="M19" s="25"/>
      <c r="N19" s="25"/>
      <c r="O19" s="25"/>
    </row>
    <row r="20" ht="80.75" customHeight="1">
      <c r="A20" t="s" s="92">
        <v>207</v>
      </c>
      <c r="B20" t="s" s="53">
        <v>216</v>
      </c>
      <c r="C20" t="s" s="106">
        <v>141</v>
      </c>
      <c r="D20" t="s" s="109">
        <v>227</v>
      </c>
      <c r="E20" t="s" s="55">
        <v>145</v>
      </c>
      <c r="F20" s="25"/>
      <c r="G20" t="s" s="108">
        <v>232</v>
      </c>
      <c r="H20" t="s" s="55">
        <v>152</v>
      </c>
      <c r="I20" t="s" s="55">
        <v>146</v>
      </c>
      <c r="J20" t="s" s="55">
        <v>229</v>
      </c>
      <c r="K20" t="s" s="55">
        <v>219</v>
      </c>
      <c r="L20" s="25"/>
      <c r="M20" s="25"/>
      <c r="N20" s="25"/>
      <c r="O20" s="25"/>
    </row>
    <row r="21" ht="80.55" customHeight="1">
      <c r="A21" t="s" s="92">
        <v>207</v>
      </c>
      <c r="B21" t="s" s="53">
        <v>216</v>
      </c>
      <c r="C21" t="s" s="111">
        <v>233</v>
      </c>
      <c r="D21" t="s" s="107">
        <v>234</v>
      </c>
      <c r="E21" t="s" s="55">
        <v>145</v>
      </c>
      <c r="F21" s="25"/>
      <c r="G21" t="s" s="108">
        <v>235</v>
      </c>
      <c r="H21" t="s" s="55">
        <v>152</v>
      </c>
      <c r="I21" t="s" s="55">
        <v>146</v>
      </c>
      <c r="J21" t="s" s="55">
        <v>229</v>
      </c>
      <c r="K21" t="s" s="55">
        <v>219</v>
      </c>
      <c r="L21" s="25"/>
      <c r="M21" s="25"/>
      <c r="N21" s="25"/>
      <c r="O21" s="25"/>
    </row>
    <row r="22" ht="56.35" customHeight="1">
      <c r="A22" t="s" s="92">
        <v>207</v>
      </c>
      <c r="B22" t="s" s="53">
        <v>216</v>
      </c>
      <c r="C22" t="s" s="112">
        <v>233</v>
      </c>
      <c r="D22" t="s" s="108">
        <v>236</v>
      </c>
      <c r="E22" t="s" s="55">
        <v>145</v>
      </c>
      <c r="F22" s="25"/>
      <c r="G22" t="s" s="108">
        <v>63</v>
      </c>
      <c r="H22" t="s" s="55">
        <v>152</v>
      </c>
      <c r="I22" t="s" s="55">
        <v>146</v>
      </c>
      <c r="J22" t="s" s="55">
        <v>229</v>
      </c>
      <c r="K22" t="s" s="55">
        <v>219</v>
      </c>
      <c r="L22" s="25"/>
      <c r="M22" s="25"/>
      <c r="N22" s="25"/>
      <c r="O22" s="25"/>
    </row>
    <row r="23" ht="32.35" customHeight="1">
      <c r="A23" t="s" s="92">
        <v>207</v>
      </c>
      <c r="B23" t="s" s="53">
        <v>216</v>
      </c>
      <c r="C23" t="s" s="112">
        <v>233</v>
      </c>
      <c r="D23" t="s" s="108">
        <v>237</v>
      </c>
      <c r="E23" t="s" s="55">
        <v>145</v>
      </c>
      <c r="F23" s="25"/>
      <c r="G23" t="s" s="113">
        <v>211</v>
      </c>
      <c r="H23" t="s" s="55">
        <v>152</v>
      </c>
      <c r="I23" t="s" s="55">
        <v>146</v>
      </c>
      <c r="J23" t="s" s="55">
        <v>229</v>
      </c>
      <c r="K23" t="s" s="55">
        <v>219</v>
      </c>
      <c r="L23" s="25"/>
      <c r="M23" s="25"/>
      <c r="N23" s="25"/>
      <c r="O23" s="25"/>
    </row>
    <row r="24" ht="32.35" customHeight="1">
      <c r="A24" t="s" s="92">
        <v>207</v>
      </c>
      <c r="B24" t="s" s="53">
        <v>216</v>
      </c>
      <c r="C24" t="s" s="112">
        <v>233</v>
      </c>
      <c r="D24" t="s" s="108">
        <v>238</v>
      </c>
      <c r="E24" t="s" s="55">
        <v>145</v>
      </c>
      <c r="F24" s="25"/>
      <c r="G24" t="s" s="113">
        <v>211</v>
      </c>
      <c r="H24" t="s" s="55">
        <v>152</v>
      </c>
      <c r="I24" t="s" s="55">
        <v>146</v>
      </c>
      <c r="J24" t="s" s="55">
        <v>229</v>
      </c>
      <c r="K24" t="s" s="55">
        <v>219</v>
      </c>
      <c r="L24" s="25"/>
      <c r="M24" s="25"/>
      <c r="N24" s="25"/>
      <c r="O24" s="25"/>
    </row>
    <row r="25" ht="56.35" customHeight="1">
      <c r="A25" t="s" s="92">
        <v>207</v>
      </c>
      <c r="B25" t="s" s="53">
        <v>216</v>
      </c>
      <c r="C25" t="s" s="112">
        <v>233</v>
      </c>
      <c r="D25" t="s" s="108">
        <v>239</v>
      </c>
      <c r="E25" t="s" s="55">
        <v>145</v>
      </c>
      <c r="F25" s="25"/>
      <c r="G25" t="s" s="108">
        <v>240</v>
      </c>
      <c r="H25" t="s" s="55">
        <v>152</v>
      </c>
      <c r="I25" t="s" s="55">
        <v>146</v>
      </c>
      <c r="J25" t="s" s="55">
        <v>229</v>
      </c>
      <c r="K25" t="s" s="55">
        <v>219</v>
      </c>
      <c r="L25" s="25"/>
      <c r="M25" s="25"/>
      <c r="N25" s="25"/>
      <c r="O25" s="25"/>
    </row>
    <row r="26" ht="32.35" customHeight="1">
      <c r="A26" t="s" s="92">
        <v>207</v>
      </c>
      <c r="B26" t="s" s="53">
        <v>216</v>
      </c>
      <c r="C26" t="s" s="112">
        <v>233</v>
      </c>
      <c r="D26" t="s" s="108">
        <v>241</v>
      </c>
      <c r="E26" t="s" s="55">
        <v>145</v>
      </c>
      <c r="F26" s="25"/>
      <c r="G26" t="s" s="108">
        <v>242</v>
      </c>
      <c r="H26" t="s" s="55">
        <v>152</v>
      </c>
      <c r="I26" t="s" s="55">
        <v>146</v>
      </c>
      <c r="J26" t="s" s="55">
        <v>229</v>
      </c>
      <c r="K26" t="s" s="55">
        <v>219</v>
      </c>
      <c r="L26" s="25"/>
      <c r="M26" s="25"/>
      <c r="N26" s="25"/>
      <c r="O26" s="25"/>
    </row>
    <row r="27" ht="32.35" customHeight="1">
      <c r="A27" t="s" s="92">
        <v>207</v>
      </c>
      <c r="B27" t="s" s="53">
        <v>216</v>
      </c>
      <c r="C27" t="s" s="112">
        <v>233</v>
      </c>
      <c r="D27" t="s" s="108">
        <v>243</v>
      </c>
      <c r="E27" t="s" s="55">
        <v>145</v>
      </c>
      <c r="F27" s="25"/>
      <c r="G27" t="s" s="108">
        <v>242</v>
      </c>
      <c r="H27" t="s" s="55">
        <v>152</v>
      </c>
      <c r="I27" t="s" s="55">
        <v>146</v>
      </c>
      <c r="J27" t="s" s="55">
        <v>229</v>
      </c>
      <c r="K27" t="s" s="55">
        <v>219</v>
      </c>
      <c r="L27" s="25"/>
      <c r="M27" s="25"/>
      <c r="N27" s="25"/>
      <c r="O27" s="25"/>
    </row>
    <row r="28" ht="33.15" customHeight="1">
      <c r="A28" t="s" s="92">
        <v>207</v>
      </c>
      <c r="B28" t="s" s="53">
        <v>216</v>
      </c>
      <c r="C28" t="s" s="114">
        <v>233</v>
      </c>
      <c r="D28" t="s" s="115">
        <v>244</v>
      </c>
      <c r="E28" t="s" s="55">
        <v>145</v>
      </c>
      <c r="F28" s="25"/>
      <c r="G28" t="s" s="116">
        <v>245</v>
      </c>
      <c r="H28" t="s" s="55">
        <v>152</v>
      </c>
      <c r="I28" t="s" s="55">
        <v>146</v>
      </c>
      <c r="J28" t="s" s="55">
        <v>229</v>
      </c>
      <c r="K28" t="s" s="55">
        <v>219</v>
      </c>
      <c r="L28" s="25"/>
      <c r="M28" s="25"/>
      <c r="N28" s="25"/>
      <c r="O28" s="25"/>
    </row>
    <row r="29" ht="57.15" customHeight="1">
      <c r="A29" t="s" s="92">
        <v>207</v>
      </c>
      <c r="B29" t="s" s="53">
        <v>216</v>
      </c>
      <c r="C29" t="s" s="117">
        <v>233</v>
      </c>
      <c r="D29" t="s" s="118">
        <v>236</v>
      </c>
      <c r="E29" t="s" s="55">
        <v>145</v>
      </c>
      <c r="F29" s="25"/>
      <c r="G29" t="s" s="119">
        <v>245</v>
      </c>
      <c r="H29" t="s" s="55">
        <v>152</v>
      </c>
      <c r="I29" t="s" s="55">
        <v>146</v>
      </c>
      <c r="J29" t="s" s="55">
        <v>229</v>
      </c>
      <c r="K29" t="s" s="55">
        <v>219</v>
      </c>
      <c r="L29" s="25"/>
      <c r="M29" s="25"/>
      <c r="N29" s="25"/>
      <c r="O29" s="25"/>
    </row>
    <row r="30" ht="32.35" customHeight="1">
      <c r="A30" t="s" s="92">
        <v>207</v>
      </c>
      <c r="B30" t="s" s="53">
        <v>216</v>
      </c>
      <c r="C30" t="s" s="112">
        <v>233</v>
      </c>
      <c r="D30" t="s" s="108">
        <v>237</v>
      </c>
      <c r="E30" t="s" s="55">
        <v>145</v>
      </c>
      <c r="F30" s="25"/>
      <c r="G30" t="s" s="113">
        <v>245</v>
      </c>
      <c r="H30" t="s" s="55">
        <v>152</v>
      </c>
      <c r="I30" t="s" s="55">
        <v>146</v>
      </c>
      <c r="J30" t="s" s="55">
        <v>229</v>
      </c>
      <c r="K30" t="s" s="55">
        <v>219</v>
      </c>
      <c r="L30" s="25"/>
      <c r="M30" s="25"/>
      <c r="N30" s="25"/>
      <c r="O30" s="25"/>
    </row>
    <row r="31" ht="32.35" customHeight="1">
      <c r="A31" t="s" s="92">
        <v>207</v>
      </c>
      <c r="B31" t="s" s="53">
        <v>216</v>
      </c>
      <c r="C31" t="s" s="112">
        <v>233</v>
      </c>
      <c r="D31" t="s" s="108">
        <v>238</v>
      </c>
      <c r="E31" t="s" s="55">
        <v>145</v>
      </c>
      <c r="F31" s="25"/>
      <c r="G31" t="s" s="113">
        <v>245</v>
      </c>
      <c r="H31" t="s" s="55">
        <v>152</v>
      </c>
      <c r="I31" t="s" s="55">
        <v>146</v>
      </c>
      <c r="J31" t="s" s="55">
        <v>229</v>
      </c>
      <c r="K31" t="s" s="55">
        <v>219</v>
      </c>
      <c r="L31" s="25"/>
      <c r="M31" s="25"/>
      <c r="N31" s="25"/>
      <c r="O31" s="25"/>
    </row>
    <row r="32" ht="56.35" customHeight="1">
      <c r="A32" t="s" s="92">
        <v>207</v>
      </c>
      <c r="B32" t="s" s="53">
        <v>216</v>
      </c>
      <c r="C32" t="s" s="112">
        <v>233</v>
      </c>
      <c r="D32" t="s" s="108">
        <v>239</v>
      </c>
      <c r="E32" t="s" s="55">
        <v>145</v>
      </c>
      <c r="F32" s="25"/>
      <c r="G32" t="s" s="120">
        <v>228</v>
      </c>
      <c r="H32" t="s" s="55">
        <v>152</v>
      </c>
      <c r="I32" t="s" s="55">
        <v>146</v>
      </c>
      <c r="J32" t="s" s="55">
        <v>229</v>
      </c>
      <c r="K32" t="s" s="55">
        <v>219</v>
      </c>
      <c r="L32" s="25"/>
      <c r="M32" s="25"/>
      <c r="N32" s="25"/>
      <c r="O32" s="25"/>
    </row>
    <row r="33" ht="33.15" customHeight="1">
      <c r="A33" t="s" s="92">
        <v>207</v>
      </c>
      <c r="B33" t="s" s="53">
        <v>216</v>
      </c>
      <c r="C33" t="s" s="114">
        <v>233</v>
      </c>
      <c r="D33" t="s" s="115">
        <v>244</v>
      </c>
      <c r="E33" t="s" s="55">
        <v>145</v>
      </c>
      <c r="F33" s="25"/>
      <c r="G33" t="s" s="115">
        <v>242</v>
      </c>
      <c r="H33" t="s" s="55">
        <v>152</v>
      </c>
      <c r="I33" t="s" s="55">
        <v>146</v>
      </c>
      <c r="J33" t="s" s="55">
        <v>229</v>
      </c>
      <c r="K33" t="s" s="55">
        <v>219</v>
      </c>
      <c r="L33" s="25"/>
      <c r="M33" s="25"/>
      <c r="N33" s="25"/>
      <c r="O33" s="25"/>
    </row>
  </sheetData>
  <mergeCells count="1">
    <mergeCell ref="A1:O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drawing r:id="rId1"/>
</worksheet>
</file>

<file path=xl/worksheets/sheet10.xml><?xml version="1.0" encoding="utf-8"?>
<worksheet xmlns:r="http://schemas.openxmlformats.org/officeDocument/2006/relationships" xmlns="http://schemas.openxmlformats.org/spreadsheetml/2006/main">
  <sheetPr>
    <pageSetUpPr fitToPage="1"/>
  </sheetPr>
  <dimension ref="A2:N7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4" width="16.3516" style="121" customWidth="1"/>
    <col min="15" max="16384" width="16.3516" style="121" customWidth="1"/>
  </cols>
  <sheetData>
    <row r="1" ht="27.65" customHeight="1">
      <c r="A1" t="s" s="47">
        <v>48</v>
      </c>
      <c r="B1" s="47"/>
      <c r="C1" s="47"/>
      <c r="D1" s="47"/>
      <c r="E1" s="47"/>
      <c r="F1" s="47"/>
      <c r="G1" s="47"/>
      <c r="H1" s="47"/>
      <c r="I1" s="47"/>
      <c r="J1" s="47"/>
      <c r="K1" s="47"/>
      <c r="L1" s="47"/>
      <c r="M1" s="47"/>
      <c r="N1" s="47"/>
    </row>
    <row r="2" ht="48.25" customHeight="1">
      <c r="A2" t="s" s="122">
        <v>127</v>
      </c>
      <c r="B2" t="s" s="123">
        <v>128</v>
      </c>
      <c r="C2" t="s" s="123">
        <v>42</v>
      </c>
      <c r="D2" t="s" s="123">
        <v>129</v>
      </c>
      <c r="E2" t="s" s="123">
        <v>130</v>
      </c>
      <c r="F2" t="s" s="123">
        <v>131</v>
      </c>
      <c r="G2" t="s" s="123">
        <v>132</v>
      </c>
      <c r="H2" t="s" s="123">
        <v>133</v>
      </c>
      <c r="I2" t="s" s="123">
        <v>134</v>
      </c>
      <c r="J2" t="s" s="123">
        <v>135</v>
      </c>
      <c r="K2" t="s" s="123">
        <v>136</v>
      </c>
      <c r="L2" t="s" s="123">
        <v>137</v>
      </c>
      <c r="M2" t="s" s="123">
        <v>138</v>
      </c>
      <c r="N2" t="s" s="123">
        <v>139</v>
      </c>
    </row>
    <row r="3" ht="12.25" customHeight="1">
      <c r="A3" t="s" s="124">
        <v>207</v>
      </c>
      <c r="B3" t="s" s="125">
        <v>202</v>
      </c>
      <c r="C3" t="s" s="126">
        <v>248</v>
      </c>
      <c r="D3" t="s" s="126">
        <v>249</v>
      </c>
      <c r="E3" t="s" s="126">
        <v>250</v>
      </c>
      <c r="F3" s="127">
        <v>12</v>
      </c>
      <c r="G3" t="s" s="126">
        <v>251</v>
      </c>
      <c r="H3" t="s" s="126">
        <v>152</v>
      </c>
      <c r="I3" t="s" s="126">
        <v>252</v>
      </c>
      <c r="J3" t="s" s="126">
        <v>253</v>
      </c>
      <c r="K3" t="s" s="126">
        <v>188</v>
      </c>
      <c r="L3" s="128"/>
      <c r="M3" s="128"/>
      <c r="N3" s="128"/>
    </row>
    <row r="4" ht="24.05" customHeight="1">
      <c r="A4" t="s" s="129">
        <v>207</v>
      </c>
      <c r="B4" t="s" s="130">
        <v>202</v>
      </c>
      <c r="C4" t="s" s="69">
        <v>254</v>
      </c>
      <c r="D4" t="s" s="69">
        <v>255</v>
      </c>
      <c r="E4" t="s" s="69">
        <v>256</v>
      </c>
      <c r="F4" t="s" s="69">
        <v>257</v>
      </c>
      <c r="G4" t="s" s="69">
        <v>258</v>
      </c>
      <c r="H4" t="s" s="69">
        <v>152</v>
      </c>
      <c r="I4" t="s" s="69">
        <v>252</v>
      </c>
      <c r="J4" t="s" s="69">
        <v>253</v>
      </c>
      <c r="K4" s="131"/>
      <c r="L4" s="131"/>
      <c r="M4" s="131"/>
      <c r="N4" s="131"/>
    </row>
    <row r="5" ht="12.05" customHeight="1">
      <c r="A5" t="s" s="129">
        <v>207</v>
      </c>
      <c r="B5" t="s" s="130">
        <v>202</v>
      </c>
      <c r="C5" t="s" s="69">
        <v>254</v>
      </c>
      <c r="D5" t="s" s="69">
        <v>259</v>
      </c>
      <c r="E5" t="s" s="69">
        <v>256</v>
      </c>
      <c r="F5" t="s" s="69">
        <v>257</v>
      </c>
      <c r="G5" t="s" s="69">
        <v>258</v>
      </c>
      <c r="H5" t="s" s="69">
        <v>152</v>
      </c>
      <c r="I5" t="s" s="69">
        <v>252</v>
      </c>
      <c r="J5" t="s" s="69">
        <v>253</v>
      </c>
      <c r="K5" s="131"/>
      <c r="L5" s="131"/>
      <c r="M5" s="131"/>
      <c r="N5" s="131"/>
    </row>
    <row r="6" ht="24.05" customHeight="1">
      <c r="A6" t="s" s="129">
        <v>207</v>
      </c>
      <c r="B6" t="s" s="130">
        <v>202</v>
      </c>
      <c r="C6" t="s" s="69">
        <v>254</v>
      </c>
      <c r="D6" t="s" s="69">
        <v>260</v>
      </c>
      <c r="E6" t="s" s="69">
        <v>256</v>
      </c>
      <c r="F6" t="s" s="69">
        <v>257</v>
      </c>
      <c r="G6" t="s" s="69">
        <v>258</v>
      </c>
      <c r="H6" t="s" s="69">
        <v>152</v>
      </c>
      <c r="I6" t="s" s="69">
        <v>252</v>
      </c>
      <c r="J6" t="s" s="69">
        <v>253</v>
      </c>
      <c r="K6" s="131"/>
      <c r="L6" s="131"/>
      <c r="M6" s="131"/>
      <c r="N6" s="131"/>
    </row>
    <row r="7" ht="24.05" customHeight="1">
      <c r="A7" t="s" s="129">
        <v>207</v>
      </c>
      <c r="B7" t="s" s="130">
        <v>202</v>
      </c>
      <c r="C7" t="s" s="69">
        <v>254</v>
      </c>
      <c r="D7" t="s" s="69">
        <v>261</v>
      </c>
      <c r="E7" t="s" s="69">
        <v>256</v>
      </c>
      <c r="F7" t="s" s="69">
        <v>257</v>
      </c>
      <c r="G7" t="s" s="69">
        <v>258</v>
      </c>
      <c r="H7" t="s" s="69">
        <v>152</v>
      </c>
      <c r="I7" t="s" s="69">
        <v>252</v>
      </c>
      <c r="J7" t="s" s="69">
        <v>253</v>
      </c>
      <c r="K7" s="131"/>
      <c r="L7" s="131"/>
      <c r="M7" s="131"/>
      <c r="N7" s="131"/>
    </row>
    <row r="8" ht="24.05" customHeight="1">
      <c r="A8" t="s" s="129">
        <v>207</v>
      </c>
      <c r="B8" t="s" s="130">
        <v>202</v>
      </c>
      <c r="C8" t="s" s="69">
        <v>254</v>
      </c>
      <c r="D8" t="s" s="69">
        <v>262</v>
      </c>
      <c r="E8" t="s" s="69">
        <v>256</v>
      </c>
      <c r="F8" t="s" s="69">
        <v>257</v>
      </c>
      <c r="G8" t="s" s="69">
        <v>258</v>
      </c>
      <c r="H8" t="s" s="69">
        <v>152</v>
      </c>
      <c r="I8" t="s" s="69">
        <v>252</v>
      </c>
      <c r="J8" t="s" s="69">
        <v>253</v>
      </c>
      <c r="K8" s="131"/>
      <c r="L8" s="131"/>
      <c r="M8" s="131"/>
      <c r="N8" s="131"/>
    </row>
    <row r="9" ht="12.05" customHeight="1">
      <c r="A9" t="s" s="129">
        <v>207</v>
      </c>
      <c r="B9" t="s" s="130">
        <v>202</v>
      </c>
      <c r="C9" t="s" s="69">
        <v>254</v>
      </c>
      <c r="D9" t="s" s="69">
        <v>263</v>
      </c>
      <c r="E9" t="s" s="69">
        <v>256</v>
      </c>
      <c r="F9" t="s" s="69">
        <v>257</v>
      </c>
      <c r="G9" t="s" s="69">
        <v>251</v>
      </c>
      <c r="H9" t="s" s="69">
        <v>152</v>
      </c>
      <c r="I9" t="s" s="69">
        <v>252</v>
      </c>
      <c r="J9" t="s" s="69">
        <v>253</v>
      </c>
      <c r="K9" s="131"/>
      <c r="L9" s="131"/>
      <c r="M9" s="131"/>
      <c r="N9" s="131"/>
    </row>
    <row r="10" ht="24.35" customHeight="1">
      <c r="A10" t="s" s="129">
        <v>207</v>
      </c>
      <c r="B10" t="s" s="130">
        <v>178</v>
      </c>
      <c r="C10" t="s" s="69">
        <v>176</v>
      </c>
      <c r="D10" t="s" s="67">
        <v>264</v>
      </c>
      <c r="E10" t="s" s="69">
        <v>256</v>
      </c>
      <c r="F10" s="131"/>
      <c r="G10" t="s" s="69">
        <v>211</v>
      </c>
      <c r="H10" t="s" s="69">
        <v>152</v>
      </c>
      <c r="I10" t="s" s="69">
        <v>252</v>
      </c>
      <c r="J10" t="s" s="69">
        <v>265</v>
      </c>
      <c r="K10" s="131"/>
      <c r="L10" t="s" s="69">
        <v>266</v>
      </c>
      <c r="M10" s="131"/>
      <c r="N10" s="131"/>
    </row>
    <row r="11" ht="24.35" customHeight="1">
      <c r="A11" t="s" s="129">
        <v>207</v>
      </c>
      <c r="B11" t="s" s="130">
        <v>178</v>
      </c>
      <c r="C11" t="s" s="69">
        <v>176</v>
      </c>
      <c r="D11" t="s" s="67">
        <v>267</v>
      </c>
      <c r="E11" t="s" s="69">
        <v>256</v>
      </c>
      <c r="F11" s="131"/>
      <c r="G11" t="s" s="69">
        <v>251</v>
      </c>
      <c r="H11" t="s" s="69">
        <v>152</v>
      </c>
      <c r="I11" t="s" s="69">
        <v>252</v>
      </c>
      <c r="J11" t="s" s="69">
        <v>265</v>
      </c>
      <c r="K11" s="131"/>
      <c r="L11" t="s" s="69">
        <v>266</v>
      </c>
      <c r="M11" s="131"/>
      <c r="N11" s="131"/>
    </row>
    <row r="12" ht="12.35" customHeight="1">
      <c r="A12" t="s" s="129">
        <v>207</v>
      </c>
      <c r="B12" t="s" s="130">
        <v>178</v>
      </c>
      <c r="C12" t="s" s="69">
        <v>176</v>
      </c>
      <c r="D12" t="s" s="67">
        <v>268</v>
      </c>
      <c r="E12" t="s" s="69">
        <v>256</v>
      </c>
      <c r="F12" s="131"/>
      <c r="G12" t="s" s="69">
        <v>211</v>
      </c>
      <c r="H12" t="s" s="69">
        <v>152</v>
      </c>
      <c r="I12" t="s" s="69">
        <v>252</v>
      </c>
      <c r="J12" t="s" s="69">
        <v>265</v>
      </c>
      <c r="K12" s="131"/>
      <c r="L12" t="s" s="69">
        <v>266</v>
      </c>
      <c r="M12" s="131"/>
      <c r="N12" s="131"/>
    </row>
    <row r="13" ht="36.35" customHeight="1">
      <c r="A13" t="s" s="129">
        <v>207</v>
      </c>
      <c r="B13" t="s" s="130">
        <v>178</v>
      </c>
      <c r="C13" t="s" s="69">
        <v>176</v>
      </c>
      <c r="D13" t="s" s="67">
        <v>269</v>
      </c>
      <c r="E13" t="s" s="69">
        <v>256</v>
      </c>
      <c r="F13" s="131"/>
      <c r="G13" t="s" s="69">
        <v>211</v>
      </c>
      <c r="H13" t="s" s="69">
        <v>152</v>
      </c>
      <c r="I13" t="s" s="69">
        <v>252</v>
      </c>
      <c r="J13" t="s" s="69">
        <v>265</v>
      </c>
      <c r="K13" s="131"/>
      <c r="L13" t="s" s="69">
        <v>266</v>
      </c>
      <c r="M13" s="131"/>
      <c r="N13" s="131"/>
    </row>
    <row r="14" ht="24.35" customHeight="1">
      <c r="A14" t="s" s="129">
        <v>207</v>
      </c>
      <c r="B14" t="s" s="130">
        <v>178</v>
      </c>
      <c r="C14" t="s" s="69">
        <v>176</v>
      </c>
      <c r="D14" t="s" s="67">
        <v>270</v>
      </c>
      <c r="E14" t="s" s="69">
        <v>256</v>
      </c>
      <c r="F14" s="131"/>
      <c r="G14" t="s" s="69">
        <v>211</v>
      </c>
      <c r="H14" t="s" s="69">
        <v>152</v>
      </c>
      <c r="I14" t="s" s="69">
        <v>252</v>
      </c>
      <c r="J14" t="s" s="69">
        <v>265</v>
      </c>
      <c r="K14" s="131"/>
      <c r="L14" t="s" s="69">
        <v>266</v>
      </c>
      <c r="M14" s="131"/>
      <c r="N14" s="131"/>
    </row>
    <row r="15" ht="12.35" customHeight="1">
      <c r="A15" t="s" s="129">
        <v>207</v>
      </c>
      <c r="B15" t="s" s="130">
        <v>178</v>
      </c>
      <c r="C15" t="s" s="69">
        <v>176</v>
      </c>
      <c r="D15" t="s" s="67">
        <v>271</v>
      </c>
      <c r="E15" t="s" s="69">
        <v>256</v>
      </c>
      <c r="F15" s="131"/>
      <c r="G15" t="s" s="69">
        <v>272</v>
      </c>
      <c r="H15" t="s" s="69">
        <v>152</v>
      </c>
      <c r="I15" t="s" s="69">
        <v>252</v>
      </c>
      <c r="J15" t="s" s="69">
        <v>265</v>
      </c>
      <c r="K15" s="131"/>
      <c r="L15" t="s" s="69">
        <v>266</v>
      </c>
      <c r="M15" s="131"/>
      <c r="N15" s="131"/>
    </row>
    <row r="16" ht="24.35" customHeight="1">
      <c r="A16" t="s" s="129">
        <v>207</v>
      </c>
      <c r="B16" t="s" s="130">
        <v>178</v>
      </c>
      <c r="C16" t="s" s="69">
        <v>176</v>
      </c>
      <c r="D16" t="s" s="67">
        <v>273</v>
      </c>
      <c r="E16" t="s" s="69">
        <v>256</v>
      </c>
      <c r="F16" s="131"/>
      <c r="G16" t="s" s="69">
        <v>272</v>
      </c>
      <c r="H16" t="s" s="69">
        <v>152</v>
      </c>
      <c r="I16" t="s" s="69">
        <v>252</v>
      </c>
      <c r="J16" t="s" s="69">
        <v>265</v>
      </c>
      <c r="K16" s="131"/>
      <c r="L16" t="s" s="69">
        <v>266</v>
      </c>
      <c r="M16" s="131"/>
      <c r="N16" s="131"/>
    </row>
    <row r="17" ht="24.35" customHeight="1">
      <c r="A17" t="s" s="129">
        <v>207</v>
      </c>
      <c r="B17" t="s" s="130">
        <v>178</v>
      </c>
      <c r="C17" t="s" s="69">
        <v>176</v>
      </c>
      <c r="D17" t="s" s="67">
        <v>274</v>
      </c>
      <c r="E17" t="s" s="69">
        <v>256</v>
      </c>
      <c r="F17" s="131"/>
      <c r="G17" t="s" s="69">
        <v>211</v>
      </c>
      <c r="H17" t="s" s="69">
        <v>152</v>
      </c>
      <c r="I17" t="s" s="69">
        <v>252</v>
      </c>
      <c r="J17" t="s" s="69">
        <v>265</v>
      </c>
      <c r="K17" s="131"/>
      <c r="L17" t="s" s="69">
        <v>266</v>
      </c>
      <c r="M17" s="131"/>
      <c r="N17" s="131"/>
    </row>
    <row r="18" ht="24.35" customHeight="1">
      <c r="A18" t="s" s="129">
        <v>207</v>
      </c>
      <c r="B18" t="s" s="130">
        <v>178</v>
      </c>
      <c r="C18" t="s" s="69">
        <v>176</v>
      </c>
      <c r="D18" t="s" s="67">
        <v>275</v>
      </c>
      <c r="E18" t="s" s="69">
        <v>256</v>
      </c>
      <c r="F18" s="131"/>
      <c r="G18" t="s" s="69">
        <v>211</v>
      </c>
      <c r="H18" t="s" s="69">
        <v>152</v>
      </c>
      <c r="I18" t="s" s="69">
        <v>252</v>
      </c>
      <c r="J18" t="s" s="69">
        <v>265</v>
      </c>
      <c r="K18" s="131"/>
      <c r="L18" t="s" s="69">
        <v>266</v>
      </c>
      <c r="M18" s="131"/>
      <c r="N18" s="131"/>
    </row>
    <row r="19" ht="24.35" customHeight="1">
      <c r="A19" t="s" s="129">
        <v>207</v>
      </c>
      <c r="B19" t="s" s="130">
        <v>178</v>
      </c>
      <c r="C19" t="s" s="69">
        <v>176</v>
      </c>
      <c r="D19" t="s" s="67">
        <v>276</v>
      </c>
      <c r="E19" t="s" s="69">
        <v>256</v>
      </c>
      <c r="F19" s="131"/>
      <c r="G19" t="s" s="69">
        <v>211</v>
      </c>
      <c r="H19" t="s" s="69">
        <v>152</v>
      </c>
      <c r="I19" t="s" s="69">
        <v>252</v>
      </c>
      <c r="J19" t="s" s="69">
        <v>265</v>
      </c>
      <c r="K19" s="131"/>
      <c r="L19" t="s" s="69">
        <v>266</v>
      </c>
      <c r="M19" s="131"/>
      <c r="N19" s="131"/>
    </row>
    <row r="20" ht="24.35" customHeight="1">
      <c r="A20" t="s" s="129">
        <v>207</v>
      </c>
      <c r="B20" t="s" s="130">
        <v>178</v>
      </c>
      <c r="C20" t="s" s="69">
        <v>176</v>
      </c>
      <c r="D20" t="s" s="67">
        <v>277</v>
      </c>
      <c r="E20" t="s" s="69">
        <v>256</v>
      </c>
      <c r="F20" s="131"/>
      <c r="G20" t="s" s="69">
        <v>272</v>
      </c>
      <c r="H20" t="s" s="69">
        <v>152</v>
      </c>
      <c r="I20" t="s" s="69">
        <v>252</v>
      </c>
      <c r="J20" t="s" s="69">
        <v>265</v>
      </c>
      <c r="K20" s="131"/>
      <c r="L20" t="s" s="69">
        <v>266</v>
      </c>
      <c r="M20" s="131"/>
      <c r="N20" s="131"/>
    </row>
    <row r="21" ht="24.35" customHeight="1">
      <c r="A21" t="s" s="129">
        <v>207</v>
      </c>
      <c r="B21" t="s" s="130">
        <v>178</v>
      </c>
      <c r="C21" t="s" s="69">
        <v>176</v>
      </c>
      <c r="D21" t="s" s="67">
        <v>278</v>
      </c>
      <c r="E21" t="s" s="69">
        <v>256</v>
      </c>
      <c r="F21" s="131"/>
      <c r="G21" t="s" s="69">
        <v>211</v>
      </c>
      <c r="H21" t="s" s="69">
        <v>152</v>
      </c>
      <c r="I21" t="s" s="69">
        <v>252</v>
      </c>
      <c r="J21" t="s" s="69">
        <v>265</v>
      </c>
      <c r="K21" s="131"/>
      <c r="L21" t="s" s="69">
        <v>266</v>
      </c>
      <c r="M21" s="131"/>
      <c r="N21" s="131"/>
    </row>
    <row r="22" ht="24.35" customHeight="1">
      <c r="A22" t="s" s="129">
        <v>207</v>
      </c>
      <c r="B22" t="s" s="130">
        <v>178</v>
      </c>
      <c r="C22" t="s" s="69">
        <v>176</v>
      </c>
      <c r="D22" t="s" s="67">
        <v>279</v>
      </c>
      <c r="E22" t="s" s="69">
        <v>256</v>
      </c>
      <c r="F22" s="131"/>
      <c r="G22" t="s" s="69">
        <v>251</v>
      </c>
      <c r="H22" t="s" s="69">
        <v>152</v>
      </c>
      <c r="I22" t="s" s="69">
        <v>252</v>
      </c>
      <c r="J22" t="s" s="69">
        <v>265</v>
      </c>
      <c r="K22" s="131"/>
      <c r="L22" t="s" s="69">
        <v>266</v>
      </c>
      <c r="M22" s="131"/>
      <c r="N22" s="131"/>
    </row>
    <row r="23" ht="24.35" customHeight="1">
      <c r="A23" t="s" s="129">
        <v>207</v>
      </c>
      <c r="B23" t="s" s="130">
        <v>178</v>
      </c>
      <c r="C23" t="s" s="69">
        <v>176</v>
      </c>
      <c r="D23" t="s" s="132">
        <v>280</v>
      </c>
      <c r="E23" t="s" s="69">
        <v>256</v>
      </c>
      <c r="F23" s="131"/>
      <c r="G23" t="s" s="69">
        <v>251</v>
      </c>
      <c r="H23" t="s" s="69">
        <v>152</v>
      </c>
      <c r="I23" t="s" s="69">
        <v>252</v>
      </c>
      <c r="J23" t="s" s="69">
        <v>265</v>
      </c>
      <c r="K23" s="131"/>
      <c r="L23" t="s" s="69">
        <v>266</v>
      </c>
      <c r="M23" s="131"/>
      <c r="N23" s="131"/>
    </row>
    <row r="24" ht="12.35" customHeight="1">
      <c r="A24" t="s" s="129">
        <v>207</v>
      </c>
      <c r="B24" t="s" s="130">
        <v>178</v>
      </c>
      <c r="C24" t="s" s="69">
        <v>176</v>
      </c>
      <c r="D24" t="s" s="132">
        <v>281</v>
      </c>
      <c r="E24" t="s" s="69">
        <v>256</v>
      </c>
      <c r="F24" s="131"/>
      <c r="G24" t="s" s="69">
        <v>251</v>
      </c>
      <c r="H24" t="s" s="69">
        <v>152</v>
      </c>
      <c r="I24" t="s" s="69">
        <v>252</v>
      </c>
      <c r="J24" t="s" s="69">
        <v>265</v>
      </c>
      <c r="K24" s="131"/>
      <c r="L24" t="s" s="69">
        <v>266</v>
      </c>
      <c r="M24" s="131"/>
      <c r="N24" s="131"/>
    </row>
    <row r="25" ht="24.35" customHeight="1">
      <c r="A25" t="s" s="129">
        <v>207</v>
      </c>
      <c r="B25" t="s" s="130">
        <v>178</v>
      </c>
      <c r="C25" t="s" s="69">
        <v>282</v>
      </c>
      <c r="D25" t="s" s="67">
        <v>283</v>
      </c>
      <c r="E25" t="s" s="69">
        <v>256</v>
      </c>
      <c r="F25" s="131"/>
      <c r="G25" t="s" s="69">
        <v>272</v>
      </c>
      <c r="H25" t="s" s="69">
        <v>152</v>
      </c>
      <c r="I25" t="s" s="69">
        <v>252</v>
      </c>
      <c r="J25" t="s" s="69">
        <v>265</v>
      </c>
      <c r="K25" s="131"/>
      <c r="L25" t="s" s="69">
        <v>266</v>
      </c>
      <c r="M25" s="131"/>
      <c r="N25" s="131"/>
    </row>
    <row r="26" ht="12.35" customHeight="1">
      <c r="A26" t="s" s="129">
        <v>207</v>
      </c>
      <c r="B26" t="s" s="130">
        <v>178</v>
      </c>
      <c r="C26" t="s" s="69">
        <v>282</v>
      </c>
      <c r="D26" t="s" s="67">
        <v>284</v>
      </c>
      <c r="E26" t="s" s="69">
        <v>256</v>
      </c>
      <c r="F26" s="131"/>
      <c r="G26" t="s" s="69">
        <v>272</v>
      </c>
      <c r="H26" t="s" s="69">
        <v>152</v>
      </c>
      <c r="I26" t="s" s="69">
        <v>252</v>
      </c>
      <c r="J26" t="s" s="69">
        <v>265</v>
      </c>
      <c r="K26" s="131"/>
      <c r="L26" t="s" s="69">
        <v>266</v>
      </c>
      <c r="M26" s="131"/>
      <c r="N26" s="131"/>
    </row>
    <row r="27" ht="24.35" customHeight="1">
      <c r="A27" t="s" s="129">
        <v>207</v>
      </c>
      <c r="B27" t="s" s="130">
        <v>178</v>
      </c>
      <c r="C27" t="s" s="69">
        <v>282</v>
      </c>
      <c r="D27" t="s" s="67">
        <v>285</v>
      </c>
      <c r="E27" t="s" s="69">
        <v>256</v>
      </c>
      <c r="F27" s="131"/>
      <c r="G27" t="s" s="69">
        <v>286</v>
      </c>
      <c r="H27" t="s" s="69">
        <v>152</v>
      </c>
      <c r="I27" t="s" s="69">
        <v>252</v>
      </c>
      <c r="J27" t="s" s="69">
        <v>265</v>
      </c>
      <c r="K27" s="131"/>
      <c r="L27" t="s" s="69">
        <v>266</v>
      </c>
      <c r="M27" s="131"/>
      <c r="N27" s="131"/>
    </row>
    <row r="28" ht="24.35" customHeight="1">
      <c r="A28" t="s" s="129">
        <v>207</v>
      </c>
      <c r="B28" t="s" s="130">
        <v>178</v>
      </c>
      <c r="C28" t="s" s="69">
        <v>282</v>
      </c>
      <c r="D28" t="s" s="67">
        <v>287</v>
      </c>
      <c r="E28" t="s" s="69">
        <v>256</v>
      </c>
      <c r="F28" s="131"/>
      <c r="G28" t="s" s="69">
        <v>286</v>
      </c>
      <c r="H28" t="s" s="69">
        <v>152</v>
      </c>
      <c r="I28" t="s" s="69">
        <v>252</v>
      </c>
      <c r="J28" t="s" s="69">
        <v>265</v>
      </c>
      <c r="K28" s="131"/>
      <c r="L28" t="s" s="69">
        <v>266</v>
      </c>
      <c r="M28" s="131"/>
      <c r="N28" s="131"/>
    </row>
    <row r="29" ht="12.35" customHeight="1">
      <c r="A29" t="s" s="129">
        <v>207</v>
      </c>
      <c r="B29" t="s" s="130">
        <v>178</v>
      </c>
      <c r="C29" t="s" s="69">
        <v>282</v>
      </c>
      <c r="D29" t="s" s="67">
        <v>288</v>
      </c>
      <c r="E29" t="s" s="69">
        <v>256</v>
      </c>
      <c r="F29" s="131"/>
      <c r="G29" t="s" s="69">
        <v>251</v>
      </c>
      <c r="H29" t="s" s="69">
        <v>152</v>
      </c>
      <c r="I29" t="s" s="69">
        <v>252</v>
      </c>
      <c r="J29" t="s" s="69">
        <v>265</v>
      </c>
      <c r="K29" s="131"/>
      <c r="L29" t="s" s="69">
        <v>266</v>
      </c>
      <c r="M29" s="131"/>
      <c r="N29" s="131"/>
    </row>
    <row r="30" ht="24.35" customHeight="1">
      <c r="A30" t="s" s="129">
        <v>207</v>
      </c>
      <c r="B30" t="s" s="130">
        <v>178</v>
      </c>
      <c r="C30" t="s" s="69">
        <v>282</v>
      </c>
      <c r="D30" t="s" s="67">
        <v>289</v>
      </c>
      <c r="E30" t="s" s="69">
        <v>256</v>
      </c>
      <c r="F30" s="131"/>
      <c r="G30" t="s" s="69">
        <v>272</v>
      </c>
      <c r="H30" t="s" s="69">
        <v>152</v>
      </c>
      <c r="I30" t="s" s="69">
        <v>252</v>
      </c>
      <c r="J30" t="s" s="69">
        <v>265</v>
      </c>
      <c r="K30" s="131"/>
      <c r="L30" t="s" s="69">
        <v>266</v>
      </c>
      <c r="M30" s="131"/>
      <c r="N30" s="131"/>
    </row>
    <row r="31" ht="36.35" customHeight="1">
      <c r="A31" t="s" s="129">
        <v>207</v>
      </c>
      <c r="B31" t="s" s="130">
        <v>178</v>
      </c>
      <c r="C31" t="s" s="69">
        <v>282</v>
      </c>
      <c r="D31" t="s" s="67">
        <v>290</v>
      </c>
      <c r="E31" t="s" s="69">
        <v>256</v>
      </c>
      <c r="F31" s="131"/>
      <c r="G31" t="s" s="69">
        <v>286</v>
      </c>
      <c r="H31" t="s" s="69">
        <v>152</v>
      </c>
      <c r="I31" t="s" s="69">
        <v>252</v>
      </c>
      <c r="J31" t="s" s="69">
        <v>265</v>
      </c>
      <c r="K31" s="131"/>
      <c r="L31" t="s" s="69">
        <v>266</v>
      </c>
      <c r="M31" s="131"/>
      <c r="N31" s="131"/>
    </row>
    <row r="32" ht="12.35" customHeight="1">
      <c r="A32" t="s" s="129">
        <v>207</v>
      </c>
      <c r="B32" t="s" s="130">
        <v>178</v>
      </c>
      <c r="C32" t="s" s="69">
        <v>282</v>
      </c>
      <c r="D32" t="s" s="67">
        <v>291</v>
      </c>
      <c r="E32" t="s" s="69">
        <v>256</v>
      </c>
      <c r="F32" s="131"/>
      <c r="G32" t="s" s="69">
        <v>286</v>
      </c>
      <c r="H32" t="s" s="69">
        <v>152</v>
      </c>
      <c r="I32" t="s" s="69">
        <v>252</v>
      </c>
      <c r="J32" t="s" s="69">
        <v>265</v>
      </c>
      <c r="K32" s="131"/>
      <c r="L32" t="s" s="69">
        <v>266</v>
      </c>
      <c r="M32" s="131"/>
      <c r="N32" s="131"/>
    </row>
    <row r="33" ht="12.35" customHeight="1">
      <c r="A33" t="s" s="129">
        <v>207</v>
      </c>
      <c r="B33" t="s" s="130">
        <v>178</v>
      </c>
      <c r="C33" t="s" s="69">
        <v>282</v>
      </c>
      <c r="D33" t="s" s="67">
        <v>292</v>
      </c>
      <c r="E33" t="s" s="69">
        <v>256</v>
      </c>
      <c r="F33" s="131"/>
      <c r="G33" t="s" s="69">
        <v>272</v>
      </c>
      <c r="H33" t="s" s="69">
        <v>152</v>
      </c>
      <c r="I33" t="s" s="69">
        <v>252</v>
      </c>
      <c r="J33" t="s" s="69">
        <v>265</v>
      </c>
      <c r="K33" s="131"/>
      <c r="L33" t="s" s="69">
        <v>266</v>
      </c>
      <c r="M33" s="131"/>
      <c r="N33" s="131"/>
    </row>
    <row r="34" ht="24.35" customHeight="1">
      <c r="A34" t="s" s="129">
        <v>207</v>
      </c>
      <c r="B34" t="s" s="130">
        <v>178</v>
      </c>
      <c r="C34" t="s" s="69">
        <v>282</v>
      </c>
      <c r="D34" t="s" s="67">
        <v>293</v>
      </c>
      <c r="E34" t="s" s="69">
        <v>256</v>
      </c>
      <c r="F34" s="131"/>
      <c r="G34" t="s" s="69">
        <v>272</v>
      </c>
      <c r="H34" t="s" s="69">
        <v>152</v>
      </c>
      <c r="I34" t="s" s="69">
        <v>252</v>
      </c>
      <c r="J34" t="s" s="69">
        <v>265</v>
      </c>
      <c r="K34" s="131"/>
      <c r="L34" t="s" s="69">
        <v>266</v>
      </c>
      <c r="M34" s="131"/>
      <c r="N34" s="131"/>
    </row>
    <row r="35" ht="24.35" customHeight="1">
      <c r="A35" t="s" s="129">
        <v>207</v>
      </c>
      <c r="B35" t="s" s="130">
        <v>178</v>
      </c>
      <c r="C35" t="s" s="69">
        <v>282</v>
      </c>
      <c r="D35" t="s" s="67">
        <v>294</v>
      </c>
      <c r="E35" t="s" s="69">
        <v>256</v>
      </c>
      <c r="F35" s="131"/>
      <c r="G35" t="s" s="69">
        <v>272</v>
      </c>
      <c r="H35" t="s" s="69">
        <v>152</v>
      </c>
      <c r="I35" t="s" s="69">
        <v>252</v>
      </c>
      <c r="J35" t="s" s="69">
        <v>265</v>
      </c>
      <c r="K35" s="131"/>
      <c r="L35" t="s" s="69">
        <v>266</v>
      </c>
      <c r="M35" s="131"/>
      <c r="N35" s="131"/>
    </row>
    <row r="36" ht="24.35" customHeight="1">
      <c r="A36" t="s" s="129">
        <v>207</v>
      </c>
      <c r="B36" t="s" s="130">
        <v>178</v>
      </c>
      <c r="C36" t="s" s="69">
        <v>282</v>
      </c>
      <c r="D36" t="s" s="67">
        <v>295</v>
      </c>
      <c r="E36" t="s" s="69">
        <v>256</v>
      </c>
      <c r="F36" s="131"/>
      <c r="G36" t="s" s="69">
        <v>272</v>
      </c>
      <c r="H36" t="s" s="69">
        <v>152</v>
      </c>
      <c r="I36" t="s" s="69">
        <v>252</v>
      </c>
      <c r="J36" t="s" s="69">
        <v>265</v>
      </c>
      <c r="K36" s="131"/>
      <c r="L36" t="s" s="69">
        <v>266</v>
      </c>
      <c r="M36" s="131"/>
      <c r="N36" s="131"/>
    </row>
    <row r="37" ht="24.35" customHeight="1">
      <c r="A37" t="s" s="129">
        <v>207</v>
      </c>
      <c r="B37" t="s" s="130">
        <v>178</v>
      </c>
      <c r="C37" t="s" s="69">
        <v>282</v>
      </c>
      <c r="D37" t="s" s="67">
        <v>296</v>
      </c>
      <c r="E37" t="s" s="69">
        <v>256</v>
      </c>
      <c r="F37" s="131"/>
      <c r="G37" t="s" s="69">
        <v>272</v>
      </c>
      <c r="H37" t="s" s="69">
        <v>152</v>
      </c>
      <c r="I37" t="s" s="69">
        <v>252</v>
      </c>
      <c r="J37" t="s" s="69">
        <v>265</v>
      </c>
      <c r="K37" s="131"/>
      <c r="L37" t="s" s="69">
        <v>266</v>
      </c>
      <c r="M37" s="131"/>
      <c r="N37" s="131"/>
    </row>
    <row r="38" ht="24.35" customHeight="1">
      <c r="A38" t="s" s="129">
        <v>207</v>
      </c>
      <c r="B38" t="s" s="130">
        <v>178</v>
      </c>
      <c r="C38" t="s" s="69">
        <v>282</v>
      </c>
      <c r="D38" t="s" s="67">
        <v>297</v>
      </c>
      <c r="E38" t="s" s="69">
        <v>256</v>
      </c>
      <c r="F38" s="131"/>
      <c r="G38" t="s" s="69">
        <v>272</v>
      </c>
      <c r="H38" t="s" s="69">
        <v>152</v>
      </c>
      <c r="I38" t="s" s="69">
        <v>252</v>
      </c>
      <c r="J38" t="s" s="69">
        <v>265</v>
      </c>
      <c r="K38" s="131"/>
      <c r="L38" t="s" s="69">
        <v>266</v>
      </c>
      <c r="M38" s="131"/>
      <c r="N38" s="131"/>
    </row>
    <row r="39" ht="24.35" customHeight="1">
      <c r="A39" t="s" s="129">
        <v>207</v>
      </c>
      <c r="B39" t="s" s="130">
        <v>178</v>
      </c>
      <c r="C39" t="s" s="69">
        <v>282</v>
      </c>
      <c r="D39" t="s" s="67">
        <v>298</v>
      </c>
      <c r="E39" t="s" s="69">
        <v>256</v>
      </c>
      <c r="F39" s="131"/>
      <c r="G39" t="s" s="69">
        <v>251</v>
      </c>
      <c r="H39" t="s" s="69">
        <v>152</v>
      </c>
      <c r="I39" t="s" s="69">
        <v>252</v>
      </c>
      <c r="J39" t="s" s="69">
        <v>265</v>
      </c>
      <c r="K39" s="131"/>
      <c r="L39" t="s" s="69">
        <v>266</v>
      </c>
      <c r="M39" s="131"/>
      <c r="N39" s="131"/>
    </row>
    <row r="40" ht="36.35" customHeight="1">
      <c r="A40" t="s" s="129">
        <v>207</v>
      </c>
      <c r="B40" t="s" s="130">
        <v>178</v>
      </c>
      <c r="C40" t="s" s="69">
        <v>282</v>
      </c>
      <c r="D40" t="s" s="67">
        <v>299</v>
      </c>
      <c r="E40" t="s" s="69">
        <v>256</v>
      </c>
      <c r="F40" s="131"/>
      <c r="G40" t="s" s="69">
        <v>300</v>
      </c>
      <c r="H40" t="s" s="69">
        <v>152</v>
      </c>
      <c r="I40" t="s" s="69">
        <v>252</v>
      </c>
      <c r="J40" t="s" s="69">
        <v>265</v>
      </c>
      <c r="K40" s="131"/>
      <c r="L40" t="s" s="69">
        <v>266</v>
      </c>
      <c r="M40" s="131"/>
      <c r="N40" s="131"/>
    </row>
    <row r="41" ht="24.35" customHeight="1">
      <c r="A41" t="s" s="129">
        <v>207</v>
      </c>
      <c r="B41" t="s" s="130">
        <v>178</v>
      </c>
      <c r="C41" t="s" s="69">
        <v>282</v>
      </c>
      <c r="D41" t="s" s="67">
        <v>301</v>
      </c>
      <c r="E41" t="s" s="69">
        <v>256</v>
      </c>
      <c r="F41" s="131"/>
      <c r="G41" t="s" s="69">
        <v>286</v>
      </c>
      <c r="H41" t="s" s="69">
        <v>152</v>
      </c>
      <c r="I41" t="s" s="69">
        <v>252</v>
      </c>
      <c r="J41" t="s" s="69">
        <v>265</v>
      </c>
      <c r="K41" s="131"/>
      <c r="L41" t="s" s="69">
        <v>266</v>
      </c>
      <c r="M41" s="131"/>
      <c r="N41" s="131"/>
    </row>
    <row r="42" ht="24.35" customHeight="1">
      <c r="A42" t="s" s="129">
        <v>207</v>
      </c>
      <c r="B42" t="s" s="130">
        <v>178</v>
      </c>
      <c r="C42" t="s" s="69">
        <v>282</v>
      </c>
      <c r="D42" t="s" s="67">
        <v>302</v>
      </c>
      <c r="E42" t="s" s="69">
        <v>256</v>
      </c>
      <c r="F42" s="131"/>
      <c r="G42" t="s" s="69">
        <v>286</v>
      </c>
      <c r="H42" t="s" s="69">
        <v>152</v>
      </c>
      <c r="I42" t="s" s="69">
        <v>252</v>
      </c>
      <c r="J42" t="s" s="69">
        <v>265</v>
      </c>
      <c r="K42" s="131"/>
      <c r="L42" t="s" s="69">
        <v>266</v>
      </c>
      <c r="M42" s="131"/>
      <c r="N42" s="131"/>
    </row>
    <row r="43" ht="24.35" customHeight="1">
      <c r="A43" t="s" s="129">
        <v>207</v>
      </c>
      <c r="B43" t="s" s="130">
        <v>178</v>
      </c>
      <c r="C43" t="s" s="69">
        <v>282</v>
      </c>
      <c r="D43" t="s" s="67">
        <v>303</v>
      </c>
      <c r="E43" t="s" s="69">
        <v>256</v>
      </c>
      <c r="F43" s="131"/>
      <c r="G43" t="s" s="69">
        <v>286</v>
      </c>
      <c r="H43" t="s" s="69">
        <v>152</v>
      </c>
      <c r="I43" t="s" s="69">
        <v>252</v>
      </c>
      <c r="J43" t="s" s="69">
        <v>265</v>
      </c>
      <c r="K43" s="131"/>
      <c r="L43" t="s" s="69">
        <v>266</v>
      </c>
      <c r="M43" s="131"/>
      <c r="N43" s="131"/>
    </row>
    <row r="44" ht="24.35" customHeight="1">
      <c r="A44" t="s" s="129">
        <v>207</v>
      </c>
      <c r="B44" t="s" s="130">
        <v>178</v>
      </c>
      <c r="C44" t="s" s="69">
        <v>282</v>
      </c>
      <c r="D44" t="s" s="67">
        <v>304</v>
      </c>
      <c r="E44" t="s" s="69">
        <v>256</v>
      </c>
      <c r="F44" s="131"/>
      <c r="G44" t="s" s="69">
        <v>272</v>
      </c>
      <c r="H44" t="s" s="69">
        <v>152</v>
      </c>
      <c r="I44" t="s" s="69">
        <v>252</v>
      </c>
      <c r="J44" t="s" s="69">
        <v>265</v>
      </c>
      <c r="K44" s="131"/>
      <c r="L44" t="s" s="69">
        <v>266</v>
      </c>
      <c r="M44" s="131"/>
      <c r="N44" s="131"/>
    </row>
    <row r="45" ht="24.35" customHeight="1">
      <c r="A45" t="s" s="129">
        <v>207</v>
      </c>
      <c r="B45" t="s" s="130">
        <v>178</v>
      </c>
      <c r="C45" t="s" s="69">
        <v>282</v>
      </c>
      <c r="D45" t="s" s="67">
        <v>305</v>
      </c>
      <c r="E45" t="s" s="69">
        <v>256</v>
      </c>
      <c r="F45" s="131"/>
      <c r="G45" t="s" s="69">
        <v>286</v>
      </c>
      <c r="H45" t="s" s="69">
        <v>152</v>
      </c>
      <c r="I45" t="s" s="69">
        <v>252</v>
      </c>
      <c r="J45" t="s" s="69">
        <v>265</v>
      </c>
      <c r="K45" s="131"/>
      <c r="L45" t="s" s="69">
        <v>266</v>
      </c>
      <c r="M45" s="131"/>
      <c r="N45" s="131"/>
    </row>
    <row r="46" ht="24.35" customHeight="1">
      <c r="A46" t="s" s="129">
        <v>207</v>
      </c>
      <c r="B46" t="s" s="130">
        <v>178</v>
      </c>
      <c r="C46" t="s" s="69">
        <v>282</v>
      </c>
      <c r="D46" t="s" s="67">
        <v>306</v>
      </c>
      <c r="E46" t="s" s="69">
        <v>256</v>
      </c>
      <c r="F46" s="131"/>
      <c r="G46" t="s" s="69">
        <v>300</v>
      </c>
      <c r="H46" t="s" s="69">
        <v>152</v>
      </c>
      <c r="I46" t="s" s="69">
        <v>252</v>
      </c>
      <c r="J46" t="s" s="69">
        <v>265</v>
      </c>
      <c r="K46" s="131"/>
      <c r="L46" t="s" s="69">
        <v>266</v>
      </c>
      <c r="M46" s="131"/>
      <c r="N46" s="131"/>
    </row>
    <row r="47" ht="24.35" customHeight="1">
      <c r="A47" t="s" s="129">
        <v>207</v>
      </c>
      <c r="B47" t="s" s="130">
        <v>191</v>
      </c>
      <c r="C47" t="s" s="69">
        <v>189</v>
      </c>
      <c r="D47" t="s" s="67">
        <v>307</v>
      </c>
      <c r="E47" t="s" s="69">
        <v>256</v>
      </c>
      <c r="F47" s="131"/>
      <c r="G47" t="s" s="69">
        <v>258</v>
      </c>
      <c r="H47" t="s" s="69">
        <v>152</v>
      </c>
      <c r="I47" t="s" s="69">
        <v>252</v>
      </c>
      <c r="J47" t="s" s="69">
        <v>253</v>
      </c>
      <c r="K47" s="131"/>
      <c r="L47" t="s" s="69">
        <v>308</v>
      </c>
      <c r="M47" s="131"/>
      <c r="N47" s="131"/>
    </row>
    <row r="48" ht="36.35" customHeight="1">
      <c r="A48" t="s" s="129">
        <v>207</v>
      </c>
      <c r="B48" t="s" s="130">
        <v>191</v>
      </c>
      <c r="C48" t="s" s="69">
        <v>189</v>
      </c>
      <c r="D48" t="s" s="67">
        <v>309</v>
      </c>
      <c r="E48" t="s" s="69">
        <v>256</v>
      </c>
      <c r="F48" s="131"/>
      <c r="G48" t="s" s="69">
        <v>258</v>
      </c>
      <c r="H48" t="s" s="69">
        <v>152</v>
      </c>
      <c r="I48" t="s" s="69">
        <v>252</v>
      </c>
      <c r="J48" t="s" s="69">
        <v>253</v>
      </c>
      <c r="K48" s="131"/>
      <c r="L48" t="s" s="69">
        <v>308</v>
      </c>
      <c r="M48" s="131"/>
      <c r="N48" s="131"/>
    </row>
    <row r="49" ht="24.35" customHeight="1">
      <c r="A49" t="s" s="129">
        <v>207</v>
      </c>
      <c r="B49" t="s" s="130">
        <v>191</v>
      </c>
      <c r="C49" t="s" s="69">
        <v>189</v>
      </c>
      <c r="D49" t="s" s="67">
        <v>310</v>
      </c>
      <c r="E49" t="s" s="69">
        <v>256</v>
      </c>
      <c r="F49" s="131"/>
      <c r="G49" t="s" s="69">
        <v>251</v>
      </c>
      <c r="H49" t="s" s="69">
        <v>152</v>
      </c>
      <c r="I49" t="s" s="69">
        <v>252</v>
      </c>
      <c r="J49" t="s" s="69">
        <v>253</v>
      </c>
      <c r="K49" s="131"/>
      <c r="L49" t="s" s="69">
        <v>308</v>
      </c>
      <c r="M49" s="131"/>
      <c r="N49" s="131"/>
    </row>
    <row r="50" ht="24.35" customHeight="1">
      <c r="A50" t="s" s="129">
        <v>207</v>
      </c>
      <c r="B50" t="s" s="130">
        <v>191</v>
      </c>
      <c r="C50" t="s" s="69">
        <v>189</v>
      </c>
      <c r="D50" t="s" s="67">
        <v>311</v>
      </c>
      <c r="E50" t="s" s="69">
        <v>256</v>
      </c>
      <c r="F50" s="131"/>
      <c r="G50" t="s" s="69">
        <v>251</v>
      </c>
      <c r="H50" t="s" s="69">
        <v>152</v>
      </c>
      <c r="I50" t="s" s="69">
        <v>252</v>
      </c>
      <c r="J50" t="s" s="69">
        <v>253</v>
      </c>
      <c r="K50" s="131"/>
      <c r="L50" t="s" s="69">
        <v>308</v>
      </c>
      <c r="M50" s="131"/>
      <c r="N50" s="131"/>
    </row>
    <row r="51" ht="36.35" customHeight="1">
      <c r="A51" t="s" s="129">
        <v>207</v>
      </c>
      <c r="B51" t="s" s="130">
        <v>191</v>
      </c>
      <c r="C51" t="s" s="69">
        <v>189</v>
      </c>
      <c r="D51" t="s" s="67">
        <v>312</v>
      </c>
      <c r="E51" t="s" s="69">
        <v>256</v>
      </c>
      <c r="F51" s="131"/>
      <c r="G51" t="s" s="69">
        <v>251</v>
      </c>
      <c r="H51" t="s" s="69">
        <v>152</v>
      </c>
      <c r="I51" t="s" s="69">
        <v>252</v>
      </c>
      <c r="J51" t="s" s="69">
        <v>253</v>
      </c>
      <c r="K51" s="131"/>
      <c r="L51" t="s" s="69">
        <v>308</v>
      </c>
      <c r="M51" s="131"/>
      <c r="N51" s="131"/>
    </row>
    <row r="52" ht="48.35" customHeight="1">
      <c r="A52" t="s" s="129">
        <v>207</v>
      </c>
      <c r="B52" t="s" s="130">
        <v>191</v>
      </c>
      <c r="C52" t="s" s="69">
        <v>189</v>
      </c>
      <c r="D52" t="s" s="67">
        <v>313</v>
      </c>
      <c r="E52" t="s" s="69">
        <v>256</v>
      </c>
      <c r="F52" s="131"/>
      <c r="G52" t="s" s="69">
        <v>314</v>
      </c>
      <c r="H52" t="s" s="69">
        <v>152</v>
      </c>
      <c r="I52" t="s" s="69">
        <v>252</v>
      </c>
      <c r="J52" t="s" s="69">
        <v>253</v>
      </c>
      <c r="K52" s="131"/>
      <c r="L52" t="s" s="69">
        <v>308</v>
      </c>
      <c r="M52" s="131"/>
      <c r="N52" s="131"/>
    </row>
    <row r="53" ht="24.35" customHeight="1">
      <c r="A53" t="s" s="129">
        <v>207</v>
      </c>
      <c r="B53" t="s" s="130">
        <v>191</v>
      </c>
      <c r="C53" t="s" s="69">
        <v>189</v>
      </c>
      <c r="D53" t="s" s="67">
        <v>315</v>
      </c>
      <c r="E53" t="s" s="69">
        <v>256</v>
      </c>
      <c r="F53" s="131"/>
      <c r="G53" t="s" s="69">
        <v>314</v>
      </c>
      <c r="H53" t="s" s="69">
        <v>152</v>
      </c>
      <c r="I53" t="s" s="69">
        <v>252</v>
      </c>
      <c r="J53" t="s" s="69">
        <v>253</v>
      </c>
      <c r="K53" s="131"/>
      <c r="L53" t="s" s="69">
        <v>308</v>
      </c>
      <c r="M53" s="131"/>
      <c r="N53" s="131"/>
    </row>
    <row r="54" ht="36.35" customHeight="1">
      <c r="A54" t="s" s="129">
        <v>207</v>
      </c>
      <c r="B54" t="s" s="130">
        <v>191</v>
      </c>
      <c r="C54" t="s" s="69">
        <v>189</v>
      </c>
      <c r="D54" t="s" s="67">
        <v>316</v>
      </c>
      <c r="E54" t="s" s="69">
        <v>256</v>
      </c>
      <c r="F54" s="131"/>
      <c r="G54" t="s" s="69">
        <v>314</v>
      </c>
      <c r="H54" t="s" s="69">
        <v>152</v>
      </c>
      <c r="I54" t="s" s="69">
        <v>252</v>
      </c>
      <c r="J54" t="s" s="69">
        <v>253</v>
      </c>
      <c r="K54" s="131"/>
      <c r="L54" t="s" s="69">
        <v>308</v>
      </c>
      <c r="M54" s="131"/>
      <c r="N54" s="131"/>
    </row>
    <row r="55" ht="48.35" customHeight="1">
      <c r="A55" t="s" s="129">
        <v>207</v>
      </c>
      <c r="B55" t="s" s="130">
        <v>191</v>
      </c>
      <c r="C55" t="s" s="69">
        <v>189</v>
      </c>
      <c r="D55" t="s" s="67">
        <v>317</v>
      </c>
      <c r="E55" t="s" s="69">
        <v>256</v>
      </c>
      <c r="F55" s="131"/>
      <c r="G55" t="s" s="69">
        <v>314</v>
      </c>
      <c r="H55" t="s" s="69">
        <v>152</v>
      </c>
      <c r="I55" t="s" s="69">
        <v>252</v>
      </c>
      <c r="J55" t="s" s="69">
        <v>253</v>
      </c>
      <c r="K55" s="131"/>
      <c r="L55" t="s" s="69">
        <v>308</v>
      </c>
      <c r="M55" s="131"/>
      <c r="N55" s="131"/>
    </row>
    <row r="56" ht="24.35" customHeight="1">
      <c r="A56" t="s" s="129">
        <v>207</v>
      </c>
      <c r="B56" t="s" s="130">
        <v>191</v>
      </c>
      <c r="C56" t="s" s="69">
        <v>189</v>
      </c>
      <c r="D56" t="s" s="67">
        <v>318</v>
      </c>
      <c r="E56" t="s" s="69">
        <v>256</v>
      </c>
      <c r="F56" s="131"/>
      <c r="G56" t="s" s="69">
        <v>314</v>
      </c>
      <c r="H56" t="s" s="69">
        <v>152</v>
      </c>
      <c r="I56" t="s" s="69">
        <v>252</v>
      </c>
      <c r="J56" t="s" s="69">
        <v>253</v>
      </c>
      <c r="K56" s="131"/>
      <c r="L56" t="s" s="69">
        <v>308</v>
      </c>
      <c r="M56" s="131"/>
      <c r="N56" s="131"/>
    </row>
    <row r="57" ht="24.35" customHeight="1">
      <c r="A57" t="s" s="129">
        <v>207</v>
      </c>
      <c r="B57" t="s" s="130">
        <v>191</v>
      </c>
      <c r="C57" t="s" s="69">
        <v>189</v>
      </c>
      <c r="D57" t="s" s="67">
        <v>319</v>
      </c>
      <c r="E57" t="s" s="69">
        <v>256</v>
      </c>
      <c r="F57" s="131"/>
      <c r="G57" t="s" s="69">
        <v>314</v>
      </c>
      <c r="H57" t="s" s="69">
        <v>152</v>
      </c>
      <c r="I57" t="s" s="69">
        <v>252</v>
      </c>
      <c r="J57" t="s" s="69">
        <v>253</v>
      </c>
      <c r="K57" s="131"/>
      <c r="L57" t="s" s="69">
        <v>308</v>
      </c>
      <c r="M57" s="131"/>
      <c r="N57" s="131"/>
    </row>
    <row r="58" ht="36.35" customHeight="1">
      <c r="A58" t="s" s="129">
        <v>207</v>
      </c>
      <c r="B58" t="s" s="130">
        <v>191</v>
      </c>
      <c r="C58" t="s" s="69">
        <v>189</v>
      </c>
      <c r="D58" t="s" s="67">
        <v>320</v>
      </c>
      <c r="E58" t="s" s="69">
        <v>256</v>
      </c>
      <c r="F58" s="131"/>
      <c r="G58" t="s" s="69">
        <v>314</v>
      </c>
      <c r="H58" t="s" s="69">
        <v>152</v>
      </c>
      <c r="I58" t="s" s="69">
        <v>252</v>
      </c>
      <c r="J58" t="s" s="69">
        <v>253</v>
      </c>
      <c r="K58" s="131"/>
      <c r="L58" t="s" s="69">
        <v>308</v>
      </c>
      <c r="M58" s="131"/>
      <c r="N58" s="131"/>
    </row>
    <row r="59" ht="24.35" customHeight="1">
      <c r="A59" t="s" s="129">
        <v>207</v>
      </c>
      <c r="B59" t="s" s="130">
        <v>191</v>
      </c>
      <c r="C59" t="s" s="69">
        <v>189</v>
      </c>
      <c r="D59" t="s" s="67">
        <v>321</v>
      </c>
      <c r="E59" t="s" s="69">
        <v>256</v>
      </c>
      <c r="F59" s="131"/>
      <c r="G59" t="s" s="69">
        <v>314</v>
      </c>
      <c r="H59" t="s" s="69">
        <v>152</v>
      </c>
      <c r="I59" t="s" s="69">
        <v>252</v>
      </c>
      <c r="J59" t="s" s="69">
        <v>253</v>
      </c>
      <c r="K59" s="131"/>
      <c r="L59" t="s" s="69">
        <v>308</v>
      </c>
      <c r="M59" s="131"/>
      <c r="N59" s="131"/>
    </row>
    <row r="60" ht="36.35" customHeight="1">
      <c r="A60" t="s" s="129">
        <v>207</v>
      </c>
      <c r="B60" t="s" s="130">
        <v>191</v>
      </c>
      <c r="C60" t="s" s="69">
        <v>189</v>
      </c>
      <c r="D60" t="s" s="67">
        <v>322</v>
      </c>
      <c r="E60" t="s" s="69">
        <v>256</v>
      </c>
      <c r="F60" s="131"/>
      <c r="G60" t="s" s="69">
        <v>251</v>
      </c>
      <c r="H60" t="s" s="69">
        <v>152</v>
      </c>
      <c r="I60" t="s" s="69">
        <v>252</v>
      </c>
      <c r="J60" t="s" s="69">
        <v>253</v>
      </c>
      <c r="K60" s="131"/>
      <c r="L60" t="s" s="69">
        <v>308</v>
      </c>
      <c r="M60" s="131"/>
      <c r="N60" s="131"/>
    </row>
    <row r="61" ht="36.35" customHeight="1">
      <c r="A61" t="s" s="129">
        <v>207</v>
      </c>
      <c r="B61" t="s" s="130">
        <v>191</v>
      </c>
      <c r="C61" t="s" s="69">
        <v>189</v>
      </c>
      <c r="D61" t="s" s="67">
        <v>323</v>
      </c>
      <c r="E61" t="s" s="69">
        <v>256</v>
      </c>
      <c r="F61" s="131"/>
      <c r="G61" t="s" s="69">
        <v>314</v>
      </c>
      <c r="H61" t="s" s="69">
        <v>152</v>
      </c>
      <c r="I61" t="s" s="69">
        <v>252</v>
      </c>
      <c r="J61" t="s" s="69">
        <v>253</v>
      </c>
      <c r="K61" s="131"/>
      <c r="L61" t="s" s="69">
        <v>308</v>
      </c>
      <c r="M61" s="131"/>
      <c r="N61" s="131"/>
    </row>
    <row r="62" ht="36.35" customHeight="1">
      <c r="A62" t="s" s="129">
        <v>207</v>
      </c>
      <c r="B62" t="s" s="130">
        <v>191</v>
      </c>
      <c r="C62" t="s" s="69">
        <v>189</v>
      </c>
      <c r="D62" t="s" s="67">
        <v>324</v>
      </c>
      <c r="E62" t="s" s="69">
        <v>256</v>
      </c>
      <c r="F62" s="131"/>
      <c r="G62" t="s" s="69">
        <v>314</v>
      </c>
      <c r="H62" t="s" s="69">
        <v>152</v>
      </c>
      <c r="I62" t="s" s="69">
        <v>252</v>
      </c>
      <c r="J62" t="s" s="69">
        <v>253</v>
      </c>
      <c r="K62" s="131"/>
      <c r="L62" t="s" s="69">
        <v>308</v>
      </c>
      <c r="M62" s="131"/>
      <c r="N62" s="131"/>
    </row>
    <row r="63" ht="48.35" customHeight="1">
      <c r="A63" t="s" s="129">
        <v>207</v>
      </c>
      <c r="B63" t="s" s="130">
        <v>191</v>
      </c>
      <c r="C63" t="s" s="69">
        <v>189</v>
      </c>
      <c r="D63" t="s" s="67">
        <v>325</v>
      </c>
      <c r="E63" t="s" s="69">
        <v>256</v>
      </c>
      <c r="F63" s="131"/>
      <c r="G63" t="s" s="69">
        <v>251</v>
      </c>
      <c r="H63" t="s" s="69">
        <v>152</v>
      </c>
      <c r="I63" t="s" s="69">
        <v>252</v>
      </c>
      <c r="J63" t="s" s="69">
        <v>253</v>
      </c>
      <c r="K63" s="131"/>
      <c r="L63" t="s" s="69">
        <v>308</v>
      </c>
      <c r="M63" s="131"/>
      <c r="N63" s="131"/>
    </row>
    <row r="64" ht="24.35" customHeight="1">
      <c r="A64" t="s" s="129">
        <v>207</v>
      </c>
      <c r="B64" t="s" s="130">
        <v>191</v>
      </c>
      <c r="C64" t="s" s="69">
        <v>189</v>
      </c>
      <c r="D64" t="s" s="67">
        <v>326</v>
      </c>
      <c r="E64" t="s" s="69">
        <v>256</v>
      </c>
      <c r="F64" s="131"/>
      <c r="G64" t="s" s="69">
        <v>251</v>
      </c>
      <c r="H64" t="s" s="69">
        <v>152</v>
      </c>
      <c r="I64" t="s" s="69">
        <v>252</v>
      </c>
      <c r="J64" t="s" s="69">
        <v>253</v>
      </c>
      <c r="K64" s="131"/>
      <c r="L64" t="s" s="69">
        <v>308</v>
      </c>
      <c r="M64" s="131"/>
      <c r="N64" s="131"/>
    </row>
    <row r="65" ht="24.35" customHeight="1">
      <c r="A65" t="s" s="129">
        <v>207</v>
      </c>
      <c r="B65" t="s" s="130">
        <v>178</v>
      </c>
      <c r="C65" t="s" s="69">
        <v>176</v>
      </c>
      <c r="D65" t="s" s="67">
        <v>327</v>
      </c>
      <c r="E65" t="s" s="69">
        <v>256</v>
      </c>
      <c r="F65" s="131"/>
      <c r="G65" t="s" s="69">
        <v>286</v>
      </c>
      <c r="H65" t="s" s="69">
        <v>152</v>
      </c>
      <c r="I65" t="s" s="69">
        <v>252</v>
      </c>
      <c r="J65" t="s" s="69">
        <v>253</v>
      </c>
      <c r="K65" s="131"/>
      <c r="L65" t="s" s="69">
        <v>328</v>
      </c>
      <c r="M65" s="131"/>
      <c r="N65" s="131"/>
    </row>
    <row r="66" ht="24.35" customHeight="1">
      <c r="A66" t="s" s="129">
        <v>207</v>
      </c>
      <c r="B66" t="s" s="130">
        <v>178</v>
      </c>
      <c r="C66" t="s" s="69">
        <v>176</v>
      </c>
      <c r="D66" t="s" s="67">
        <v>329</v>
      </c>
      <c r="E66" t="s" s="69">
        <v>256</v>
      </c>
      <c r="F66" s="131"/>
      <c r="G66" t="s" s="69">
        <v>251</v>
      </c>
      <c r="H66" t="s" s="69">
        <v>152</v>
      </c>
      <c r="I66" t="s" s="69">
        <v>252</v>
      </c>
      <c r="J66" t="s" s="69">
        <v>253</v>
      </c>
      <c r="K66" s="131"/>
      <c r="L66" t="s" s="69">
        <v>308</v>
      </c>
      <c r="M66" s="131"/>
      <c r="N66" s="131"/>
    </row>
    <row r="67" ht="24.35" customHeight="1">
      <c r="A67" t="s" s="129">
        <v>207</v>
      </c>
      <c r="B67" t="s" s="130">
        <v>178</v>
      </c>
      <c r="C67" t="s" s="69">
        <v>176</v>
      </c>
      <c r="D67" t="s" s="67">
        <v>330</v>
      </c>
      <c r="E67" t="s" s="69">
        <v>256</v>
      </c>
      <c r="F67" s="131"/>
      <c r="G67" t="s" s="69">
        <v>251</v>
      </c>
      <c r="H67" t="s" s="69">
        <v>152</v>
      </c>
      <c r="I67" t="s" s="69">
        <v>252</v>
      </c>
      <c r="J67" t="s" s="69">
        <v>253</v>
      </c>
      <c r="K67" s="131"/>
      <c r="L67" t="s" s="69">
        <v>308</v>
      </c>
      <c r="M67" s="131"/>
      <c r="N67" s="131"/>
    </row>
    <row r="68" ht="24.35" customHeight="1">
      <c r="A68" t="s" s="129">
        <v>207</v>
      </c>
      <c r="B68" t="s" s="130">
        <v>178</v>
      </c>
      <c r="C68" t="s" s="69">
        <v>176</v>
      </c>
      <c r="D68" t="s" s="67">
        <v>327</v>
      </c>
      <c r="E68" t="s" s="69">
        <v>256</v>
      </c>
      <c r="F68" s="131"/>
      <c r="G68" t="s" s="69">
        <v>286</v>
      </c>
      <c r="H68" t="s" s="69">
        <v>152</v>
      </c>
      <c r="I68" t="s" s="69">
        <v>252</v>
      </c>
      <c r="J68" t="s" s="69">
        <v>253</v>
      </c>
      <c r="K68" s="131"/>
      <c r="L68" t="s" s="69">
        <v>328</v>
      </c>
      <c r="M68" s="131"/>
      <c r="N68" s="131"/>
    </row>
    <row r="69" ht="36.35" customHeight="1">
      <c r="A69" t="s" s="129">
        <v>207</v>
      </c>
      <c r="B69" t="s" s="130">
        <v>178</v>
      </c>
      <c r="C69" t="s" s="69">
        <v>176</v>
      </c>
      <c r="D69" t="s" s="67">
        <v>331</v>
      </c>
      <c r="E69" t="s" s="69">
        <v>256</v>
      </c>
      <c r="F69" s="131"/>
      <c r="G69" t="s" s="69">
        <v>251</v>
      </c>
      <c r="H69" t="s" s="69">
        <v>152</v>
      </c>
      <c r="I69" t="s" s="69">
        <v>252</v>
      </c>
      <c r="J69" t="s" s="69">
        <v>253</v>
      </c>
      <c r="K69" s="131"/>
      <c r="L69" t="s" s="69">
        <v>308</v>
      </c>
      <c r="M69" s="131"/>
      <c r="N69" s="131"/>
    </row>
    <row r="70" ht="24.35" customHeight="1">
      <c r="A70" t="s" s="129">
        <v>207</v>
      </c>
      <c r="B70" t="s" s="130">
        <v>178</v>
      </c>
      <c r="C70" t="s" s="69">
        <v>176</v>
      </c>
      <c r="D70" t="s" s="67">
        <v>330</v>
      </c>
      <c r="E70" t="s" s="69">
        <v>256</v>
      </c>
      <c r="F70" s="131"/>
      <c r="G70" t="s" s="69">
        <v>251</v>
      </c>
      <c r="H70" t="s" s="69">
        <v>152</v>
      </c>
      <c r="I70" t="s" s="69">
        <v>252</v>
      </c>
      <c r="J70" t="s" s="69">
        <v>253</v>
      </c>
      <c r="K70" s="131"/>
      <c r="L70" t="s" s="69">
        <v>308</v>
      </c>
      <c r="M70" s="131"/>
      <c r="N70" s="131"/>
    </row>
    <row r="71" ht="24.05" customHeight="1">
      <c r="A71" t="s" s="129">
        <v>207</v>
      </c>
      <c r="B71" t="s" s="130">
        <v>202</v>
      </c>
      <c r="C71" t="s" s="69">
        <v>248</v>
      </c>
      <c r="D71" t="s" s="69">
        <v>332</v>
      </c>
      <c r="E71" t="s" s="69">
        <v>250</v>
      </c>
      <c r="F71" s="133">
        <v>12</v>
      </c>
      <c r="G71" t="s" s="69">
        <v>251</v>
      </c>
      <c r="H71" t="s" s="69">
        <v>152</v>
      </c>
      <c r="I71" t="s" s="69">
        <v>252</v>
      </c>
      <c r="J71" t="s" s="69">
        <v>253</v>
      </c>
      <c r="K71" s="131"/>
      <c r="L71" t="s" s="69">
        <v>333</v>
      </c>
      <c r="M71" s="131"/>
      <c r="N71" s="131"/>
    </row>
    <row r="72" ht="12.05" customHeight="1">
      <c r="A72" t="s" s="129">
        <v>207</v>
      </c>
      <c r="B72" t="s" s="130">
        <v>202</v>
      </c>
      <c r="C72" t="s" s="69">
        <v>248</v>
      </c>
      <c r="D72" t="s" s="69">
        <v>334</v>
      </c>
      <c r="E72" t="s" s="69">
        <v>250</v>
      </c>
      <c r="F72" s="133">
        <v>12</v>
      </c>
      <c r="G72" t="s" s="69">
        <v>251</v>
      </c>
      <c r="H72" t="s" s="69">
        <v>152</v>
      </c>
      <c r="I72" t="s" s="69">
        <v>252</v>
      </c>
      <c r="J72" t="s" s="69">
        <v>253</v>
      </c>
      <c r="K72" s="131"/>
      <c r="L72" t="s" s="69">
        <v>333</v>
      </c>
      <c r="M72" s="131"/>
      <c r="N72" s="131"/>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2:N9"/>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0.7969" style="134" customWidth="1"/>
    <col min="3" max="4" width="16.6797" style="134" customWidth="1"/>
    <col min="5" max="6" width="19.1797" style="134" customWidth="1"/>
    <col min="7" max="7" width="16.2266" style="134" customWidth="1"/>
    <col min="8" max="13" width="16.6797" style="134" customWidth="1"/>
    <col min="14" max="14" width="37.3281" style="134" customWidth="1"/>
    <col min="15" max="16384" width="16.3516" style="134" customWidth="1"/>
  </cols>
  <sheetData>
    <row r="1" ht="28" customHeight="1">
      <c r="A1" t="s" s="14">
        <v>14</v>
      </c>
      <c r="B1" s="14"/>
      <c r="C1" s="14"/>
      <c r="D1" s="14"/>
      <c r="E1" s="14"/>
      <c r="F1" s="14"/>
      <c r="G1" s="14"/>
      <c r="H1" s="14"/>
      <c r="I1" s="14"/>
      <c r="J1" s="14"/>
      <c r="K1" s="14"/>
      <c r="L1" s="14"/>
      <c r="M1" s="14"/>
      <c r="N1" s="14"/>
    </row>
    <row r="2" ht="80" customHeight="1">
      <c r="A2" t="s" s="9">
        <v>17</v>
      </c>
      <c r="B2" t="s" s="9">
        <v>18</v>
      </c>
      <c r="C2" t="s" s="9">
        <v>337</v>
      </c>
      <c r="D2" t="s" s="9">
        <v>338</v>
      </c>
      <c r="E2" t="s" s="9">
        <v>339</v>
      </c>
      <c r="F2" t="s" s="9">
        <v>340</v>
      </c>
      <c r="G2" t="s" s="9">
        <v>341</v>
      </c>
      <c r="H2" t="s" s="9">
        <v>342</v>
      </c>
      <c r="I2" t="s" s="9">
        <v>343</v>
      </c>
      <c r="J2" t="s" s="9">
        <v>24</v>
      </c>
      <c r="K2" t="s" s="9">
        <v>25</v>
      </c>
      <c r="L2" t="s" s="9">
        <v>26</v>
      </c>
      <c r="M2" t="s" s="9">
        <v>27</v>
      </c>
      <c r="N2" t="s" s="9">
        <v>344</v>
      </c>
    </row>
    <row r="3" ht="30" customHeight="1">
      <c r="A3" t="s" s="135">
        <v>52</v>
      </c>
      <c r="B3" t="s" s="17">
        <v>28</v>
      </c>
      <c r="C3" s="136" cm="1">
        <f t="array" ref="C3">SUM(E3:E7)/SUM(D3:D7)</f>
        <v>0.806083650190114</v>
      </c>
      <c r="D3" s="137">
        <v>47</v>
      </c>
      <c r="E3" s="137">
        <v>40</v>
      </c>
      <c r="F3" s="137">
        <v>7</v>
      </c>
      <c r="G3" t="s" s="20">
        <v>345</v>
      </c>
      <c r="H3" t="s" s="20">
        <v>346</v>
      </c>
      <c r="I3" t="s" s="20">
        <v>347</v>
      </c>
      <c r="J3" t="s" s="20">
        <v>53</v>
      </c>
      <c r="K3" t="s" s="20">
        <v>53</v>
      </c>
      <c r="L3" t="s" s="20">
        <v>53</v>
      </c>
      <c r="M3" t="s" s="20">
        <v>53</v>
      </c>
      <c r="N3" t="s" s="20">
        <v>348</v>
      </c>
    </row>
    <row r="4" ht="30" customHeight="1">
      <c r="A4" t="s" s="138">
        <v>52</v>
      </c>
      <c r="B4" t="s" s="22">
        <v>31</v>
      </c>
      <c r="C4" s="23"/>
      <c r="D4" s="139">
        <v>70</v>
      </c>
      <c r="E4" s="139">
        <v>61</v>
      </c>
      <c r="F4" s="139">
        <v>9</v>
      </c>
      <c r="G4" s="25"/>
      <c r="H4" s="25"/>
      <c r="I4" s="25"/>
      <c r="J4" s="25"/>
      <c r="K4" s="25"/>
      <c r="L4" s="25"/>
      <c r="M4" s="25"/>
      <c r="N4" s="25"/>
    </row>
    <row r="5" ht="30" customHeight="1">
      <c r="A5" t="s" s="138">
        <v>52</v>
      </c>
      <c r="B5" t="s" s="22">
        <v>32</v>
      </c>
      <c r="C5" s="23"/>
      <c r="D5" s="139">
        <v>79</v>
      </c>
      <c r="E5" s="139">
        <v>62</v>
      </c>
      <c r="F5" s="139">
        <v>17</v>
      </c>
      <c r="G5" s="25"/>
      <c r="H5" s="25"/>
      <c r="I5" s="25"/>
      <c r="J5" s="25"/>
      <c r="K5" s="25"/>
      <c r="L5" s="25"/>
      <c r="M5" s="25"/>
      <c r="N5" s="25"/>
    </row>
    <row r="6" ht="30" customHeight="1">
      <c r="A6" t="s" s="138">
        <v>52</v>
      </c>
      <c r="B6" t="s" s="22">
        <v>33</v>
      </c>
      <c r="C6" s="23"/>
      <c r="D6" s="139">
        <v>51</v>
      </c>
      <c r="E6" s="139">
        <v>43</v>
      </c>
      <c r="F6" s="139">
        <v>8</v>
      </c>
      <c r="G6" s="25"/>
      <c r="H6" s="25"/>
      <c r="I6" s="25"/>
      <c r="J6" s="25"/>
      <c r="K6" s="25"/>
      <c r="L6" s="25"/>
      <c r="M6" s="25"/>
      <c r="N6" s="25"/>
    </row>
    <row r="7" ht="30" customHeight="1">
      <c r="A7" t="s" s="138">
        <v>52</v>
      </c>
      <c r="B7" t="s" s="22">
        <v>349</v>
      </c>
      <c r="C7" s="23"/>
      <c r="D7" s="139">
        <v>16</v>
      </c>
      <c r="E7" s="139">
        <v>6</v>
      </c>
      <c r="F7" s="139">
        <v>10</v>
      </c>
      <c r="G7" s="25"/>
      <c r="H7" s="25"/>
      <c r="I7" s="25"/>
      <c r="J7" s="25"/>
      <c r="K7" s="25"/>
      <c r="L7" s="25"/>
      <c r="M7" s="25"/>
      <c r="N7" s="25"/>
    </row>
    <row r="8" ht="30" customHeight="1">
      <c r="A8" t="s" s="138">
        <v>38</v>
      </c>
      <c r="B8" s="140"/>
      <c r="C8" s="26"/>
      <c r="D8" s="27" cm="1">
        <f t="array" ref="D8">SUM(D3:D7)</f>
        <v>263</v>
      </c>
      <c r="E8" s="27" cm="1">
        <f t="array" ref="E8">SUM(E3:E7)</f>
        <v>212</v>
      </c>
      <c r="F8" s="27" cm="1">
        <f t="array" ref="F8">SUM(F3:F7)</f>
        <v>51</v>
      </c>
      <c r="G8" s="24"/>
      <c r="H8" s="24"/>
      <c r="I8" s="24"/>
      <c r="J8" s="24"/>
      <c r="K8" s="24"/>
      <c r="L8" s="24"/>
      <c r="M8" s="24"/>
      <c r="N8" s="77"/>
    </row>
    <row r="9" ht="30" customHeight="1">
      <c r="A9" t="s" s="138">
        <v>350</v>
      </c>
      <c r="B9" s="140"/>
      <c r="C9" s="26"/>
      <c r="D9" s="24"/>
      <c r="E9" s="141" cm="1">
        <f t="array" ref="E9">E8/D8</f>
        <v>0.806083650190114</v>
      </c>
      <c r="F9" s="141" cm="1">
        <f t="array" ref="F9">F8/D8</f>
        <v>0.193916349809886</v>
      </c>
      <c r="G9" s="24"/>
      <c r="H9" s="24"/>
      <c r="I9" s="24"/>
      <c r="J9" s="24"/>
      <c r="K9" s="24"/>
      <c r="L9" s="24"/>
      <c r="M9" s="24"/>
      <c r="N9" s="77"/>
    </row>
  </sheetData>
  <mergeCells count="12">
    <mergeCell ref="A1:N1"/>
    <mergeCell ref="C3:C7"/>
    <mergeCell ref="G3:G7"/>
    <mergeCell ref="H3:H7"/>
    <mergeCell ref="I3:I7"/>
    <mergeCell ref="J3:J7"/>
    <mergeCell ref="K3:K7"/>
    <mergeCell ref="L3:L7"/>
    <mergeCell ref="M3:M7"/>
    <mergeCell ref="N3:N7"/>
    <mergeCell ref="A8:B8"/>
    <mergeCell ref="A9:B9"/>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2:H10"/>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 width="8" style="142" customWidth="1"/>
    <col min="2" max="2" width="18.6172" style="142" customWidth="1"/>
    <col min="3" max="8" width="20.8203" style="142" customWidth="1"/>
    <col min="9" max="16384" width="16.3516" style="142" customWidth="1"/>
  </cols>
  <sheetData>
    <row r="1" ht="28" customHeight="1">
      <c r="A1" t="s" s="14">
        <v>351</v>
      </c>
      <c r="B1" s="14"/>
      <c r="C1" s="14"/>
      <c r="D1" s="14"/>
      <c r="E1" s="14"/>
      <c r="F1" s="14"/>
      <c r="G1" s="14"/>
      <c r="H1" s="14"/>
    </row>
    <row r="2" ht="27.55" customHeight="1">
      <c r="A2" t="s" s="30">
        <v>17</v>
      </c>
      <c r="B2" t="s" s="30">
        <v>41</v>
      </c>
      <c r="C2" t="s" s="30">
        <v>353</v>
      </c>
      <c r="D2" t="s" s="30">
        <v>354</v>
      </c>
      <c r="E2" t="s" s="30">
        <v>355</v>
      </c>
      <c r="F2" t="s" s="30">
        <v>178</v>
      </c>
      <c r="G2" t="s" s="30">
        <v>191</v>
      </c>
      <c r="H2" t="s" s="30">
        <v>144</v>
      </c>
    </row>
    <row r="3" ht="41.3" customHeight="1">
      <c r="A3" t="s" s="143">
        <v>52</v>
      </c>
      <c r="B3" t="s" s="33">
        <v>42</v>
      </c>
      <c r="C3" t="s" s="144">
        <v>356</v>
      </c>
      <c r="D3" t="s" s="145">
        <v>357</v>
      </c>
      <c r="E3" t="s" s="145">
        <v>358</v>
      </c>
      <c r="F3" t="s" s="145">
        <v>359</v>
      </c>
      <c r="G3" t="s" s="145">
        <v>360</v>
      </c>
      <c r="H3" t="s" s="145">
        <v>361</v>
      </c>
    </row>
    <row r="4" ht="52.9" customHeight="1">
      <c r="A4" t="s" s="138">
        <v>52</v>
      </c>
      <c r="B4" t="s" s="22">
        <v>43</v>
      </c>
      <c r="C4" t="s" s="146">
        <v>362</v>
      </c>
      <c r="D4" t="s" s="68">
        <v>363</v>
      </c>
      <c r="E4" t="s" s="68">
        <v>363</v>
      </c>
      <c r="F4" t="s" s="68">
        <v>364</v>
      </c>
      <c r="G4" t="s" s="68">
        <v>365</v>
      </c>
      <c r="H4" t="s" s="68">
        <v>366</v>
      </c>
    </row>
    <row r="5" ht="29.6" customHeight="1">
      <c r="A5" t="s" s="147">
        <v>52</v>
      </c>
      <c r="B5" t="s" s="148">
        <v>367</v>
      </c>
      <c r="C5" s="149" cm="1">
        <f t="array" ref="C5">SUM(C6:C9)</f>
        <v>40</v>
      </c>
      <c r="D5" s="150" cm="1">
        <f t="array" ref="D5">SUM(D6:D9)</f>
        <v>23</v>
      </c>
      <c r="E5" s="150" cm="1">
        <f t="array" ref="E5">SUM(E6:E9)</f>
        <v>29</v>
      </c>
      <c r="F5" s="150" cm="1">
        <f t="array" ref="F5">SUM(F6:F9)</f>
        <v>37</v>
      </c>
      <c r="G5" s="150" cm="1">
        <f t="array" ref="G5">SUM(G6:G9)</f>
        <v>24</v>
      </c>
      <c r="H5" s="150" cm="1">
        <f t="array" ref="H5">SUM(H6:H9)</f>
        <v>53</v>
      </c>
    </row>
    <row r="6" ht="27.55" customHeight="1">
      <c r="A6" t="s" s="143">
        <v>52</v>
      </c>
      <c r="B6" t="s" s="33">
        <v>28</v>
      </c>
      <c r="C6" s="151" cm="1">
        <f t="array" ref="C6">2+5</f>
        <v>7</v>
      </c>
      <c r="D6" s="152">
        <v>2</v>
      </c>
      <c r="E6" s="152" cm="1">
        <f t="array" ref="E6">3+1</f>
        <v>4</v>
      </c>
      <c r="F6" s="152" cm="1">
        <f t="array" ref="F6">7+2</f>
        <v>9</v>
      </c>
      <c r="G6" s="152" cm="1">
        <f t="array" ref="G6">2+2+2</f>
        <v>6</v>
      </c>
      <c r="H6" s="152" cm="1">
        <f t="array" ref="H6">8+4</f>
        <v>12</v>
      </c>
    </row>
    <row r="7" ht="27.55" customHeight="1">
      <c r="A7" t="s" s="138">
        <v>52</v>
      </c>
      <c r="B7" t="s" s="22">
        <v>31</v>
      </c>
      <c r="C7" s="153" cm="1">
        <f t="array" ref="C7">5+7</f>
        <v>12</v>
      </c>
      <c r="D7" s="139">
        <v>5</v>
      </c>
      <c r="E7" s="139" cm="1">
        <f t="array" ref="E7">5+2</f>
        <v>7</v>
      </c>
      <c r="F7" s="139" cm="1">
        <f t="array" ref="F7">5+3</f>
        <v>8</v>
      </c>
      <c r="G7" s="139" cm="1">
        <f t="array" ref="G7">3+2+1</f>
        <v>6</v>
      </c>
      <c r="H7" s="139" cm="1">
        <f t="array" ref="H7">10+13</f>
        <v>23</v>
      </c>
    </row>
    <row r="8" ht="27.55" customHeight="1">
      <c r="A8" t="s" s="138">
        <v>52</v>
      </c>
      <c r="B8" t="s" s="22">
        <v>32</v>
      </c>
      <c r="C8" s="153" cm="1">
        <f t="array" ref="C8">1+10</f>
        <v>11</v>
      </c>
      <c r="D8" s="139">
        <v>8</v>
      </c>
      <c r="E8" s="139" cm="1">
        <f t="array" ref="E8">8+2</f>
        <v>10</v>
      </c>
      <c r="F8" s="139" cm="1">
        <f t="array" ref="F8">8+1</f>
        <v>9</v>
      </c>
      <c r="G8" s="139" cm="1">
        <f t="array" ref="G8">5+1+2</f>
        <v>8</v>
      </c>
      <c r="H8" s="139" cm="1">
        <f t="array" ref="H8">6+10</f>
        <v>16</v>
      </c>
    </row>
    <row r="9" ht="27.55" customHeight="1">
      <c r="A9" t="s" s="138">
        <v>52</v>
      </c>
      <c r="B9" t="s" s="22">
        <v>33</v>
      </c>
      <c r="C9" s="153" cm="1">
        <f t="array" ref="C9">1+6+3</f>
        <v>10</v>
      </c>
      <c r="D9" s="139">
        <v>8</v>
      </c>
      <c r="E9" s="139" cm="1">
        <f t="array" ref="E9">6+2</f>
        <v>8</v>
      </c>
      <c r="F9" s="139" cm="1">
        <f t="array" ref="F9">10+1</f>
        <v>11</v>
      </c>
      <c r="G9" s="139" cm="1">
        <f t="array" ref="G9">3+1</f>
        <v>4</v>
      </c>
      <c r="H9" s="139">
        <v>2</v>
      </c>
    </row>
    <row r="10" ht="27.55" customHeight="1">
      <c r="A10" t="s" s="138">
        <v>52</v>
      </c>
      <c r="B10" t="s" s="22">
        <v>349</v>
      </c>
      <c r="C10" s="45"/>
      <c r="D10" s="24"/>
      <c r="E10" s="24"/>
      <c r="F10" s="24"/>
      <c r="G10" s="24"/>
      <c r="H10" s="139">
        <v>6</v>
      </c>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2:I418"/>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 width="8.35156" style="154" customWidth="1"/>
    <col min="2" max="2" width="16.2188" style="154" customWidth="1"/>
    <col min="3" max="3" width="27.1172" style="154" customWidth="1"/>
    <col min="4" max="4" width="15" style="154" customWidth="1"/>
    <col min="5" max="5" width="16" style="154" customWidth="1"/>
    <col min="6" max="6" width="26.8516" style="154" customWidth="1"/>
    <col min="7" max="7" width="28.3516" style="154" customWidth="1"/>
    <col min="8" max="8" width="13.3594" style="154" customWidth="1"/>
    <col min="9" max="9" width="31.6719" style="154" customWidth="1"/>
    <col min="10" max="16384" width="16.3516" style="154" customWidth="1"/>
  </cols>
  <sheetData>
    <row r="1" ht="31.55" customHeight="1">
      <c r="A1" t="s" s="155">
        <v>368</v>
      </c>
      <c r="B1" s="155"/>
      <c r="C1" s="155"/>
      <c r="D1" s="155"/>
      <c r="E1" s="155"/>
      <c r="F1" s="155"/>
      <c r="G1" s="155"/>
      <c r="H1" s="155"/>
      <c r="I1" s="155"/>
    </row>
    <row r="2" ht="53.8" customHeight="1">
      <c r="A2" s="79"/>
      <c r="B2" t="s" s="156">
        <v>370</v>
      </c>
      <c r="C2" t="s" s="156">
        <v>371</v>
      </c>
      <c r="D2" t="s" s="156">
        <v>372</v>
      </c>
      <c r="E2" t="s" s="156">
        <v>373</v>
      </c>
      <c r="F2" t="s" s="156">
        <v>374</v>
      </c>
      <c r="G2" t="s" s="156">
        <v>375</v>
      </c>
      <c r="H2" t="s" s="156">
        <v>376</v>
      </c>
      <c r="I2" t="s" s="156">
        <v>377</v>
      </c>
    </row>
    <row r="3" ht="20.85" customHeight="1">
      <c r="A3" t="s" s="157">
        <v>28</v>
      </c>
      <c r="B3" s="158"/>
      <c r="C3" s="158"/>
      <c r="D3" s="158"/>
      <c r="E3" s="158"/>
      <c r="F3" s="158"/>
      <c r="G3" s="158"/>
      <c r="H3" s="158"/>
      <c r="I3" s="158"/>
    </row>
    <row r="4" ht="8.35" customHeight="1" hidden="1">
      <c r="A4" s="91"/>
      <c r="B4" t="s" s="159">
        <v>378</v>
      </c>
      <c r="C4" t="s" s="160">
        <v>28</v>
      </c>
      <c r="D4" s="161">
        <v>1</v>
      </c>
      <c r="E4" s="162">
        <v>12</v>
      </c>
      <c r="F4" s="162">
        <v>5.6</v>
      </c>
      <c r="G4" s="163"/>
      <c r="H4" s="163"/>
      <c r="I4" t="s" s="164">
        <v>379</v>
      </c>
    </row>
    <row r="5" ht="8.35" customHeight="1" hidden="1">
      <c r="A5" s="91"/>
      <c r="B5" t="s" s="159">
        <v>380</v>
      </c>
      <c r="C5" t="s" s="160">
        <v>28</v>
      </c>
      <c r="D5" s="161">
        <v>1</v>
      </c>
      <c r="E5" s="162">
        <v>11</v>
      </c>
      <c r="F5" s="162">
        <v>1.4</v>
      </c>
      <c r="G5" s="163"/>
      <c r="H5" s="163"/>
      <c r="I5" t="s" s="164">
        <v>379</v>
      </c>
    </row>
    <row r="6" ht="8.35" customHeight="1" hidden="1">
      <c r="A6" s="91"/>
      <c r="B6" t="s" s="159">
        <v>381</v>
      </c>
      <c r="C6" t="s" s="160">
        <v>28</v>
      </c>
      <c r="D6" s="161">
        <v>1</v>
      </c>
      <c r="E6" s="162">
        <v>11</v>
      </c>
      <c r="F6" s="162">
        <v>0.1</v>
      </c>
      <c r="G6" s="163"/>
      <c r="H6" s="163"/>
      <c r="I6" t="s" s="164">
        <v>379</v>
      </c>
    </row>
    <row r="7" ht="20.05" customHeight="1">
      <c r="A7" s="91"/>
      <c r="B7" t="s" s="165">
        <v>382</v>
      </c>
      <c r="C7" t="s" s="160">
        <v>28</v>
      </c>
      <c r="D7" s="161">
        <v>0</v>
      </c>
      <c r="E7" s="162">
        <v>10</v>
      </c>
      <c r="F7" s="162">
        <v>11.1</v>
      </c>
      <c r="G7" t="s" s="164">
        <v>383</v>
      </c>
      <c r="H7" t="s" s="164">
        <v>384</v>
      </c>
      <c r="I7" t="s" s="164">
        <v>385</v>
      </c>
    </row>
    <row r="8" ht="8.35" customHeight="1" hidden="1">
      <c r="A8" s="91"/>
      <c r="B8" t="s" s="159">
        <v>386</v>
      </c>
      <c r="C8" t="s" s="160">
        <v>28</v>
      </c>
      <c r="D8" s="161">
        <v>1</v>
      </c>
      <c r="E8" s="162">
        <v>10</v>
      </c>
      <c r="F8" s="162">
        <v>0.1</v>
      </c>
      <c r="G8" s="163"/>
      <c r="H8" s="163"/>
      <c r="I8" t="s" s="164">
        <v>379</v>
      </c>
    </row>
    <row r="9" ht="8.35" customHeight="1" hidden="1">
      <c r="A9" s="91"/>
      <c r="B9" t="s" s="159">
        <v>387</v>
      </c>
      <c r="C9" t="s" s="160">
        <v>28</v>
      </c>
      <c r="D9" s="161">
        <v>1</v>
      </c>
      <c r="E9" s="162">
        <v>10</v>
      </c>
      <c r="F9" s="162">
        <v>2.9</v>
      </c>
      <c r="G9" s="163"/>
      <c r="H9" s="163"/>
      <c r="I9" t="s" s="164">
        <v>379</v>
      </c>
    </row>
    <row r="10" ht="8.35" customHeight="1" hidden="1">
      <c r="A10" s="91"/>
      <c r="B10" t="s" s="159">
        <v>388</v>
      </c>
      <c r="C10" t="s" s="160">
        <v>28</v>
      </c>
      <c r="D10" s="161">
        <v>1</v>
      </c>
      <c r="E10" s="162">
        <v>10</v>
      </c>
      <c r="F10" s="162">
        <v>2.7</v>
      </c>
      <c r="G10" s="163"/>
      <c r="H10" s="163"/>
      <c r="I10" t="s" s="164">
        <v>379</v>
      </c>
    </row>
    <row r="11" ht="8.35" customHeight="1" hidden="1">
      <c r="A11" s="91"/>
      <c r="B11" t="s" s="159">
        <v>389</v>
      </c>
      <c r="C11" t="s" s="160">
        <v>28</v>
      </c>
      <c r="D11" s="161">
        <v>1</v>
      </c>
      <c r="E11" s="162">
        <v>10</v>
      </c>
      <c r="F11" s="162">
        <v>4.8</v>
      </c>
      <c r="G11" s="163"/>
      <c r="H11" s="163"/>
      <c r="I11" t="s" s="164">
        <v>379</v>
      </c>
    </row>
    <row r="12" ht="8.35" customHeight="1" hidden="1">
      <c r="A12" s="91"/>
      <c r="B12" t="s" s="159">
        <v>390</v>
      </c>
      <c r="C12" t="s" s="160">
        <v>28</v>
      </c>
      <c r="D12" s="161">
        <v>1</v>
      </c>
      <c r="E12" s="162">
        <v>10</v>
      </c>
      <c r="F12" s="162">
        <v>0.5</v>
      </c>
      <c r="G12" s="163"/>
      <c r="H12" s="163"/>
      <c r="I12" t="s" s="164">
        <v>379</v>
      </c>
    </row>
    <row r="13" ht="8.35" customHeight="1" hidden="1">
      <c r="A13" s="91"/>
      <c r="B13" t="s" s="159">
        <v>391</v>
      </c>
      <c r="C13" t="s" s="160">
        <v>28</v>
      </c>
      <c r="D13" s="161">
        <v>1</v>
      </c>
      <c r="E13" s="162">
        <v>10</v>
      </c>
      <c r="F13" s="162">
        <v>1.3</v>
      </c>
      <c r="G13" s="163"/>
      <c r="H13" s="163"/>
      <c r="I13" t="s" s="164">
        <v>379</v>
      </c>
    </row>
    <row r="14" ht="8.35" customHeight="1" hidden="1">
      <c r="A14" s="91"/>
      <c r="B14" t="s" s="159">
        <v>392</v>
      </c>
      <c r="C14" t="s" s="160">
        <v>28</v>
      </c>
      <c r="D14" s="161">
        <v>1</v>
      </c>
      <c r="E14" s="162">
        <v>10</v>
      </c>
      <c r="F14" s="162">
        <v>1</v>
      </c>
      <c r="G14" s="163"/>
      <c r="H14" s="163"/>
      <c r="I14" t="s" s="164">
        <v>379</v>
      </c>
    </row>
    <row r="15" ht="8.35" customHeight="1" hidden="1">
      <c r="A15" s="91"/>
      <c r="B15" t="s" s="159">
        <v>393</v>
      </c>
      <c r="C15" t="s" s="160">
        <v>28</v>
      </c>
      <c r="D15" s="161">
        <v>1</v>
      </c>
      <c r="E15" s="162">
        <v>9</v>
      </c>
      <c r="F15" s="162">
        <v>6.4</v>
      </c>
      <c r="G15" s="163"/>
      <c r="H15" s="163"/>
      <c r="I15" t="s" s="164">
        <v>379</v>
      </c>
    </row>
    <row r="16" ht="8.35" customHeight="1" hidden="1">
      <c r="A16" s="91"/>
      <c r="B16" t="s" s="159">
        <v>394</v>
      </c>
      <c r="C16" t="s" s="160">
        <v>28</v>
      </c>
      <c r="D16" s="161">
        <v>1</v>
      </c>
      <c r="E16" s="162">
        <v>9</v>
      </c>
      <c r="F16" s="162">
        <v>8.199999999999999</v>
      </c>
      <c r="G16" s="163"/>
      <c r="H16" s="163"/>
      <c r="I16" t="s" s="164">
        <v>379</v>
      </c>
    </row>
    <row r="17" ht="8.35" customHeight="1" hidden="1">
      <c r="A17" s="91"/>
      <c r="B17" t="s" s="159">
        <v>395</v>
      </c>
      <c r="C17" t="s" s="160">
        <v>28</v>
      </c>
      <c r="D17" s="161">
        <v>1</v>
      </c>
      <c r="E17" s="162">
        <v>9</v>
      </c>
      <c r="F17" s="162">
        <v>9</v>
      </c>
      <c r="G17" s="163"/>
      <c r="H17" s="163"/>
      <c r="I17" t="s" s="164">
        <v>379</v>
      </c>
    </row>
    <row r="18" ht="8.35" customHeight="1" hidden="1">
      <c r="A18" s="91"/>
      <c r="B18" t="s" s="159">
        <v>396</v>
      </c>
      <c r="C18" t="s" s="160">
        <v>28</v>
      </c>
      <c r="D18" s="161">
        <v>1</v>
      </c>
      <c r="E18" s="162">
        <v>8.1</v>
      </c>
      <c r="F18" s="162">
        <v>8.1</v>
      </c>
      <c r="G18" s="163"/>
      <c r="H18" s="163"/>
      <c r="I18" t="s" s="164">
        <v>379</v>
      </c>
    </row>
    <row r="19" ht="8.35" customHeight="1" hidden="1">
      <c r="A19" s="91"/>
      <c r="B19" t="s" s="159">
        <v>397</v>
      </c>
      <c r="C19" t="s" s="160">
        <v>28</v>
      </c>
      <c r="D19" s="166">
        <v>0.5</v>
      </c>
      <c r="E19" s="162">
        <v>8</v>
      </c>
      <c r="F19" s="162">
        <v>8.9</v>
      </c>
      <c r="G19" s="163"/>
      <c r="H19" s="163"/>
      <c r="I19" t="s" s="164">
        <v>379</v>
      </c>
    </row>
    <row r="20" ht="8.35" customHeight="1" hidden="1">
      <c r="A20" s="91"/>
      <c r="B20" t="s" s="159">
        <v>398</v>
      </c>
      <c r="C20" t="s" s="160">
        <v>28</v>
      </c>
      <c r="D20" s="161">
        <v>1</v>
      </c>
      <c r="E20" s="162">
        <v>8</v>
      </c>
      <c r="F20" s="162">
        <v>3</v>
      </c>
      <c r="G20" s="163"/>
      <c r="H20" s="163"/>
      <c r="I20" t="s" s="164">
        <v>379</v>
      </c>
    </row>
    <row r="21" ht="8.35" customHeight="1" hidden="1">
      <c r="A21" s="91"/>
      <c r="B21" t="s" s="159">
        <v>399</v>
      </c>
      <c r="C21" t="s" s="160">
        <v>28</v>
      </c>
      <c r="D21" s="161">
        <v>1</v>
      </c>
      <c r="E21" s="162">
        <v>8</v>
      </c>
      <c r="F21" s="162">
        <v>1.3</v>
      </c>
      <c r="G21" s="163"/>
      <c r="H21" s="163"/>
      <c r="I21" t="s" s="164">
        <v>379</v>
      </c>
    </row>
    <row r="22" ht="8.35" customHeight="1" hidden="1">
      <c r="A22" s="91"/>
      <c r="B22" t="s" s="159">
        <v>400</v>
      </c>
      <c r="C22" t="s" s="160">
        <v>28</v>
      </c>
      <c r="D22" s="161">
        <v>1</v>
      </c>
      <c r="E22" s="162">
        <v>8</v>
      </c>
      <c r="F22" s="162">
        <v>2.3</v>
      </c>
      <c r="G22" s="163"/>
      <c r="H22" s="163"/>
      <c r="I22" t="s" s="164">
        <v>379</v>
      </c>
    </row>
    <row r="23" ht="8.35" customHeight="1" hidden="1">
      <c r="A23" s="91"/>
      <c r="B23" t="s" s="159">
        <v>401</v>
      </c>
      <c r="C23" t="s" s="160">
        <v>28</v>
      </c>
      <c r="D23" s="161">
        <v>1</v>
      </c>
      <c r="E23" s="162">
        <v>8</v>
      </c>
      <c r="F23" s="162">
        <v>7.8</v>
      </c>
      <c r="G23" s="163"/>
      <c r="H23" s="163"/>
      <c r="I23" t="s" s="164">
        <v>379</v>
      </c>
    </row>
    <row r="24" ht="8.35" customHeight="1" hidden="1">
      <c r="A24" s="91"/>
      <c r="B24" t="s" s="159">
        <v>402</v>
      </c>
      <c r="C24" t="s" s="160">
        <v>28</v>
      </c>
      <c r="D24" s="161">
        <v>1</v>
      </c>
      <c r="E24" s="162">
        <v>8</v>
      </c>
      <c r="F24" s="162">
        <v>1</v>
      </c>
      <c r="G24" s="163"/>
      <c r="H24" s="163"/>
      <c r="I24" t="s" s="164">
        <v>379</v>
      </c>
    </row>
    <row r="25" ht="8.35" customHeight="1" hidden="1">
      <c r="A25" s="91"/>
      <c r="B25" t="s" s="159">
        <v>403</v>
      </c>
      <c r="C25" t="s" s="160">
        <v>28</v>
      </c>
      <c r="D25" s="161">
        <v>1</v>
      </c>
      <c r="E25" s="162">
        <v>8</v>
      </c>
      <c r="F25" s="162">
        <v>8.199999999999999</v>
      </c>
      <c r="G25" s="163"/>
      <c r="H25" s="163"/>
      <c r="I25" t="s" s="164">
        <v>379</v>
      </c>
    </row>
    <row r="26" ht="8.35" customHeight="1" hidden="1">
      <c r="A26" s="91"/>
      <c r="B26" t="s" s="159">
        <v>404</v>
      </c>
      <c r="C26" t="s" s="160">
        <v>28</v>
      </c>
      <c r="D26" s="161">
        <v>1</v>
      </c>
      <c r="E26" s="162">
        <v>7</v>
      </c>
      <c r="F26" s="162">
        <v>3.7</v>
      </c>
      <c r="G26" s="163"/>
      <c r="H26" s="163"/>
      <c r="I26" t="s" s="164">
        <v>379</v>
      </c>
    </row>
    <row r="27" ht="8.35" customHeight="1" hidden="1">
      <c r="A27" s="91"/>
      <c r="B27" t="s" s="159">
        <v>405</v>
      </c>
      <c r="C27" t="s" s="160">
        <v>28</v>
      </c>
      <c r="D27" s="161">
        <v>1</v>
      </c>
      <c r="E27" s="162">
        <v>7</v>
      </c>
      <c r="F27" s="162">
        <v>1.7</v>
      </c>
      <c r="G27" s="163"/>
      <c r="H27" s="163"/>
      <c r="I27" t="s" s="164">
        <v>379</v>
      </c>
    </row>
    <row r="28" ht="8.35" customHeight="1" hidden="1">
      <c r="A28" s="91"/>
      <c r="B28" t="s" s="159">
        <v>406</v>
      </c>
      <c r="C28" t="s" s="160">
        <v>28</v>
      </c>
      <c r="D28" s="161">
        <v>1</v>
      </c>
      <c r="E28" s="162">
        <v>7</v>
      </c>
      <c r="F28" s="162">
        <v>1.6</v>
      </c>
      <c r="G28" s="163"/>
      <c r="H28" s="163"/>
      <c r="I28" t="s" s="164">
        <v>379</v>
      </c>
    </row>
    <row r="29" ht="8.35" customHeight="1" hidden="1">
      <c r="A29" s="91"/>
      <c r="B29" t="s" s="159">
        <v>407</v>
      </c>
      <c r="C29" t="s" s="160">
        <v>28</v>
      </c>
      <c r="D29" s="161">
        <v>1</v>
      </c>
      <c r="E29" s="162">
        <v>7</v>
      </c>
      <c r="F29" s="162">
        <v>0.9</v>
      </c>
      <c r="G29" s="163"/>
      <c r="H29" s="163"/>
      <c r="I29" t="s" s="164">
        <v>379</v>
      </c>
    </row>
    <row r="30" ht="8.35" customHeight="1" hidden="1">
      <c r="A30" s="91"/>
      <c r="B30" t="s" s="167">
        <v>408</v>
      </c>
      <c r="C30" t="s" s="160">
        <v>28</v>
      </c>
      <c r="D30" s="166">
        <v>0.7</v>
      </c>
      <c r="E30" s="162">
        <v>6</v>
      </c>
      <c r="F30" s="162">
        <v>8.199999999999999</v>
      </c>
      <c r="G30" s="163"/>
      <c r="H30" s="163"/>
      <c r="I30" t="s" s="164">
        <v>379</v>
      </c>
    </row>
    <row r="31" ht="8.35" customHeight="1" hidden="1">
      <c r="A31" s="91"/>
      <c r="B31" t="s" s="159">
        <v>409</v>
      </c>
      <c r="C31" t="s" s="160">
        <v>28</v>
      </c>
      <c r="D31" s="161">
        <v>1</v>
      </c>
      <c r="E31" s="162">
        <v>6</v>
      </c>
      <c r="F31" s="162">
        <v>3.6</v>
      </c>
      <c r="G31" s="163"/>
      <c r="H31" s="163"/>
      <c r="I31" t="s" s="164">
        <v>379</v>
      </c>
    </row>
    <row r="32" ht="8.35" customHeight="1" hidden="1">
      <c r="A32" s="91"/>
      <c r="B32" t="s" s="159">
        <v>410</v>
      </c>
      <c r="C32" t="s" s="160">
        <v>28</v>
      </c>
      <c r="D32" s="161">
        <v>1</v>
      </c>
      <c r="E32" s="162">
        <v>6</v>
      </c>
      <c r="F32" s="162">
        <v>1.2</v>
      </c>
      <c r="G32" s="163"/>
      <c r="H32" s="163"/>
      <c r="I32" t="s" s="164">
        <v>379</v>
      </c>
    </row>
    <row r="33" ht="8.35" customHeight="1" hidden="1">
      <c r="A33" s="91"/>
      <c r="B33" t="s" s="159">
        <v>411</v>
      </c>
      <c r="C33" t="s" s="160">
        <v>28</v>
      </c>
      <c r="D33" s="161">
        <v>1</v>
      </c>
      <c r="E33" s="162">
        <v>6</v>
      </c>
      <c r="F33" s="162">
        <v>1</v>
      </c>
      <c r="G33" s="163"/>
      <c r="H33" s="163"/>
      <c r="I33" t="s" s="164">
        <v>379</v>
      </c>
    </row>
    <row r="34" ht="8.35" customHeight="1" hidden="1">
      <c r="A34" s="91"/>
      <c r="B34" t="s" s="159">
        <v>412</v>
      </c>
      <c r="C34" t="s" s="160">
        <v>28</v>
      </c>
      <c r="D34" s="161">
        <v>1</v>
      </c>
      <c r="E34" s="162">
        <v>6</v>
      </c>
      <c r="F34" s="162">
        <v>1</v>
      </c>
      <c r="G34" s="163"/>
      <c r="H34" s="163"/>
      <c r="I34" t="s" s="164">
        <v>379</v>
      </c>
    </row>
    <row r="35" ht="8.35" customHeight="1" hidden="1">
      <c r="A35" s="91"/>
      <c r="B35" t="s" s="159">
        <v>413</v>
      </c>
      <c r="C35" t="s" s="160">
        <v>28</v>
      </c>
      <c r="D35" s="161">
        <v>1</v>
      </c>
      <c r="E35" s="162">
        <v>6</v>
      </c>
      <c r="F35" s="162">
        <v>2.7</v>
      </c>
      <c r="G35" s="163"/>
      <c r="H35" s="163"/>
      <c r="I35" t="s" s="164">
        <v>379</v>
      </c>
    </row>
    <row r="36" ht="8.35" customHeight="1" hidden="1">
      <c r="A36" s="91"/>
      <c r="B36" t="s" s="159">
        <v>414</v>
      </c>
      <c r="C36" t="s" s="160">
        <v>28</v>
      </c>
      <c r="D36" s="161">
        <v>1</v>
      </c>
      <c r="E36" s="162">
        <v>6</v>
      </c>
      <c r="F36" s="162">
        <v>5.9</v>
      </c>
      <c r="G36" s="163"/>
      <c r="H36" s="163"/>
      <c r="I36" t="s" s="164">
        <v>379</v>
      </c>
    </row>
    <row r="37" ht="8.35" customHeight="1" hidden="1">
      <c r="A37" s="91"/>
      <c r="B37" t="s" s="159">
        <v>415</v>
      </c>
      <c r="C37" t="s" s="160">
        <v>28</v>
      </c>
      <c r="D37" s="161">
        <v>1</v>
      </c>
      <c r="E37" s="162">
        <v>5</v>
      </c>
      <c r="F37" s="162">
        <v>1.6</v>
      </c>
      <c r="G37" s="163"/>
      <c r="H37" s="163"/>
      <c r="I37" t="s" s="164">
        <v>379</v>
      </c>
    </row>
    <row r="38" ht="8.35" customHeight="1" hidden="1">
      <c r="A38" s="91"/>
      <c r="B38" t="s" s="159">
        <v>416</v>
      </c>
      <c r="C38" t="s" s="160">
        <v>28</v>
      </c>
      <c r="D38" s="161">
        <v>1</v>
      </c>
      <c r="E38" s="162">
        <v>5</v>
      </c>
      <c r="F38" s="162">
        <v>1.4</v>
      </c>
      <c r="G38" s="163"/>
      <c r="H38" s="163"/>
      <c r="I38" t="s" s="164">
        <v>379</v>
      </c>
    </row>
    <row r="39" ht="8.35" customHeight="1" hidden="1">
      <c r="A39" s="91"/>
      <c r="B39" t="s" s="159">
        <v>417</v>
      </c>
      <c r="C39" t="s" s="160">
        <v>28</v>
      </c>
      <c r="D39" s="161">
        <v>1</v>
      </c>
      <c r="E39" s="162">
        <v>5</v>
      </c>
      <c r="F39" s="162">
        <v>0.8</v>
      </c>
      <c r="G39" s="163"/>
      <c r="H39" s="163"/>
      <c r="I39" t="s" s="164">
        <v>379</v>
      </c>
    </row>
    <row r="40" ht="8.35" customHeight="1" hidden="1">
      <c r="A40" s="91"/>
      <c r="B40" t="s" s="159">
        <v>418</v>
      </c>
      <c r="C40" t="s" s="160">
        <v>28</v>
      </c>
      <c r="D40" s="161">
        <v>1</v>
      </c>
      <c r="E40" s="162">
        <v>5</v>
      </c>
      <c r="F40" s="162">
        <v>0.7</v>
      </c>
      <c r="G40" s="163"/>
      <c r="H40" s="163"/>
      <c r="I40" t="s" s="164">
        <v>379</v>
      </c>
    </row>
    <row r="41" ht="8.35" customHeight="1" hidden="1">
      <c r="A41" s="91"/>
      <c r="B41" t="s" s="159">
        <v>419</v>
      </c>
      <c r="C41" t="s" s="160">
        <v>28</v>
      </c>
      <c r="D41" s="161">
        <v>1</v>
      </c>
      <c r="E41" s="162">
        <v>5</v>
      </c>
      <c r="F41" s="162">
        <v>2.6</v>
      </c>
      <c r="G41" s="163"/>
      <c r="H41" s="163"/>
      <c r="I41" t="s" s="164">
        <v>379</v>
      </c>
    </row>
    <row r="42" ht="8.35" customHeight="1" hidden="1">
      <c r="A42" s="91"/>
      <c r="B42" t="s" s="159">
        <v>420</v>
      </c>
      <c r="C42" t="s" s="160">
        <v>28</v>
      </c>
      <c r="D42" s="161">
        <v>1</v>
      </c>
      <c r="E42" s="162">
        <v>5</v>
      </c>
      <c r="F42" s="162">
        <v>1.5</v>
      </c>
      <c r="G42" s="163"/>
      <c r="H42" s="163"/>
      <c r="I42" t="s" s="164">
        <v>379</v>
      </c>
    </row>
    <row r="43" ht="8.35" customHeight="1" hidden="1">
      <c r="A43" s="91"/>
      <c r="B43" t="s" s="159">
        <v>421</v>
      </c>
      <c r="C43" t="s" s="160">
        <v>28</v>
      </c>
      <c r="D43" s="161">
        <v>1</v>
      </c>
      <c r="E43" s="162">
        <v>5</v>
      </c>
      <c r="F43" s="162">
        <v>0.9</v>
      </c>
      <c r="G43" s="163"/>
      <c r="H43" s="163"/>
      <c r="I43" t="s" s="164">
        <v>379</v>
      </c>
    </row>
    <row r="44" ht="8.35" customHeight="1" hidden="1">
      <c r="A44" s="91"/>
      <c r="B44" t="s" s="159">
        <v>422</v>
      </c>
      <c r="C44" t="s" s="160">
        <v>28</v>
      </c>
      <c r="D44" s="161">
        <v>1</v>
      </c>
      <c r="E44" s="162">
        <v>5</v>
      </c>
      <c r="F44" s="162">
        <v>0.3</v>
      </c>
      <c r="G44" s="163"/>
      <c r="H44" s="163"/>
      <c r="I44" t="s" s="164">
        <v>379</v>
      </c>
    </row>
    <row r="45" ht="8.35" customHeight="1" hidden="1">
      <c r="A45" s="91"/>
      <c r="B45" t="s" s="159">
        <v>420</v>
      </c>
      <c r="C45" t="s" s="160">
        <v>28</v>
      </c>
      <c r="D45" s="161">
        <v>1</v>
      </c>
      <c r="E45" s="162">
        <v>5</v>
      </c>
      <c r="F45" s="162">
        <v>3.5</v>
      </c>
      <c r="G45" s="163"/>
      <c r="H45" s="163"/>
      <c r="I45" t="s" s="164">
        <v>379</v>
      </c>
    </row>
    <row r="46" ht="8.35" customHeight="1" hidden="1">
      <c r="A46" s="91"/>
      <c r="B46" t="s" s="159">
        <v>423</v>
      </c>
      <c r="C46" t="s" s="160">
        <v>28</v>
      </c>
      <c r="D46" s="161">
        <v>1</v>
      </c>
      <c r="E46" s="162">
        <v>5</v>
      </c>
      <c r="F46" s="162">
        <v>5.7</v>
      </c>
      <c r="G46" s="163"/>
      <c r="H46" s="163"/>
      <c r="I46" t="s" s="164">
        <v>379</v>
      </c>
    </row>
    <row r="47" ht="8.35" customHeight="1" hidden="1">
      <c r="A47" s="91"/>
      <c r="B47" t="s" s="159">
        <v>424</v>
      </c>
      <c r="C47" t="s" s="160">
        <v>28</v>
      </c>
      <c r="D47" s="161">
        <v>1</v>
      </c>
      <c r="E47" s="162">
        <v>4</v>
      </c>
      <c r="F47" s="162">
        <v>1.9</v>
      </c>
      <c r="G47" s="163"/>
      <c r="H47" s="163"/>
      <c r="I47" t="s" s="164">
        <v>379</v>
      </c>
    </row>
    <row r="48" ht="8.35" customHeight="1" hidden="1">
      <c r="A48" s="91"/>
      <c r="B48" t="s" s="159">
        <v>425</v>
      </c>
      <c r="C48" t="s" s="160">
        <v>28</v>
      </c>
      <c r="D48" s="161">
        <v>1</v>
      </c>
      <c r="E48" s="162">
        <v>4</v>
      </c>
      <c r="F48" s="162">
        <v>1</v>
      </c>
      <c r="G48" s="163"/>
      <c r="H48" s="163"/>
      <c r="I48" t="s" s="164">
        <v>379</v>
      </c>
    </row>
    <row r="49" ht="8.35" customHeight="1" hidden="1">
      <c r="A49" s="91"/>
      <c r="B49" t="s" s="159">
        <v>426</v>
      </c>
      <c r="C49" t="s" s="160">
        <v>28</v>
      </c>
      <c r="D49" s="161">
        <v>1</v>
      </c>
      <c r="E49" s="162">
        <v>4</v>
      </c>
      <c r="F49" s="162">
        <v>0.8</v>
      </c>
      <c r="G49" s="163"/>
      <c r="H49" s="163"/>
      <c r="I49" t="s" s="164">
        <v>379</v>
      </c>
    </row>
    <row r="50" ht="8.35" customHeight="1" hidden="1">
      <c r="A50" s="91"/>
      <c r="B50" t="s" s="159">
        <v>427</v>
      </c>
      <c r="C50" t="s" s="160">
        <v>28</v>
      </c>
      <c r="D50" s="161">
        <v>1</v>
      </c>
      <c r="E50" s="162">
        <v>4</v>
      </c>
      <c r="F50" s="162">
        <v>1.8</v>
      </c>
      <c r="G50" s="163"/>
      <c r="H50" s="163"/>
      <c r="I50" t="s" s="164">
        <v>379</v>
      </c>
    </row>
    <row r="51" ht="8.35" customHeight="1" hidden="1">
      <c r="A51" s="91"/>
      <c r="B51" t="s" s="159">
        <v>428</v>
      </c>
      <c r="C51" t="s" s="160">
        <v>28</v>
      </c>
      <c r="D51" s="161">
        <v>1</v>
      </c>
      <c r="E51" s="162">
        <v>4</v>
      </c>
      <c r="F51" s="162">
        <v>1.8</v>
      </c>
      <c r="G51" s="163"/>
      <c r="H51" s="163"/>
      <c r="I51" t="s" s="164">
        <v>379</v>
      </c>
    </row>
    <row r="52" ht="8.35" customHeight="1" hidden="1">
      <c r="A52" s="91"/>
      <c r="B52" t="s" s="159">
        <v>429</v>
      </c>
      <c r="C52" t="s" s="160">
        <v>28</v>
      </c>
      <c r="D52" s="161">
        <v>1</v>
      </c>
      <c r="E52" s="162">
        <v>4</v>
      </c>
      <c r="F52" s="162">
        <v>3.9</v>
      </c>
      <c r="G52" s="163"/>
      <c r="H52" s="163"/>
      <c r="I52" t="s" s="164">
        <v>379</v>
      </c>
    </row>
    <row r="53" ht="8.35" customHeight="1" hidden="1">
      <c r="A53" s="91"/>
      <c r="B53" t="s" s="159">
        <v>430</v>
      </c>
      <c r="C53" t="s" s="160">
        <v>28</v>
      </c>
      <c r="D53" s="161">
        <v>1</v>
      </c>
      <c r="E53" s="162">
        <v>4</v>
      </c>
      <c r="F53" s="162">
        <v>3.5</v>
      </c>
      <c r="G53" s="163"/>
      <c r="H53" s="163"/>
      <c r="I53" t="s" s="164">
        <v>379</v>
      </c>
    </row>
    <row r="54" ht="20.05" customHeight="1">
      <c r="A54" s="91"/>
      <c r="B54" t="s" s="165">
        <v>431</v>
      </c>
      <c r="C54" t="s" s="160">
        <v>28</v>
      </c>
      <c r="D54" s="161">
        <v>0</v>
      </c>
      <c r="E54" s="162">
        <v>3</v>
      </c>
      <c r="F54" s="162">
        <v>8</v>
      </c>
      <c r="G54" t="s" s="164">
        <v>383</v>
      </c>
      <c r="H54" t="s" s="164">
        <v>384</v>
      </c>
      <c r="I54" t="s" s="164">
        <v>432</v>
      </c>
    </row>
    <row r="55" ht="20.05" customHeight="1">
      <c r="A55" s="91"/>
      <c r="B55" t="s" s="165">
        <v>433</v>
      </c>
      <c r="C55" t="s" s="160">
        <v>28</v>
      </c>
      <c r="D55" s="161">
        <v>0</v>
      </c>
      <c r="E55" s="162">
        <v>3</v>
      </c>
      <c r="F55" s="162">
        <v>3.7</v>
      </c>
      <c r="G55" t="s" s="164">
        <v>383</v>
      </c>
      <c r="H55" t="s" s="164">
        <v>434</v>
      </c>
      <c r="I55" t="s" s="164">
        <v>432</v>
      </c>
    </row>
    <row r="56" ht="20.05" customHeight="1">
      <c r="A56" s="91"/>
      <c r="B56" t="s" s="165">
        <v>435</v>
      </c>
      <c r="C56" t="s" s="160">
        <v>28</v>
      </c>
      <c r="D56" s="161">
        <v>0</v>
      </c>
      <c r="E56" s="162">
        <v>3</v>
      </c>
      <c r="F56" s="162">
        <v>1.3</v>
      </c>
      <c r="G56" t="s" s="164">
        <v>383</v>
      </c>
      <c r="H56" t="s" s="164">
        <v>384</v>
      </c>
      <c r="I56" t="s" s="164">
        <v>432</v>
      </c>
    </row>
    <row r="57" ht="20.05" customHeight="1">
      <c r="A57" s="91"/>
      <c r="B57" t="s" s="159">
        <v>436</v>
      </c>
      <c r="C57" t="s" s="160">
        <v>28</v>
      </c>
      <c r="D57" s="161">
        <v>0</v>
      </c>
      <c r="E57" s="162">
        <v>3</v>
      </c>
      <c r="F57" s="162">
        <v>4.4</v>
      </c>
      <c r="G57" t="s" s="164">
        <v>383</v>
      </c>
      <c r="H57" t="s" s="164">
        <v>384</v>
      </c>
      <c r="I57" t="s" s="164">
        <v>437</v>
      </c>
    </row>
    <row r="58" ht="8.35" customHeight="1" hidden="1">
      <c r="A58" s="91"/>
      <c r="B58" t="s" s="159">
        <v>438</v>
      </c>
      <c r="C58" t="s" s="160">
        <v>28</v>
      </c>
      <c r="D58" s="161">
        <v>1</v>
      </c>
      <c r="E58" s="162">
        <v>3</v>
      </c>
      <c r="F58" s="162">
        <v>2.3</v>
      </c>
      <c r="G58" s="163"/>
      <c r="H58" s="163"/>
      <c r="I58" t="s" s="164">
        <v>379</v>
      </c>
    </row>
    <row r="59" ht="8.35" customHeight="1" hidden="1">
      <c r="A59" s="91"/>
      <c r="B59" t="s" s="159">
        <v>439</v>
      </c>
      <c r="C59" t="s" s="160">
        <v>28</v>
      </c>
      <c r="D59" s="161">
        <v>1</v>
      </c>
      <c r="E59" s="162">
        <v>3</v>
      </c>
      <c r="F59" s="162">
        <v>0.8</v>
      </c>
      <c r="G59" s="163"/>
      <c r="H59" s="163"/>
      <c r="I59" t="s" s="164">
        <v>379</v>
      </c>
    </row>
    <row r="60" ht="8.35" customHeight="1" hidden="1">
      <c r="A60" s="91"/>
      <c r="B60" t="s" s="159">
        <v>440</v>
      </c>
      <c r="C60" t="s" s="160">
        <v>28</v>
      </c>
      <c r="D60" s="161">
        <v>1</v>
      </c>
      <c r="E60" s="162">
        <v>3</v>
      </c>
      <c r="F60" s="162">
        <v>2.7</v>
      </c>
      <c r="G60" s="163"/>
      <c r="H60" s="163"/>
      <c r="I60" t="s" s="164">
        <v>379</v>
      </c>
    </row>
    <row r="61" ht="8.35" customHeight="1" hidden="1">
      <c r="A61" s="91"/>
      <c r="B61" t="s" s="159">
        <v>441</v>
      </c>
      <c r="C61" t="s" s="160">
        <v>28</v>
      </c>
      <c r="D61" s="161">
        <v>1</v>
      </c>
      <c r="E61" s="162">
        <v>3</v>
      </c>
      <c r="F61" s="162">
        <v>1.7</v>
      </c>
      <c r="G61" s="163"/>
      <c r="H61" s="163"/>
      <c r="I61" t="s" s="164">
        <v>379</v>
      </c>
    </row>
    <row r="62" ht="8.35" customHeight="1" hidden="1">
      <c r="A62" s="91"/>
      <c r="B62" t="s" s="159">
        <v>442</v>
      </c>
      <c r="C62" t="s" s="160">
        <v>28</v>
      </c>
      <c r="D62" s="161">
        <v>1</v>
      </c>
      <c r="E62" s="162">
        <v>3</v>
      </c>
      <c r="F62" s="162">
        <v>0.5</v>
      </c>
      <c r="G62" s="163"/>
      <c r="H62" s="163"/>
      <c r="I62" t="s" s="164">
        <v>379</v>
      </c>
    </row>
    <row r="63" ht="8.35" customHeight="1" hidden="1">
      <c r="A63" s="91"/>
      <c r="B63" t="s" s="159">
        <v>443</v>
      </c>
      <c r="C63" t="s" s="160">
        <v>28</v>
      </c>
      <c r="D63" s="161">
        <v>1</v>
      </c>
      <c r="E63" s="162">
        <v>3</v>
      </c>
      <c r="F63" s="162">
        <v>3.9</v>
      </c>
      <c r="G63" s="163"/>
      <c r="H63" s="163"/>
      <c r="I63" t="s" s="164">
        <v>379</v>
      </c>
    </row>
    <row r="64" ht="8.35" customHeight="1" hidden="1">
      <c r="A64" s="91"/>
      <c r="B64" t="s" s="167">
        <v>444</v>
      </c>
      <c r="C64" t="s" s="160">
        <v>28</v>
      </c>
      <c r="D64" s="166">
        <v>0.5</v>
      </c>
      <c r="E64" s="162">
        <v>2</v>
      </c>
      <c r="F64" s="162">
        <v>0.1</v>
      </c>
      <c r="G64" s="163"/>
      <c r="H64" s="163"/>
      <c r="I64" t="s" s="164">
        <v>379</v>
      </c>
    </row>
    <row r="65" ht="8.35" customHeight="1" hidden="1">
      <c r="A65" s="91"/>
      <c r="B65" t="s" s="167">
        <v>445</v>
      </c>
      <c r="C65" t="s" s="160">
        <v>28</v>
      </c>
      <c r="D65" s="166">
        <v>0.7</v>
      </c>
      <c r="E65" s="162">
        <v>2</v>
      </c>
      <c r="F65" s="162">
        <v>2.2</v>
      </c>
      <c r="G65" s="163"/>
      <c r="H65" s="163"/>
      <c r="I65" t="s" s="164">
        <v>379</v>
      </c>
    </row>
    <row r="66" ht="8.35" customHeight="1" hidden="1">
      <c r="A66" s="91"/>
      <c r="B66" t="s" s="167">
        <v>446</v>
      </c>
      <c r="C66" t="s" s="160">
        <v>28</v>
      </c>
      <c r="D66" s="166">
        <v>0.8</v>
      </c>
      <c r="E66" s="162">
        <v>2</v>
      </c>
      <c r="F66" s="162">
        <v>2.7</v>
      </c>
      <c r="G66" s="163"/>
      <c r="H66" s="163"/>
      <c r="I66" t="s" s="164">
        <v>379</v>
      </c>
    </row>
    <row r="67" ht="8.35" customHeight="1" hidden="1">
      <c r="A67" s="91"/>
      <c r="B67" t="s" s="159">
        <v>447</v>
      </c>
      <c r="C67" t="s" s="160">
        <v>28</v>
      </c>
      <c r="D67" s="166">
        <v>0.8</v>
      </c>
      <c r="E67" s="162">
        <v>2</v>
      </c>
      <c r="F67" s="162">
        <v>2.4</v>
      </c>
      <c r="G67" s="163"/>
      <c r="H67" s="163"/>
      <c r="I67" t="s" s="164">
        <v>379</v>
      </c>
    </row>
    <row r="68" ht="8.35" customHeight="1" hidden="1">
      <c r="A68" s="91"/>
      <c r="B68" t="s" s="159">
        <v>448</v>
      </c>
      <c r="C68" t="s" s="160">
        <v>28</v>
      </c>
      <c r="D68" s="161">
        <v>1</v>
      </c>
      <c r="E68" s="162">
        <v>2</v>
      </c>
      <c r="F68" s="162">
        <v>0.1</v>
      </c>
      <c r="G68" s="163"/>
      <c r="H68" s="163"/>
      <c r="I68" t="s" s="164">
        <v>379</v>
      </c>
    </row>
    <row r="69" ht="8.35" customHeight="1" hidden="1">
      <c r="A69" s="91"/>
      <c r="B69" t="s" s="159">
        <v>449</v>
      </c>
      <c r="C69" t="s" s="160">
        <v>28</v>
      </c>
      <c r="D69" s="161">
        <v>1</v>
      </c>
      <c r="E69" s="162">
        <v>2</v>
      </c>
      <c r="F69" s="162">
        <v>1.7</v>
      </c>
      <c r="G69" s="163"/>
      <c r="H69" s="163"/>
      <c r="I69" t="s" s="164">
        <v>379</v>
      </c>
    </row>
    <row r="70" ht="8.35" customHeight="1" hidden="1">
      <c r="A70" s="91"/>
      <c r="B70" t="s" s="159">
        <v>450</v>
      </c>
      <c r="C70" t="s" s="160">
        <v>28</v>
      </c>
      <c r="D70" s="161">
        <v>1</v>
      </c>
      <c r="E70" s="162">
        <v>2</v>
      </c>
      <c r="F70" s="162">
        <v>1.7</v>
      </c>
      <c r="G70" s="163"/>
      <c r="H70" s="163"/>
      <c r="I70" t="s" s="164">
        <v>379</v>
      </c>
    </row>
    <row r="71" ht="8.35" customHeight="1" hidden="1">
      <c r="A71" s="91"/>
      <c r="B71" t="s" s="159">
        <v>451</v>
      </c>
      <c r="C71" t="s" s="160">
        <v>28</v>
      </c>
      <c r="D71" s="161">
        <v>1</v>
      </c>
      <c r="E71" s="162">
        <v>2</v>
      </c>
      <c r="F71" s="162">
        <v>0.1</v>
      </c>
      <c r="G71" s="163"/>
      <c r="H71" s="163"/>
      <c r="I71" t="s" s="164">
        <v>379</v>
      </c>
    </row>
    <row r="72" ht="8.35" customHeight="1" hidden="1">
      <c r="A72" s="91"/>
      <c r="B72" t="s" s="167">
        <v>452</v>
      </c>
      <c r="C72" t="s" s="160">
        <v>28</v>
      </c>
      <c r="D72" s="166">
        <v>0.7</v>
      </c>
      <c r="E72" s="162">
        <v>1</v>
      </c>
      <c r="F72" s="162">
        <v>0.3</v>
      </c>
      <c r="G72" s="163"/>
      <c r="H72" s="163"/>
      <c r="I72" t="s" s="164">
        <v>379</v>
      </c>
    </row>
    <row r="73" ht="8.35" customHeight="1" hidden="1">
      <c r="A73" s="91"/>
      <c r="B73" t="s" s="159">
        <v>453</v>
      </c>
      <c r="C73" t="s" s="160">
        <v>28</v>
      </c>
      <c r="D73" s="161">
        <v>1</v>
      </c>
      <c r="E73" s="162">
        <v>1</v>
      </c>
      <c r="F73" s="162">
        <v>1.6</v>
      </c>
      <c r="G73" s="163"/>
      <c r="H73" s="163"/>
      <c r="I73" t="s" s="164">
        <v>379</v>
      </c>
    </row>
    <row r="74" ht="8.35" customHeight="1" hidden="1">
      <c r="A74" s="91"/>
      <c r="B74" t="s" s="159">
        <v>454</v>
      </c>
      <c r="C74" t="s" s="160">
        <v>28</v>
      </c>
      <c r="D74" s="161">
        <v>1</v>
      </c>
      <c r="E74" s="162">
        <v>1</v>
      </c>
      <c r="F74" s="162">
        <v>0.9</v>
      </c>
      <c r="G74" s="163"/>
      <c r="H74" s="163"/>
      <c r="I74" t="s" s="164">
        <v>379</v>
      </c>
    </row>
    <row r="75" ht="8.35" customHeight="1" hidden="1">
      <c r="A75" s="91"/>
      <c r="B75" t="s" s="159">
        <v>455</v>
      </c>
      <c r="C75" t="s" s="160">
        <v>28</v>
      </c>
      <c r="D75" s="161">
        <v>1</v>
      </c>
      <c r="E75" s="162">
        <v>1</v>
      </c>
      <c r="F75" s="162">
        <v>0.8</v>
      </c>
      <c r="G75" s="163"/>
      <c r="H75" s="163"/>
      <c r="I75" t="s" s="164">
        <v>379</v>
      </c>
    </row>
    <row r="76" ht="8.35" customHeight="1" hidden="1">
      <c r="A76" s="91"/>
      <c r="B76" t="s" s="159">
        <v>456</v>
      </c>
      <c r="C76" t="s" s="160">
        <v>28</v>
      </c>
      <c r="D76" s="161">
        <v>1</v>
      </c>
      <c r="E76" s="162">
        <v>1</v>
      </c>
      <c r="F76" s="162">
        <v>0.7</v>
      </c>
      <c r="G76" s="163"/>
      <c r="H76" s="163"/>
      <c r="I76" t="s" s="164">
        <v>379</v>
      </c>
    </row>
    <row r="77" ht="8.35" customHeight="1" hidden="1">
      <c r="A77" s="91"/>
      <c r="B77" t="s" s="159">
        <v>457</v>
      </c>
      <c r="C77" t="s" s="160">
        <v>28</v>
      </c>
      <c r="D77" s="161">
        <v>1</v>
      </c>
      <c r="E77" s="162">
        <v>1</v>
      </c>
      <c r="F77" s="162">
        <v>0.2</v>
      </c>
      <c r="G77" s="163"/>
      <c r="H77" s="163"/>
      <c r="I77" t="s" s="164">
        <v>379</v>
      </c>
    </row>
    <row r="78" ht="20.05" customHeight="1">
      <c r="A78" s="91"/>
      <c r="B78" t="s" s="159">
        <v>458</v>
      </c>
      <c r="C78" t="s" s="160">
        <v>28</v>
      </c>
      <c r="D78" s="161">
        <v>0</v>
      </c>
      <c r="E78" s="162">
        <v>0.5</v>
      </c>
      <c r="F78" s="162">
        <v>4.1</v>
      </c>
      <c r="G78" t="s" s="164">
        <v>383</v>
      </c>
      <c r="H78" t="s" s="164">
        <v>434</v>
      </c>
      <c r="I78" t="s" s="164">
        <v>432</v>
      </c>
    </row>
    <row r="79" ht="20.85" customHeight="1">
      <c r="A79" s="94"/>
      <c r="B79" t="s" s="168">
        <v>459</v>
      </c>
      <c r="C79" t="s" s="169">
        <v>28</v>
      </c>
      <c r="D79" s="170">
        <v>0</v>
      </c>
      <c r="E79" s="171">
        <v>0.5</v>
      </c>
      <c r="F79" s="171">
        <v>2.3</v>
      </c>
      <c r="G79" t="s" s="172">
        <v>383</v>
      </c>
      <c r="H79" t="s" s="172">
        <v>384</v>
      </c>
      <c r="I79" t="s" s="172">
        <v>432</v>
      </c>
    </row>
    <row r="80" ht="10" customHeight="1" hidden="1">
      <c r="A80" s="173"/>
      <c r="B80" t="s" s="174">
        <v>460</v>
      </c>
      <c r="C80" t="s" s="175">
        <v>28</v>
      </c>
      <c r="D80" s="176">
        <v>0.8</v>
      </c>
      <c r="E80" s="177">
        <v>0.4</v>
      </c>
      <c r="F80" s="177">
        <v>0.4</v>
      </c>
      <c r="G80" s="178"/>
      <c r="H80" s="178"/>
      <c r="I80" t="s" s="179">
        <v>379</v>
      </c>
    </row>
    <row r="81" ht="10" customHeight="1" hidden="1">
      <c r="A81" s="173"/>
      <c r="B81" t="s" s="174">
        <v>461</v>
      </c>
      <c r="C81" t="s" s="175">
        <v>28</v>
      </c>
      <c r="D81" s="180">
        <v>1</v>
      </c>
      <c r="E81" s="177">
        <v>0.4</v>
      </c>
      <c r="F81" s="177">
        <v>0.4</v>
      </c>
      <c r="G81" s="178"/>
      <c r="H81" s="178"/>
      <c r="I81" t="s" s="179">
        <v>379</v>
      </c>
    </row>
    <row r="82" ht="10" customHeight="1" hidden="1">
      <c r="A82" s="173"/>
      <c r="B82" t="s" s="181">
        <v>462</v>
      </c>
      <c r="C82" t="s" s="175">
        <v>28</v>
      </c>
      <c r="D82" s="176">
        <v>0.5</v>
      </c>
      <c r="E82" s="177">
        <v>0</v>
      </c>
      <c r="F82" s="177">
        <v>0.1</v>
      </c>
      <c r="G82" s="178"/>
      <c r="H82" s="178"/>
      <c r="I82" t="s" s="179">
        <v>379</v>
      </c>
    </row>
    <row r="83" ht="20.85" customHeight="1">
      <c r="A83" t="s" s="157">
        <v>31</v>
      </c>
      <c r="B83" s="158"/>
      <c r="C83" s="158"/>
      <c r="D83" s="158"/>
      <c r="E83" s="158"/>
      <c r="F83" s="158"/>
      <c r="G83" s="158"/>
      <c r="H83" s="158"/>
      <c r="I83" s="158"/>
    </row>
    <row r="84" ht="8.35" customHeight="1" hidden="1">
      <c r="A84" s="91"/>
      <c r="B84" t="s" s="159">
        <v>463</v>
      </c>
      <c r="C84" t="s" s="160">
        <v>31</v>
      </c>
      <c r="D84" s="161">
        <v>1</v>
      </c>
      <c r="E84" s="162">
        <v>15</v>
      </c>
      <c r="F84" s="162">
        <v>6.9</v>
      </c>
      <c r="G84" s="163"/>
      <c r="H84" s="163"/>
      <c r="I84" t="s" s="164">
        <v>348</v>
      </c>
    </row>
    <row r="85" ht="8.35" customHeight="1" hidden="1">
      <c r="A85" s="91"/>
      <c r="B85" t="s" s="159">
        <v>464</v>
      </c>
      <c r="C85" t="s" s="160">
        <v>31</v>
      </c>
      <c r="D85" s="161">
        <v>1</v>
      </c>
      <c r="E85" s="162">
        <v>12</v>
      </c>
      <c r="F85" s="162">
        <v>1.5</v>
      </c>
      <c r="G85" s="163"/>
      <c r="H85" s="163"/>
      <c r="I85" t="s" s="164">
        <v>379</v>
      </c>
    </row>
    <row r="86" ht="20.05" customHeight="1">
      <c r="A86" s="91"/>
      <c r="B86" t="s" s="165">
        <v>465</v>
      </c>
      <c r="C86" t="s" s="160">
        <v>31</v>
      </c>
      <c r="D86" s="161">
        <v>0</v>
      </c>
      <c r="E86" s="162">
        <v>11</v>
      </c>
      <c r="F86" s="162">
        <v>0.4</v>
      </c>
      <c r="G86" t="s" s="164">
        <v>383</v>
      </c>
      <c r="H86" t="s" s="164">
        <v>384</v>
      </c>
      <c r="I86" t="s" s="164">
        <v>466</v>
      </c>
    </row>
    <row r="87" ht="8.35" customHeight="1" hidden="1">
      <c r="A87" s="91"/>
      <c r="B87" t="s" s="159">
        <v>467</v>
      </c>
      <c r="C87" t="s" s="160">
        <v>31</v>
      </c>
      <c r="D87" s="161">
        <v>1</v>
      </c>
      <c r="E87" s="162">
        <v>11</v>
      </c>
      <c r="F87" s="162">
        <v>5.6</v>
      </c>
      <c r="G87" s="163"/>
      <c r="H87" s="163"/>
      <c r="I87" t="s" s="164">
        <v>348</v>
      </c>
    </row>
    <row r="88" ht="8.35" customHeight="1" hidden="1">
      <c r="A88" s="91"/>
      <c r="B88" t="s" s="159">
        <v>468</v>
      </c>
      <c r="C88" t="s" s="160">
        <v>31</v>
      </c>
      <c r="D88" s="161">
        <v>1</v>
      </c>
      <c r="E88" s="162">
        <v>10</v>
      </c>
      <c r="F88" s="162">
        <v>11.3</v>
      </c>
      <c r="G88" s="163"/>
      <c r="H88" s="163"/>
      <c r="I88" t="s" s="164">
        <v>469</v>
      </c>
    </row>
    <row r="89" ht="8.35" customHeight="1" hidden="1">
      <c r="A89" s="91"/>
      <c r="B89" t="s" s="159">
        <v>470</v>
      </c>
      <c r="C89" t="s" s="160">
        <v>31</v>
      </c>
      <c r="D89" s="166">
        <v>0.9</v>
      </c>
      <c r="E89" s="162">
        <v>10</v>
      </c>
      <c r="F89" s="162">
        <v>1.6</v>
      </c>
      <c r="G89" s="163"/>
      <c r="H89" s="163"/>
      <c r="I89" t="s" s="164">
        <v>379</v>
      </c>
    </row>
    <row r="90" ht="8.35" customHeight="1" hidden="1">
      <c r="A90" s="91"/>
      <c r="B90" t="s" s="159">
        <v>471</v>
      </c>
      <c r="C90" t="s" s="160">
        <v>31</v>
      </c>
      <c r="D90" s="166">
        <v>0.9</v>
      </c>
      <c r="E90" s="162">
        <v>10</v>
      </c>
      <c r="F90" s="162">
        <v>5.4</v>
      </c>
      <c r="G90" s="163"/>
      <c r="H90" s="163"/>
      <c r="I90" t="s" s="164">
        <v>469</v>
      </c>
    </row>
    <row r="91" ht="20.05" customHeight="1">
      <c r="A91" s="91"/>
      <c r="B91" t="s" s="165">
        <v>472</v>
      </c>
      <c r="C91" t="s" s="160">
        <v>31</v>
      </c>
      <c r="D91" s="161">
        <v>0</v>
      </c>
      <c r="E91" s="162">
        <v>9</v>
      </c>
      <c r="F91" s="162">
        <v>0.8</v>
      </c>
      <c r="G91" t="s" s="164">
        <v>383</v>
      </c>
      <c r="H91" t="s" s="164">
        <v>384</v>
      </c>
      <c r="I91" t="s" s="164">
        <v>466</v>
      </c>
    </row>
    <row r="92" ht="8.35" customHeight="1" hidden="1">
      <c r="A92" s="91"/>
      <c r="B92" t="s" s="159">
        <v>473</v>
      </c>
      <c r="C92" t="s" s="160">
        <v>31</v>
      </c>
      <c r="D92" s="161">
        <v>1</v>
      </c>
      <c r="E92" s="162">
        <v>9</v>
      </c>
      <c r="F92" s="162">
        <v>2.6</v>
      </c>
      <c r="G92" s="163"/>
      <c r="H92" s="163"/>
      <c r="I92" t="s" s="164">
        <v>469</v>
      </c>
    </row>
    <row r="93" ht="8.35" customHeight="1" hidden="1">
      <c r="A93" s="91"/>
      <c r="B93" t="s" s="159">
        <v>474</v>
      </c>
      <c r="C93" t="s" s="160">
        <v>31</v>
      </c>
      <c r="D93" s="161">
        <v>1</v>
      </c>
      <c r="E93" s="162">
        <v>9</v>
      </c>
      <c r="F93" s="162">
        <v>6.4</v>
      </c>
      <c r="G93" s="163"/>
      <c r="H93" s="163"/>
      <c r="I93" t="s" s="164">
        <v>475</v>
      </c>
    </row>
    <row r="94" ht="20.05" customHeight="1">
      <c r="A94" s="91"/>
      <c r="B94" t="s" s="165">
        <v>476</v>
      </c>
      <c r="C94" t="s" s="160">
        <v>31</v>
      </c>
      <c r="D94" s="161">
        <v>0</v>
      </c>
      <c r="E94" s="162">
        <v>8</v>
      </c>
      <c r="F94" s="162">
        <v>8.800000000000001</v>
      </c>
      <c r="G94" t="s" s="164">
        <v>383</v>
      </c>
      <c r="H94" t="s" s="164">
        <v>384</v>
      </c>
      <c r="I94" t="s" s="164">
        <v>466</v>
      </c>
    </row>
    <row r="95" ht="8.35" customHeight="1" hidden="1">
      <c r="A95" s="91"/>
      <c r="B95" t="s" s="159">
        <v>477</v>
      </c>
      <c r="C95" t="s" s="160">
        <v>31</v>
      </c>
      <c r="D95" s="161">
        <v>1</v>
      </c>
      <c r="E95" s="162">
        <v>8</v>
      </c>
      <c r="F95" s="162">
        <v>2.4</v>
      </c>
      <c r="G95" s="163"/>
      <c r="H95" s="163"/>
      <c r="I95" t="s" s="164">
        <v>475</v>
      </c>
    </row>
    <row r="96" ht="8.35" customHeight="1" hidden="1">
      <c r="A96" s="91"/>
      <c r="B96" t="s" s="159">
        <v>478</v>
      </c>
      <c r="C96" t="s" s="160">
        <v>31</v>
      </c>
      <c r="D96" s="161">
        <v>1</v>
      </c>
      <c r="E96" s="162">
        <v>7</v>
      </c>
      <c r="F96" s="162">
        <v>8.6</v>
      </c>
      <c r="G96" s="163"/>
      <c r="H96" s="163"/>
      <c r="I96" t="s" s="164">
        <v>469</v>
      </c>
    </row>
    <row r="97" ht="8.35" customHeight="1" hidden="1">
      <c r="A97" s="91"/>
      <c r="B97" t="s" s="159">
        <v>479</v>
      </c>
      <c r="C97" t="s" s="160">
        <v>31</v>
      </c>
      <c r="D97" s="161">
        <v>1</v>
      </c>
      <c r="E97" s="162">
        <v>7</v>
      </c>
      <c r="F97" s="162">
        <v>4.1</v>
      </c>
      <c r="G97" s="163"/>
      <c r="H97" s="163"/>
      <c r="I97" t="s" s="164">
        <v>379</v>
      </c>
    </row>
    <row r="98" ht="8.35" customHeight="1" hidden="1">
      <c r="A98" s="91"/>
      <c r="B98" t="s" s="159">
        <v>480</v>
      </c>
      <c r="C98" t="s" s="160">
        <v>31</v>
      </c>
      <c r="D98" s="161">
        <v>1</v>
      </c>
      <c r="E98" s="162">
        <v>7</v>
      </c>
      <c r="F98" s="162">
        <v>4.1</v>
      </c>
      <c r="G98" s="163"/>
      <c r="H98" s="163"/>
      <c r="I98" t="s" s="164">
        <v>379</v>
      </c>
    </row>
    <row r="99" ht="8.35" customHeight="1" hidden="1">
      <c r="A99" s="91"/>
      <c r="B99" t="s" s="159">
        <v>481</v>
      </c>
      <c r="C99" t="s" s="160">
        <v>31</v>
      </c>
      <c r="D99" s="161">
        <v>1</v>
      </c>
      <c r="E99" s="162">
        <v>7</v>
      </c>
      <c r="F99" s="162">
        <v>1.9</v>
      </c>
      <c r="G99" s="163"/>
      <c r="H99" s="163"/>
      <c r="I99" t="s" s="164">
        <v>379</v>
      </c>
    </row>
    <row r="100" ht="8.35" customHeight="1" hidden="1">
      <c r="A100" s="91"/>
      <c r="B100" t="s" s="159">
        <v>482</v>
      </c>
      <c r="C100" t="s" s="160">
        <v>31</v>
      </c>
      <c r="D100" s="161">
        <v>1</v>
      </c>
      <c r="E100" s="162">
        <v>6.5</v>
      </c>
      <c r="F100" s="162">
        <v>2.6</v>
      </c>
      <c r="G100" s="163"/>
      <c r="H100" s="163"/>
      <c r="I100" t="s" s="164">
        <v>469</v>
      </c>
    </row>
    <row r="101" ht="8.35" customHeight="1" hidden="1">
      <c r="A101" s="91"/>
      <c r="B101" t="s" s="159">
        <v>483</v>
      </c>
      <c r="C101" t="s" s="160">
        <v>31</v>
      </c>
      <c r="D101" s="161">
        <v>1</v>
      </c>
      <c r="E101" s="162">
        <v>6</v>
      </c>
      <c r="F101" s="162">
        <v>1.4</v>
      </c>
      <c r="G101" s="163"/>
      <c r="H101" s="163"/>
      <c r="I101" t="s" s="164">
        <v>469</v>
      </c>
    </row>
    <row r="102" ht="8.35" customHeight="1" hidden="1">
      <c r="A102" s="91"/>
      <c r="B102" t="s" s="159">
        <v>484</v>
      </c>
      <c r="C102" t="s" s="160">
        <v>31</v>
      </c>
      <c r="D102" s="161">
        <v>1</v>
      </c>
      <c r="E102" s="162">
        <v>6</v>
      </c>
      <c r="F102" s="162">
        <v>8.4</v>
      </c>
      <c r="G102" s="163"/>
      <c r="H102" s="163"/>
      <c r="I102" t="s" s="164">
        <v>475</v>
      </c>
    </row>
    <row r="103" ht="8.35" customHeight="1" hidden="1">
      <c r="A103" s="91"/>
      <c r="B103" t="s" s="159">
        <v>485</v>
      </c>
      <c r="C103" t="s" s="160">
        <v>31</v>
      </c>
      <c r="D103" s="161">
        <v>1</v>
      </c>
      <c r="E103" s="162">
        <v>6</v>
      </c>
      <c r="F103" s="162">
        <v>4</v>
      </c>
      <c r="G103" s="163"/>
      <c r="H103" s="163"/>
      <c r="I103" s="163"/>
    </row>
    <row r="104" ht="8.35" customHeight="1" hidden="1">
      <c r="A104" s="91"/>
      <c r="B104" t="s" s="159">
        <v>486</v>
      </c>
      <c r="C104" t="s" s="160">
        <v>31</v>
      </c>
      <c r="D104" s="161">
        <v>1</v>
      </c>
      <c r="E104" s="162">
        <v>6</v>
      </c>
      <c r="F104" s="162">
        <v>1.3</v>
      </c>
      <c r="G104" s="163"/>
      <c r="H104" s="163"/>
      <c r="I104" s="163"/>
    </row>
    <row r="105" ht="8.35" customHeight="1" hidden="1">
      <c r="A105" s="91"/>
      <c r="B105" t="s" s="159">
        <v>487</v>
      </c>
      <c r="C105" t="s" s="160">
        <v>31</v>
      </c>
      <c r="D105" s="161">
        <v>1</v>
      </c>
      <c r="E105" s="162">
        <v>6</v>
      </c>
      <c r="F105" s="162">
        <v>1.1</v>
      </c>
      <c r="G105" s="163"/>
      <c r="H105" s="163"/>
      <c r="I105" t="s" s="164">
        <v>348</v>
      </c>
    </row>
    <row r="106" ht="8.35" customHeight="1" hidden="1">
      <c r="A106" s="91"/>
      <c r="B106" t="s" s="159">
        <v>488</v>
      </c>
      <c r="C106" t="s" s="160">
        <v>31</v>
      </c>
      <c r="D106" s="161">
        <v>1</v>
      </c>
      <c r="E106" s="162">
        <v>5.9</v>
      </c>
      <c r="F106" s="162">
        <v>5.9</v>
      </c>
      <c r="G106" s="163"/>
      <c r="H106" s="163"/>
      <c r="I106" t="s" s="164">
        <v>475</v>
      </c>
    </row>
    <row r="107" ht="20.05" customHeight="1">
      <c r="A107" s="91"/>
      <c r="B107" t="s" s="165">
        <v>489</v>
      </c>
      <c r="C107" t="s" s="160">
        <v>31</v>
      </c>
      <c r="D107" s="161">
        <v>0</v>
      </c>
      <c r="E107" s="162">
        <v>5.6</v>
      </c>
      <c r="F107" s="162">
        <v>1.6</v>
      </c>
      <c r="G107" t="s" s="164">
        <v>383</v>
      </c>
      <c r="H107" t="s" s="164">
        <v>384</v>
      </c>
      <c r="I107" t="s" s="164">
        <v>466</v>
      </c>
    </row>
    <row r="108" ht="8.35" customHeight="1" hidden="1">
      <c r="A108" s="91"/>
      <c r="B108" t="s" s="159">
        <v>490</v>
      </c>
      <c r="C108" t="s" s="160">
        <v>31</v>
      </c>
      <c r="D108" s="161">
        <v>1</v>
      </c>
      <c r="E108" s="162">
        <v>5</v>
      </c>
      <c r="F108" s="162">
        <v>5</v>
      </c>
      <c r="G108" s="163"/>
      <c r="H108" s="163"/>
      <c r="I108" s="163"/>
    </row>
    <row r="109" ht="8.35" customHeight="1" hidden="1">
      <c r="A109" s="91"/>
      <c r="B109" t="s" s="159">
        <v>491</v>
      </c>
      <c r="C109" t="s" s="160">
        <v>31</v>
      </c>
      <c r="D109" s="161">
        <v>1</v>
      </c>
      <c r="E109" s="162">
        <v>5</v>
      </c>
      <c r="F109" s="162">
        <v>0.1</v>
      </c>
      <c r="G109" s="163"/>
      <c r="H109" s="163"/>
      <c r="I109" s="163"/>
    </row>
    <row r="110" ht="8.35" customHeight="1" hidden="1">
      <c r="A110" s="91"/>
      <c r="B110" t="s" s="159">
        <v>492</v>
      </c>
      <c r="C110" t="s" s="160">
        <v>31</v>
      </c>
      <c r="D110" s="161">
        <v>1</v>
      </c>
      <c r="E110" s="162">
        <v>5</v>
      </c>
      <c r="F110" s="162">
        <v>1.5</v>
      </c>
      <c r="G110" s="163"/>
      <c r="H110" s="163"/>
      <c r="I110" s="163"/>
    </row>
    <row r="111" ht="8.35" customHeight="1" hidden="1">
      <c r="A111" s="91"/>
      <c r="B111" t="s" s="159">
        <v>493</v>
      </c>
      <c r="C111" t="s" s="160">
        <v>31</v>
      </c>
      <c r="D111" s="161">
        <v>1</v>
      </c>
      <c r="E111" s="162">
        <v>5</v>
      </c>
      <c r="F111" s="162">
        <v>0.9</v>
      </c>
      <c r="G111" s="163"/>
      <c r="H111" s="163"/>
      <c r="I111" t="s" s="164">
        <v>348</v>
      </c>
    </row>
    <row r="112" ht="8.35" customHeight="1" hidden="1">
      <c r="A112" s="91"/>
      <c r="B112" t="s" s="159">
        <v>494</v>
      </c>
      <c r="C112" t="s" s="160">
        <v>31</v>
      </c>
      <c r="D112" s="161">
        <v>1</v>
      </c>
      <c r="E112" s="162">
        <v>5</v>
      </c>
      <c r="F112" s="162">
        <v>1.8</v>
      </c>
      <c r="G112" s="163"/>
      <c r="H112" s="163"/>
      <c r="I112" t="s" s="164">
        <v>379</v>
      </c>
    </row>
    <row r="113" ht="8.35" customHeight="1" hidden="1">
      <c r="A113" s="91"/>
      <c r="B113" t="s" s="159">
        <v>495</v>
      </c>
      <c r="C113" t="s" s="160">
        <v>31</v>
      </c>
      <c r="D113" s="161">
        <v>1</v>
      </c>
      <c r="E113" s="162">
        <v>4.7</v>
      </c>
      <c r="F113" s="162">
        <v>4.7</v>
      </c>
      <c r="G113" s="163"/>
      <c r="H113" s="163"/>
      <c r="I113" t="s" s="164">
        <v>496</v>
      </c>
    </row>
    <row r="114" ht="8.35" customHeight="1" hidden="1">
      <c r="A114" s="91"/>
      <c r="B114" t="s" s="159">
        <v>497</v>
      </c>
      <c r="C114" t="s" s="160">
        <v>31</v>
      </c>
      <c r="D114" s="166">
        <v>0.9</v>
      </c>
      <c r="E114" s="162">
        <v>4.5</v>
      </c>
      <c r="F114" s="162">
        <v>2.6</v>
      </c>
      <c r="G114" s="163"/>
      <c r="H114" s="163"/>
      <c r="I114" t="s" s="164">
        <v>469</v>
      </c>
    </row>
    <row r="115" ht="8.35" customHeight="1" hidden="1">
      <c r="A115" s="91"/>
      <c r="B115" t="s" s="159">
        <v>498</v>
      </c>
      <c r="C115" t="s" s="160">
        <v>31</v>
      </c>
      <c r="D115" s="161">
        <v>1</v>
      </c>
      <c r="E115" s="162">
        <v>4.5</v>
      </c>
      <c r="F115" s="162">
        <v>4.5</v>
      </c>
      <c r="G115" s="163"/>
      <c r="H115" s="163"/>
      <c r="I115" t="s" s="164">
        <v>496</v>
      </c>
    </row>
    <row r="116" ht="8.35" customHeight="1" hidden="1">
      <c r="A116" s="91"/>
      <c r="B116" t="s" s="159">
        <v>499</v>
      </c>
      <c r="C116" t="s" s="160">
        <v>31</v>
      </c>
      <c r="D116" s="161">
        <v>1</v>
      </c>
      <c r="E116" s="162">
        <v>4.1</v>
      </c>
      <c r="F116" s="162">
        <v>4.1</v>
      </c>
      <c r="G116" s="163"/>
      <c r="H116" s="163"/>
      <c r="I116" t="s" s="164">
        <v>469</v>
      </c>
    </row>
    <row r="117" ht="8.35" customHeight="1" hidden="1">
      <c r="A117" s="91"/>
      <c r="B117" t="s" s="159">
        <v>500</v>
      </c>
      <c r="C117" t="s" s="160">
        <v>31</v>
      </c>
      <c r="D117" s="161">
        <v>1</v>
      </c>
      <c r="E117" s="162">
        <v>4.1</v>
      </c>
      <c r="F117" s="162">
        <v>4.1</v>
      </c>
      <c r="G117" s="163"/>
      <c r="H117" s="163"/>
      <c r="I117" t="s" s="164">
        <v>475</v>
      </c>
    </row>
    <row r="118" ht="8.35" customHeight="1" hidden="1">
      <c r="A118" s="91"/>
      <c r="B118" t="s" s="159">
        <v>501</v>
      </c>
      <c r="C118" t="s" s="160">
        <v>31</v>
      </c>
      <c r="D118" s="161">
        <v>1</v>
      </c>
      <c r="E118" s="162">
        <v>4.1</v>
      </c>
      <c r="F118" s="162">
        <v>4.1</v>
      </c>
      <c r="G118" s="163"/>
      <c r="H118" s="163"/>
      <c r="I118" t="s" s="164">
        <v>496</v>
      </c>
    </row>
    <row r="119" ht="8.35" customHeight="1" hidden="1">
      <c r="A119" s="91"/>
      <c r="B119" t="s" s="159">
        <v>502</v>
      </c>
      <c r="C119" t="s" s="160">
        <v>31</v>
      </c>
      <c r="D119" s="161">
        <v>1</v>
      </c>
      <c r="E119" s="162">
        <v>4</v>
      </c>
      <c r="F119" s="162">
        <v>3.1</v>
      </c>
      <c r="G119" s="163"/>
      <c r="H119" s="163"/>
      <c r="I119" s="163"/>
    </row>
    <row r="120" ht="8.35" customHeight="1" hidden="1">
      <c r="A120" s="91"/>
      <c r="B120" t="s" s="159">
        <v>503</v>
      </c>
      <c r="C120" t="s" s="160">
        <v>31</v>
      </c>
      <c r="D120" s="161">
        <v>1</v>
      </c>
      <c r="E120" s="162">
        <v>4</v>
      </c>
      <c r="F120" s="162">
        <v>1.4</v>
      </c>
      <c r="G120" s="163"/>
      <c r="H120" s="163"/>
      <c r="I120" s="163"/>
    </row>
    <row r="121" ht="8.35" customHeight="1" hidden="1">
      <c r="A121" s="91"/>
      <c r="B121" t="s" s="159">
        <v>504</v>
      </c>
      <c r="C121" t="s" s="160">
        <v>31</v>
      </c>
      <c r="D121" s="161">
        <v>1</v>
      </c>
      <c r="E121" s="162">
        <v>4</v>
      </c>
      <c r="F121" s="162">
        <v>1.2</v>
      </c>
      <c r="G121" s="163"/>
      <c r="H121" s="163"/>
      <c r="I121" t="s" s="164">
        <v>348</v>
      </c>
    </row>
    <row r="122" ht="8.35" customHeight="1" hidden="1">
      <c r="A122" s="91"/>
      <c r="B122" t="s" s="159">
        <v>505</v>
      </c>
      <c r="C122" t="s" s="160">
        <v>31</v>
      </c>
      <c r="D122" s="161">
        <v>1</v>
      </c>
      <c r="E122" s="162">
        <v>4</v>
      </c>
      <c r="F122" s="162">
        <v>2.7</v>
      </c>
      <c r="G122" s="163"/>
      <c r="H122" s="163"/>
      <c r="I122" t="s" s="164">
        <v>469</v>
      </c>
    </row>
    <row r="123" ht="8.35" customHeight="1" hidden="1">
      <c r="A123" s="91"/>
      <c r="B123" t="s" s="159">
        <v>506</v>
      </c>
      <c r="C123" t="s" s="160">
        <v>31</v>
      </c>
      <c r="D123" s="161">
        <v>1</v>
      </c>
      <c r="E123" s="162">
        <v>4</v>
      </c>
      <c r="F123" s="162">
        <v>2.6</v>
      </c>
      <c r="G123" s="163"/>
      <c r="H123" s="163"/>
      <c r="I123" t="s" s="164">
        <v>469</v>
      </c>
    </row>
    <row r="124" ht="8.35" customHeight="1" hidden="1">
      <c r="A124" s="91"/>
      <c r="B124" t="s" s="159">
        <v>507</v>
      </c>
      <c r="C124" t="s" s="160">
        <v>31</v>
      </c>
      <c r="D124" s="161">
        <v>1</v>
      </c>
      <c r="E124" s="162">
        <v>3.6</v>
      </c>
      <c r="F124" s="162">
        <v>3.6</v>
      </c>
      <c r="G124" s="163"/>
      <c r="H124" s="163"/>
      <c r="I124" t="s" s="164">
        <v>496</v>
      </c>
    </row>
    <row r="125" ht="20.05" customHeight="1">
      <c r="A125" s="91"/>
      <c r="B125" t="s" s="159">
        <v>508</v>
      </c>
      <c r="C125" t="s" s="160">
        <v>31</v>
      </c>
      <c r="D125" s="161">
        <v>0</v>
      </c>
      <c r="E125" s="162">
        <v>3</v>
      </c>
      <c r="F125" s="162">
        <v>3.1</v>
      </c>
      <c r="G125" t="s" s="164">
        <v>383</v>
      </c>
      <c r="H125" t="s" s="164">
        <v>384</v>
      </c>
      <c r="I125" t="s" s="164">
        <v>466</v>
      </c>
    </row>
    <row r="126" ht="8.35" customHeight="1" hidden="1">
      <c r="A126" s="91"/>
      <c r="B126" t="s" s="159">
        <v>509</v>
      </c>
      <c r="C126" t="s" s="160">
        <v>31</v>
      </c>
      <c r="D126" s="161">
        <v>1</v>
      </c>
      <c r="E126" s="162">
        <v>3</v>
      </c>
      <c r="F126" s="162">
        <v>0.7</v>
      </c>
      <c r="G126" s="163"/>
      <c r="H126" s="163"/>
      <c r="I126" t="s" s="164">
        <v>475</v>
      </c>
    </row>
    <row r="127" ht="20.05" customHeight="1">
      <c r="A127" s="91"/>
      <c r="B127" t="s" s="159">
        <v>510</v>
      </c>
      <c r="C127" t="s" s="160">
        <v>31</v>
      </c>
      <c r="D127" s="161">
        <v>0</v>
      </c>
      <c r="E127" s="162">
        <v>3</v>
      </c>
      <c r="F127" s="162">
        <v>0.4</v>
      </c>
      <c r="G127" t="s" s="164">
        <v>383</v>
      </c>
      <c r="H127" t="s" s="164">
        <v>384</v>
      </c>
      <c r="I127" t="s" s="164">
        <v>466</v>
      </c>
    </row>
    <row r="128" ht="8.35" customHeight="1" hidden="1">
      <c r="A128" s="91"/>
      <c r="B128" t="s" s="159">
        <v>511</v>
      </c>
      <c r="C128" t="s" s="160">
        <v>31</v>
      </c>
      <c r="D128" s="161">
        <v>1</v>
      </c>
      <c r="E128" s="162">
        <v>3</v>
      </c>
      <c r="F128" s="162">
        <v>3.5</v>
      </c>
      <c r="G128" s="163"/>
      <c r="H128" s="163"/>
      <c r="I128" t="s" s="164">
        <v>379</v>
      </c>
    </row>
    <row r="129" ht="8.35" customHeight="1" hidden="1">
      <c r="A129" s="91"/>
      <c r="B129" t="s" s="159">
        <v>512</v>
      </c>
      <c r="C129" t="s" s="160">
        <v>31</v>
      </c>
      <c r="D129" s="161">
        <v>1</v>
      </c>
      <c r="E129" s="162">
        <v>3</v>
      </c>
      <c r="F129" s="162">
        <v>3.4</v>
      </c>
      <c r="G129" s="163"/>
      <c r="H129" s="163"/>
      <c r="I129" t="s" s="164">
        <v>379</v>
      </c>
    </row>
    <row r="130" ht="8.35" customHeight="1" hidden="1">
      <c r="A130" s="91"/>
      <c r="B130" t="s" s="159">
        <v>513</v>
      </c>
      <c r="C130" t="s" s="160">
        <v>31</v>
      </c>
      <c r="D130" s="161">
        <v>1</v>
      </c>
      <c r="E130" s="162">
        <v>3</v>
      </c>
      <c r="F130" s="162">
        <v>6</v>
      </c>
      <c r="G130" s="163"/>
      <c r="H130" s="163"/>
      <c r="I130" t="s" s="164">
        <v>379</v>
      </c>
    </row>
    <row r="131" ht="8.35" customHeight="1" hidden="1">
      <c r="A131" s="91"/>
      <c r="B131" t="s" s="159">
        <v>514</v>
      </c>
      <c r="C131" t="s" s="160">
        <v>31</v>
      </c>
      <c r="D131" s="161">
        <v>1</v>
      </c>
      <c r="E131" s="162">
        <v>3</v>
      </c>
      <c r="F131" s="162">
        <v>2.8</v>
      </c>
      <c r="G131" s="163"/>
      <c r="H131" s="163"/>
      <c r="I131" t="s" s="164">
        <v>379</v>
      </c>
    </row>
    <row r="132" ht="8.35" customHeight="1" hidden="1">
      <c r="A132" s="91"/>
      <c r="B132" t="s" s="159">
        <v>515</v>
      </c>
      <c r="C132" t="s" s="160">
        <v>31</v>
      </c>
      <c r="D132" s="161">
        <v>1</v>
      </c>
      <c r="E132" s="162">
        <v>2.7</v>
      </c>
      <c r="F132" s="162">
        <v>2.7</v>
      </c>
      <c r="G132" s="163"/>
      <c r="H132" s="163"/>
      <c r="I132" t="s" s="164">
        <v>496</v>
      </c>
    </row>
    <row r="133" ht="8.35" customHeight="1" hidden="1">
      <c r="A133" s="91"/>
      <c r="B133" t="s" s="159">
        <v>516</v>
      </c>
      <c r="C133" t="s" s="160">
        <v>31</v>
      </c>
      <c r="D133" s="161">
        <v>1</v>
      </c>
      <c r="E133" s="162">
        <v>2.5</v>
      </c>
      <c r="F133" s="162">
        <v>2.5</v>
      </c>
      <c r="G133" s="163"/>
      <c r="H133" s="163"/>
      <c r="I133" t="s" s="164">
        <v>496</v>
      </c>
    </row>
    <row r="134" ht="8.35" customHeight="1" hidden="1">
      <c r="A134" s="91"/>
      <c r="B134" t="s" s="159">
        <v>517</v>
      </c>
      <c r="C134" t="s" s="160">
        <v>31</v>
      </c>
      <c r="D134" s="161">
        <v>1</v>
      </c>
      <c r="E134" s="162">
        <v>2.5</v>
      </c>
      <c r="F134" s="162">
        <v>2.5</v>
      </c>
      <c r="G134" s="163"/>
      <c r="H134" s="163"/>
      <c r="I134" t="s" s="164">
        <v>496</v>
      </c>
    </row>
    <row r="135" ht="8.35" customHeight="1" hidden="1">
      <c r="A135" s="91"/>
      <c r="B135" t="s" s="159">
        <v>518</v>
      </c>
      <c r="C135" t="s" s="160">
        <v>31</v>
      </c>
      <c r="D135" s="161">
        <v>1</v>
      </c>
      <c r="E135" s="162">
        <v>2.5</v>
      </c>
      <c r="F135" s="162">
        <v>2.5</v>
      </c>
      <c r="G135" s="163"/>
      <c r="H135" s="163"/>
      <c r="I135" t="s" s="164">
        <v>496</v>
      </c>
    </row>
    <row r="136" ht="8.35" customHeight="1" hidden="1">
      <c r="A136" s="91"/>
      <c r="B136" t="s" s="159">
        <v>519</v>
      </c>
      <c r="C136" t="s" s="160">
        <v>31</v>
      </c>
      <c r="D136" s="161">
        <v>1</v>
      </c>
      <c r="E136" s="162">
        <v>2.4</v>
      </c>
      <c r="F136" s="162">
        <v>2.4</v>
      </c>
      <c r="G136" s="163"/>
      <c r="H136" s="163"/>
      <c r="I136" t="s" s="164">
        <v>496</v>
      </c>
    </row>
    <row r="137" ht="8.35" customHeight="1" hidden="1">
      <c r="A137" s="91"/>
      <c r="B137" t="s" s="159">
        <v>520</v>
      </c>
      <c r="C137" t="s" s="160">
        <v>31</v>
      </c>
      <c r="D137" s="161">
        <v>1</v>
      </c>
      <c r="E137" s="162">
        <v>2.2</v>
      </c>
      <c r="F137" s="162">
        <v>2.2</v>
      </c>
      <c r="G137" s="163"/>
      <c r="H137" s="163"/>
      <c r="I137" s="163"/>
    </row>
    <row r="138" ht="20.05" customHeight="1">
      <c r="A138" s="91"/>
      <c r="B138" t="s" s="159">
        <v>521</v>
      </c>
      <c r="C138" t="s" s="160">
        <v>31</v>
      </c>
      <c r="D138" s="161">
        <v>0</v>
      </c>
      <c r="E138" s="162">
        <v>2</v>
      </c>
      <c r="F138" s="162">
        <v>2</v>
      </c>
      <c r="G138" t="s" s="164">
        <v>522</v>
      </c>
      <c r="H138" t="s" s="164">
        <v>384</v>
      </c>
      <c r="I138" t="s" s="164">
        <v>466</v>
      </c>
    </row>
    <row r="139" ht="20.05" customHeight="1">
      <c r="A139" s="91"/>
      <c r="B139" t="s" s="159">
        <v>523</v>
      </c>
      <c r="C139" t="s" s="160">
        <v>31</v>
      </c>
      <c r="D139" s="161">
        <v>0</v>
      </c>
      <c r="E139" s="162">
        <v>1.7</v>
      </c>
      <c r="F139" s="162">
        <v>1.7</v>
      </c>
      <c r="G139" t="s" s="164">
        <v>383</v>
      </c>
      <c r="H139" t="s" s="164">
        <v>384</v>
      </c>
      <c r="I139" t="s" s="164">
        <v>466</v>
      </c>
    </row>
    <row r="140" ht="8.35" customHeight="1" hidden="1">
      <c r="A140" s="91"/>
      <c r="B140" t="s" s="159">
        <v>524</v>
      </c>
      <c r="C140" t="s" s="160">
        <v>31</v>
      </c>
      <c r="D140" s="161">
        <v>1</v>
      </c>
      <c r="E140" s="162">
        <v>1.6</v>
      </c>
      <c r="F140" s="162">
        <v>1.6</v>
      </c>
      <c r="G140" s="163"/>
      <c r="H140" s="163"/>
      <c r="I140" s="163"/>
    </row>
    <row r="141" ht="8.35" customHeight="1" hidden="1">
      <c r="A141" s="91"/>
      <c r="B141" t="s" s="159">
        <v>525</v>
      </c>
      <c r="C141" t="s" s="160">
        <v>31</v>
      </c>
      <c r="D141" s="161">
        <v>1</v>
      </c>
      <c r="E141" s="162">
        <v>1.6</v>
      </c>
      <c r="F141" s="162">
        <v>1.6</v>
      </c>
      <c r="G141" s="163"/>
      <c r="H141" s="163"/>
      <c r="I141" t="s" s="164">
        <v>475</v>
      </c>
    </row>
    <row r="142" ht="8.35" customHeight="1" hidden="1">
      <c r="A142" s="91"/>
      <c r="B142" t="s" s="159">
        <v>526</v>
      </c>
      <c r="C142" t="s" s="160">
        <v>31</v>
      </c>
      <c r="D142" s="161">
        <v>1</v>
      </c>
      <c r="E142" s="162">
        <v>1.6</v>
      </c>
      <c r="F142" s="162">
        <v>1.6</v>
      </c>
      <c r="G142" s="163"/>
      <c r="H142" s="163"/>
      <c r="I142" t="s" s="164">
        <v>475</v>
      </c>
    </row>
    <row r="143" ht="8.35" customHeight="1" hidden="1">
      <c r="A143" s="91"/>
      <c r="B143" t="s" s="159">
        <v>527</v>
      </c>
      <c r="C143" t="s" s="160">
        <v>31</v>
      </c>
      <c r="D143" s="161">
        <v>1</v>
      </c>
      <c r="E143" s="162">
        <v>1.2</v>
      </c>
      <c r="F143" s="162">
        <v>1.2</v>
      </c>
      <c r="G143" s="163"/>
      <c r="H143" s="163"/>
      <c r="I143" t="s" s="164">
        <v>475</v>
      </c>
    </row>
    <row r="144" ht="8.35" customHeight="1" hidden="1">
      <c r="A144" s="91"/>
      <c r="B144" t="s" s="159">
        <v>528</v>
      </c>
      <c r="C144" t="s" s="160">
        <v>31</v>
      </c>
      <c r="D144" s="161">
        <v>1</v>
      </c>
      <c r="E144" s="162">
        <v>1.2</v>
      </c>
      <c r="F144" s="162">
        <v>1.2</v>
      </c>
      <c r="G144" s="163"/>
      <c r="H144" s="163"/>
      <c r="I144" t="s" s="164">
        <v>475</v>
      </c>
    </row>
    <row r="145" ht="8.35" customHeight="1" hidden="1">
      <c r="A145" s="91"/>
      <c r="B145" t="s" s="159">
        <v>529</v>
      </c>
      <c r="C145" t="s" s="160">
        <v>31</v>
      </c>
      <c r="D145" s="161">
        <v>1</v>
      </c>
      <c r="E145" s="162">
        <v>1.1</v>
      </c>
      <c r="F145" s="162">
        <v>1.1</v>
      </c>
      <c r="G145" s="163"/>
      <c r="H145" s="163"/>
      <c r="I145" s="163"/>
    </row>
    <row r="146" ht="8.35" customHeight="1" hidden="1">
      <c r="A146" s="91"/>
      <c r="B146" t="s" s="159">
        <v>530</v>
      </c>
      <c r="C146" t="s" s="160">
        <v>31</v>
      </c>
      <c r="D146" s="161">
        <v>1</v>
      </c>
      <c r="E146" s="162">
        <v>1.1</v>
      </c>
      <c r="F146" s="162">
        <v>1.1</v>
      </c>
      <c r="G146" s="163"/>
      <c r="H146" s="163"/>
      <c r="I146" s="163"/>
    </row>
    <row r="147" ht="8.35" customHeight="1" hidden="1">
      <c r="A147" s="91"/>
      <c r="B147" t="s" s="159">
        <v>531</v>
      </c>
      <c r="C147" t="s" s="160">
        <v>31</v>
      </c>
      <c r="D147" s="161">
        <v>1</v>
      </c>
      <c r="E147" s="162">
        <v>1.1</v>
      </c>
      <c r="F147" s="162">
        <v>1.1</v>
      </c>
      <c r="G147" s="163"/>
      <c r="H147" s="163"/>
      <c r="I147" t="s" s="164">
        <v>475</v>
      </c>
    </row>
    <row r="148" ht="8.35" customHeight="1" hidden="1">
      <c r="A148" s="91"/>
      <c r="B148" t="s" s="159">
        <v>532</v>
      </c>
      <c r="C148" t="s" s="160">
        <v>31</v>
      </c>
      <c r="D148" s="161">
        <v>1</v>
      </c>
      <c r="E148" s="162">
        <v>1.1</v>
      </c>
      <c r="F148" s="162">
        <v>1.1</v>
      </c>
      <c r="G148" s="163"/>
      <c r="H148" s="163"/>
      <c r="I148" t="s" s="164">
        <v>475</v>
      </c>
    </row>
    <row r="149" ht="8.35" customHeight="1" hidden="1">
      <c r="A149" s="91"/>
      <c r="B149" t="s" s="159">
        <v>533</v>
      </c>
      <c r="C149" t="s" s="160">
        <v>31</v>
      </c>
      <c r="D149" s="161">
        <v>1</v>
      </c>
      <c r="E149" s="162">
        <v>1.1</v>
      </c>
      <c r="F149" s="162">
        <v>1.1</v>
      </c>
      <c r="G149" s="163"/>
      <c r="H149" s="163"/>
      <c r="I149" t="s" s="164">
        <v>475</v>
      </c>
    </row>
    <row r="150" ht="8.35" customHeight="1" hidden="1">
      <c r="A150" s="91"/>
      <c r="B150" t="s" s="159">
        <v>534</v>
      </c>
      <c r="C150" t="s" s="160">
        <v>31</v>
      </c>
      <c r="D150" s="166">
        <v>0.9</v>
      </c>
      <c r="E150" s="162">
        <v>1</v>
      </c>
      <c r="F150" s="162">
        <v>1.1</v>
      </c>
      <c r="G150" s="163"/>
      <c r="H150" s="163"/>
      <c r="I150" t="s" s="164">
        <v>348</v>
      </c>
    </row>
    <row r="151" ht="8.35" customHeight="1" hidden="1">
      <c r="A151" s="91"/>
      <c r="B151" t="s" s="159">
        <v>535</v>
      </c>
      <c r="C151" t="s" s="160">
        <v>31</v>
      </c>
      <c r="D151" s="161">
        <v>1</v>
      </c>
      <c r="E151" s="162">
        <v>1</v>
      </c>
      <c r="F151" s="162">
        <v>1.5</v>
      </c>
      <c r="G151" s="163"/>
      <c r="H151" s="163"/>
      <c r="I151" t="s" s="164">
        <v>469</v>
      </c>
    </row>
    <row r="152" ht="8.35" customHeight="1" hidden="1">
      <c r="A152" s="91"/>
      <c r="B152" t="s" s="159">
        <v>536</v>
      </c>
      <c r="C152" t="s" s="160">
        <v>31</v>
      </c>
      <c r="D152" s="161">
        <v>1</v>
      </c>
      <c r="E152" s="162">
        <v>1</v>
      </c>
      <c r="F152" s="162">
        <v>1.4</v>
      </c>
      <c r="G152" s="163"/>
      <c r="H152" s="163"/>
      <c r="I152" t="s" s="164">
        <v>348</v>
      </c>
    </row>
    <row r="153" ht="8.35" customHeight="1" hidden="1">
      <c r="A153" s="91"/>
      <c r="B153" t="s" s="159">
        <v>537</v>
      </c>
      <c r="C153" t="s" s="160">
        <v>31</v>
      </c>
      <c r="D153" s="161">
        <v>1</v>
      </c>
      <c r="E153" s="162">
        <v>1</v>
      </c>
      <c r="F153" s="162">
        <v>1.1</v>
      </c>
      <c r="G153" s="163"/>
      <c r="H153" s="163"/>
      <c r="I153" t="s" s="164">
        <v>379</v>
      </c>
    </row>
    <row r="154" ht="8.35" customHeight="1" hidden="1">
      <c r="A154" s="91"/>
      <c r="B154" t="s" s="159">
        <v>538</v>
      </c>
      <c r="C154" t="s" s="160">
        <v>31</v>
      </c>
      <c r="D154" s="161">
        <v>1</v>
      </c>
      <c r="E154" s="162">
        <v>1</v>
      </c>
      <c r="F154" s="162">
        <v>1.1</v>
      </c>
      <c r="G154" s="163"/>
      <c r="H154" s="163"/>
      <c r="I154" t="s" s="164">
        <v>348</v>
      </c>
    </row>
    <row r="155" ht="8.35" customHeight="1" hidden="1">
      <c r="A155" s="91"/>
      <c r="B155" t="s" s="159">
        <v>539</v>
      </c>
      <c r="C155" t="s" s="160">
        <v>31</v>
      </c>
      <c r="D155" s="161">
        <v>1</v>
      </c>
      <c r="E155" s="162">
        <v>1</v>
      </c>
      <c r="F155" s="162">
        <v>1.1</v>
      </c>
      <c r="G155" s="163"/>
      <c r="H155" s="163"/>
      <c r="I155" t="s" s="164">
        <v>469</v>
      </c>
    </row>
    <row r="156" ht="8.35" customHeight="1" hidden="1">
      <c r="A156" s="91"/>
      <c r="B156" t="s" s="159">
        <v>540</v>
      </c>
      <c r="C156" t="s" s="160">
        <v>31</v>
      </c>
      <c r="D156" s="161">
        <v>1</v>
      </c>
      <c r="E156" s="162">
        <v>1</v>
      </c>
      <c r="F156" s="162">
        <v>1</v>
      </c>
      <c r="G156" s="163"/>
      <c r="H156" s="163"/>
      <c r="I156" t="s" s="164">
        <v>475</v>
      </c>
    </row>
    <row r="157" ht="8.35" customHeight="1" hidden="1">
      <c r="A157" s="91"/>
      <c r="B157" t="s" s="159">
        <v>541</v>
      </c>
      <c r="C157" t="s" s="160">
        <v>31</v>
      </c>
      <c r="D157" s="161">
        <v>1</v>
      </c>
      <c r="E157" s="162">
        <v>1</v>
      </c>
      <c r="F157" s="162">
        <v>1</v>
      </c>
      <c r="G157" s="163"/>
      <c r="H157" s="163"/>
      <c r="I157" t="s" s="164">
        <v>475</v>
      </c>
    </row>
    <row r="158" ht="8.35" customHeight="1" hidden="1">
      <c r="A158" s="91"/>
      <c r="B158" t="s" s="159">
        <v>542</v>
      </c>
      <c r="C158" t="s" s="160">
        <v>31</v>
      </c>
      <c r="D158" s="161">
        <v>1</v>
      </c>
      <c r="E158" s="162">
        <v>1</v>
      </c>
      <c r="F158" s="162">
        <v>1</v>
      </c>
      <c r="G158" s="163"/>
      <c r="H158" s="163"/>
      <c r="I158" t="s" s="164">
        <v>475</v>
      </c>
    </row>
    <row r="159" ht="8.35" customHeight="1" hidden="1">
      <c r="A159" s="91"/>
      <c r="B159" t="s" s="159">
        <v>543</v>
      </c>
      <c r="C159" t="s" s="160">
        <v>31</v>
      </c>
      <c r="D159" s="161">
        <v>1</v>
      </c>
      <c r="E159" s="162">
        <v>0.9</v>
      </c>
      <c r="F159" s="162">
        <v>0.9</v>
      </c>
      <c r="G159" s="163"/>
      <c r="H159" s="163"/>
      <c r="I159" t="s" s="164">
        <v>475</v>
      </c>
    </row>
    <row r="160" ht="8.35" customHeight="1" hidden="1">
      <c r="A160" s="91"/>
      <c r="B160" t="s" s="159">
        <v>544</v>
      </c>
      <c r="C160" t="s" s="160">
        <v>31</v>
      </c>
      <c r="D160" s="161">
        <v>1</v>
      </c>
      <c r="E160" s="162">
        <v>0.9</v>
      </c>
      <c r="F160" s="162">
        <v>0.9</v>
      </c>
      <c r="G160" s="163"/>
      <c r="H160" s="163"/>
      <c r="I160" t="s" s="164">
        <v>475</v>
      </c>
    </row>
    <row r="161" ht="8.35" customHeight="1" hidden="1">
      <c r="A161" s="91"/>
      <c r="B161" t="s" s="159">
        <v>545</v>
      </c>
      <c r="C161" t="s" s="160">
        <v>31</v>
      </c>
      <c r="D161" s="161">
        <v>1</v>
      </c>
      <c r="E161" s="162">
        <v>0.9</v>
      </c>
      <c r="F161" s="162">
        <v>0.9</v>
      </c>
      <c r="G161" s="163"/>
      <c r="H161" s="163"/>
      <c r="I161" t="s" s="164">
        <v>475</v>
      </c>
    </row>
    <row r="162" ht="8.35" customHeight="1" hidden="1">
      <c r="A162" s="91"/>
      <c r="B162" t="s" s="159">
        <v>546</v>
      </c>
      <c r="C162" t="s" s="160">
        <v>31</v>
      </c>
      <c r="D162" s="161">
        <v>1</v>
      </c>
      <c r="E162" s="162">
        <v>0.9</v>
      </c>
      <c r="F162" s="162">
        <v>0.9</v>
      </c>
      <c r="G162" s="163"/>
      <c r="H162" s="163"/>
      <c r="I162" t="s" s="164">
        <v>475</v>
      </c>
    </row>
    <row r="163" ht="8.35" customHeight="1" hidden="1">
      <c r="A163" s="91"/>
      <c r="B163" t="s" s="159">
        <v>547</v>
      </c>
      <c r="C163" t="s" s="160">
        <v>31</v>
      </c>
      <c r="D163" s="161">
        <v>1</v>
      </c>
      <c r="E163" s="162">
        <v>0.9</v>
      </c>
      <c r="F163" s="162">
        <v>0.9</v>
      </c>
      <c r="G163" s="163"/>
      <c r="H163" s="163"/>
      <c r="I163" t="s" s="164">
        <v>475</v>
      </c>
    </row>
    <row r="164" ht="8.35" customHeight="1" hidden="1">
      <c r="A164" s="91"/>
      <c r="B164" t="s" s="159">
        <v>548</v>
      </c>
      <c r="C164" t="s" s="160">
        <v>31</v>
      </c>
      <c r="D164" s="161">
        <v>1</v>
      </c>
      <c r="E164" s="162">
        <v>0.8</v>
      </c>
      <c r="F164" s="162">
        <v>0.8</v>
      </c>
      <c r="G164" s="163"/>
      <c r="H164" s="163"/>
      <c r="I164" t="s" s="164">
        <v>348</v>
      </c>
    </row>
    <row r="165" ht="8.35" customHeight="1" hidden="1">
      <c r="A165" s="91"/>
      <c r="B165" t="s" s="159">
        <v>549</v>
      </c>
      <c r="C165" t="s" s="160">
        <v>31</v>
      </c>
      <c r="D165" s="161">
        <v>1</v>
      </c>
      <c r="E165" s="162">
        <v>0.8</v>
      </c>
      <c r="F165" s="162">
        <v>0.8</v>
      </c>
      <c r="G165" s="163"/>
      <c r="H165" s="163"/>
      <c r="I165" t="s" s="164">
        <v>475</v>
      </c>
    </row>
    <row r="166" ht="8.35" customHeight="1" hidden="1">
      <c r="A166" s="91"/>
      <c r="B166" t="s" s="159">
        <v>550</v>
      </c>
      <c r="C166" t="s" s="160">
        <v>31</v>
      </c>
      <c r="D166" s="161">
        <v>1</v>
      </c>
      <c r="E166" s="162">
        <v>0.8</v>
      </c>
      <c r="F166" s="162">
        <v>0.8</v>
      </c>
      <c r="G166" s="163"/>
      <c r="H166" s="163"/>
      <c r="I166" t="s" s="164">
        <v>469</v>
      </c>
    </row>
    <row r="167" ht="8.35" customHeight="1" hidden="1">
      <c r="A167" s="91"/>
      <c r="B167" t="s" s="159">
        <v>551</v>
      </c>
      <c r="C167" t="s" s="160">
        <v>31</v>
      </c>
      <c r="D167" s="161">
        <v>1</v>
      </c>
      <c r="E167" s="162">
        <v>0.8</v>
      </c>
      <c r="F167" s="162">
        <v>0.8</v>
      </c>
      <c r="G167" s="163"/>
      <c r="H167" s="163"/>
      <c r="I167" t="s" s="164">
        <v>475</v>
      </c>
    </row>
    <row r="168" ht="8.35" customHeight="1" hidden="1">
      <c r="A168" s="91"/>
      <c r="B168" t="s" s="159">
        <v>552</v>
      </c>
      <c r="C168" t="s" s="160">
        <v>31</v>
      </c>
      <c r="D168" s="161">
        <v>1</v>
      </c>
      <c r="E168" s="162">
        <v>0.8</v>
      </c>
      <c r="F168" s="162">
        <v>0.8</v>
      </c>
      <c r="G168" s="163"/>
      <c r="H168" s="163"/>
      <c r="I168" t="s" s="164">
        <v>475</v>
      </c>
    </row>
    <row r="169" ht="8.35" customHeight="1" hidden="1">
      <c r="A169" s="91"/>
      <c r="B169" t="s" s="159">
        <v>553</v>
      </c>
      <c r="C169" t="s" s="160">
        <v>31</v>
      </c>
      <c r="D169" s="161">
        <v>1</v>
      </c>
      <c r="E169" s="162">
        <v>0.8</v>
      </c>
      <c r="F169" s="162">
        <v>0.8</v>
      </c>
      <c r="G169" s="163"/>
      <c r="H169" s="163"/>
      <c r="I169" t="s" s="164">
        <v>475</v>
      </c>
    </row>
    <row r="170" ht="8.35" customHeight="1" hidden="1">
      <c r="A170" s="91"/>
      <c r="B170" t="s" s="159">
        <v>554</v>
      </c>
      <c r="C170" t="s" s="160">
        <v>31</v>
      </c>
      <c r="D170" s="161">
        <v>1</v>
      </c>
      <c r="E170" s="162">
        <v>0.8</v>
      </c>
      <c r="F170" s="162">
        <v>0.8</v>
      </c>
      <c r="G170" s="163"/>
      <c r="H170" s="163"/>
      <c r="I170" t="s" s="164">
        <v>475</v>
      </c>
    </row>
    <row r="171" ht="8.35" customHeight="1" hidden="1">
      <c r="A171" s="91"/>
      <c r="B171" t="s" s="159">
        <v>555</v>
      </c>
      <c r="C171" t="s" s="160">
        <v>31</v>
      </c>
      <c r="D171" s="161">
        <v>1</v>
      </c>
      <c r="E171" s="162">
        <v>0.8</v>
      </c>
      <c r="F171" s="162">
        <v>0.8</v>
      </c>
      <c r="G171" s="163"/>
      <c r="H171" s="163"/>
      <c r="I171" t="s" s="164">
        <v>475</v>
      </c>
    </row>
    <row r="172" ht="8.35" customHeight="1" hidden="1">
      <c r="A172" s="91"/>
      <c r="B172" t="s" s="159">
        <v>556</v>
      </c>
      <c r="C172" t="s" s="160">
        <v>31</v>
      </c>
      <c r="D172" s="161">
        <v>1</v>
      </c>
      <c r="E172" s="162">
        <v>0.8</v>
      </c>
      <c r="F172" s="162">
        <v>0.8</v>
      </c>
      <c r="G172" s="163"/>
      <c r="H172" s="163"/>
      <c r="I172" t="s" s="164">
        <v>475</v>
      </c>
    </row>
    <row r="173" ht="8.35" customHeight="1" hidden="1">
      <c r="A173" s="91"/>
      <c r="B173" t="s" s="159">
        <v>557</v>
      </c>
      <c r="C173" t="s" s="160">
        <v>31</v>
      </c>
      <c r="D173" s="161">
        <v>1</v>
      </c>
      <c r="E173" s="162">
        <v>0.8</v>
      </c>
      <c r="F173" s="162">
        <v>0.8</v>
      </c>
      <c r="G173" s="163"/>
      <c r="H173" s="163"/>
      <c r="I173" t="s" s="164">
        <v>475</v>
      </c>
    </row>
    <row r="174" ht="8.35" customHeight="1" hidden="1">
      <c r="A174" s="91"/>
      <c r="B174" t="s" s="159">
        <v>558</v>
      </c>
      <c r="C174" t="s" s="160">
        <v>31</v>
      </c>
      <c r="D174" s="161">
        <v>1</v>
      </c>
      <c r="E174" s="162">
        <v>0.8</v>
      </c>
      <c r="F174" s="162">
        <v>0.8</v>
      </c>
      <c r="G174" s="163"/>
      <c r="H174" s="163"/>
      <c r="I174" t="s" s="164">
        <v>475</v>
      </c>
    </row>
    <row r="175" ht="8.35" customHeight="1" hidden="1">
      <c r="A175" s="91"/>
      <c r="B175" t="s" s="159">
        <v>559</v>
      </c>
      <c r="C175" t="s" s="160">
        <v>31</v>
      </c>
      <c r="D175" s="161">
        <v>1</v>
      </c>
      <c r="E175" s="162">
        <v>0.6</v>
      </c>
      <c r="F175" s="162">
        <v>0.6</v>
      </c>
      <c r="G175" s="163"/>
      <c r="H175" s="163"/>
      <c r="I175" t="s" s="164">
        <v>475</v>
      </c>
    </row>
    <row r="176" ht="8.35" customHeight="1" hidden="1">
      <c r="A176" s="91"/>
      <c r="B176" t="s" s="159">
        <v>560</v>
      </c>
      <c r="C176" t="s" s="160">
        <v>31</v>
      </c>
      <c r="D176" s="161">
        <v>1</v>
      </c>
      <c r="E176" s="162">
        <v>0.6</v>
      </c>
      <c r="F176" s="162">
        <v>0.6</v>
      </c>
      <c r="G176" s="163"/>
      <c r="H176" s="163"/>
      <c r="I176" t="s" s="164">
        <v>475</v>
      </c>
    </row>
    <row r="177" ht="8.35" customHeight="1" hidden="1">
      <c r="A177" s="91"/>
      <c r="B177" t="s" s="159">
        <v>561</v>
      </c>
      <c r="C177" t="s" s="160">
        <v>31</v>
      </c>
      <c r="D177" s="161">
        <v>1</v>
      </c>
      <c r="E177" s="162">
        <v>0.6</v>
      </c>
      <c r="F177" s="162">
        <v>0.6</v>
      </c>
      <c r="G177" s="163"/>
      <c r="H177" s="163"/>
      <c r="I177" t="s" s="164">
        <v>475</v>
      </c>
    </row>
    <row r="178" ht="8.35" customHeight="1" hidden="1">
      <c r="A178" s="91"/>
      <c r="B178" t="s" s="159">
        <v>562</v>
      </c>
      <c r="C178" t="s" s="160">
        <v>31</v>
      </c>
      <c r="D178" s="161">
        <v>1</v>
      </c>
      <c r="E178" s="162">
        <v>0.6</v>
      </c>
      <c r="F178" s="162">
        <v>0.6</v>
      </c>
      <c r="G178" s="163"/>
      <c r="H178" s="163"/>
      <c r="I178" t="s" s="164">
        <v>379</v>
      </c>
    </row>
    <row r="179" ht="8.35" customHeight="1" hidden="1">
      <c r="A179" s="91"/>
      <c r="B179" t="s" s="159">
        <v>563</v>
      </c>
      <c r="C179" t="s" s="160">
        <v>31</v>
      </c>
      <c r="D179" s="161">
        <v>1</v>
      </c>
      <c r="E179" s="162">
        <v>0.5</v>
      </c>
      <c r="F179" s="162">
        <v>5.9</v>
      </c>
      <c r="G179" s="163"/>
      <c r="H179" s="163"/>
      <c r="I179" t="s" s="164">
        <v>379</v>
      </c>
    </row>
    <row r="180" ht="8.35" customHeight="1" hidden="1">
      <c r="A180" s="91"/>
      <c r="B180" t="s" s="159">
        <v>564</v>
      </c>
      <c r="C180" t="s" s="160">
        <v>31</v>
      </c>
      <c r="D180" s="161">
        <v>1</v>
      </c>
      <c r="E180" s="162">
        <v>0.5</v>
      </c>
      <c r="F180" s="162">
        <v>1.2</v>
      </c>
      <c r="G180" s="163"/>
      <c r="H180" s="163"/>
      <c r="I180" t="s" s="164">
        <v>469</v>
      </c>
    </row>
    <row r="181" ht="8.35" customHeight="1" hidden="1">
      <c r="A181" s="91"/>
      <c r="B181" t="s" s="159">
        <v>565</v>
      </c>
      <c r="C181" t="s" s="160">
        <v>31</v>
      </c>
      <c r="D181" s="161">
        <v>1</v>
      </c>
      <c r="E181" s="162">
        <v>0.5</v>
      </c>
      <c r="F181" s="162">
        <v>0.5</v>
      </c>
      <c r="G181" s="163"/>
      <c r="H181" s="163"/>
      <c r="I181" t="s" s="164">
        <v>379</v>
      </c>
    </row>
    <row r="182" ht="8.35" customHeight="1" hidden="1">
      <c r="A182" s="91"/>
      <c r="B182" t="s" s="159">
        <v>566</v>
      </c>
      <c r="C182" t="s" s="160">
        <v>31</v>
      </c>
      <c r="D182" s="161">
        <v>1</v>
      </c>
      <c r="E182" s="162">
        <v>0.5</v>
      </c>
      <c r="F182" s="162">
        <v>0.5</v>
      </c>
      <c r="G182" s="163"/>
      <c r="H182" s="163"/>
      <c r="I182" t="s" s="164">
        <v>379</v>
      </c>
    </row>
    <row r="183" ht="8.35" customHeight="1" hidden="1">
      <c r="A183" s="91"/>
      <c r="B183" t="s" s="159">
        <v>567</v>
      </c>
      <c r="C183" t="s" s="160">
        <v>31</v>
      </c>
      <c r="D183" s="161">
        <v>1</v>
      </c>
      <c r="E183" s="162">
        <v>0.5</v>
      </c>
      <c r="F183" s="162">
        <v>0.5</v>
      </c>
      <c r="G183" s="163"/>
      <c r="H183" s="163"/>
      <c r="I183" t="s" s="164">
        <v>475</v>
      </c>
    </row>
    <row r="184" ht="8.35" customHeight="1" hidden="1">
      <c r="A184" s="91"/>
      <c r="B184" t="s" s="159">
        <v>568</v>
      </c>
      <c r="C184" t="s" s="160">
        <v>31</v>
      </c>
      <c r="D184" s="161">
        <v>1</v>
      </c>
      <c r="E184" s="162">
        <v>0.5</v>
      </c>
      <c r="F184" s="162">
        <v>0.5</v>
      </c>
      <c r="G184" s="163"/>
      <c r="H184" s="163"/>
      <c r="I184" t="s" s="164">
        <v>379</v>
      </c>
    </row>
    <row r="185" ht="8.35" customHeight="1" hidden="1">
      <c r="A185" s="91"/>
      <c r="B185" t="s" s="159">
        <v>569</v>
      </c>
      <c r="C185" t="s" s="160">
        <v>31</v>
      </c>
      <c r="D185" s="161">
        <v>1</v>
      </c>
      <c r="E185" s="162">
        <v>0.4</v>
      </c>
      <c r="F185" s="162">
        <v>0.4</v>
      </c>
      <c r="G185" s="163"/>
      <c r="H185" s="163"/>
      <c r="I185" s="163"/>
    </row>
    <row r="186" ht="8.35" customHeight="1" hidden="1">
      <c r="A186" s="91"/>
      <c r="B186" t="s" s="159">
        <v>570</v>
      </c>
      <c r="C186" t="s" s="160">
        <v>31</v>
      </c>
      <c r="D186" s="161">
        <v>1</v>
      </c>
      <c r="E186" s="162">
        <v>0.4</v>
      </c>
      <c r="F186" s="162">
        <v>0.4</v>
      </c>
      <c r="G186" s="163"/>
      <c r="H186" s="163"/>
      <c r="I186" t="s" s="164">
        <v>379</v>
      </c>
    </row>
    <row r="187" ht="8.35" customHeight="1" hidden="1">
      <c r="A187" s="91"/>
      <c r="B187" t="s" s="159">
        <v>571</v>
      </c>
      <c r="C187" t="s" s="160">
        <v>31</v>
      </c>
      <c r="D187" s="161">
        <v>1</v>
      </c>
      <c r="E187" s="162">
        <v>0.4</v>
      </c>
      <c r="F187" s="162">
        <v>0.4</v>
      </c>
      <c r="G187" s="163"/>
      <c r="H187" s="163"/>
      <c r="I187" t="s" s="164">
        <v>475</v>
      </c>
    </row>
    <row r="188" ht="20.85" customHeight="1">
      <c r="A188" s="94"/>
      <c r="B188" t="s" s="168">
        <v>572</v>
      </c>
      <c r="C188" t="s" s="169">
        <v>31</v>
      </c>
      <c r="D188" s="170">
        <v>0</v>
      </c>
      <c r="E188" s="171">
        <v>0.4</v>
      </c>
      <c r="F188" s="171">
        <v>0.4</v>
      </c>
      <c r="G188" t="s" s="172">
        <v>383</v>
      </c>
      <c r="H188" t="s" s="172">
        <v>384</v>
      </c>
      <c r="I188" t="s" s="172">
        <v>466</v>
      </c>
    </row>
    <row r="189" ht="10" customHeight="1" hidden="1">
      <c r="A189" s="173"/>
      <c r="B189" t="s" s="174">
        <v>573</v>
      </c>
      <c r="C189" t="s" s="175">
        <v>31</v>
      </c>
      <c r="D189" s="180">
        <v>1</v>
      </c>
      <c r="E189" s="177">
        <v>0.4</v>
      </c>
      <c r="F189" s="177">
        <v>0.4</v>
      </c>
      <c r="G189" s="178"/>
      <c r="H189" s="178"/>
      <c r="I189" t="s" s="179">
        <v>475</v>
      </c>
    </row>
    <row r="190" ht="10" customHeight="1" hidden="1">
      <c r="A190" s="173"/>
      <c r="B190" t="s" s="174">
        <v>574</v>
      </c>
      <c r="C190" t="s" s="175">
        <v>31</v>
      </c>
      <c r="D190" s="180">
        <v>1</v>
      </c>
      <c r="E190" s="177">
        <v>0.4</v>
      </c>
      <c r="F190" s="177">
        <v>0.4</v>
      </c>
      <c r="G190" s="178"/>
      <c r="H190" s="178"/>
      <c r="I190" t="s" s="179">
        <v>475</v>
      </c>
    </row>
    <row r="191" ht="10" customHeight="1" hidden="1">
      <c r="A191" s="173"/>
      <c r="B191" t="s" s="174">
        <v>575</v>
      </c>
      <c r="C191" t="s" s="175">
        <v>31</v>
      </c>
      <c r="D191" s="180">
        <v>1</v>
      </c>
      <c r="E191" s="177">
        <v>0.3</v>
      </c>
      <c r="F191" s="177">
        <v>0.3</v>
      </c>
      <c r="G191" s="178"/>
      <c r="H191" s="178"/>
      <c r="I191" t="s" s="179">
        <v>469</v>
      </c>
    </row>
    <row r="192" ht="10" customHeight="1" hidden="1">
      <c r="A192" s="173"/>
      <c r="B192" t="s" s="174">
        <v>576</v>
      </c>
      <c r="C192" t="s" s="175">
        <v>31</v>
      </c>
      <c r="D192" s="180">
        <v>1</v>
      </c>
      <c r="E192" s="177">
        <v>0.3</v>
      </c>
      <c r="F192" s="177">
        <v>0.3</v>
      </c>
      <c r="G192" s="178"/>
      <c r="H192" s="178"/>
      <c r="I192" t="s" s="179">
        <v>379</v>
      </c>
    </row>
    <row r="193" ht="10" customHeight="1" hidden="1">
      <c r="A193" s="173"/>
      <c r="B193" t="s" s="174">
        <v>577</v>
      </c>
      <c r="C193" t="s" s="175">
        <v>31</v>
      </c>
      <c r="D193" s="180">
        <v>1</v>
      </c>
      <c r="E193" s="177">
        <v>0.3</v>
      </c>
      <c r="F193" s="177">
        <v>0.3</v>
      </c>
      <c r="G193" s="178"/>
      <c r="H193" s="178"/>
      <c r="I193" t="s" s="179">
        <v>475</v>
      </c>
    </row>
    <row r="194" ht="10" customHeight="1" hidden="1">
      <c r="A194" s="173"/>
      <c r="B194" t="s" s="174">
        <v>578</v>
      </c>
      <c r="C194" t="s" s="175">
        <v>31</v>
      </c>
      <c r="D194" s="180">
        <v>1</v>
      </c>
      <c r="E194" s="177">
        <v>0.3</v>
      </c>
      <c r="F194" s="177">
        <v>0.3</v>
      </c>
      <c r="G194" s="178"/>
      <c r="H194" s="178"/>
      <c r="I194" t="s" s="179">
        <v>475</v>
      </c>
    </row>
    <row r="195" ht="10" customHeight="1" hidden="1">
      <c r="A195" s="173"/>
      <c r="B195" t="s" s="174">
        <v>579</v>
      </c>
      <c r="C195" t="s" s="175">
        <v>31</v>
      </c>
      <c r="D195" s="180">
        <v>1</v>
      </c>
      <c r="E195" s="177">
        <v>0.3</v>
      </c>
      <c r="F195" s="177">
        <v>0.3</v>
      </c>
      <c r="G195" s="178"/>
      <c r="H195" s="178"/>
      <c r="I195" t="s" s="179">
        <v>475</v>
      </c>
    </row>
    <row r="196" ht="10" customHeight="1" hidden="1">
      <c r="A196" s="173"/>
      <c r="B196" t="s" s="174">
        <v>580</v>
      </c>
      <c r="C196" t="s" s="175">
        <v>31</v>
      </c>
      <c r="D196" s="180">
        <v>1</v>
      </c>
      <c r="E196" s="177">
        <v>0.3</v>
      </c>
      <c r="F196" s="177">
        <v>0.3</v>
      </c>
      <c r="G196" s="178"/>
      <c r="H196" s="178"/>
      <c r="I196" t="s" s="179">
        <v>475</v>
      </c>
    </row>
    <row r="197" ht="10" customHeight="1" hidden="1">
      <c r="A197" s="173"/>
      <c r="B197" t="s" s="174">
        <v>581</v>
      </c>
      <c r="C197" t="s" s="175">
        <v>31</v>
      </c>
      <c r="D197" s="180">
        <v>1</v>
      </c>
      <c r="E197" s="177">
        <v>0.3</v>
      </c>
      <c r="F197" s="177">
        <v>0.3</v>
      </c>
      <c r="G197" s="178"/>
      <c r="H197" s="178"/>
      <c r="I197" t="s" s="179">
        <v>475</v>
      </c>
    </row>
    <row r="198" ht="10" customHeight="1" hidden="1">
      <c r="A198" s="173"/>
      <c r="B198" t="s" s="174">
        <v>582</v>
      </c>
      <c r="C198" t="s" s="175">
        <v>31</v>
      </c>
      <c r="D198" s="180">
        <v>1</v>
      </c>
      <c r="E198" s="177">
        <v>0.3</v>
      </c>
      <c r="F198" s="177">
        <v>0.3</v>
      </c>
      <c r="G198" s="178"/>
      <c r="H198" s="178"/>
      <c r="I198" t="s" s="179">
        <v>475</v>
      </c>
    </row>
    <row r="199" ht="10" customHeight="1" hidden="1">
      <c r="A199" s="173"/>
      <c r="B199" t="s" s="174">
        <v>583</v>
      </c>
      <c r="C199" t="s" s="175">
        <v>31</v>
      </c>
      <c r="D199" s="180">
        <v>1</v>
      </c>
      <c r="E199" s="177">
        <v>0.3</v>
      </c>
      <c r="F199" s="177">
        <v>0.3</v>
      </c>
      <c r="G199" s="178"/>
      <c r="H199" s="178"/>
      <c r="I199" t="s" s="179">
        <v>496</v>
      </c>
    </row>
    <row r="200" ht="10" customHeight="1" hidden="1">
      <c r="A200" s="173"/>
      <c r="B200" t="s" s="174">
        <v>584</v>
      </c>
      <c r="C200" t="s" s="175">
        <v>31</v>
      </c>
      <c r="D200" s="180">
        <v>1</v>
      </c>
      <c r="E200" s="177">
        <v>0.2</v>
      </c>
      <c r="F200" s="177">
        <v>0.2</v>
      </c>
      <c r="G200" s="178"/>
      <c r="H200" s="178"/>
      <c r="I200" t="s" s="179">
        <v>348</v>
      </c>
    </row>
    <row r="201" ht="10" customHeight="1" hidden="1">
      <c r="A201" s="173"/>
      <c r="B201" t="s" s="174">
        <v>585</v>
      </c>
      <c r="C201" t="s" s="175">
        <v>31</v>
      </c>
      <c r="D201" s="180">
        <v>1</v>
      </c>
      <c r="E201" s="177">
        <v>0.1</v>
      </c>
      <c r="F201" s="177">
        <v>0.1</v>
      </c>
      <c r="G201" s="178"/>
      <c r="H201" s="178"/>
      <c r="I201" t="s" s="179">
        <v>475</v>
      </c>
    </row>
    <row r="202" ht="10" customHeight="1" hidden="1">
      <c r="A202" s="173"/>
      <c r="B202" t="s" s="174">
        <v>586</v>
      </c>
      <c r="C202" t="s" s="175">
        <v>31</v>
      </c>
      <c r="D202" s="180">
        <v>1</v>
      </c>
      <c r="E202" s="177">
        <v>0</v>
      </c>
      <c r="F202" s="177">
        <v>0.1</v>
      </c>
      <c r="G202" s="178"/>
      <c r="H202" s="178"/>
      <c r="I202" t="s" s="179">
        <v>379</v>
      </c>
    </row>
    <row r="203" ht="10" customHeight="1" hidden="1">
      <c r="A203" s="173"/>
      <c r="B203" t="s" s="174">
        <v>587</v>
      </c>
      <c r="C203" t="s" s="175">
        <v>31</v>
      </c>
      <c r="D203" s="180">
        <v>1</v>
      </c>
      <c r="E203" s="177">
        <v>0</v>
      </c>
      <c r="F203" s="177">
        <v>0.1</v>
      </c>
      <c r="G203" s="178"/>
      <c r="H203" s="178"/>
      <c r="I203" s="178"/>
    </row>
    <row r="204" ht="10" customHeight="1" hidden="1">
      <c r="A204" s="173"/>
      <c r="B204" t="s" s="174">
        <v>588</v>
      </c>
      <c r="C204" t="s" s="175">
        <v>31</v>
      </c>
      <c r="D204" s="180">
        <v>1</v>
      </c>
      <c r="E204" s="177">
        <v>0</v>
      </c>
      <c r="F204" s="177">
        <v>1.8</v>
      </c>
      <c r="G204" s="178"/>
      <c r="H204" s="178"/>
      <c r="I204" s="178"/>
    </row>
    <row r="205" ht="10" customHeight="1" hidden="1">
      <c r="A205" s="173"/>
      <c r="B205" t="s" s="174">
        <v>589</v>
      </c>
      <c r="C205" t="s" s="175">
        <v>31</v>
      </c>
      <c r="D205" s="180">
        <v>1</v>
      </c>
      <c r="E205" s="177">
        <v>0</v>
      </c>
      <c r="F205" s="177">
        <v>1.1</v>
      </c>
      <c r="G205" s="178"/>
      <c r="H205" s="178"/>
      <c r="I205" s="178"/>
    </row>
    <row r="206" ht="10" customHeight="1" hidden="1">
      <c r="A206" s="173"/>
      <c r="B206" t="s" s="174">
        <v>590</v>
      </c>
      <c r="C206" t="s" s="175">
        <v>31</v>
      </c>
      <c r="D206" s="180">
        <v>1</v>
      </c>
      <c r="E206" s="177">
        <v>0</v>
      </c>
      <c r="F206" s="177">
        <v>0.9</v>
      </c>
      <c r="G206" s="178"/>
      <c r="H206" s="178"/>
      <c r="I206" s="178"/>
    </row>
    <row r="207" ht="10" customHeight="1" hidden="1">
      <c r="A207" s="173"/>
      <c r="B207" t="s" s="174">
        <v>591</v>
      </c>
      <c r="C207" t="s" s="175">
        <v>31</v>
      </c>
      <c r="D207" s="180">
        <v>1</v>
      </c>
      <c r="E207" s="177">
        <v>0</v>
      </c>
      <c r="F207" s="177">
        <v>0.4</v>
      </c>
      <c r="G207" s="178"/>
      <c r="H207" s="178"/>
      <c r="I207" s="178"/>
    </row>
    <row r="208" ht="21.05" customHeight="1">
      <c r="A208" t="s" s="182">
        <v>32</v>
      </c>
      <c r="B208" s="183"/>
      <c r="C208" s="183"/>
      <c r="D208" s="183"/>
      <c r="E208" s="183"/>
      <c r="F208" s="183"/>
      <c r="G208" s="183"/>
      <c r="H208" s="183"/>
      <c r="I208" s="183"/>
    </row>
    <row r="209" ht="20.25" customHeight="1">
      <c r="A209" s="86"/>
      <c r="B209" t="s" s="184">
        <v>592</v>
      </c>
      <c r="C209" t="s" s="185">
        <v>32</v>
      </c>
      <c r="D209" s="186">
        <v>0</v>
      </c>
      <c r="E209" s="187">
        <v>14</v>
      </c>
      <c r="F209" s="187">
        <v>5.5</v>
      </c>
      <c r="G209" t="s" s="188">
        <v>383</v>
      </c>
      <c r="H209" t="s" s="188">
        <v>384</v>
      </c>
      <c r="I209" t="s" s="188">
        <v>593</v>
      </c>
    </row>
    <row r="210" ht="8.35" customHeight="1" hidden="1">
      <c r="A210" s="91"/>
      <c r="B210" t="s" s="159">
        <v>594</v>
      </c>
      <c r="C210" t="s" s="160">
        <v>32</v>
      </c>
      <c r="D210" s="161">
        <v>1</v>
      </c>
      <c r="E210" s="162">
        <v>14</v>
      </c>
      <c r="F210" s="162">
        <v>5.5</v>
      </c>
      <c r="G210" s="163"/>
      <c r="H210" s="163"/>
      <c r="I210" t="s" s="164">
        <v>496</v>
      </c>
    </row>
    <row r="211" ht="8.35" customHeight="1" hidden="1">
      <c r="A211" s="91"/>
      <c r="B211" t="s" s="159">
        <v>595</v>
      </c>
      <c r="C211" t="s" s="160">
        <v>32</v>
      </c>
      <c r="D211" s="161">
        <v>1</v>
      </c>
      <c r="E211" s="162">
        <v>14</v>
      </c>
      <c r="F211" s="162">
        <v>4</v>
      </c>
      <c r="G211" s="163"/>
      <c r="H211" s="163"/>
      <c r="I211" t="s" s="164">
        <v>496</v>
      </c>
    </row>
    <row r="212" ht="8.35" customHeight="1" hidden="1">
      <c r="A212" s="91"/>
      <c r="B212" t="s" s="159">
        <v>596</v>
      </c>
      <c r="C212" t="s" s="160">
        <v>32</v>
      </c>
      <c r="D212" s="161">
        <v>1</v>
      </c>
      <c r="E212" s="162">
        <v>11.8</v>
      </c>
      <c r="F212" s="162">
        <v>3.8</v>
      </c>
      <c r="G212" s="163"/>
      <c r="H212" s="163"/>
      <c r="I212" t="s" s="164">
        <v>496</v>
      </c>
    </row>
    <row r="213" ht="8.35" customHeight="1" hidden="1">
      <c r="A213" s="91"/>
      <c r="B213" t="s" s="159">
        <v>597</v>
      </c>
      <c r="C213" t="s" s="160">
        <v>32</v>
      </c>
      <c r="D213" s="161">
        <v>1</v>
      </c>
      <c r="E213" s="162">
        <v>11</v>
      </c>
      <c r="F213" s="162">
        <v>5.7</v>
      </c>
      <c r="G213" s="163"/>
      <c r="H213" s="163"/>
      <c r="I213" t="s" s="164">
        <v>496</v>
      </c>
    </row>
    <row r="214" ht="8.35" customHeight="1" hidden="1">
      <c r="A214" s="91"/>
      <c r="B214" t="s" s="159">
        <v>598</v>
      </c>
      <c r="C214" t="s" s="160">
        <v>32</v>
      </c>
      <c r="D214" s="161">
        <v>1</v>
      </c>
      <c r="E214" s="162">
        <v>10</v>
      </c>
      <c r="F214" s="162">
        <v>1.3</v>
      </c>
      <c r="G214" s="163"/>
      <c r="H214" s="163"/>
      <c r="I214" t="s" s="164">
        <v>475</v>
      </c>
    </row>
    <row r="215" ht="8.35" customHeight="1" hidden="1">
      <c r="A215" s="91"/>
      <c r="B215" t="s" s="159">
        <v>599</v>
      </c>
      <c r="C215" t="s" s="160">
        <v>32</v>
      </c>
      <c r="D215" s="161">
        <v>1</v>
      </c>
      <c r="E215" s="162">
        <v>10</v>
      </c>
      <c r="F215" s="162">
        <v>5.9</v>
      </c>
      <c r="G215" s="163"/>
      <c r="H215" s="163"/>
      <c r="I215" t="s" s="164">
        <v>496</v>
      </c>
    </row>
    <row r="216" ht="8.35" customHeight="1" hidden="1">
      <c r="A216" s="91"/>
      <c r="B216" t="s" s="159">
        <v>600</v>
      </c>
      <c r="C216" t="s" s="160">
        <v>32</v>
      </c>
      <c r="D216" s="161">
        <v>1</v>
      </c>
      <c r="E216" s="162">
        <v>9.800000000000001</v>
      </c>
      <c r="F216" s="162">
        <v>9.800000000000001</v>
      </c>
      <c r="G216" s="163"/>
      <c r="H216" s="163"/>
      <c r="I216" t="s" s="164">
        <v>496</v>
      </c>
    </row>
    <row r="217" ht="20.05" customHeight="1">
      <c r="A217" s="91"/>
      <c r="B217" t="s" s="165">
        <v>601</v>
      </c>
      <c r="C217" t="s" s="160">
        <v>32</v>
      </c>
      <c r="D217" s="161">
        <v>0</v>
      </c>
      <c r="E217" s="162">
        <v>9</v>
      </c>
      <c r="F217" s="162">
        <v>9</v>
      </c>
      <c r="G217" t="s" s="164">
        <v>383</v>
      </c>
      <c r="H217" t="s" s="164">
        <v>384</v>
      </c>
      <c r="I217" t="s" s="164">
        <v>602</v>
      </c>
    </row>
    <row r="218" ht="8.35" customHeight="1" hidden="1">
      <c r="A218" s="91"/>
      <c r="B218" t="s" s="159">
        <v>603</v>
      </c>
      <c r="C218" t="s" s="160">
        <v>32</v>
      </c>
      <c r="D218" s="161">
        <v>1</v>
      </c>
      <c r="E218" s="162">
        <v>9</v>
      </c>
      <c r="F218" s="162">
        <v>9.1</v>
      </c>
      <c r="G218" s="163"/>
      <c r="H218" s="163"/>
      <c r="I218" t="s" s="164">
        <v>496</v>
      </c>
    </row>
    <row r="219" ht="8.35" customHeight="1" hidden="1">
      <c r="A219" s="91"/>
      <c r="B219" t="s" s="159">
        <v>604</v>
      </c>
      <c r="C219" t="s" s="160">
        <v>32</v>
      </c>
      <c r="D219" s="161">
        <v>1</v>
      </c>
      <c r="E219" s="162">
        <v>8.5</v>
      </c>
      <c r="F219" s="162">
        <v>4.9</v>
      </c>
      <c r="G219" s="163"/>
      <c r="H219" s="163"/>
      <c r="I219" t="s" s="164">
        <v>496</v>
      </c>
    </row>
    <row r="220" ht="8.35" customHeight="1" hidden="1">
      <c r="A220" s="91"/>
      <c r="B220" t="s" s="159">
        <v>605</v>
      </c>
      <c r="C220" t="s" s="160">
        <v>32</v>
      </c>
      <c r="D220" s="161">
        <v>1</v>
      </c>
      <c r="E220" s="162">
        <v>8.1</v>
      </c>
      <c r="F220" s="162">
        <v>8.1</v>
      </c>
      <c r="G220" s="163"/>
      <c r="H220" s="163"/>
      <c r="I220" t="s" s="164">
        <v>475</v>
      </c>
    </row>
    <row r="221" ht="8.35" customHeight="1" hidden="1">
      <c r="A221" s="91"/>
      <c r="B221" t="s" s="159">
        <v>606</v>
      </c>
      <c r="C221" t="s" s="160">
        <v>32</v>
      </c>
      <c r="D221" s="161">
        <v>1</v>
      </c>
      <c r="E221" s="162">
        <v>8.1</v>
      </c>
      <c r="F221" s="162">
        <v>8.1</v>
      </c>
      <c r="G221" s="163"/>
      <c r="H221" s="163"/>
      <c r="I221" t="s" s="164">
        <v>496</v>
      </c>
    </row>
    <row r="222" ht="20.05" customHeight="1">
      <c r="A222" s="91"/>
      <c r="B222" t="s" s="159">
        <v>607</v>
      </c>
      <c r="C222" t="s" s="160">
        <v>32</v>
      </c>
      <c r="D222" s="161">
        <v>0</v>
      </c>
      <c r="E222" s="162">
        <v>8</v>
      </c>
      <c r="F222" s="162">
        <v>8.1</v>
      </c>
      <c r="G222" t="s" s="164">
        <v>383</v>
      </c>
      <c r="H222" t="s" s="164">
        <v>384</v>
      </c>
      <c r="I222" t="s" s="164">
        <v>593</v>
      </c>
    </row>
    <row r="223" ht="8.35" customHeight="1" hidden="1">
      <c r="A223" s="91"/>
      <c r="B223" t="s" s="159">
        <v>608</v>
      </c>
      <c r="C223" t="s" s="160">
        <v>32</v>
      </c>
      <c r="D223" s="161">
        <v>1</v>
      </c>
      <c r="E223" s="162">
        <v>8</v>
      </c>
      <c r="F223" s="162">
        <v>0.8</v>
      </c>
      <c r="G223" s="163"/>
      <c r="H223" s="163"/>
      <c r="I223" t="s" s="164">
        <v>475</v>
      </c>
    </row>
    <row r="224" ht="8.35" customHeight="1" hidden="1">
      <c r="A224" s="91"/>
      <c r="B224" t="s" s="159">
        <v>609</v>
      </c>
      <c r="C224" t="s" s="160">
        <v>32</v>
      </c>
      <c r="D224" s="161">
        <v>1</v>
      </c>
      <c r="E224" s="162">
        <v>8</v>
      </c>
      <c r="F224" s="162">
        <v>2.6</v>
      </c>
      <c r="G224" s="163"/>
      <c r="H224" s="163"/>
      <c r="I224" t="s" s="164">
        <v>496</v>
      </c>
    </row>
    <row r="225" ht="8.35" customHeight="1" hidden="1">
      <c r="A225" s="91"/>
      <c r="B225" t="s" s="159">
        <v>610</v>
      </c>
      <c r="C225" t="s" s="160">
        <v>32</v>
      </c>
      <c r="D225" s="161">
        <v>1</v>
      </c>
      <c r="E225" s="162">
        <v>8</v>
      </c>
      <c r="F225" s="162">
        <v>1.8</v>
      </c>
      <c r="G225" s="163"/>
      <c r="H225" s="163"/>
      <c r="I225" t="s" s="164">
        <v>496</v>
      </c>
    </row>
    <row r="226" ht="8.35" customHeight="1" hidden="1">
      <c r="A226" s="91"/>
      <c r="B226" t="s" s="159">
        <v>611</v>
      </c>
      <c r="C226" t="s" s="160">
        <v>32</v>
      </c>
      <c r="D226" s="161">
        <v>1</v>
      </c>
      <c r="E226" s="162">
        <v>7.8</v>
      </c>
      <c r="F226" s="162">
        <v>7.8</v>
      </c>
      <c r="G226" s="163"/>
      <c r="H226" s="163"/>
      <c r="I226" t="s" s="164">
        <v>496</v>
      </c>
    </row>
    <row r="227" ht="20.05" customHeight="1">
      <c r="A227" s="91"/>
      <c r="B227" t="s" s="165">
        <v>612</v>
      </c>
      <c r="C227" t="s" s="160">
        <v>32</v>
      </c>
      <c r="D227" s="161">
        <v>0</v>
      </c>
      <c r="E227" s="162">
        <v>7.1</v>
      </c>
      <c r="F227" s="162">
        <v>7.1</v>
      </c>
      <c r="G227" t="s" s="164">
        <v>383</v>
      </c>
      <c r="H227" t="s" s="164">
        <v>384</v>
      </c>
      <c r="I227" t="s" s="164">
        <v>602</v>
      </c>
    </row>
    <row r="228" ht="8.35" customHeight="1" hidden="1">
      <c r="A228" s="91"/>
      <c r="B228" t="s" s="159">
        <v>613</v>
      </c>
      <c r="C228" t="s" s="160">
        <v>32</v>
      </c>
      <c r="D228" s="161">
        <v>1</v>
      </c>
      <c r="E228" s="162">
        <v>7</v>
      </c>
      <c r="F228" s="162">
        <v>1.1</v>
      </c>
      <c r="G228" s="163"/>
      <c r="H228" s="163"/>
      <c r="I228" t="s" s="164">
        <v>475</v>
      </c>
    </row>
    <row r="229" ht="8.35" customHeight="1" hidden="1">
      <c r="A229" s="91"/>
      <c r="B229" t="s" s="159">
        <v>614</v>
      </c>
      <c r="C229" t="s" s="160">
        <v>32</v>
      </c>
      <c r="D229" s="161">
        <v>1</v>
      </c>
      <c r="E229" s="162">
        <v>6.4</v>
      </c>
      <c r="F229" s="162">
        <v>6.4</v>
      </c>
      <c r="G229" s="163"/>
      <c r="H229" s="163"/>
      <c r="I229" t="s" s="164">
        <v>496</v>
      </c>
    </row>
    <row r="230" ht="8.35" customHeight="1" hidden="1">
      <c r="A230" s="91"/>
      <c r="B230" t="s" s="159">
        <v>615</v>
      </c>
      <c r="C230" t="s" s="160">
        <v>32</v>
      </c>
      <c r="D230" s="161">
        <v>1</v>
      </c>
      <c r="E230" s="162">
        <v>6</v>
      </c>
      <c r="F230" s="162">
        <v>3.8</v>
      </c>
      <c r="G230" s="163"/>
      <c r="H230" s="163"/>
      <c r="I230" t="s" s="164">
        <v>496</v>
      </c>
    </row>
    <row r="231" ht="8.35" customHeight="1" hidden="1">
      <c r="A231" s="91"/>
      <c r="B231" t="s" s="159">
        <v>616</v>
      </c>
      <c r="C231" t="s" s="160">
        <v>32</v>
      </c>
      <c r="D231" s="161">
        <v>1</v>
      </c>
      <c r="E231" s="162">
        <v>5.7</v>
      </c>
      <c r="F231" s="162">
        <v>5.7</v>
      </c>
      <c r="G231" s="163"/>
      <c r="H231" s="163"/>
      <c r="I231" t="s" s="164">
        <v>496</v>
      </c>
    </row>
    <row r="232" ht="8.35" customHeight="1" hidden="1">
      <c r="A232" s="91"/>
      <c r="B232" t="s" s="159">
        <v>617</v>
      </c>
      <c r="C232" t="s" s="160">
        <v>32</v>
      </c>
      <c r="D232" s="161">
        <v>1</v>
      </c>
      <c r="E232" s="162">
        <v>5.7</v>
      </c>
      <c r="F232" s="162">
        <v>5.7</v>
      </c>
      <c r="G232" s="163"/>
      <c r="H232" s="163"/>
      <c r="I232" t="s" s="164">
        <v>496</v>
      </c>
    </row>
    <row r="233" ht="8.35" customHeight="1" hidden="1">
      <c r="A233" s="91"/>
      <c r="B233" t="s" s="159">
        <v>618</v>
      </c>
      <c r="C233" t="s" s="160">
        <v>32</v>
      </c>
      <c r="D233" s="161">
        <v>1</v>
      </c>
      <c r="E233" s="162">
        <v>5.5</v>
      </c>
      <c r="F233" s="162">
        <v>5.5</v>
      </c>
      <c r="G233" s="163"/>
      <c r="H233" s="163"/>
      <c r="I233" t="s" s="164">
        <v>496</v>
      </c>
    </row>
    <row r="234" ht="8.35" customHeight="1" hidden="1">
      <c r="A234" s="91"/>
      <c r="B234" t="s" s="159">
        <v>619</v>
      </c>
      <c r="C234" t="s" s="160">
        <v>32</v>
      </c>
      <c r="D234" s="161">
        <v>1</v>
      </c>
      <c r="E234" s="162">
        <v>5.5</v>
      </c>
      <c r="F234" s="162">
        <v>5.6</v>
      </c>
      <c r="G234" s="163"/>
      <c r="H234" s="163"/>
      <c r="I234" t="s" s="164">
        <v>496</v>
      </c>
    </row>
    <row r="235" ht="8.35" customHeight="1" hidden="1">
      <c r="A235" s="91"/>
      <c r="B235" t="s" s="159">
        <v>620</v>
      </c>
      <c r="C235" t="s" s="160">
        <v>32</v>
      </c>
      <c r="D235" s="161">
        <v>1</v>
      </c>
      <c r="E235" s="162">
        <v>5</v>
      </c>
      <c r="F235" s="162">
        <v>5.1</v>
      </c>
      <c r="G235" s="163"/>
      <c r="H235" s="163"/>
      <c r="I235" t="s" s="164">
        <v>496</v>
      </c>
    </row>
    <row r="236" ht="8.35" customHeight="1" hidden="1">
      <c r="A236" s="91"/>
      <c r="B236" t="s" s="159">
        <v>621</v>
      </c>
      <c r="C236" t="s" s="160">
        <v>32</v>
      </c>
      <c r="D236" s="161">
        <v>1</v>
      </c>
      <c r="E236" s="162">
        <v>5</v>
      </c>
      <c r="F236" s="162">
        <v>3.6</v>
      </c>
      <c r="G236" s="163"/>
      <c r="H236" s="163"/>
      <c r="I236" t="s" s="164">
        <v>496</v>
      </c>
    </row>
    <row r="237" ht="8.35" customHeight="1" hidden="1">
      <c r="A237" s="91"/>
      <c r="B237" t="s" s="159">
        <v>622</v>
      </c>
      <c r="C237" t="s" s="160">
        <v>32</v>
      </c>
      <c r="D237" s="161">
        <v>1</v>
      </c>
      <c r="E237" s="162">
        <v>4.8</v>
      </c>
      <c r="F237" s="162">
        <v>4.8</v>
      </c>
      <c r="G237" s="163"/>
      <c r="H237" s="163"/>
      <c r="I237" t="s" s="164">
        <v>348</v>
      </c>
    </row>
    <row r="238" ht="8.35" customHeight="1" hidden="1">
      <c r="A238" s="91"/>
      <c r="B238" t="s" s="159">
        <v>623</v>
      </c>
      <c r="C238" t="s" s="160">
        <v>32</v>
      </c>
      <c r="D238" s="161">
        <v>1</v>
      </c>
      <c r="E238" s="162">
        <v>4.6</v>
      </c>
      <c r="F238" s="162">
        <v>4.6</v>
      </c>
      <c r="G238" s="163"/>
      <c r="H238" s="163"/>
      <c r="I238" t="s" s="164">
        <v>496</v>
      </c>
    </row>
    <row r="239" ht="8.35" customHeight="1" hidden="1">
      <c r="A239" s="91"/>
      <c r="B239" t="s" s="159">
        <v>624</v>
      </c>
      <c r="C239" t="s" s="160">
        <v>32</v>
      </c>
      <c r="D239" s="161">
        <v>1</v>
      </c>
      <c r="E239" s="162">
        <v>4.6</v>
      </c>
      <c r="F239" s="162">
        <v>0.6</v>
      </c>
      <c r="G239" s="163"/>
      <c r="H239" s="163"/>
      <c r="I239" t="s" s="164">
        <v>496</v>
      </c>
    </row>
    <row r="240" ht="8.35" customHeight="1" hidden="1">
      <c r="A240" s="91"/>
      <c r="B240" t="s" s="159">
        <v>625</v>
      </c>
      <c r="C240" t="s" s="160">
        <v>32</v>
      </c>
      <c r="D240" s="161">
        <v>1</v>
      </c>
      <c r="E240" s="162">
        <v>4.6</v>
      </c>
      <c r="F240" s="162">
        <v>4.6</v>
      </c>
      <c r="G240" s="163"/>
      <c r="H240" s="163"/>
      <c r="I240" t="s" s="164">
        <v>496</v>
      </c>
    </row>
    <row r="241" ht="20.05" customHeight="1">
      <c r="A241" s="91"/>
      <c r="B241" t="s" s="159">
        <v>626</v>
      </c>
      <c r="C241" t="s" s="160">
        <v>32</v>
      </c>
      <c r="D241" s="161">
        <v>0</v>
      </c>
      <c r="E241" s="162">
        <v>4</v>
      </c>
      <c r="F241" s="162">
        <v>2.5</v>
      </c>
      <c r="G241" t="s" s="164">
        <v>383</v>
      </c>
      <c r="H241" t="s" s="164">
        <v>384</v>
      </c>
      <c r="I241" t="s" s="164">
        <v>593</v>
      </c>
    </row>
    <row r="242" ht="8.35" customHeight="1" hidden="1">
      <c r="A242" s="91"/>
      <c r="B242" t="s" s="159">
        <v>627</v>
      </c>
      <c r="C242" t="s" s="160">
        <v>32</v>
      </c>
      <c r="D242" s="161">
        <v>1</v>
      </c>
      <c r="E242" s="162">
        <v>4</v>
      </c>
      <c r="F242" s="162">
        <v>0.6</v>
      </c>
      <c r="G242" s="163"/>
      <c r="H242" s="163"/>
      <c r="I242" t="s" s="164">
        <v>496</v>
      </c>
    </row>
    <row r="243" ht="8.35" customHeight="1" hidden="1">
      <c r="A243" s="91"/>
      <c r="B243" t="s" s="159">
        <v>628</v>
      </c>
      <c r="C243" t="s" s="160">
        <v>32</v>
      </c>
      <c r="D243" s="161">
        <v>1</v>
      </c>
      <c r="E243" s="162">
        <v>4</v>
      </c>
      <c r="F243" s="162">
        <v>0.1</v>
      </c>
      <c r="G243" s="163"/>
      <c r="H243" s="163"/>
      <c r="I243" t="s" s="164">
        <v>475</v>
      </c>
    </row>
    <row r="244" ht="8.35" customHeight="1" hidden="1">
      <c r="A244" s="91"/>
      <c r="B244" t="s" s="159">
        <v>629</v>
      </c>
      <c r="C244" t="s" s="160">
        <v>32</v>
      </c>
      <c r="D244" s="161">
        <v>1</v>
      </c>
      <c r="E244" s="162">
        <v>4</v>
      </c>
      <c r="F244" s="162">
        <v>4.8</v>
      </c>
      <c r="G244" s="163"/>
      <c r="H244" s="163"/>
      <c r="I244" t="s" s="164">
        <v>496</v>
      </c>
    </row>
    <row r="245" ht="8.35" customHeight="1" hidden="1">
      <c r="A245" s="91"/>
      <c r="B245" t="s" s="159">
        <v>630</v>
      </c>
      <c r="C245" t="s" s="160">
        <v>32</v>
      </c>
      <c r="D245" s="161">
        <v>1</v>
      </c>
      <c r="E245" s="162">
        <v>4</v>
      </c>
      <c r="F245" s="162">
        <v>4.8</v>
      </c>
      <c r="G245" s="163"/>
      <c r="H245" s="163"/>
      <c r="I245" t="s" s="164">
        <v>496</v>
      </c>
    </row>
    <row r="246" ht="8.35" customHeight="1" hidden="1">
      <c r="A246" s="91"/>
      <c r="B246" t="s" s="159">
        <v>631</v>
      </c>
      <c r="C246" t="s" s="160">
        <v>32</v>
      </c>
      <c r="D246" s="161">
        <v>1</v>
      </c>
      <c r="E246" s="162">
        <v>3.8</v>
      </c>
      <c r="F246" s="162">
        <v>3.8</v>
      </c>
      <c r="G246" s="163"/>
      <c r="H246" s="163"/>
      <c r="I246" t="s" s="164">
        <v>496</v>
      </c>
    </row>
    <row r="247" ht="8.35" customHeight="1" hidden="1">
      <c r="A247" s="91"/>
      <c r="B247" t="s" s="159">
        <v>632</v>
      </c>
      <c r="C247" t="s" s="160">
        <v>32</v>
      </c>
      <c r="D247" s="161">
        <v>1</v>
      </c>
      <c r="E247" s="162">
        <v>3.8</v>
      </c>
      <c r="F247" s="162">
        <v>3.8</v>
      </c>
      <c r="G247" s="163"/>
      <c r="H247" s="163"/>
      <c r="I247" t="s" s="164">
        <v>348</v>
      </c>
    </row>
    <row r="248" ht="8.35" customHeight="1" hidden="1">
      <c r="A248" s="91"/>
      <c r="B248" t="s" s="159">
        <v>633</v>
      </c>
      <c r="C248" t="s" s="160">
        <v>32</v>
      </c>
      <c r="D248" s="161">
        <v>1</v>
      </c>
      <c r="E248" s="162">
        <v>3.2</v>
      </c>
      <c r="F248" s="162">
        <v>3.2</v>
      </c>
      <c r="G248" s="163"/>
      <c r="H248" s="163"/>
      <c r="I248" t="s" s="164">
        <v>496</v>
      </c>
    </row>
    <row r="249" ht="8.35" customHeight="1" hidden="1">
      <c r="A249" s="91"/>
      <c r="B249" t="s" s="159">
        <v>634</v>
      </c>
      <c r="C249" t="s" s="160">
        <v>32</v>
      </c>
      <c r="D249" s="161">
        <v>1</v>
      </c>
      <c r="E249" s="162">
        <v>3.2</v>
      </c>
      <c r="F249" s="162">
        <v>3.2</v>
      </c>
      <c r="G249" s="163"/>
      <c r="H249" s="163"/>
      <c r="I249" t="s" s="164">
        <v>348</v>
      </c>
    </row>
    <row r="250" ht="8.35" customHeight="1" hidden="1">
      <c r="A250" s="91"/>
      <c r="B250" t="s" s="159">
        <v>635</v>
      </c>
      <c r="C250" t="s" s="160">
        <v>32</v>
      </c>
      <c r="D250" s="161">
        <v>1</v>
      </c>
      <c r="E250" s="162">
        <v>3</v>
      </c>
      <c r="F250" s="162">
        <v>2.8</v>
      </c>
      <c r="G250" s="163"/>
      <c r="H250" s="163"/>
      <c r="I250" t="s" s="164">
        <v>496</v>
      </c>
    </row>
    <row r="251" ht="8.35" customHeight="1" hidden="1">
      <c r="A251" s="91"/>
      <c r="B251" t="s" s="159">
        <v>636</v>
      </c>
      <c r="C251" t="s" s="160">
        <v>32</v>
      </c>
      <c r="D251" s="161">
        <v>1</v>
      </c>
      <c r="E251" s="162">
        <v>3</v>
      </c>
      <c r="F251" s="162">
        <v>3</v>
      </c>
      <c r="G251" s="163"/>
      <c r="H251" s="163"/>
      <c r="I251" t="s" s="164">
        <v>496</v>
      </c>
    </row>
    <row r="252" ht="8.35" customHeight="1" hidden="1">
      <c r="A252" s="91"/>
      <c r="B252" t="s" s="159">
        <v>637</v>
      </c>
      <c r="C252" t="s" s="160">
        <v>32</v>
      </c>
      <c r="D252" s="161">
        <v>1</v>
      </c>
      <c r="E252" s="162">
        <v>3</v>
      </c>
      <c r="F252" s="162">
        <v>2.7</v>
      </c>
      <c r="G252" s="163"/>
      <c r="H252" s="163"/>
      <c r="I252" t="s" s="164">
        <v>496</v>
      </c>
    </row>
    <row r="253" ht="8.35" customHeight="1" hidden="1">
      <c r="A253" s="91"/>
      <c r="B253" t="s" s="159">
        <v>638</v>
      </c>
      <c r="C253" t="s" s="160">
        <v>32</v>
      </c>
      <c r="D253" s="161">
        <v>1</v>
      </c>
      <c r="E253" s="162">
        <v>2.9</v>
      </c>
      <c r="F253" s="162">
        <v>2.9</v>
      </c>
      <c r="G253" s="163"/>
      <c r="H253" s="163"/>
      <c r="I253" t="s" s="164">
        <v>496</v>
      </c>
    </row>
    <row r="254" ht="8.35" customHeight="1" hidden="1">
      <c r="A254" s="91"/>
      <c r="B254" t="s" s="159">
        <v>639</v>
      </c>
      <c r="C254" t="s" s="160">
        <v>32</v>
      </c>
      <c r="D254" s="161">
        <v>1</v>
      </c>
      <c r="E254" s="162">
        <v>2.8</v>
      </c>
      <c r="F254" s="162">
        <v>2.8</v>
      </c>
      <c r="G254" s="163"/>
      <c r="H254" s="163"/>
      <c r="I254" t="s" s="164">
        <v>496</v>
      </c>
    </row>
    <row r="255" ht="8.35" customHeight="1" hidden="1">
      <c r="A255" s="91"/>
      <c r="B255" t="s" s="159">
        <v>640</v>
      </c>
      <c r="C255" t="s" s="160">
        <v>32</v>
      </c>
      <c r="D255" s="161">
        <v>1</v>
      </c>
      <c r="E255" s="162">
        <v>2.7</v>
      </c>
      <c r="F255" s="162">
        <v>2.7</v>
      </c>
      <c r="G255" s="163"/>
      <c r="H255" s="163"/>
      <c r="I255" t="s" s="164">
        <v>496</v>
      </c>
    </row>
    <row r="256" ht="8.35" customHeight="1" hidden="1">
      <c r="A256" s="91"/>
      <c r="B256" t="s" s="159">
        <v>641</v>
      </c>
      <c r="C256" t="s" s="160">
        <v>32</v>
      </c>
      <c r="D256" s="161">
        <v>1</v>
      </c>
      <c r="E256" s="162">
        <v>2.7</v>
      </c>
      <c r="F256" s="162">
        <v>2.7</v>
      </c>
      <c r="G256" s="163"/>
      <c r="H256" s="163"/>
      <c r="I256" t="s" s="164">
        <v>496</v>
      </c>
    </row>
    <row r="257" ht="8.35" customHeight="1" hidden="1">
      <c r="A257" s="91"/>
      <c r="B257" t="s" s="159">
        <v>642</v>
      </c>
      <c r="C257" t="s" s="160">
        <v>32</v>
      </c>
      <c r="D257" s="161">
        <v>1</v>
      </c>
      <c r="E257" s="162">
        <v>2.7</v>
      </c>
      <c r="F257" s="162">
        <v>2.7</v>
      </c>
      <c r="G257" s="163"/>
      <c r="H257" s="163"/>
      <c r="I257" t="s" s="164">
        <v>496</v>
      </c>
    </row>
    <row r="258" ht="8.35" customHeight="1" hidden="1">
      <c r="A258" s="91"/>
      <c r="B258" t="s" s="159">
        <v>643</v>
      </c>
      <c r="C258" t="s" s="160">
        <v>32</v>
      </c>
      <c r="D258" s="161">
        <v>1</v>
      </c>
      <c r="E258" s="162">
        <v>2.7</v>
      </c>
      <c r="F258" s="162">
        <v>2.7</v>
      </c>
      <c r="G258" s="163"/>
      <c r="H258" s="163"/>
      <c r="I258" t="s" s="164">
        <v>496</v>
      </c>
    </row>
    <row r="259" ht="8.35" customHeight="1" hidden="1">
      <c r="A259" s="91"/>
      <c r="B259" t="s" s="159">
        <v>644</v>
      </c>
      <c r="C259" t="s" s="160">
        <v>32</v>
      </c>
      <c r="D259" s="161">
        <v>1</v>
      </c>
      <c r="E259" s="162">
        <v>2.6</v>
      </c>
      <c r="F259" s="162">
        <v>2.6</v>
      </c>
      <c r="G259" s="163"/>
      <c r="H259" s="163"/>
      <c r="I259" t="s" s="164">
        <v>496</v>
      </c>
    </row>
    <row r="260" ht="8.35" customHeight="1" hidden="1">
      <c r="A260" s="91"/>
      <c r="B260" t="s" s="159">
        <v>645</v>
      </c>
      <c r="C260" t="s" s="160">
        <v>32</v>
      </c>
      <c r="D260" s="161">
        <v>1</v>
      </c>
      <c r="E260" s="162">
        <v>2.6</v>
      </c>
      <c r="F260" s="162">
        <v>2.6</v>
      </c>
      <c r="G260" s="163"/>
      <c r="H260" s="163"/>
      <c r="I260" t="s" s="164">
        <v>496</v>
      </c>
    </row>
    <row r="261" ht="8.35" customHeight="1" hidden="1">
      <c r="A261" s="91"/>
      <c r="B261" t="s" s="159">
        <v>646</v>
      </c>
      <c r="C261" t="s" s="160">
        <v>32</v>
      </c>
      <c r="D261" s="161">
        <v>1</v>
      </c>
      <c r="E261" s="162">
        <v>2.5</v>
      </c>
      <c r="F261" s="162">
        <v>2.5</v>
      </c>
      <c r="G261" s="163"/>
      <c r="H261" s="163"/>
      <c r="I261" t="s" s="164">
        <v>496</v>
      </c>
    </row>
    <row r="262" ht="8.35" customHeight="1" hidden="1">
      <c r="A262" s="91"/>
      <c r="B262" t="s" s="159">
        <v>647</v>
      </c>
      <c r="C262" t="s" s="160">
        <v>32</v>
      </c>
      <c r="D262" s="161">
        <v>1</v>
      </c>
      <c r="E262" s="162">
        <v>2.5</v>
      </c>
      <c r="F262" s="162">
        <v>2.5</v>
      </c>
      <c r="G262" s="163"/>
      <c r="H262" s="163"/>
      <c r="I262" t="s" s="164">
        <v>348</v>
      </c>
    </row>
    <row r="263" ht="8.35" customHeight="1" hidden="1">
      <c r="A263" s="91"/>
      <c r="B263" t="s" s="159">
        <v>648</v>
      </c>
      <c r="C263" t="s" s="160">
        <v>32</v>
      </c>
      <c r="D263" s="161">
        <v>1</v>
      </c>
      <c r="E263" s="162">
        <v>2.1</v>
      </c>
      <c r="F263" s="162">
        <v>2.1</v>
      </c>
      <c r="G263" s="163"/>
      <c r="H263" s="163"/>
      <c r="I263" t="s" s="164">
        <v>496</v>
      </c>
    </row>
    <row r="264" ht="20.05" customHeight="1">
      <c r="A264" s="91"/>
      <c r="B264" t="s" s="159">
        <v>649</v>
      </c>
      <c r="C264" t="s" s="160">
        <v>32</v>
      </c>
      <c r="D264" s="161">
        <v>0</v>
      </c>
      <c r="E264" s="162">
        <v>2</v>
      </c>
      <c r="F264" s="162">
        <v>2.7</v>
      </c>
      <c r="G264" t="s" s="164">
        <v>383</v>
      </c>
      <c r="H264" t="s" s="164">
        <v>384</v>
      </c>
      <c r="I264" t="s" s="164">
        <v>602</v>
      </c>
    </row>
    <row r="265" ht="20.05" customHeight="1">
      <c r="A265" s="91"/>
      <c r="B265" t="s" s="165">
        <v>650</v>
      </c>
      <c r="C265" t="s" s="160">
        <v>32</v>
      </c>
      <c r="D265" s="161">
        <v>0</v>
      </c>
      <c r="E265" s="162">
        <v>2</v>
      </c>
      <c r="F265" s="162">
        <v>2.1</v>
      </c>
      <c r="G265" t="s" s="164">
        <v>522</v>
      </c>
      <c r="H265" t="s" s="164">
        <v>384</v>
      </c>
      <c r="I265" t="s" s="164">
        <v>602</v>
      </c>
    </row>
    <row r="266" ht="8.35" customHeight="1" hidden="1">
      <c r="A266" s="91"/>
      <c r="B266" t="s" s="159">
        <v>651</v>
      </c>
      <c r="C266" t="s" s="160">
        <v>32</v>
      </c>
      <c r="D266" s="161">
        <v>1</v>
      </c>
      <c r="E266" s="162">
        <v>2</v>
      </c>
      <c r="F266" s="162">
        <v>0.6</v>
      </c>
      <c r="G266" s="163"/>
      <c r="H266" s="163"/>
      <c r="I266" t="s" s="164">
        <v>496</v>
      </c>
    </row>
    <row r="267" ht="8.35" customHeight="1" hidden="1">
      <c r="A267" s="91"/>
      <c r="B267" t="s" s="159">
        <v>652</v>
      </c>
      <c r="C267" t="s" s="160">
        <v>32</v>
      </c>
      <c r="D267" s="161">
        <v>1</v>
      </c>
      <c r="E267" s="162">
        <v>2</v>
      </c>
      <c r="F267" s="162">
        <v>2</v>
      </c>
      <c r="G267" s="163"/>
      <c r="H267" s="163"/>
      <c r="I267" t="s" s="164">
        <v>496</v>
      </c>
    </row>
    <row r="268" ht="8.35" customHeight="1" hidden="1">
      <c r="A268" s="91"/>
      <c r="B268" t="s" s="159">
        <v>653</v>
      </c>
      <c r="C268" t="s" s="160">
        <v>32</v>
      </c>
      <c r="D268" s="166">
        <v>0.9</v>
      </c>
      <c r="E268" s="162">
        <v>1.9</v>
      </c>
      <c r="F268" s="162">
        <v>1.9</v>
      </c>
      <c r="G268" s="163"/>
      <c r="H268" s="163"/>
      <c r="I268" t="s" s="164">
        <v>496</v>
      </c>
    </row>
    <row r="269" ht="8.35" customHeight="1" hidden="1">
      <c r="A269" s="91"/>
      <c r="B269" t="s" s="159">
        <v>654</v>
      </c>
      <c r="C269" t="s" s="160">
        <v>32</v>
      </c>
      <c r="D269" s="166">
        <v>0.9</v>
      </c>
      <c r="E269" s="162">
        <v>1.7</v>
      </c>
      <c r="F269" s="162">
        <v>1.7</v>
      </c>
      <c r="G269" s="163"/>
      <c r="H269" s="163"/>
      <c r="I269" t="s" s="164">
        <v>496</v>
      </c>
    </row>
    <row r="270" ht="8.35" customHeight="1" hidden="1">
      <c r="A270" s="91"/>
      <c r="B270" t="s" s="159">
        <v>655</v>
      </c>
      <c r="C270" t="s" s="160">
        <v>32</v>
      </c>
      <c r="D270" s="161">
        <v>1</v>
      </c>
      <c r="E270" s="162">
        <v>1.7</v>
      </c>
      <c r="F270" s="162">
        <v>1.7</v>
      </c>
      <c r="G270" s="163"/>
      <c r="H270" s="163"/>
      <c r="I270" t="s" s="164">
        <v>496</v>
      </c>
    </row>
    <row r="271" ht="8.35" customHeight="1" hidden="1">
      <c r="A271" s="91"/>
      <c r="B271" t="s" s="159">
        <v>656</v>
      </c>
      <c r="C271" t="s" s="160">
        <v>32</v>
      </c>
      <c r="D271" s="166">
        <v>0.9</v>
      </c>
      <c r="E271" s="162">
        <v>1.5</v>
      </c>
      <c r="F271" s="162">
        <v>1.7</v>
      </c>
      <c r="G271" s="163"/>
      <c r="H271" s="163"/>
      <c r="I271" t="s" s="164">
        <v>496</v>
      </c>
    </row>
    <row r="272" ht="8.35" customHeight="1" hidden="1">
      <c r="A272" s="91"/>
      <c r="B272" t="s" s="159">
        <v>657</v>
      </c>
      <c r="C272" t="s" s="160">
        <v>32</v>
      </c>
      <c r="D272" s="161">
        <v>0.95</v>
      </c>
      <c r="E272" s="162">
        <v>1.5</v>
      </c>
      <c r="F272" s="162">
        <v>1.5</v>
      </c>
      <c r="G272" s="163"/>
      <c r="H272" s="163"/>
      <c r="I272" t="s" s="164">
        <v>496</v>
      </c>
    </row>
    <row r="273" ht="8.35" customHeight="1" hidden="1">
      <c r="A273" s="91"/>
      <c r="B273" t="s" s="159">
        <v>658</v>
      </c>
      <c r="C273" t="s" s="160">
        <v>32</v>
      </c>
      <c r="D273" s="161">
        <v>1</v>
      </c>
      <c r="E273" s="162">
        <v>1.5</v>
      </c>
      <c r="F273" s="162">
        <v>1.5</v>
      </c>
      <c r="G273" s="163"/>
      <c r="H273" s="163"/>
      <c r="I273" t="s" s="164">
        <v>379</v>
      </c>
    </row>
    <row r="274" ht="8.35" customHeight="1" hidden="1">
      <c r="A274" s="91"/>
      <c r="B274" t="s" s="159">
        <v>659</v>
      </c>
      <c r="C274" t="s" s="160">
        <v>32</v>
      </c>
      <c r="D274" s="161">
        <v>1</v>
      </c>
      <c r="E274" s="162">
        <v>1.5</v>
      </c>
      <c r="F274" s="162">
        <v>0.5</v>
      </c>
      <c r="G274" s="163"/>
      <c r="H274" s="163"/>
      <c r="I274" t="s" s="164">
        <v>496</v>
      </c>
    </row>
    <row r="275" ht="8.35" customHeight="1" hidden="1">
      <c r="A275" s="91"/>
      <c r="B275" t="s" s="159">
        <v>660</v>
      </c>
      <c r="C275" t="s" s="160">
        <v>32</v>
      </c>
      <c r="D275" s="161">
        <v>1</v>
      </c>
      <c r="E275" s="162">
        <v>1.4</v>
      </c>
      <c r="F275" s="162">
        <v>1.4</v>
      </c>
      <c r="G275" s="163"/>
      <c r="H275" s="163"/>
      <c r="I275" t="s" s="164">
        <v>496</v>
      </c>
    </row>
    <row r="276" ht="8.35" customHeight="1" hidden="1">
      <c r="A276" s="91"/>
      <c r="B276" t="s" s="159">
        <v>661</v>
      </c>
      <c r="C276" t="s" s="160">
        <v>32</v>
      </c>
      <c r="D276" s="161">
        <v>1</v>
      </c>
      <c r="E276" s="162">
        <v>1.4</v>
      </c>
      <c r="F276" s="162">
        <v>1.4</v>
      </c>
      <c r="G276" s="163"/>
      <c r="H276" s="163"/>
      <c r="I276" t="s" s="164">
        <v>496</v>
      </c>
    </row>
    <row r="277" ht="8.35" customHeight="1" hidden="1">
      <c r="A277" s="91"/>
      <c r="B277" t="s" s="159">
        <v>662</v>
      </c>
      <c r="C277" t="s" s="160">
        <v>32</v>
      </c>
      <c r="D277" s="161">
        <v>1</v>
      </c>
      <c r="E277" s="162">
        <v>1.2</v>
      </c>
      <c r="F277" s="162">
        <v>1.2</v>
      </c>
      <c r="G277" s="163"/>
      <c r="H277" s="163"/>
      <c r="I277" t="s" s="164">
        <v>379</v>
      </c>
    </row>
    <row r="278" ht="8.35" customHeight="1" hidden="1">
      <c r="A278" s="91"/>
      <c r="B278" t="s" s="159">
        <v>663</v>
      </c>
      <c r="C278" t="s" s="160">
        <v>32</v>
      </c>
      <c r="D278" s="161">
        <v>1</v>
      </c>
      <c r="E278" s="162">
        <v>1.1</v>
      </c>
      <c r="F278" s="162">
        <v>1.1</v>
      </c>
      <c r="G278" s="163"/>
      <c r="H278" s="163"/>
      <c r="I278" t="s" s="164">
        <v>496</v>
      </c>
    </row>
    <row r="279" ht="8.35" customHeight="1" hidden="1">
      <c r="A279" s="91"/>
      <c r="B279" t="s" s="159">
        <v>664</v>
      </c>
      <c r="C279" t="s" s="160">
        <v>32</v>
      </c>
      <c r="D279" s="161">
        <v>1</v>
      </c>
      <c r="E279" s="162">
        <v>1</v>
      </c>
      <c r="F279" s="162">
        <v>0.4</v>
      </c>
      <c r="G279" s="163"/>
      <c r="H279" s="163"/>
      <c r="I279" t="s" s="164">
        <v>496</v>
      </c>
    </row>
    <row r="280" ht="20.05" customHeight="1">
      <c r="A280" s="91"/>
      <c r="B280" t="s" s="165">
        <v>665</v>
      </c>
      <c r="C280" t="s" s="160">
        <v>32</v>
      </c>
      <c r="D280" s="161">
        <v>0</v>
      </c>
      <c r="E280" s="162">
        <v>1</v>
      </c>
      <c r="F280" s="162">
        <v>1.7</v>
      </c>
      <c r="G280" t="s" s="164">
        <v>666</v>
      </c>
      <c r="H280" t="s" s="164">
        <v>384</v>
      </c>
      <c r="I280" t="s" s="164">
        <v>602</v>
      </c>
    </row>
    <row r="281" ht="8.35" customHeight="1" hidden="1">
      <c r="A281" s="91"/>
      <c r="B281" t="s" s="159">
        <v>667</v>
      </c>
      <c r="C281" t="s" s="160">
        <v>32</v>
      </c>
      <c r="D281" s="161">
        <v>1</v>
      </c>
      <c r="E281" s="162">
        <v>1</v>
      </c>
      <c r="F281" s="162">
        <v>1.4</v>
      </c>
      <c r="G281" s="163"/>
      <c r="H281" s="163"/>
      <c r="I281" t="s" s="164">
        <v>475</v>
      </c>
    </row>
    <row r="282" ht="8.35" customHeight="1" hidden="1">
      <c r="A282" s="91"/>
      <c r="B282" t="s" s="159">
        <v>668</v>
      </c>
      <c r="C282" t="s" s="160">
        <v>32</v>
      </c>
      <c r="D282" s="161">
        <v>1</v>
      </c>
      <c r="E282" s="162">
        <v>1</v>
      </c>
      <c r="F282" s="162">
        <v>1.3</v>
      </c>
      <c r="G282" s="163"/>
      <c r="H282" s="163"/>
      <c r="I282" t="s" s="164">
        <v>475</v>
      </c>
    </row>
    <row r="283" ht="8.35" customHeight="1" hidden="1">
      <c r="A283" s="91"/>
      <c r="B283" t="s" s="159">
        <v>669</v>
      </c>
      <c r="C283" t="s" s="160">
        <v>32</v>
      </c>
      <c r="D283" s="161">
        <v>1</v>
      </c>
      <c r="E283" s="162">
        <v>1</v>
      </c>
      <c r="F283" s="162">
        <v>1.1</v>
      </c>
      <c r="G283" s="163"/>
      <c r="H283" s="163"/>
      <c r="I283" t="s" s="164">
        <v>475</v>
      </c>
    </row>
    <row r="284" ht="8.35" customHeight="1" hidden="1">
      <c r="A284" s="91"/>
      <c r="B284" t="s" s="159">
        <v>670</v>
      </c>
      <c r="C284" t="s" s="160">
        <v>32</v>
      </c>
      <c r="D284" s="161">
        <v>1</v>
      </c>
      <c r="E284" s="162">
        <v>1</v>
      </c>
      <c r="F284" s="162">
        <v>1.1</v>
      </c>
      <c r="G284" s="163"/>
      <c r="H284" s="163"/>
      <c r="I284" t="s" s="164">
        <v>496</v>
      </c>
    </row>
    <row r="285" ht="8.35" customHeight="1" hidden="1">
      <c r="A285" s="91"/>
      <c r="B285" t="s" s="159">
        <v>671</v>
      </c>
      <c r="C285" t="s" s="160">
        <v>32</v>
      </c>
      <c r="D285" s="161">
        <v>1</v>
      </c>
      <c r="E285" s="162">
        <v>1</v>
      </c>
      <c r="F285" s="162">
        <v>1</v>
      </c>
      <c r="G285" s="163"/>
      <c r="H285" s="163"/>
      <c r="I285" t="s" s="164">
        <v>496</v>
      </c>
    </row>
    <row r="286" ht="8.35" customHeight="1" hidden="1">
      <c r="A286" s="91"/>
      <c r="B286" t="s" s="159">
        <v>672</v>
      </c>
      <c r="C286" t="s" s="160">
        <v>32</v>
      </c>
      <c r="D286" s="161">
        <v>1</v>
      </c>
      <c r="E286" s="162">
        <v>1</v>
      </c>
      <c r="F286" s="162">
        <v>1</v>
      </c>
      <c r="G286" s="163"/>
      <c r="H286" s="163"/>
      <c r="I286" t="s" s="164">
        <v>496</v>
      </c>
    </row>
    <row r="287" ht="8.35" customHeight="1" hidden="1">
      <c r="A287" s="91"/>
      <c r="B287" t="s" s="159">
        <v>673</v>
      </c>
      <c r="C287" t="s" s="160">
        <v>32</v>
      </c>
      <c r="D287" s="161">
        <v>1</v>
      </c>
      <c r="E287" s="162">
        <v>1</v>
      </c>
      <c r="F287" s="162">
        <v>1</v>
      </c>
      <c r="G287" s="163"/>
      <c r="H287" s="163"/>
      <c r="I287" t="s" s="164">
        <v>496</v>
      </c>
    </row>
    <row r="288" ht="8.35" customHeight="1" hidden="1">
      <c r="A288" s="91"/>
      <c r="B288" t="s" s="159">
        <v>674</v>
      </c>
      <c r="C288" t="s" s="160">
        <v>32</v>
      </c>
      <c r="D288" s="161">
        <v>1</v>
      </c>
      <c r="E288" s="162">
        <v>1</v>
      </c>
      <c r="F288" s="162">
        <v>0.8</v>
      </c>
      <c r="G288" s="163"/>
      <c r="H288" s="163"/>
      <c r="I288" t="s" s="164">
        <v>496</v>
      </c>
    </row>
    <row r="289" ht="8.35" customHeight="1" hidden="1">
      <c r="A289" s="91"/>
      <c r="B289" t="s" s="159">
        <v>675</v>
      </c>
      <c r="C289" t="s" s="160">
        <v>32</v>
      </c>
      <c r="D289" s="161">
        <v>1</v>
      </c>
      <c r="E289" s="162">
        <v>1</v>
      </c>
      <c r="F289" s="162">
        <v>1</v>
      </c>
      <c r="G289" s="163"/>
      <c r="H289" s="163"/>
      <c r="I289" t="s" s="164">
        <v>496</v>
      </c>
    </row>
    <row r="290" ht="8.35" customHeight="1" hidden="1">
      <c r="A290" s="91"/>
      <c r="B290" t="s" s="159">
        <v>676</v>
      </c>
      <c r="C290" t="s" s="160">
        <v>32</v>
      </c>
      <c r="D290" s="161">
        <v>1</v>
      </c>
      <c r="E290" s="162">
        <v>1</v>
      </c>
      <c r="F290" s="162">
        <v>1</v>
      </c>
      <c r="G290" s="163"/>
      <c r="H290" s="163"/>
      <c r="I290" t="s" s="164">
        <v>496</v>
      </c>
    </row>
    <row r="291" ht="8.35" customHeight="1" hidden="1">
      <c r="A291" s="91"/>
      <c r="B291" t="s" s="159">
        <v>677</v>
      </c>
      <c r="C291" t="s" s="160">
        <v>32</v>
      </c>
      <c r="D291" s="161">
        <v>1</v>
      </c>
      <c r="E291" s="162">
        <v>0.9</v>
      </c>
      <c r="F291" s="162">
        <v>0.9</v>
      </c>
      <c r="G291" s="163"/>
      <c r="H291" s="163"/>
      <c r="I291" t="s" s="164">
        <v>496</v>
      </c>
    </row>
    <row r="292" ht="8.35" customHeight="1" hidden="1">
      <c r="A292" s="91"/>
      <c r="B292" t="s" s="159">
        <v>678</v>
      </c>
      <c r="C292" t="s" s="160">
        <v>32</v>
      </c>
      <c r="D292" s="161">
        <v>1</v>
      </c>
      <c r="E292" s="162">
        <v>0.9</v>
      </c>
      <c r="F292" s="162">
        <v>0.9</v>
      </c>
      <c r="G292" s="163"/>
      <c r="H292" s="163"/>
      <c r="I292" t="s" s="164">
        <v>496</v>
      </c>
    </row>
    <row r="293" ht="20.05" customHeight="1">
      <c r="A293" s="91"/>
      <c r="B293" t="s" s="159">
        <v>679</v>
      </c>
      <c r="C293" t="s" s="160">
        <v>32</v>
      </c>
      <c r="D293" s="161">
        <v>0</v>
      </c>
      <c r="E293" s="162">
        <v>0.8</v>
      </c>
      <c r="F293" s="162">
        <v>0.8</v>
      </c>
      <c r="G293" t="s" s="164">
        <v>383</v>
      </c>
      <c r="H293" t="s" s="164">
        <v>384</v>
      </c>
      <c r="I293" t="s" s="164">
        <v>680</v>
      </c>
    </row>
    <row r="294" ht="20.05" customHeight="1">
      <c r="A294" s="91"/>
      <c r="B294" t="s" s="159">
        <v>681</v>
      </c>
      <c r="C294" t="s" s="160">
        <v>32</v>
      </c>
      <c r="D294" s="161">
        <v>0</v>
      </c>
      <c r="E294" s="162">
        <v>0.8</v>
      </c>
      <c r="F294" s="162">
        <v>0.8</v>
      </c>
      <c r="G294" t="s" s="164">
        <v>383</v>
      </c>
      <c r="H294" t="s" s="164">
        <v>384</v>
      </c>
      <c r="I294" t="s" s="164">
        <v>593</v>
      </c>
    </row>
    <row r="295" ht="8.35" customHeight="1" hidden="1">
      <c r="A295" s="91"/>
      <c r="B295" t="s" s="159">
        <v>682</v>
      </c>
      <c r="C295" t="s" s="160">
        <v>32</v>
      </c>
      <c r="D295" s="161">
        <v>1</v>
      </c>
      <c r="E295" s="162">
        <v>0.8</v>
      </c>
      <c r="F295" s="162">
        <v>0.8</v>
      </c>
      <c r="G295" s="163"/>
      <c r="H295" s="163"/>
      <c r="I295" t="s" s="164">
        <v>496</v>
      </c>
    </row>
    <row r="296" ht="20.05" customHeight="1">
      <c r="A296" s="91"/>
      <c r="B296" t="s" s="159">
        <v>683</v>
      </c>
      <c r="C296" t="s" s="160">
        <v>32</v>
      </c>
      <c r="D296" s="161">
        <v>0</v>
      </c>
      <c r="E296" s="162">
        <v>0.8</v>
      </c>
      <c r="F296" s="162">
        <v>0.8</v>
      </c>
      <c r="G296" t="s" s="164">
        <v>383</v>
      </c>
      <c r="H296" t="s" s="164">
        <v>384</v>
      </c>
      <c r="I296" t="s" s="164">
        <v>593</v>
      </c>
    </row>
    <row r="297" ht="8.35" customHeight="1" hidden="1">
      <c r="A297" s="91"/>
      <c r="B297" t="s" s="159">
        <v>684</v>
      </c>
      <c r="C297" t="s" s="160">
        <v>32</v>
      </c>
      <c r="D297" s="166">
        <v>0.9</v>
      </c>
      <c r="E297" s="162">
        <v>0.8</v>
      </c>
      <c r="F297" s="162">
        <v>0.8</v>
      </c>
      <c r="G297" s="163"/>
      <c r="H297" s="163"/>
      <c r="I297" t="s" s="164">
        <v>496</v>
      </c>
    </row>
    <row r="298" ht="8.35" customHeight="1" hidden="1">
      <c r="A298" s="91"/>
      <c r="B298" t="s" s="159">
        <v>685</v>
      </c>
      <c r="C298" t="s" s="160">
        <v>32</v>
      </c>
      <c r="D298" s="166">
        <v>0.9</v>
      </c>
      <c r="E298" s="162">
        <v>0.8</v>
      </c>
      <c r="F298" s="162">
        <v>0.8</v>
      </c>
      <c r="G298" s="163"/>
      <c r="H298" s="163"/>
      <c r="I298" t="s" s="164">
        <v>496</v>
      </c>
    </row>
    <row r="299" ht="8.35" customHeight="1" hidden="1">
      <c r="A299" s="91"/>
      <c r="B299" t="s" s="159">
        <v>686</v>
      </c>
      <c r="C299" t="s" s="160">
        <v>32</v>
      </c>
      <c r="D299" s="161">
        <v>1</v>
      </c>
      <c r="E299" s="162">
        <v>0.8</v>
      </c>
      <c r="F299" s="162">
        <v>0.8</v>
      </c>
      <c r="G299" s="163"/>
      <c r="H299" s="163"/>
      <c r="I299" t="s" s="164">
        <v>496</v>
      </c>
    </row>
    <row r="300" ht="8.35" customHeight="1" hidden="1">
      <c r="A300" s="91"/>
      <c r="B300" t="s" s="159">
        <v>687</v>
      </c>
      <c r="C300" t="s" s="160">
        <v>32</v>
      </c>
      <c r="D300" s="161">
        <v>1</v>
      </c>
      <c r="E300" s="162">
        <v>0.8</v>
      </c>
      <c r="F300" s="162">
        <v>0.8</v>
      </c>
      <c r="G300" s="163"/>
      <c r="H300" s="163"/>
      <c r="I300" t="s" s="164">
        <v>475</v>
      </c>
    </row>
    <row r="301" ht="8.35" customHeight="1" hidden="1">
      <c r="A301" s="91"/>
      <c r="B301" t="s" s="159">
        <v>688</v>
      </c>
      <c r="C301" t="s" s="160">
        <v>32</v>
      </c>
      <c r="D301" s="161">
        <v>1</v>
      </c>
      <c r="E301" s="162">
        <v>0.7</v>
      </c>
      <c r="F301" s="162">
        <v>0.7</v>
      </c>
      <c r="G301" s="163"/>
      <c r="H301" s="163"/>
      <c r="I301" t="s" s="164">
        <v>496</v>
      </c>
    </row>
    <row r="302" ht="8.35" customHeight="1" hidden="1">
      <c r="A302" s="91"/>
      <c r="B302" t="s" s="159">
        <v>689</v>
      </c>
      <c r="C302" t="s" s="160">
        <v>32</v>
      </c>
      <c r="D302" s="161">
        <v>1</v>
      </c>
      <c r="E302" s="162">
        <v>0.7</v>
      </c>
      <c r="F302" s="162">
        <v>0.7</v>
      </c>
      <c r="G302" s="163"/>
      <c r="H302" s="163"/>
      <c r="I302" t="s" s="164">
        <v>496</v>
      </c>
    </row>
    <row r="303" ht="8.35" customHeight="1" hidden="1">
      <c r="A303" s="91"/>
      <c r="B303" t="s" s="159">
        <v>690</v>
      </c>
      <c r="C303" t="s" s="160">
        <v>32</v>
      </c>
      <c r="D303" s="161">
        <v>1</v>
      </c>
      <c r="E303" s="162">
        <v>0.7</v>
      </c>
      <c r="F303" s="162">
        <v>0.7</v>
      </c>
      <c r="G303" s="163"/>
      <c r="H303" s="163"/>
      <c r="I303" t="s" s="164">
        <v>496</v>
      </c>
    </row>
    <row r="304" ht="8.35" customHeight="1" hidden="1">
      <c r="A304" s="91"/>
      <c r="B304" t="s" s="159">
        <v>691</v>
      </c>
      <c r="C304" t="s" s="160">
        <v>32</v>
      </c>
      <c r="D304" s="161">
        <v>1</v>
      </c>
      <c r="E304" s="162">
        <v>0.7</v>
      </c>
      <c r="F304" s="162">
        <v>0.7</v>
      </c>
      <c r="G304" s="163"/>
      <c r="H304" s="163"/>
      <c r="I304" t="s" s="164">
        <v>496</v>
      </c>
    </row>
    <row r="305" ht="8.35" customHeight="1" hidden="1">
      <c r="A305" s="91"/>
      <c r="B305" t="s" s="159">
        <v>692</v>
      </c>
      <c r="C305" t="s" s="160">
        <v>32</v>
      </c>
      <c r="D305" s="161">
        <v>1</v>
      </c>
      <c r="E305" s="162">
        <v>0.6</v>
      </c>
      <c r="F305" s="162">
        <v>0.6</v>
      </c>
      <c r="G305" s="163"/>
      <c r="H305" s="163"/>
      <c r="I305" t="s" s="164">
        <v>496</v>
      </c>
    </row>
    <row r="306" ht="8.35" customHeight="1" hidden="1">
      <c r="A306" s="91"/>
      <c r="B306" t="s" s="159">
        <v>693</v>
      </c>
      <c r="C306" t="s" s="160">
        <v>32</v>
      </c>
      <c r="D306" s="161">
        <v>1</v>
      </c>
      <c r="E306" s="162">
        <v>0.6</v>
      </c>
      <c r="F306" s="162">
        <v>0.6</v>
      </c>
      <c r="G306" s="163"/>
      <c r="H306" s="163"/>
      <c r="I306" t="s" s="164">
        <v>496</v>
      </c>
    </row>
    <row r="307" ht="20.05" customHeight="1">
      <c r="A307" s="91"/>
      <c r="B307" t="s" s="159">
        <v>694</v>
      </c>
      <c r="C307" t="s" s="160">
        <v>32</v>
      </c>
      <c r="D307" s="161">
        <v>0</v>
      </c>
      <c r="E307" s="162">
        <v>0.5</v>
      </c>
      <c r="F307" s="162">
        <v>8.1</v>
      </c>
      <c r="G307" t="s" s="164">
        <v>383</v>
      </c>
      <c r="H307" t="s" s="164">
        <v>384</v>
      </c>
      <c r="I307" t="s" s="164">
        <v>593</v>
      </c>
    </row>
    <row r="308" ht="20.05" customHeight="1">
      <c r="A308" s="91"/>
      <c r="B308" t="s" s="159">
        <v>695</v>
      </c>
      <c r="C308" t="s" s="160">
        <v>32</v>
      </c>
      <c r="D308" s="161">
        <v>0</v>
      </c>
      <c r="E308" s="162">
        <v>0.5</v>
      </c>
      <c r="F308" s="162">
        <v>0.5</v>
      </c>
      <c r="G308" t="s" s="164">
        <v>383</v>
      </c>
      <c r="H308" t="s" s="164">
        <v>384</v>
      </c>
      <c r="I308" t="s" s="164">
        <v>593</v>
      </c>
    </row>
    <row r="309" ht="8.35" customHeight="1" hidden="1">
      <c r="A309" s="91"/>
      <c r="B309" t="s" s="159">
        <v>696</v>
      </c>
      <c r="C309" t="s" s="160">
        <v>32</v>
      </c>
      <c r="D309" s="161">
        <v>1</v>
      </c>
      <c r="E309" s="162">
        <v>0.5</v>
      </c>
      <c r="F309" s="162">
        <v>0.7</v>
      </c>
      <c r="G309" s="163"/>
      <c r="H309" s="163"/>
      <c r="I309" t="s" s="164">
        <v>496</v>
      </c>
    </row>
    <row r="310" ht="8.35" customHeight="1" hidden="1">
      <c r="A310" s="91"/>
      <c r="B310" t="s" s="159">
        <v>697</v>
      </c>
      <c r="C310" t="s" s="160">
        <v>32</v>
      </c>
      <c r="D310" s="161">
        <v>1</v>
      </c>
      <c r="E310" s="162">
        <v>0.5</v>
      </c>
      <c r="F310" s="162">
        <v>0.5</v>
      </c>
      <c r="G310" s="163"/>
      <c r="H310" s="163"/>
      <c r="I310" t="s" s="164">
        <v>496</v>
      </c>
    </row>
    <row r="311" ht="8.35" customHeight="1" hidden="1">
      <c r="A311" s="91"/>
      <c r="B311" t="s" s="159">
        <v>698</v>
      </c>
      <c r="C311" t="s" s="160">
        <v>32</v>
      </c>
      <c r="D311" s="161">
        <v>1</v>
      </c>
      <c r="E311" s="162">
        <v>0.5</v>
      </c>
      <c r="F311" s="162">
        <v>0.5</v>
      </c>
      <c r="G311" s="163"/>
      <c r="H311" s="163"/>
      <c r="I311" t="s" s="164">
        <v>348</v>
      </c>
    </row>
    <row r="312" ht="8.35" customHeight="1" hidden="1">
      <c r="A312" s="91"/>
      <c r="B312" t="s" s="159">
        <v>699</v>
      </c>
      <c r="C312" t="s" s="160">
        <v>32</v>
      </c>
      <c r="D312" s="161">
        <v>1</v>
      </c>
      <c r="E312" s="162">
        <v>0.5</v>
      </c>
      <c r="F312" s="162">
        <v>0.5</v>
      </c>
      <c r="G312" s="163"/>
      <c r="H312" s="163"/>
      <c r="I312" t="s" s="164">
        <v>348</v>
      </c>
    </row>
    <row r="313" ht="20.05" customHeight="1">
      <c r="A313" s="91"/>
      <c r="B313" t="s" s="159">
        <v>700</v>
      </c>
      <c r="C313" t="s" s="160">
        <v>32</v>
      </c>
      <c r="D313" s="161">
        <v>0</v>
      </c>
      <c r="E313" s="162">
        <v>0.4</v>
      </c>
      <c r="F313" s="162">
        <v>0.4</v>
      </c>
      <c r="G313" t="s" s="164">
        <v>383</v>
      </c>
      <c r="H313" t="s" s="164">
        <v>384</v>
      </c>
      <c r="I313" t="s" s="164">
        <v>593</v>
      </c>
    </row>
    <row r="314" ht="8.35" customHeight="1" hidden="1">
      <c r="A314" s="91"/>
      <c r="B314" t="s" s="159">
        <v>701</v>
      </c>
      <c r="C314" t="s" s="160">
        <v>32</v>
      </c>
      <c r="D314" s="161">
        <v>1</v>
      </c>
      <c r="E314" s="162">
        <v>0.3</v>
      </c>
      <c r="F314" s="162">
        <v>0.3</v>
      </c>
      <c r="G314" s="163"/>
      <c r="H314" s="163"/>
      <c r="I314" t="s" s="164">
        <v>496</v>
      </c>
    </row>
    <row r="315" ht="20.05" customHeight="1">
      <c r="A315" s="91"/>
      <c r="B315" t="s" s="159">
        <v>702</v>
      </c>
      <c r="C315" t="s" s="160">
        <v>32</v>
      </c>
      <c r="D315" s="161">
        <v>0</v>
      </c>
      <c r="E315" s="162">
        <v>0.3</v>
      </c>
      <c r="F315" s="162">
        <v>4.8</v>
      </c>
      <c r="G315" t="s" s="164">
        <v>383</v>
      </c>
      <c r="H315" t="s" s="164">
        <v>384</v>
      </c>
      <c r="I315" t="s" s="164">
        <v>593</v>
      </c>
    </row>
    <row r="316" ht="20.05" customHeight="1">
      <c r="A316" s="91"/>
      <c r="B316" t="s" s="159">
        <v>703</v>
      </c>
      <c r="C316" t="s" s="160">
        <v>32</v>
      </c>
      <c r="D316" s="161">
        <v>0</v>
      </c>
      <c r="E316" s="162">
        <v>0.3</v>
      </c>
      <c r="F316" s="162">
        <v>3.7</v>
      </c>
      <c r="G316" t="s" s="164">
        <v>383</v>
      </c>
      <c r="H316" t="s" s="164">
        <v>384</v>
      </c>
      <c r="I316" t="s" s="164">
        <v>593</v>
      </c>
    </row>
    <row r="317" ht="8.35" customHeight="1" hidden="1">
      <c r="A317" s="91"/>
      <c r="B317" t="s" s="159">
        <v>704</v>
      </c>
      <c r="C317" t="s" s="160">
        <v>32</v>
      </c>
      <c r="D317" s="161">
        <v>1</v>
      </c>
      <c r="E317" s="162">
        <v>0.3</v>
      </c>
      <c r="F317" s="162">
        <v>0.3</v>
      </c>
      <c r="G317" s="163"/>
      <c r="H317" s="163"/>
      <c r="I317" t="s" s="164">
        <v>496</v>
      </c>
    </row>
    <row r="318" ht="8.35" customHeight="1" hidden="1">
      <c r="A318" s="91"/>
      <c r="B318" t="s" s="159">
        <v>705</v>
      </c>
      <c r="C318" t="s" s="160">
        <v>32</v>
      </c>
      <c r="D318" s="161">
        <v>1</v>
      </c>
      <c r="E318" s="162">
        <v>0.2</v>
      </c>
      <c r="F318" s="162">
        <v>0.2</v>
      </c>
      <c r="G318" s="163"/>
      <c r="H318" s="163"/>
      <c r="I318" t="s" s="164">
        <v>496</v>
      </c>
    </row>
    <row r="319" ht="8.35" customHeight="1" hidden="1">
      <c r="A319" s="91"/>
      <c r="B319" t="s" s="159">
        <v>706</v>
      </c>
      <c r="C319" t="s" s="160">
        <v>32</v>
      </c>
      <c r="D319" s="161">
        <v>1</v>
      </c>
      <c r="E319" s="162">
        <v>0.2</v>
      </c>
      <c r="F319" s="162">
        <v>0.2</v>
      </c>
      <c r="G319" s="163"/>
      <c r="H319" s="163"/>
      <c r="I319" t="s" s="164">
        <v>496</v>
      </c>
    </row>
    <row r="320" ht="8.35" customHeight="1" hidden="1">
      <c r="A320" s="91"/>
      <c r="B320" t="s" s="159">
        <v>707</v>
      </c>
      <c r="C320" t="s" s="160">
        <v>32</v>
      </c>
      <c r="D320" s="161">
        <v>1</v>
      </c>
      <c r="E320" s="162">
        <v>0.1</v>
      </c>
      <c r="F320" s="162">
        <v>0.1</v>
      </c>
      <c r="G320" s="163"/>
      <c r="H320" s="163"/>
      <c r="I320" t="s" s="164">
        <v>496</v>
      </c>
    </row>
    <row r="321" ht="8.35" customHeight="1" hidden="1">
      <c r="A321" s="91"/>
      <c r="B321" t="s" s="159">
        <v>708</v>
      </c>
      <c r="C321" t="s" s="160">
        <v>32</v>
      </c>
      <c r="D321" s="161">
        <v>1</v>
      </c>
      <c r="E321" s="162">
        <v>0.1</v>
      </c>
      <c r="F321" s="162">
        <v>0.1</v>
      </c>
      <c r="G321" s="163"/>
      <c r="H321" s="163"/>
      <c r="I321" t="s" s="164">
        <v>496</v>
      </c>
    </row>
    <row r="322" ht="20.85" customHeight="1">
      <c r="A322" s="94"/>
      <c r="B322" t="s" s="168">
        <v>709</v>
      </c>
      <c r="C322" t="s" s="169">
        <v>32</v>
      </c>
      <c r="D322" s="170">
        <v>0</v>
      </c>
      <c r="E322" s="171">
        <v>0.3</v>
      </c>
      <c r="F322" s="171">
        <v>0.1</v>
      </c>
      <c r="G322" t="s" s="172">
        <v>383</v>
      </c>
      <c r="H322" t="s" s="172">
        <v>384</v>
      </c>
      <c r="I322" t="s" s="172">
        <v>680</v>
      </c>
    </row>
    <row r="323" ht="20.85" customHeight="1">
      <c r="A323" t="s" s="157">
        <v>33</v>
      </c>
      <c r="B323" s="158"/>
      <c r="C323" s="158"/>
      <c r="D323" s="158"/>
      <c r="E323" s="158"/>
      <c r="F323" s="158"/>
      <c r="G323" s="158"/>
      <c r="H323" s="158"/>
      <c r="I323" s="158"/>
    </row>
    <row r="324" ht="8.35" customHeight="1" hidden="1">
      <c r="A324" s="91"/>
      <c r="B324" t="s" s="159">
        <v>710</v>
      </c>
      <c r="C324" t="s" s="160">
        <v>33</v>
      </c>
      <c r="D324" s="166">
        <v>0.8</v>
      </c>
      <c r="E324" s="162">
        <v>13.8</v>
      </c>
      <c r="F324" s="162">
        <v>13.8</v>
      </c>
      <c r="G324" s="163"/>
      <c r="H324" s="163"/>
      <c r="I324" t="s" s="164">
        <v>348</v>
      </c>
    </row>
    <row r="325" ht="8.35" customHeight="1" hidden="1">
      <c r="A325" s="91"/>
      <c r="B325" t="s" s="159">
        <v>711</v>
      </c>
      <c r="C325" t="s" s="160">
        <v>33</v>
      </c>
      <c r="D325" s="161">
        <v>1</v>
      </c>
      <c r="E325" s="162">
        <v>10</v>
      </c>
      <c r="F325" s="162">
        <v>3.7</v>
      </c>
      <c r="G325" s="163"/>
      <c r="H325" s="163"/>
      <c r="I325" t="s" s="164">
        <v>496</v>
      </c>
    </row>
    <row r="326" ht="8.35" customHeight="1" hidden="1">
      <c r="A326" s="91"/>
      <c r="B326" t="s" s="159">
        <v>712</v>
      </c>
      <c r="C326" t="s" s="160">
        <v>33</v>
      </c>
      <c r="D326" s="161">
        <v>1</v>
      </c>
      <c r="E326" s="162">
        <v>10</v>
      </c>
      <c r="F326" s="162">
        <v>3.4</v>
      </c>
      <c r="G326" s="163"/>
      <c r="H326" s="163"/>
      <c r="I326" t="s" s="164">
        <v>496</v>
      </c>
    </row>
    <row r="327" ht="8.35" customHeight="1" hidden="1">
      <c r="A327" s="91"/>
      <c r="B327" t="s" s="159">
        <v>713</v>
      </c>
      <c r="C327" t="s" s="160">
        <v>33</v>
      </c>
      <c r="D327" s="161">
        <v>1</v>
      </c>
      <c r="E327" s="162">
        <v>10</v>
      </c>
      <c r="F327" s="162">
        <v>7.1</v>
      </c>
      <c r="G327" s="163"/>
      <c r="H327" s="163"/>
      <c r="I327" t="s" s="164">
        <v>496</v>
      </c>
    </row>
    <row r="328" ht="8.35" customHeight="1" hidden="1">
      <c r="A328" s="91"/>
      <c r="B328" t="s" s="159">
        <v>714</v>
      </c>
      <c r="C328" t="s" s="160">
        <v>33</v>
      </c>
      <c r="D328" s="161">
        <v>1</v>
      </c>
      <c r="E328" s="162">
        <v>10</v>
      </c>
      <c r="F328" s="162">
        <v>2.1</v>
      </c>
      <c r="G328" s="163"/>
      <c r="H328" s="163"/>
      <c r="I328" t="s" s="164">
        <v>348</v>
      </c>
    </row>
    <row r="329" ht="8.35" customHeight="1" hidden="1">
      <c r="A329" s="91"/>
      <c r="B329" t="s" s="159">
        <v>715</v>
      </c>
      <c r="C329" t="s" s="160">
        <v>33</v>
      </c>
      <c r="D329" s="161">
        <v>1</v>
      </c>
      <c r="E329" s="162">
        <v>10</v>
      </c>
      <c r="F329" s="162">
        <v>1.4</v>
      </c>
      <c r="G329" s="163"/>
      <c r="H329" s="163"/>
      <c r="I329" t="s" s="164">
        <v>348</v>
      </c>
    </row>
    <row r="330" ht="8.35" customHeight="1" hidden="1">
      <c r="A330" s="91"/>
      <c r="B330" t="s" s="159">
        <v>716</v>
      </c>
      <c r="C330" t="s" s="160">
        <v>33</v>
      </c>
      <c r="D330" s="161">
        <v>1</v>
      </c>
      <c r="E330" s="162">
        <v>9</v>
      </c>
      <c r="F330" s="162">
        <v>6.8</v>
      </c>
      <c r="G330" s="163"/>
      <c r="H330" s="163"/>
      <c r="I330" t="s" s="164">
        <v>496</v>
      </c>
    </row>
    <row r="331" ht="8.35" customHeight="1" hidden="1">
      <c r="A331" s="91"/>
      <c r="B331" t="s" s="159">
        <v>717</v>
      </c>
      <c r="C331" t="s" s="160">
        <v>33</v>
      </c>
      <c r="D331" s="161">
        <v>1</v>
      </c>
      <c r="E331" s="162">
        <v>8</v>
      </c>
      <c r="F331" s="162">
        <v>7.7</v>
      </c>
      <c r="G331" s="163"/>
      <c r="H331" s="163"/>
      <c r="I331" t="s" s="164">
        <v>496</v>
      </c>
    </row>
    <row r="332" ht="8.35" customHeight="1" hidden="1">
      <c r="A332" s="91"/>
      <c r="B332" t="s" s="159">
        <v>718</v>
      </c>
      <c r="C332" t="s" s="160">
        <v>33</v>
      </c>
      <c r="D332" s="161">
        <v>1</v>
      </c>
      <c r="E332" s="162">
        <v>8</v>
      </c>
      <c r="F332" s="162">
        <v>1.8</v>
      </c>
      <c r="G332" s="163"/>
      <c r="H332" s="163"/>
      <c r="I332" t="s" s="164">
        <v>496</v>
      </c>
    </row>
    <row r="333" ht="8.35" customHeight="1" hidden="1">
      <c r="A333" s="91"/>
      <c r="B333" t="s" s="159">
        <v>719</v>
      </c>
      <c r="C333" t="s" s="160">
        <v>33</v>
      </c>
      <c r="D333" s="161">
        <v>1</v>
      </c>
      <c r="E333" s="162">
        <v>7.7</v>
      </c>
      <c r="F333" s="162">
        <v>5.7</v>
      </c>
      <c r="G333" s="163"/>
      <c r="H333" s="163"/>
      <c r="I333" t="s" s="164">
        <v>496</v>
      </c>
    </row>
    <row r="334" ht="8.35" customHeight="1" hidden="1">
      <c r="A334" s="91"/>
      <c r="B334" t="s" s="159">
        <v>720</v>
      </c>
      <c r="C334" t="s" s="160">
        <v>33</v>
      </c>
      <c r="D334" s="161">
        <v>1</v>
      </c>
      <c r="E334" s="162">
        <v>7</v>
      </c>
      <c r="F334" s="162">
        <v>2.1</v>
      </c>
      <c r="G334" s="163"/>
      <c r="H334" s="163"/>
      <c r="I334" t="s" s="164">
        <v>496</v>
      </c>
    </row>
    <row r="335" ht="8.35" customHeight="1" hidden="1">
      <c r="A335" s="91"/>
      <c r="B335" t="s" s="159">
        <v>721</v>
      </c>
      <c r="C335" t="s" s="160">
        <v>33</v>
      </c>
      <c r="D335" s="161">
        <v>1</v>
      </c>
      <c r="E335" s="162">
        <v>7</v>
      </c>
      <c r="F335" s="162">
        <v>4.8</v>
      </c>
      <c r="G335" s="163"/>
      <c r="H335" s="163"/>
      <c r="I335" t="s" s="164">
        <v>469</v>
      </c>
    </row>
    <row r="336" ht="8.35" customHeight="1" hidden="1">
      <c r="A336" s="91"/>
      <c r="B336" t="s" s="159">
        <v>722</v>
      </c>
      <c r="C336" t="s" s="160">
        <v>33</v>
      </c>
      <c r="D336" s="161">
        <v>1</v>
      </c>
      <c r="E336" s="162">
        <v>7</v>
      </c>
      <c r="F336" s="162">
        <v>4.2</v>
      </c>
      <c r="G336" s="163"/>
      <c r="H336" s="163"/>
      <c r="I336" t="s" s="164">
        <v>496</v>
      </c>
    </row>
    <row r="337" ht="8.35" customHeight="1" hidden="1">
      <c r="A337" s="91"/>
      <c r="B337" t="s" s="159">
        <v>723</v>
      </c>
      <c r="C337" t="s" s="160">
        <v>33</v>
      </c>
      <c r="D337" s="161">
        <v>1</v>
      </c>
      <c r="E337" s="162">
        <v>7</v>
      </c>
      <c r="F337" s="162">
        <v>2.2</v>
      </c>
      <c r="G337" s="163"/>
      <c r="H337" s="163"/>
      <c r="I337" t="s" s="164">
        <v>496</v>
      </c>
    </row>
    <row r="338" ht="8.35" customHeight="1" hidden="1">
      <c r="A338" s="91"/>
      <c r="B338" t="s" s="159">
        <v>724</v>
      </c>
      <c r="C338" t="s" s="160">
        <v>33</v>
      </c>
      <c r="D338" s="161">
        <v>1</v>
      </c>
      <c r="E338" s="162">
        <v>7</v>
      </c>
      <c r="F338" s="162">
        <v>1.8</v>
      </c>
      <c r="G338" s="163"/>
      <c r="H338" s="163"/>
      <c r="I338" t="s" s="164">
        <v>496</v>
      </c>
    </row>
    <row r="339" ht="8.35" customHeight="1" hidden="1">
      <c r="A339" s="91"/>
      <c r="B339" t="s" s="159">
        <v>725</v>
      </c>
      <c r="C339" t="s" s="160">
        <v>33</v>
      </c>
      <c r="D339" s="161">
        <v>1</v>
      </c>
      <c r="E339" s="162">
        <v>6</v>
      </c>
      <c r="F339" s="162">
        <v>0.9</v>
      </c>
      <c r="G339" s="163"/>
      <c r="H339" s="163"/>
      <c r="I339" t="s" s="164">
        <v>348</v>
      </c>
    </row>
    <row r="340" ht="8.35" customHeight="1" hidden="1">
      <c r="A340" s="91"/>
      <c r="B340" t="s" s="159">
        <v>726</v>
      </c>
      <c r="C340" t="s" s="160">
        <v>33</v>
      </c>
      <c r="D340" s="161">
        <v>1</v>
      </c>
      <c r="E340" s="162">
        <v>6</v>
      </c>
      <c r="F340" s="162">
        <v>5.8</v>
      </c>
      <c r="G340" s="163"/>
      <c r="H340" s="163"/>
      <c r="I340" t="s" s="164">
        <v>496</v>
      </c>
    </row>
    <row r="341" ht="8.35" customHeight="1" hidden="1">
      <c r="A341" s="91"/>
      <c r="B341" t="s" s="159">
        <v>727</v>
      </c>
      <c r="C341" t="s" s="160">
        <v>33</v>
      </c>
      <c r="D341" s="161">
        <v>1</v>
      </c>
      <c r="E341" s="162">
        <v>6</v>
      </c>
      <c r="F341" s="162">
        <v>5.6</v>
      </c>
      <c r="G341" s="163"/>
      <c r="H341" s="163"/>
      <c r="I341" t="s" s="164">
        <v>496</v>
      </c>
    </row>
    <row r="342" ht="8.35" customHeight="1" hidden="1">
      <c r="A342" s="91"/>
      <c r="B342" t="s" s="159">
        <v>728</v>
      </c>
      <c r="C342" t="s" s="160">
        <v>33</v>
      </c>
      <c r="D342" s="161">
        <v>1</v>
      </c>
      <c r="E342" s="162">
        <v>6</v>
      </c>
      <c r="F342" s="162">
        <v>5.5</v>
      </c>
      <c r="G342" s="163"/>
      <c r="H342" s="163"/>
      <c r="I342" t="s" s="164">
        <v>496</v>
      </c>
    </row>
    <row r="343" ht="8.35" customHeight="1" hidden="1">
      <c r="A343" s="91"/>
      <c r="B343" t="s" s="159">
        <v>729</v>
      </c>
      <c r="C343" t="s" s="160">
        <v>33</v>
      </c>
      <c r="D343" s="161">
        <v>1</v>
      </c>
      <c r="E343" s="162">
        <v>6</v>
      </c>
      <c r="F343" s="162">
        <v>1.3</v>
      </c>
      <c r="G343" s="163"/>
      <c r="H343" s="163"/>
      <c r="I343" t="s" s="164">
        <v>496</v>
      </c>
    </row>
    <row r="344" ht="8.35" customHeight="1" hidden="1">
      <c r="A344" s="91"/>
      <c r="B344" t="s" s="159">
        <v>730</v>
      </c>
      <c r="C344" t="s" s="160">
        <v>33</v>
      </c>
      <c r="D344" s="161">
        <v>1</v>
      </c>
      <c r="E344" s="162">
        <v>5.9</v>
      </c>
      <c r="F344" s="162">
        <v>3.9</v>
      </c>
      <c r="G344" s="163"/>
      <c r="H344" s="163"/>
      <c r="I344" t="s" s="164">
        <v>469</v>
      </c>
    </row>
    <row r="345" ht="8.35" customHeight="1" hidden="1">
      <c r="A345" s="91"/>
      <c r="B345" t="s" s="159">
        <v>731</v>
      </c>
      <c r="C345" t="s" s="160">
        <v>33</v>
      </c>
      <c r="D345" s="161">
        <v>1</v>
      </c>
      <c r="E345" s="162">
        <v>5.8</v>
      </c>
      <c r="F345" s="162">
        <v>5.8</v>
      </c>
      <c r="G345" s="163"/>
      <c r="H345" s="163"/>
      <c r="I345" t="s" s="164">
        <v>496</v>
      </c>
    </row>
    <row r="346" ht="8.35" customHeight="1" hidden="1">
      <c r="A346" s="91"/>
      <c r="B346" t="s" s="159">
        <v>732</v>
      </c>
      <c r="C346" t="s" s="160">
        <v>33</v>
      </c>
      <c r="D346" s="161">
        <v>1</v>
      </c>
      <c r="E346" s="162">
        <v>5.3</v>
      </c>
      <c r="F346" s="162">
        <v>5.3</v>
      </c>
      <c r="G346" s="163"/>
      <c r="H346" s="163"/>
      <c r="I346" t="s" s="164">
        <v>496</v>
      </c>
    </row>
    <row r="347" ht="20.05" customHeight="1">
      <c r="A347" s="91"/>
      <c r="B347" t="s" s="165">
        <v>733</v>
      </c>
      <c r="C347" t="s" s="160">
        <v>33</v>
      </c>
      <c r="D347" s="161">
        <v>0</v>
      </c>
      <c r="E347" s="162">
        <v>5</v>
      </c>
      <c r="F347" s="162">
        <v>3.9</v>
      </c>
      <c r="G347" t="s" s="164">
        <v>383</v>
      </c>
      <c r="H347" t="s" s="164">
        <v>734</v>
      </c>
      <c r="I347" t="s" s="164">
        <v>735</v>
      </c>
    </row>
    <row r="348" ht="20.05" customHeight="1">
      <c r="A348" s="91"/>
      <c r="B348" t="s" s="165">
        <v>641</v>
      </c>
      <c r="C348" t="s" s="160">
        <v>33</v>
      </c>
      <c r="D348" s="161">
        <v>0</v>
      </c>
      <c r="E348" s="162">
        <v>5</v>
      </c>
      <c r="F348" s="162">
        <v>0.5</v>
      </c>
      <c r="G348" t="s" s="164">
        <v>383</v>
      </c>
      <c r="H348" t="s" s="164">
        <v>384</v>
      </c>
      <c r="I348" t="s" s="164">
        <v>735</v>
      </c>
    </row>
    <row r="349" ht="8.35" customHeight="1" hidden="1">
      <c r="A349" s="91"/>
      <c r="B349" t="s" s="159">
        <v>736</v>
      </c>
      <c r="C349" t="s" s="160">
        <v>33</v>
      </c>
      <c r="D349" s="161">
        <v>1</v>
      </c>
      <c r="E349" s="162">
        <v>5</v>
      </c>
      <c r="F349" s="162">
        <v>4.3</v>
      </c>
      <c r="G349" s="163"/>
      <c r="H349" s="163"/>
      <c r="I349" t="s" s="164">
        <v>469</v>
      </c>
    </row>
    <row r="350" ht="8.35" customHeight="1" hidden="1">
      <c r="A350" s="91"/>
      <c r="B350" t="s" s="159">
        <v>737</v>
      </c>
      <c r="C350" t="s" s="160">
        <v>33</v>
      </c>
      <c r="D350" s="161">
        <v>1</v>
      </c>
      <c r="E350" s="162">
        <v>5</v>
      </c>
      <c r="F350" s="162">
        <v>5.6</v>
      </c>
      <c r="G350" s="163"/>
      <c r="H350" s="163"/>
      <c r="I350" t="s" s="164">
        <v>496</v>
      </c>
    </row>
    <row r="351" ht="8.35" customHeight="1" hidden="1">
      <c r="A351" s="91"/>
      <c r="B351" t="s" s="159">
        <v>738</v>
      </c>
      <c r="C351" t="s" s="160">
        <v>33</v>
      </c>
      <c r="D351" s="161">
        <v>1</v>
      </c>
      <c r="E351" s="162">
        <v>4.5</v>
      </c>
      <c r="F351" s="162">
        <v>4.5</v>
      </c>
      <c r="G351" s="163"/>
      <c r="H351" s="163"/>
      <c r="I351" t="s" s="164">
        <v>496</v>
      </c>
    </row>
    <row r="352" ht="8.35" customHeight="1" hidden="1">
      <c r="A352" s="91"/>
      <c r="B352" t="s" s="159">
        <v>739</v>
      </c>
      <c r="C352" t="s" s="160">
        <v>33</v>
      </c>
      <c r="D352" s="161">
        <v>1</v>
      </c>
      <c r="E352" s="162">
        <v>4.5</v>
      </c>
      <c r="F352" s="162">
        <v>2.5</v>
      </c>
      <c r="G352" s="163"/>
      <c r="H352" s="163"/>
      <c r="I352" t="s" s="164">
        <v>496</v>
      </c>
    </row>
    <row r="353" ht="8.35" customHeight="1" hidden="1">
      <c r="A353" s="91"/>
      <c r="B353" t="s" s="159">
        <v>740</v>
      </c>
      <c r="C353" t="s" s="160">
        <v>33</v>
      </c>
      <c r="D353" s="166">
        <v>0.8</v>
      </c>
      <c r="E353" s="162">
        <v>4.2</v>
      </c>
      <c r="F353" s="162">
        <v>1.2</v>
      </c>
      <c r="G353" s="163"/>
      <c r="H353" s="163"/>
      <c r="I353" t="s" s="164">
        <v>496</v>
      </c>
    </row>
    <row r="354" ht="8.35" customHeight="1" hidden="1">
      <c r="A354" s="91"/>
      <c r="B354" t="s" s="159">
        <v>741</v>
      </c>
      <c r="C354" t="s" s="160">
        <v>33</v>
      </c>
      <c r="D354" s="161">
        <v>1</v>
      </c>
      <c r="E354" s="162">
        <v>4.2</v>
      </c>
      <c r="F354" s="162">
        <v>3.2</v>
      </c>
      <c r="G354" s="163"/>
      <c r="H354" s="163"/>
      <c r="I354" t="s" s="164">
        <v>496</v>
      </c>
    </row>
    <row r="355" ht="8.35" customHeight="1" hidden="1">
      <c r="A355" s="91"/>
      <c r="B355" t="s" s="159">
        <v>742</v>
      </c>
      <c r="C355" t="s" s="160">
        <v>33</v>
      </c>
      <c r="D355" s="166">
        <v>0.8</v>
      </c>
      <c r="E355" s="162">
        <v>4</v>
      </c>
      <c r="F355" s="162">
        <v>3.8</v>
      </c>
      <c r="G355" s="163"/>
      <c r="H355" s="163"/>
      <c r="I355" t="s" s="164">
        <v>496</v>
      </c>
    </row>
    <row r="356" ht="8.35" customHeight="1" hidden="1">
      <c r="A356" s="91"/>
      <c r="B356" t="s" s="159">
        <v>743</v>
      </c>
      <c r="C356" t="s" s="160">
        <v>33</v>
      </c>
      <c r="D356" s="161">
        <v>1</v>
      </c>
      <c r="E356" s="162">
        <v>4</v>
      </c>
      <c r="F356" s="162">
        <v>3.6</v>
      </c>
      <c r="G356" s="163"/>
      <c r="H356" s="163"/>
      <c r="I356" t="s" s="164">
        <v>469</v>
      </c>
    </row>
    <row r="357" ht="8.35" customHeight="1" hidden="1">
      <c r="A357" s="91"/>
      <c r="B357" t="s" s="159">
        <v>744</v>
      </c>
      <c r="C357" t="s" s="160">
        <v>33</v>
      </c>
      <c r="D357" s="161">
        <v>1</v>
      </c>
      <c r="E357" s="162">
        <v>4</v>
      </c>
      <c r="F357" s="162">
        <v>2.8</v>
      </c>
      <c r="G357" s="163"/>
      <c r="H357" s="163"/>
      <c r="I357" t="s" s="164">
        <v>469</v>
      </c>
    </row>
    <row r="358" ht="8.35" customHeight="1" hidden="1">
      <c r="A358" s="91"/>
      <c r="B358" t="s" s="159">
        <v>745</v>
      </c>
      <c r="C358" t="s" s="160">
        <v>33</v>
      </c>
      <c r="D358" s="166">
        <v>0.8</v>
      </c>
      <c r="E358" s="162">
        <v>3.9</v>
      </c>
      <c r="F358" s="162">
        <v>3.9</v>
      </c>
      <c r="G358" s="163"/>
      <c r="H358" s="163"/>
      <c r="I358" t="s" s="164">
        <v>348</v>
      </c>
    </row>
    <row r="359" ht="8.35" customHeight="1" hidden="1">
      <c r="A359" s="91"/>
      <c r="B359" t="s" s="159">
        <v>746</v>
      </c>
      <c r="C359" t="s" s="160">
        <v>33</v>
      </c>
      <c r="D359" s="161">
        <v>1</v>
      </c>
      <c r="E359" s="162">
        <v>3.8</v>
      </c>
      <c r="F359" s="162">
        <v>3.8</v>
      </c>
      <c r="G359" s="163"/>
      <c r="H359" s="163"/>
      <c r="I359" t="s" s="164">
        <v>496</v>
      </c>
    </row>
    <row r="360" ht="8.35" customHeight="1" hidden="1">
      <c r="A360" s="91"/>
      <c r="B360" t="s" s="159">
        <v>747</v>
      </c>
      <c r="C360" t="s" s="160">
        <v>33</v>
      </c>
      <c r="D360" s="161">
        <v>1</v>
      </c>
      <c r="E360" s="162">
        <v>3.8</v>
      </c>
      <c r="F360" s="162">
        <v>3.8</v>
      </c>
      <c r="G360" s="163"/>
      <c r="H360" s="163"/>
      <c r="I360" t="s" s="164">
        <v>496</v>
      </c>
    </row>
    <row r="361" ht="8.35" customHeight="1" hidden="1">
      <c r="A361" s="91"/>
      <c r="B361" t="s" s="159">
        <v>748</v>
      </c>
      <c r="C361" t="s" s="160">
        <v>33</v>
      </c>
      <c r="D361" s="161">
        <v>1</v>
      </c>
      <c r="E361" s="162">
        <v>3.5</v>
      </c>
      <c r="F361" s="162">
        <v>3.5</v>
      </c>
      <c r="G361" s="163"/>
      <c r="H361" s="163"/>
      <c r="I361" t="s" s="164">
        <v>496</v>
      </c>
    </row>
    <row r="362" ht="8.35" customHeight="1" hidden="1">
      <c r="A362" s="91"/>
      <c r="B362" t="s" s="159">
        <v>749</v>
      </c>
      <c r="C362" t="s" s="160">
        <v>33</v>
      </c>
      <c r="D362" s="166">
        <v>0.8</v>
      </c>
      <c r="E362" s="162">
        <v>3.4</v>
      </c>
      <c r="F362" s="162">
        <v>3.4</v>
      </c>
      <c r="G362" s="163"/>
      <c r="H362" s="163"/>
      <c r="I362" t="s" s="164">
        <v>348</v>
      </c>
    </row>
    <row r="363" ht="20.05" customHeight="1">
      <c r="A363" s="91"/>
      <c r="B363" t="s" s="165">
        <v>750</v>
      </c>
      <c r="C363" t="s" s="160">
        <v>33</v>
      </c>
      <c r="D363" s="161">
        <v>0</v>
      </c>
      <c r="E363" s="162">
        <v>3</v>
      </c>
      <c r="F363" s="162">
        <v>1.1</v>
      </c>
      <c r="G363" t="s" s="164">
        <v>383</v>
      </c>
      <c r="H363" t="s" s="164">
        <v>384</v>
      </c>
      <c r="I363" t="s" s="164">
        <v>735</v>
      </c>
    </row>
    <row r="364" ht="8.35" customHeight="1" hidden="1">
      <c r="A364" s="91"/>
      <c r="B364" t="s" s="159">
        <v>751</v>
      </c>
      <c r="C364" t="s" s="160">
        <v>33</v>
      </c>
      <c r="D364" s="161">
        <v>1</v>
      </c>
      <c r="E364" s="162">
        <v>3</v>
      </c>
      <c r="F364" s="162">
        <v>3.7</v>
      </c>
      <c r="G364" s="163"/>
      <c r="H364" s="163"/>
      <c r="I364" t="s" s="164">
        <v>496</v>
      </c>
    </row>
    <row r="365" ht="8.35" customHeight="1" hidden="1">
      <c r="A365" s="91"/>
      <c r="B365" t="s" s="159">
        <v>752</v>
      </c>
      <c r="C365" t="s" s="160">
        <v>33</v>
      </c>
      <c r="D365" s="161">
        <v>1</v>
      </c>
      <c r="E365" s="162">
        <v>3</v>
      </c>
      <c r="F365" s="162">
        <v>2.4</v>
      </c>
      <c r="G365" s="163"/>
      <c r="H365" s="163"/>
      <c r="I365" t="s" s="164">
        <v>496</v>
      </c>
    </row>
    <row r="366" ht="8.35" customHeight="1" hidden="1">
      <c r="A366" s="91"/>
      <c r="B366" t="s" s="159">
        <v>753</v>
      </c>
      <c r="C366" t="s" s="160">
        <v>33</v>
      </c>
      <c r="D366" s="161">
        <v>1</v>
      </c>
      <c r="E366" s="162">
        <v>3</v>
      </c>
      <c r="F366" s="162">
        <v>2.8</v>
      </c>
      <c r="G366" s="163"/>
      <c r="H366" s="163"/>
      <c r="I366" t="s" s="164">
        <v>496</v>
      </c>
    </row>
    <row r="367" ht="8.35" customHeight="1" hidden="1">
      <c r="A367" s="91"/>
      <c r="B367" t="s" s="159">
        <v>754</v>
      </c>
      <c r="C367" t="s" s="160">
        <v>33</v>
      </c>
      <c r="D367" s="161">
        <v>1</v>
      </c>
      <c r="E367" s="162">
        <v>3</v>
      </c>
      <c r="F367" s="162">
        <v>1.1</v>
      </c>
      <c r="G367" s="163"/>
      <c r="H367" s="163"/>
      <c r="I367" t="s" s="164">
        <v>348</v>
      </c>
    </row>
    <row r="368" ht="8.35" customHeight="1" hidden="1">
      <c r="A368" s="91"/>
      <c r="B368" t="s" s="159">
        <v>755</v>
      </c>
      <c r="C368" t="s" s="160">
        <v>33</v>
      </c>
      <c r="D368" s="161">
        <v>1</v>
      </c>
      <c r="E368" s="162">
        <v>2.9</v>
      </c>
      <c r="F368" s="162">
        <v>2.9</v>
      </c>
      <c r="G368" s="163"/>
      <c r="H368" s="163"/>
      <c r="I368" t="s" s="164">
        <v>496</v>
      </c>
    </row>
    <row r="369" ht="8.35" customHeight="1" hidden="1">
      <c r="A369" s="91"/>
      <c r="B369" t="s" s="159">
        <v>756</v>
      </c>
      <c r="C369" t="s" s="160">
        <v>33</v>
      </c>
      <c r="D369" s="166">
        <v>0.8</v>
      </c>
      <c r="E369" s="162">
        <v>2.7</v>
      </c>
      <c r="F369" s="162">
        <v>2.7</v>
      </c>
      <c r="G369" s="163"/>
      <c r="H369" s="163"/>
      <c r="I369" t="s" s="164">
        <v>348</v>
      </c>
    </row>
    <row r="370" ht="8.35" customHeight="1" hidden="1">
      <c r="A370" s="91"/>
      <c r="B370" t="s" s="159">
        <v>757</v>
      </c>
      <c r="C370" t="s" s="160">
        <v>33</v>
      </c>
      <c r="D370" s="166">
        <v>0.8</v>
      </c>
      <c r="E370" s="162">
        <v>2.6</v>
      </c>
      <c r="F370" s="162">
        <v>2.6</v>
      </c>
      <c r="G370" s="163"/>
      <c r="H370" s="163"/>
      <c r="I370" t="s" s="164">
        <v>348</v>
      </c>
    </row>
    <row r="371" ht="8.35" customHeight="1" hidden="1">
      <c r="A371" s="91"/>
      <c r="B371" t="s" s="159">
        <v>758</v>
      </c>
      <c r="C371" t="s" s="160">
        <v>33</v>
      </c>
      <c r="D371" s="161">
        <v>1</v>
      </c>
      <c r="E371" s="162">
        <v>2.6</v>
      </c>
      <c r="F371" s="162">
        <v>2.6</v>
      </c>
      <c r="G371" s="163"/>
      <c r="H371" s="163"/>
      <c r="I371" t="s" s="164">
        <v>496</v>
      </c>
    </row>
    <row r="372" ht="8.35" customHeight="1" hidden="1">
      <c r="A372" s="91"/>
      <c r="B372" t="s" s="159">
        <v>759</v>
      </c>
      <c r="C372" t="s" s="160">
        <v>33</v>
      </c>
      <c r="D372" s="161">
        <v>1</v>
      </c>
      <c r="E372" s="162">
        <v>2.3</v>
      </c>
      <c r="F372" s="162">
        <v>0.8</v>
      </c>
      <c r="G372" s="163"/>
      <c r="H372" s="163"/>
      <c r="I372" t="s" s="164">
        <v>496</v>
      </c>
    </row>
    <row r="373" ht="8.35" customHeight="1" hidden="1">
      <c r="A373" s="91"/>
      <c r="B373" t="s" s="159">
        <v>760</v>
      </c>
      <c r="C373" t="s" s="160">
        <v>33</v>
      </c>
      <c r="D373" s="161">
        <v>1</v>
      </c>
      <c r="E373" s="162">
        <v>2</v>
      </c>
      <c r="F373" s="162">
        <v>0.9</v>
      </c>
      <c r="G373" s="163"/>
      <c r="H373" s="163"/>
      <c r="I373" t="s" s="164">
        <v>496</v>
      </c>
    </row>
    <row r="374" ht="8.35" customHeight="1" hidden="1">
      <c r="A374" s="91"/>
      <c r="B374" t="s" s="159">
        <v>761</v>
      </c>
      <c r="C374" t="s" s="160">
        <v>33</v>
      </c>
      <c r="D374" s="161">
        <v>1</v>
      </c>
      <c r="E374" s="162">
        <v>2</v>
      </c>
      <c r="F374" s="162">
        <v>1.7</v>
      </c>
      <c r="G374" s="163"/>
      <c r="H374" s="163"/>
      <c r="I374" t="s" s="164">
        <v>496</v>
      </c>
    </row>
    <row r="375" ht="8.35" customHeight="1" hidden="1">
      <c r="A375" s="91"/>
      <c r="B375" t="s" s="159">
        <v>762</v>
      </c>
      <c r="C375" t="s" s="160">
        <v>33</v>
      </c>
      <c r="D375" s="161">
        <v>1</v>
      </c>
      <c r="E375" s="162">
        <v>2</v>
      </c>
      <c r="F375" s="162">
        <v>1.7</v>
      </c>
      <c r="G375" s="163"/>
      <c r="H375" s="163"/>
      <c r="I375" t="s" s="164">
        <v>469</v>
      </c>
    </row>
    <row r="376" ht="8.35" customHeight="1" hidden="1">
      <c r="A376" s="91"/>
      <c r="B376" t="s" s="159">
        <v>763</v>
      </c>
      <c r="C376" t="s" s="160">
        <v>33</v>
      </c>
      <c r="D376" s="161">
        <v>1</v>
      </c>
      <c r="E376" s="162">
        <v>1.8</v>
      </c>
      <c r="F376" s="162">
        <v>1.8</v>
      </c>
      <c r="G376" s="163"/>
      <c r="H376" s="163"/>
      <c r="I376" t="s" s="164">
        <v>348</v>
      </c>
    </row>
    <row r="377" ht="8.35" customHeight="1" hidden="1">
      <c r="A377" s="91"/>
      <c r="B377" t="s" s="159">
        <v>764</v>
      </c>
      <c r="C377" t="s" s="160">
        <v>33</v>
      </c>
      <c r="D377" s="161">
        <v>1</v>
      </c>
      <c r="E377" s="162">
        <v>1.6</v>
      </c>
      <c r="F377" s="162">
        <v>1.6</v>
      </c>
      <c r="G377" s="163"/>
      <c r="H377" s="163"/>
      <c r="I377" t="s" s="164">
        <v>496</v>
      </c>
    </row>
    <row r="378" ht="8.35" customHeight="1" hidden="1">
      <c r="A378" s="91"/>
      <c r="B378" t="s" s="159">
        <v>765</v>
      </c>
      <c r="C378" t="s" s="160">
        <v>33</v>
      </c>
      <c r="D378" s="161">
        <v>1</v>
      </c>
      <c r="E378" s="162">
        <v>1.6</v>
      </c>
      <c r="F378" s="162">
        <v>1.6</v>
      </c>
      <c r="G378" s="163"/>
      <c r="H378" s="163"/>
      <c r="I378" t="s" s="164">
        <v>496</v>
      </c>
    </row>
    <row r="379" ht="8.35" customHeight="1" hidden="1">
      <c r="A379" s="91"/>
      <c r="B379" t="s" s="159">
        <v>766</v>
      </c>
      <c r="C379" t="s" s="160">
        <v>33</v>
      </c>
      <c r="D379" s="161">
        <v>1</v>
      </c>
      <c r="E379" s="162">
        <v>1.5</v>
      </c>
      <c r="F379" s="162">
        <v>1.5</v>
      </c>
      <c r="G379" s="163"/>
      <c r="H379" s="163"/>
      <c r="I379" t="s" s="164">
        <v>496</v>
      </c>
    </row>
    <row r="380" ht="8.35" customHeight="1" hidden="1">
      <c r="A380" s="91"/>
      <c r="B380" t="s" s="159">
        <v>767</v>
      </c>
      <c r="C380" t="s" s="160">
        <v>33</v>
      </c>
      <c r="D380" s="161">
        <v>1</v>
      </c>
      <c r="E380" s="162">
        <v>1.1</v>
      </c>
      <c r="F380" s="162">
        <v>1.1</v>
      </c>
      <c r="G380" s="163"/>
      <c r="H380" s="163"/>
      <c r="I380" t="s" s="164">
        <v>496</v>
      </c>
    </row>
    <row r="381" ht="8.35" customHeight="1" hidden="1">
      <c r="A381" s="91"/>
      <c r="B381" t="s" s="159">
        <v>768</v>
      </c>
      <c r="C381" t="s" s="160">
        <v>33</v>
      </c>
      <c r="D381" s="161">
        <v>1</v>
      </c>
      <c r="E381" s="162">
        <v>1</v>
      </c>
      <c r="F381" s="162">
        <v>0.8</v>
      </c>
      <c r="G381" s="163"/>
      <c r="H381" s="163"/>
      <c r="I381" t="s" s="164">
        <v>496</v>
      </c>
    </row>
    <row r="382" ht="8.35" customHeight="1" hidden="1">
      <c r="A382" s="91"/>
      <c r="B382" t="s" s="159">
        <v>769</v>
      </c>
      <c r="C382" t="s" s="160">
        <v>33</v>
      </c>
      <c r="D382" s="161">
        <v>1</v>
      </c>
      <c r="E382" s="162">
        <v>1</v>
      </c>
      <c r="F382" s="162">
        <v>1.1</v>
      </c>
      <c r="G382" s="163"/>
      <c r="H382" s="163"/>
      <c r="I382" t="s" s="164">
        <v>496</v>
      </c>
    </row>
    <row r="383" ht="8.35" customHeight="1" hidden="1">
      <c r="A383" s="91"/>
      <c r="B383" t="s" s="159">
        <v>770</v>
      </c>
      <c r="C383" t="s" s="160">
        <v>33</v>
      </c>
      <c r="D383" s="161">
        <v>1</v>
      </c>
      <c r="E383" s="162">
        <v>1</v>
      </c>
      <c r="F383" s="162">
        <v>0.9</v>
      </c>
      <c r="G383" s="163"/>
      <c r="H383" s="163"/>
      <c r="I383" t="s" s="164">
        <v>496</v>
      </c>
    </row>
    <row r="384" ht="8.35" customHeight="1" hidden="1">
      <c r="A384" s="91"/>
      <c r="B384" t="s" s="159">
        <v>771</v>
      </c>
      <c r="C384" t="s" s="160">
        <v>33</v>
      </c>
      <c r="D384" s="161">
        <v>1</v>
      </c>
      <c r="E384" s="162">
        <v>1</v>
      </c>
      <c r="F384" s="162">
        <v>1</v>
      </c>
      <c r="G384" s="163"/>
      <c r="H384" s="163"/>
      <c r="I384" t="s" s="164">
        <v>348</v>
      </c>
    </row>
    <row r="385" ht="20.05" customHeight="1">
      <c r="A385" s="91"/>
      <c r="B385" t="s" s="165">
        <v>772</v>
      </c>
      <c r="C385" t="s" s="160">
        <v>33</v>
      </c>
      <c r="D385" s="161">
        <v>0</v>
      </c>
      <c r="E385" s="162">
        <v>0.8</v>
      </c>
      <c r="F385" s="162">
        <v>0.8</v>
      </c>
      <c r="G385" t="s" s="164">
        <v>383</v>
      </c>
      <c r="H385" t="s" s="164">
        <v>384</v>
      </c>
      <c r="I385" t="s" s="164">
        <v>735</v>
      </c>
    </row>
    <row r="386" ht="20.05" customHeight="1">
      <c r="A386" s="91"/>
      <c r="B386" t="s" s="159">
        <v>773</v>
      </c>
      <c r="C386" t="s" s="160">
        <v>33</v>
      </c>
      <c r="D386" s="161">
        <v>0</v>
      </c>
      <c r="E386" s="162">
        <v>0.8</v>
      </c>
      <c r="F386" s="162">
        <v>0.8</v>
      </c>
      <c r="G386" t="s" s="164">
        <v>383</v>
      </c>
      <c r="H386" t="s" s="164">
        <v>384</v>
      </c>
      <c r="I386" t="s" s="164">
        <v>735</v>
      </c>
    </row>
    <row r="387" ht="20.05" customHeight="1">
      <c r="A387" s="91"/>
      <c r="B387" t="s" s="159">
        <v>774</v>
      </c>
      <c r="C387" t="s" s="160">
        <v>33</v>
      </c>
      <c r="D387" s="161">
        <v>0</v>
      </c>
      <c r="E387" s="162">
        <v>0.8</v>
      </c>
      <c r="F387" s="162">
        <v>0.8</v>
      </c>
      <c r="G387" t="s" s="164">
        <v>383</v>
      </c>
      <c r="H387" t="s" s="164">
        <v>384</v>
      </c>
      <c r="I387" t="s" s="164">
        <v>735</v>
      </c>
    </row>
    <row r="388" ht="20.05" customHeight="1">
      <c r="A388" s="91"/>
      <c r="B388" t="s" s="159">
        <v>775</v>
      </c>
      <c r="C388" t="s" s="160">
        <v>33</v>
      </c>
      <c r="D388" s="161">
        <v>0</v>
      </c>
      <c r="E388" s="162">
        <v>0.8</v>
      </c>
      <c r="F388" s="162">
        <v>0.8</v>
      </c>
      <c r="G388" t="s" s="164">
        <v>383</v>
      </c>
      <c r="H388" t="s" s="164">
        <v>384</v>
      </c>
      <c r="I388" t="s" s="164">
        <v>735</v>
      </c>
    </row>
    <row r="389" ht="8.35" customHeight="1" hidden="1">
      <c r="A389" s="91"/>
      <c r="B389" t="s" s="159">
        <v>776</v>
      </c>
      <c r="C389" t="s" s="160">
        <v>33</v>
      </c>
      <c r="D389" s="161">
        <v>1</v>
      </c>
      <c r="E389" s="162">
        <v>0.8</v>
      </c>
      <c r="F389" s="162">
        <v>0.8</v>
      </c>
      <c r="G389" s="163"/>
      <c r="H389" s="163"/>
      <c r="I389" t="s" s="164">
        <v>496</v>
      </c>
    </row>
    <row r="390" ht="8.35" customHeight="1" hidden="1">
      <c r="A390" s="91"/>
      <c r="B390" t="s" s="159">
        <v>777</v>
      </c>
      <c r="C390" t="s" s="160">
        <v>33</v>
      </c>
      <c r="D390" s="161">
        <v>1</v>
      </c>
      <c r="E390" s="162">
        <v>0.8</v>
      </c>
      <c r="F390" s="162">
        <v>0.8</v>
      </c>
      <c r="G390" s="163"/>
      <c r="H390" s="163"/>
      <c r="I390" t="s" s="164">
        <v>469</v>
      </c>
    </row>
    <row r="391" ht="8.35" customHeight="1" hidden="1">
      <c r="A391" s="91"/>
      <c r="B391" t="s" s="159">
        <v>778</v>
      </c>
      <c r="C391" t="s" s="160">
        <v>33</v>
      </c>
      <c r="D391" s="161">
        <v>1</v>
      </c>
      <c r="E391" s="162">
        <v>0.7</v>
      </c>
      <c r="F391" s="162">
        <v>0.7</v>
      </c>
      <c r="G391" s="163"/>
      <c r="H391" s="163"/>
      <c r="I391" t="s" s="164">
        <v>496</v>
      </c>
    </row>
    <row r="392" ht="8.35" customHeight="1" hidden="1">
      <c r="A392" s="91"/>
      <c r="B392" t="s" s="159">
        <v>779</v>
      </c>
      <c r="C392" t="s" s="160">
        <v>33</v>
      </c>
      <c r="D392" s="161">
        <v>1</v>
      </c>
      <c r="E392" s="162">
        <v>0.5</v>
      </c>
      <c r="F392" s="162">
        <v>0.8</v>
      </c>
      <c r="G392" s="163"/>
      <c r="H392" s="163"/>
      <c r="I392" t="s" s="164">
        <v>348</v>
      </c>
    </row>
    <row r="393" ht="8.35" customHeight="1" hidden="1">
      <c r="A393" s="91"/>
      <c r="B393" t="s" s="159">
        <v>780</v>
      </c>
      <c r="C393" t="s" s="160">
        <v>33</v>
      </c>
      <c r="D393" s="161">
        <v>1</v>
      </c>
      <c r="E393" s="162">
        <v>0.3</v>
      </c>
      <c r="F393" s="162">
        <v>0.3</v>
      </c>
      <c r="G393" s="163"/>
      <c r="H393" s="163"/>
      <c r="I393" t="s" s="164">
        <v>348</v>
      </c>
    </row>
    <row r="394" ht="8.35" customHeight="1" hidden="1">
      <c r="A394" s="91"/>
      <c r="B394" t="s" s="159">
        <v>781</v>
      </c>
      <c r="C394" t="s" s="160">
        <v>33</v>
      </c>
      <c r="D394" s="161">
        <v>1</v>
      </c>
      <c r="E394" s="162">
        <v>0.1</v>
      </c>
      <c r="F394" s="162">
        <v>0.5</v>
      </c>
      <c r="G394" s="163"/>
      <c r="H394" s="163"/>
      <c r="I394" t="s" s="164">
        <v>496</v>
      </c>
    </row>
    <row r="395" ht="8.35" customHeight="1" hidden="1">
      <c r="A395" s="91"/>
      <c r="B395" t="s" s="159">
        <v>782</v>
      </c>
      <c r="C395" t="s" s="160">
        <v>33</v>
      </c>
      <c r="D395" s="161">
        <v>1</v>
      </c>
      <c r="E395" s="162">
        <v>0.1</v>
      </c>
      <c r="F395" s="162">
        <v>0.1</v>
      </c>
      <c r="G395" s="163"/>
      <c r="H395" s="163"/>
      <c r="I395" t="s" s="164">
        <v>496</v>
      </c>
    </row>
    <row r="396" ht="20.85" customHeight="1">
      <c r="A396" s="94"/>
      <c r="B396" t="s" s="168">
        <v>783</v>
      </c>
      <c r="C396" t="s" s="169">
        <v>33</v>
      </c>
      <c r="D396" s="170">
        <v>0</v>
      </c>
      <c r="E396" s="171">
        <v>0.3</v>
      </c>
      <c r="F396" s="171">
        <v>0.4</v>
      </c>
      <c r="G396" t="s" s="172">
        <v>383</v>
      </c>
      <c r="H396" t="s" s="172">
        <v>384</v>
      </c>
      <c r="I396" t="s" s="172">
        <v>735</v>
      </c>
    </row>
    <row r="397" ht="20.85" customHeight="1">
      <c r="A397" t="s" s="157">
        <v>349</v>
      </c>
      <c r="B397" s="158"/>
      <c r="C397" s="158"/>
      <c r="D397" s="158"/>
      <c r="E397" s="158"/>
      <c r="F397" s="158"/>
      <c r="G397" s="158"/>
      <c r="H397" s="158"/>
      <c r="I397" s="158"/>
    </row>
    <row r="398" ht="8.35" customHeight="1" hidden="1">
      <c r="A398" s="91"/>
      <c r="B398" t="s" s="159">
        <v>784</v>
      </c>
      <c r="C398" t="s" s="160">
        <v>349</v>
      </c>
      <c r="D398" s="161">
        <v>1</v>
      </c>
      <c r="E398" s="162">
        <v>10</v>
      </c>
      <c r="F398" s="162">
        <v>10</v>
      </c>
      <c r="G398" s="163"/>
      <c r="H398" s="163"/>
      <c r="I398" t="s" s="164">
        <v>469</v>
      </c>
    </row>
    <row r="399" ht="8.35" customHeight="1" hidden="1">
      <c r="A399" s="91"/>
      <c r="B399" t="s" s="159">
        <v>785</v>
      </c>
      <c r="C399" t="s" s="160">
        <v>349</v>
      </c>
      <c r="D399" s="166">
        <v>0.7</v>
      </c>
      <c r="E399" s="162">
        <v>6</v>
      </c>
      <c r="F399" s="162">
        <v>2.7</v>
      </c>
      <c r="G399" s="163"/>
      <c r="H399" s="163"/>
      <c r="I399" t="s" s="164">
        <v>348</v>
      </c>
    </row>
    <row r="400" ht="20.05" customHeight="1">
      <c r="A400" s="91"/>
      <c r="B400" t="s" s="165">
        <v>786</v>
      </c>
      <c r="C400" t="s" s="160">
        <v>349</v>
      </c>
      <c r="D400" s="161">
        <v>0</v>
      </c>
      <c r="E400" s="162">
        <v>4.5</v>
      </c>
      <c r="F400" s="162">
        <v>4.5</v>
      </c>
      <c r="G400" t="s" s="164">
        <v>383</v>
      </c>
      <c r="H400" t="s" s="164">
        <v>434</v>
      </c>
      <c r="I400" t="s" s="164">
        <v>787</v>
      </c>
    </row>
    <row r="401" ht="8.35" customHeight="1" hidden="1">
      <c r="A401" s="91"/>
      <c r="B401" t="s" s="159">
        <v>788</v>
      </c>
      <c r="C401" t="s" s="160">
        <v>349</v>
      </c>
      <c r="D401" s="161">
        <v>1</v>
      </c>
      <c r="E401" s="162">
        <v>4</v>
      </c>
      <c r="F401" s="162">
        <v>4</v>
      </c>
      <c r="G401" s="163"/>
      <c r="H401" s="163"/>
      <c r="I401" t="s" s="164">
        <v>469</v>
      </c>
    </row>
    <row r="402" ht="20.05" customHeight="1">
      <c r="A402" s="91"/>
      <c r="B402" t="s" s="165">
        <v>789</v>
      </c>
      <c r="C402" t="s" s="160">
        <v>349</v>
      </c>
      <c r="D402" s="161">
        <v>0</v>
      </c>
      <c r="E402" s="162">
        <v>3.5</v>
      </c>
      <c r="F402" s="162">
        <v>3.5</v>
      </c>
      <c r="G402" t="s" s="164">
        <v>383</v>
      </c>
      <c r="H402" t="s" s="164">
        <v>384</v>
      </c>
      <c r="I402" t="s" s="164">
        <v>790</v>
      </c>
    </row>
    <row r="403" ht="20.05" customHeight="1">
      <c r="A403" s="91"/>
      <c r="B403" t="s" s="165">
        <v>791</v>
      </c>
      <c r="C403" t="s" s="160">
        <v>349</v>
      </c>
      <c r="D403" s="161">
        <v>0</v>
      </c>
      <c r="E403" s="162">
        <v>3.5</v>
      </c>
      <c r="F403" s="162">
        <v>3.5</v>
      </c>
      <c r="G403" t="s" s="164">
        <v>383</v>
      </c>
      <c r="H403" t="s" s="164">
        <v>384</v>
      </c>
      <c r="I403" t="s" s="164">
        <v>790</v>
      </c>
    </row>
    <row r="404" ht="20.05" customHeight="1">
      <c r="A404" s="91"/>
      <c r="B404" t="s" s="165">
        <v>792</v>
      </c>
      <c r="C404" t="s" s="160">
        <v>349</v>
      </c>
      <c r="D404" s="161">
        <v>0</v>
      </c>
      <c r="E404" s="162">
        <v>3</v>
      </c>
      <c r="F404" s="162">
        <v>3</v>
      </c>
      <c r="G404" t="s" s="164">
        <v>383</v>
      </c>
      <c r="H404" t="s" s="164">
        <v>434</v>
      </c>
      <c r="I404" t="s" s="164">
        <v>790</v>
      </c>
    </row>
    <row r="405" ht="20.05" customHeight="1">
      <c r="A405" s="91"/>
      <c r="B405" t="s" s="159">
        <v>793</v>
      </c>
      <c r="C405" t="s" s="160">
        <v>349</v>
      </c>
      <c r="D405" s="161">
        <v>0</v>
      </c>
      <c r="E405" s="162">
        <v>3</v>
      </c>
      <c r="F405" s="162">
        <v>3</v>
      </c>
      <c r="G405" t="s" s="164">
        <v>383</v>
      </c>
      <c r="H405" t="s" s="164">
        <v>384</v>
      </c>
      <c r="I405" t="s" s="164">
        <v>787</v>
      </c>
    </row>
    <row r="406" ht="8.35" customHeight="1" hidden="1">
      <c r="A406" s="91"/>
      <c r="B406" t="s" s="159">
        <v>794</v>
      </c>
      <c r="C406" t="s" s="160">
        <v>349</v>
      </c>
      <c r="D406" s="161">
        <v>1</v>
      </c>
      <c r="E406" s="162">
        <v>3</v>
      </c>
      <c r="F406" s="162">
        <v>3</v>
      </c>
      <c r="G406" s="163"/>
      <c r="H406" s="163"/>
      <c r="I406" t="s" s="164">
        <v>469</v>
      </c>
    </row>
    <row r="407" ht="8.35" customHeight="1" hidden="1">
      <c r="A407" s="91"/>
      <c r="B407" t="s" s="159">
        <v>795</v>
      </c>
      <c r="C407" t="s" s="160">
        <v>349</v>
      </c>
      <c r="D407" s="161">
        <v>1</v>
      </c>
      <c r="E407" s="162">
        <v>3</v>
      </c>
      <c r="F407" s="162">
        <v>3</v>
      </c>
      <c r="G407" s="163"/>
      <c r="H407" s="163"/>
      <c r="I407" t="s" s="164">
        <v>469</v>
      </c>
    </row>
    <row r="408" ht="8.35" customHeight="1" hidden="1">
      <c r="A408" s="91"/>
      <c r="B408" t="s" s="159">
        <v>796</v>
      </c>
      <c r="C408" t="s" s="160">
        <v>349</v>
      </c>
      <c r="D408" s="161">
        <v>1</v>
      </c>
      <c r="E408" s="162">
        <v>2.5</v>
      </c>
      <c r="F408" s="162">
        <v>2.5</v>
      </c>
      <c r="G408" s="163"/>
      <c r="H408" s="163"/>
      <c r="I408" t="s" s="164">
        <v>469</v>
      </c>
    </row>
    <row r="409" ht="20.05" customHeight="1">
      <c r="A409" s="91"/>
      <c r="B409" t="s" s="159">
        <v>797</v>
      </c>
      <c r="C409" t="s" s="160">
        <v>349</v>
      </c>
      <c r="D409" s="161">
        <v>0</v>
      </c>
      <c r="E409" s="162">
        <v>2</v>
      </c>
      <c r="F409" s="162">
        <v>2</v>
      </c>
      <c r="G409" t="s" s="164">
        <v>383</v>
      </c>
      <c r="H409" t="s" s="164">
        <v>384</v>
      </c>
      <c r="I409" t="s" s="164">
        <v>787</v>
      </c>
    </row>
    <row r="410" ht="20.05" customHeight="1">
      <c r="A410" s="91"/>
      <c r="B410" t="s" s="159">
        <v>798</v>
      </c>
      <c r="C410" t="s" s="160">
        <v>349</v>
      </c>
      <c r="D410" s="161">
        <v>0</v>
      </c>
      <c r="E410" s="162">
        <v>2</v>
      </c>
      <c r="F410" s="162">
        <v>2</v>
      </c>
      <c r="G410" t="s" s="164">
        <v>383</v>
      </c>
      <c r="H410" t="s" s="164">
        <v>384</v>
      </c>
      <c r="I410" t="s" s="164">
        <v>787</v>
      </c>
    </row>
    <row r="411" ht="8.35" customHeight="1" hidden="1">
      <c r="A411" s="189"/>
      <c r="B411" t="s" s="159">
        <v>799</v>
      </c>
      <c r="C411" t="s" s="160">
        <v>349</v>
      </c>
      <c r="D411" s="161">
        <v>1</v>
      </c>
      <c r="E411" s="162">
        <v>1.6</v>
      </c>
      <c r="F411" s="162">
        <v>1.6</v>
      </c>
      <c r="G411" s="163"/>
      <c r="H411" s="163"/>
      <c r="I411" t="s" s="164">
        <v>348</v>
      </c>
    </row>
    <row r="412" ht="8.35" customHeight="1" hidden="1">
      <c r="A412" s="91"/>
      <c r="B412" t="s" s="159">
        <v>800</v>
      </c>
      <c r="C412" t="s" s="160">
        <v>349</v>
      </c>
      <c r="D412" s="161">
        <v>1</v>
      </c>
      <c r="E412" s="162">
        <v>1.5</v>
      </c>
      <c r="F412" s="162">
        <v>1.5</v>
      </c>
      <c r="G412" s="163"/>
      <c r="H412" s="163"/>
      <c r="I412" t="s" s="164">
        <v>469</v>
      </c>
    </row>
    <row r="413" ht="8.35" customHeight="1" hidden="1">
      <c r="A413" s="189"/>
      <c r="B413" t="s" s="159">
        <v>801</v>
      </c>
      <c r="C413" t="s" s="160">
        <v>349</v>
      </c>
      <c r="D413" s="161">
        <v>1</v>
      </c>
      <c r="E413" s="162">
        <v>1.4</v>
      </c>
      <c r="F413" s="162">
        <v>1.4</v>
      </c>
      <c r="G413" s="163"/>
      <c r="H413" s="163"/>
      <c r="I413" t="s" s="164">
        <v>348</v>
      </c>
    </row>
    <row r="414" ht="20.05" customHeight="1">
      <c r="A414" s="91"/>
      <c r="B414" t="s" s="159">
        <v>802</v>
      </c>
      <c r="C414" t="s" s="160">
        <v>349</v>
      </c>
      <c r="D414" s="161">
        <v>0</v>
      </c>
      <c r="E414" s="162">
        <v>1</v>
      </c>
      <c r="F414" s="162">
        <v>1</v>
      </c>
      <c r="G414" t="s" s="164">
        <v>383</v>
      </c>
      <c r="H414" t="s" s="164">
        <v>384</v>
      </c>
      <c r="I414" t="s" s="164">
        <v>787</v>
      </c>
    </row>
    <row r="415" ht="8.35" customHeight="1" hidden="1">
      <c r="A415" s="189"/>
      <c r="B415" t="s" s="159">
        <v>803</v>
      </c>
      <c r="C415" t="s" s="160">
        <v>349</v>
      </c>
      <c r="D415" s="161">
        <v>1</v>
      </c>
      <c r="E415" s="162">
        <v>0.8</v>
      </c>
      <c r="F415" s="162">
        <v>0.8</v>
      </c>
      <c r="G415" s="163"/>
      <c r="H415" s="163"/>
      <c r="I415" t="s" s="164">
        <v>379</v>
      </c>
    </row>
    <row r="416" ht="20.05" customHeight="1">
      <c r="A416" s="91"/>
      <c r="B416" t="s" s="159">
        <v>804</v>
      </c>
      <c r="C416" t="s" s="160">
        <v>349</v>
      </c>
      <c r="D416" s="161">
        <v>0</v>
      </c>
      <c r="E416" s="162">
        <v>0.5</v>
      </c>
      <c r="F416" s="162">
        <v>0.5</v>
      </c>
      <c r="G416" t="s" s="164">
        <v>383</v>
      </c>
      <c r="H416" t="s" s="164">
        <v>384</v>
      </c>
      <c r="I416" t="s" s="164">
        <v>787</v>
      </c>
    </row>
    <row r="417" ht="20.05" customHeight="1">
      <c r="A417" s="91"/>
      <c r="B417" t="s" s="159">
        <v>805</v>
      </c>
      <c r="C417" t="s" s="160">
        <v>349</v>
      </c>
      <c r="D417" s="161">
        <v>0</v>
      </c>
      <c r="E417" s="162">
        <v>0.5</v>
      </c>
      <c r="F417" s="162">
        <v>0.5</v>
      </c>
      <c r="G417" t="s" s="164">
        <v>383</v>
      </c>
      <c r="H417" t="s" s="164">
        <v>384</v>
      </c>
      <c r="I417" t="s" s="164">
        <v>787</v>
      </c>
    </row>
    <row r="418" ht="8.35" customHeight="1" hidden="1">
      <c r="A418" s="189"/>
      <c r="B418" t="s" s="159">
        <v>806</v>
      </c>
      <c r="C418" t="s" s="160">
        <v>349</v>
      </c>
      <c r="D418" s="161">
        <v>1</v>
      </c>
      <c r="E418" s="162">
        <v>0.5</v>
      </c>
      <c r="F418" s="162">
        <v>0.5</v>
      </c>
      <c r="G418" s="163"/>
      <c r="H418" s="163"/>
      <c r="I418" t="s" s="164">
        <v>379</v>
      </c>
    </row>
  </sheetData>
  <mergeCells count="1">
    <mergeCell ref="A1:I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2:N10"/>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0.7969" style="190" customWidth="1"/>
    <col min="3" max="4" width="16.6797" style="190" customWidth="1"/>
    <col min="5" max="6" width="19.1797" style="190" customWidth="1"/>
    <col min="7" max="13" width="16.6797" style="190" customWidth="1"/>
    <col min="14" max="14" width="37.3281" style="190" customWidth="1"/>
    <col min="15" max="16384" width="16.3516" style="190" customWidth="1"/>
  </cols>
  <sheetData>
    <row r="1" ht="28" customHeight="1">
      <c r="A1" t="s" s="29">
        <v>14</v>
      </c>
      <c r="B1" s="29"/>
      <c r="C1" s="29"/>
      <c r="D1" s="29"/>
      <c r="E1" s="29"/>
      <c r="F1" s="29"/>
      <c r="G1" s="29"/>
      <c r="H1" s="29"/>
      <c r="I1" s="29"/>
      <c r="J1" s="29"/>
      <c r="K1" s="29"/>
      <c r="L1" s="29"/>
      <c r="M1" s="29"/>
      <c r="N1" s="29"/>
    </row>
    <row r="2" ht="80" customHeight="1">
      <c r="A2" t="s" s="9">
        <v>17</v>
      </c>
      <c r="B2" t="s" s="9">
        <v>18</v>
      </c>
      <c r="C2" t="s" s="9">
        <v>337</v>
      </c>
      <c r="D2" t="s" s="9">
        <v>338</v>
      </c>
      <c r="E2" t="s" s="9">
        <v>339</v>
      </c>
      <c r="F2" t="s" s="9">
        <v>340</v>
      </c>
      <c r="G2" t="s" s="9">
        <v>341</v>
      </c>
      <c r="H2" t="s" s="9">
        <v>342</v>
      </c>
      <c r="I2" t="s" s="9">
        <v>343</v>
      </c>
      <c r="J2" t="s" s="9">
        <v>24</v>
      </c>
      <c r="K2" t="s" s="9">
        <v>25</v>
      </c>
      <c r="L2" t="s" s="9">
        <v>26</v>
      </c>
      <c r="M2" t="s" s="9">
        <v>27</v>
      </c>
      <c r="N2" t="s" s="9">
        <v>344</v>
      </c>
    </row>
    <row r="3" ht="30" customHeight="1">
      <c r="A3" t="s" s="135">
        <v>51</v>
      </c>
      <c r="B3" t="s" s="17">
        <v>28</v>
      </c>
      <c r="C3" s="191" cm="1">
        <f t="array" ref="C3">SUM(E3:E10)/SUM(D3:D10)</f>
        <v>0.514925373134328</v>
      </c>
      <c r="D3" s="137">
        <v>24</v>
      </c>
      <c r="E3" s="137">
        <v>8</v>
      </c>
      <c r="F3" s="137" cm="1">
        <f t="array" ref="F3">D3-E3</f>
        <v>16</v>
      </c>
      <c r="G3" t="s" s="20">
        <v>809</v>
      </c>
      <c r="H3" t="s" s="20">
        <v>810</v>
      </c>
      <c r="I3" t="s" s="10">
        <v>811</v>
      </c>
      <c r="J3" t="s" s="20">
        <v>53</v>
      </c>
      <c r="K3" t="s" s="20">
        <v>53</v>
      </c>
      <c r="L3" t="s" s="20">
        <v>53</v>
      </c>
      <c r="M3" t="s" s="20">
        <v>53</v>
      </c>
      <c r="N3" t="s" s="10">
        <v>812</v>
      </c>
    </row>
    <row r="4" ht="30" customHeight="1">
      <c r="A4" t="s" s="138">
        <v>51</v>
      </c>
      <c r="B4" t="s" s="22">
        <v>31</v>
      </c>
      <c r="C4" s="23"/>
      <c r="D4" s="139">
        <v>78</v>
      </c>
      <c r="E4" s="139">
        <v>11</v>
      </c>
      <c r="F4" s="139" cm="1">
        <f t="array" ref="F4">D4-E4</f>
        <v>67</v>
      </c>
      <c r="G4" s="25"/>
      <c r="H4" s="25"/>
      <c r="I4" s="25"/>
      <c r="J4" s="25"/>
      <c r="K4" s="25"/>
      <c r="L4" s="25"/>
      <c r="M4" s="25"/>
      <c r="N4" s="25"/>
    </row>
    <row r="5" ht="30" customHeight="1">
      <c r="A5" t="s" s="138">
        <v>51</v>
      </c>
      <c r="B5" t="s" s="22">
        <v>32</v>
      </c>
      <c r="C5" s="23"/>
      <c r="D5" s="139">
        <v>29</v>
      </c>
      <c r="E5" s="139">
        <v>7</v>
      </c>
      <c r="F5" s="139" cm="1">
        <f t="array" ref="F5">D5-E5</f>
        <v>22</v>
      </c>
      <c r="G5" s="25"/>
      <c r="H5" s="25"/>
      <c r="I5" s="25"/>
      <c r="J5" s="25"/>
      <c r="K5" s="25"/>
      <c r="L5" s="25"/>
      <c r="M5" s="25"/>
      <c r="N5" s="25"/>
    </row>
    <row r="6" ht="30" customHeight="1">
      <c r="A6" t="s" s="138">
        <v>51</v>
      </c>
      <c r="B6" t="s" s="22">
        <v>33</v>
      </c>
      <c r="C6" s="23"/>
      <c r="D6" s="139">
        <v>0</v>
      </c>
      <c r="E6" s="139">
        <v>0</v>
      </c>
      <c r="F6" s="139" cm="1">
        <f t="array" ref="F6">D6-E6</f>
        <v>0</v>
      </c>
      <c r="G6" s="25"/>
      <c r="H6" s="25"/>
      <c r="I6" s="25"/>
      <c r="J6" s="25"/>
      <c r="K6" s="25"/>
      <c r="L6" s="25"/>
      <c r="M6" s="25"/>
      <c r="N6" s="25"/>
    </row>
    <row r="7" ht="30" customHeight="1">
      <c r="A7" t="s" s="138">
        <v>51</v>
      </c>
      <c r="B7" t="s" s="22">
        <v>34</v>
      </c>
      <c r="C7" s="23"/>
      <c r="D7" s="139">
        <v>9</v>
      </c>
      <c r="E7" s="139">
        <v>4</v>
      </c>
      <c r="F7" s="139" cm="1">
        <f t="array" ref="F7">D7-E7</f>
        <v>5</v>
      </c>
      <c r="G7" s="25"/>
      <c r="H7" s="25"/>
      <c r="I7" s="25"/>
      <c r="J7" s="25"/>
      <c r="K7" s="25"/>
      <c r="L7" s="25"/>
      <c r="M7" s="25"/>
      <c r="N7" s="25"/>
    </row>
    <row r="8" ht="30" customHeight="1">
      <c r="A8" t="s" s="138">
        <v>51</v>
      </c>
      <c r="B8" t="s" s="22">
        <v>35</v>
      </c>
      <c r="C8" s="23"/>
      <c r="D8" s="139">
        <v>208</v>
      </c>
      <c r="E8" s="139">
        <v>140</v>
      </c>
      <c r="F8" s="139" cm="1">
        <f t="array" ref="F8">D8-E8</f>
        <v>68</v>
      </c>
      <c r="G8" s="25"/>
      <c r="H8" s="25"/>
      <c r="I8" s="25"/>
      <c r="J8" s="25"/>
      <c r="K8" s="25"/>
      <c r="L8" s="25"/>
      <c r="M8" s="25"/>
      <c r="N8" s="25"/>
    </row>
    <row r="9" ht="30" customHeight="1">
      <c r="A9" t="s" s="138">
        <v>51</v>
      </c>
      <c r="B9" t="s" s="22">
        <v>36</v>
      </c>
      <c r="C9" s="23"/>
      <c r="D9" s="139">
        <v>32</v>
      </c>
      <c r="E9" s="139">
        <v>20</v>
      </c>
      <c r="F9" s="139" cm="1">
        <f t="array" ref="F9">D9-E9</f>
        <v>12</v>
      </c>
      <c r="G9" s="25"/>
      <c r="H9" s="25"/>
      <c r="I9" s="25"/>
      <c r="J9" s="25"/>
      <c r="K9" s="25"/>
      <c r="L9" s="25"/>
      <c r="M9" s="25"/>
      <c r="N9" s="25"/>
    </row>
    <row r="10" ht="30" customHeight="1">
      <c r="A10" t="s" s="138">
        <v>51</v>
      </c>
      <c r="B10" t="s" s="22">
        <v>37</v>
      </c>
      <c r="C10" s="23"/>
      <c r="D10" s="139">
        <v>22</v>
      </c>
      <c r="E10" s="139">
        <v>17</v>
      </c>
      <c r="F10" s="139" cm="1">
        <f t="array" ref="F10">D10-E10</f>
        <v>5</v>
      </c>
      <c r="G10" s="25"/>
      <c r="H10" s="25"/>
      <c r="I10" s="25"/>
      <c r="J10" s="25"/>
      <c r="K10" s="25"/>
      <c r="L10" s="25"/>
      <c r="M10" s="25"/>
      <c r="N10" s="25"/>
    </row>
  </sheetData>
  <mergeCells count="10">
    <mergeCell ref="A1:N1"/>
    <mergeCell ref="C3:C10"/>
    <mergeCell ref="G3:G10"/>
    <mergeCell ref="H3:H10"/>
    <mergeCell ref="I3:I10"/>
    <mergeCell ref="J3:J10"/>
    <mergeCell ref="K3:K10"/>
    <mergeCell ref="L3:L10"/>
    <mergeCell ref="M3:M10"/>
    <mergeCell ref="N3:N1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2:G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7" width="20.8203" style="192" customWidth="1"/>
    <col min="8" max="16384" width="16.3516" style="192" customWidth="1"/>
  </cols>
  <sheetData>
    <row r="1" ht="28" customHeight="1">
      <c r="A1" t="s" s="29">
        <v>351</v>
      </c>
      <c r="B1" s="29"/>
      <c r="C1" s="29"/>
      <c r="D1" s="29"/>
      <c r="E1" s="29"/>
      <c r="F1" s="29"/>
      <c r="G1" s="29"/>
    </row>
    <row r="2" ht="27.55" customHeight="1">
      <c r="A2" t="s" s="30">
        <v>17</v>
      </c>
      <c r="B2" t="s" s="30">
        <v>41</v>
      </c>
      <c r="C2" t="s" s="30">
        <v>353</v>
      </c>
      <c r="D2" t="s" s="30">
        <v>354</v>
      </c>
      <c r="E2" t="s" s="30">
        <v>178</v>
      </c>
      <c r="F2" t="s" s="30">
        <v>191</v>
      </c>
      <c r="G2" t="s" s="30">
        <v>144</v>
      </c>
    </row>
    <row r="3" ht="27.55" customHeight="1">
      <c r="A3" t="s" s="143">
        <v>51</v>
      </c>
      <c r="B3" t="s" s="33">
        <v>42</v>
      </c>
      <c r="C3" t="s" s="144">
        <v>248</v>
      </c>
      <c r="D3" t="s" s="145">
        <v>814</v>
      </c>
      <c r="E3" t="s" s="145">
        <v>815</v>
      </c>
      <c r="F3" t="s" s="145">
        <v>816</v>
      </c>
      <c r="G3" t="s" s="145">
        <v>817</v>
      </c>
    </row>
    <row r="4" ht="88" customHeight="1">
      <c r="A4" t="s" s="138">
        <v>51</v>
      </c>
      <c r="B4" t="s" s="22">
        <v>43</v>
      </c>
      <c r="C4" t="s" s="146">
        <v>818</v>
      </c>
      <c r="D4" t="s" s="68">
        <v>819</v>
      </c>
      <c r="E4" t="s" s="68">
        <v>820</v>
      </c>
      <c r="F4" t="s" s="68">
        <v>821</v>
      </c>
      <c r="G4" t="s" s="68">
        <v>822</v>
      </c>
    </row>
    <row r="5" ht="27.55" customHeight="1">
      <c r="A5" t="s" s="147">
        <v>51</v>
      </c>
      <c r="B5" t="s" s="148">
        <v>367</v>
      </c>
      <c r="C5" s="149">
        <v>10</v>
      </c>
      <c r="D5" s="150">
        <v>8</v>
      </c>
      <c r="E5" s="150">
        <v>11</v>
      </c>
      <c r="F5" s="150">
        <v>6</v>
      </c>
      <c r="G5" s="150">
        <v>10</v>
      </c>
    </row>
    <row r="6" ht="27.55" customHeight="1">
      <c r="A6" t="s" s="143">
        <v>51</v>
      </c>
      <c r="B6" t="s" s="33">
        <v>28</v>
      </c>
      <c r="C6" s="151">
        <v>3</v>
      </c>
      <c r="D6" s="152">
        <v>7</v>
      </c>
      <c r="E6" s="152">
        <v>4</v>
      </c>
      <c r="F6" s="152">
        <v>2</v>
      </c>
      <c r="G6" s="152">
        <v>8</v>
      </c>
    </row>
    <row r="7" ht="27.55" customHeight="1">
      <c r="A7" t="s" s="138">
        <v>51</v>
      </c>
      <c r="B7" t="s" s="22">
        <v>31</v>
      </c>
      <c r="C7" s="153">
        <v>10</v>
      </c>
      <c r="D7" s="139">
        <v>16</v>
      </c>
      <c r="E7" s="139">
        <v>11</v>
      </c>
      <c r="F7" s="139">
        <v>8</v>
      </c>
      <c r="G7" s="139">
        <v>33</v>
      </c>
    </row>
    <row r="8" ht="27.55" customHeight="1">
      <c r="A8" t="s" s="138">
        <v>51</v>
      </c>
      <c r="B8" t="s" s="22">
        <v>32</v>
      </c>
      <c r="C8" s="153">
        <v>2</v>
      </c>
      <c r="D8" s="139">
        <v>6</v>
      </c>
      <c r="E8" s="139">
        <v>4</v>
      </c>
      <c r="F8" s="139">
        <v>5</v>
      </c>
      <c r="G8" s="139">
        <v>12</v>
      </c>
    </row>
    <row r="9" ht="27.55" customHeight="1">
      <c r="A9" t="s" s="138">
        <v>51</v>
      </c>
      <c r="B9" t="s" s="22">
        <v>33</v>
      </c>
      <c r="C9" s="153">
        <v>0</v>
      </c>
      <c r="D9" s="139">
        <v>0</v>
      </c>
      <c r="E9" s="139">
        <v>0</v>
      </c>
      <c r="F9" s="139">
        <v>0</v>
      </c>
      <c r="G9" s="139">
        <v>0</v>
      </c>
    </row>
    <row r="10" ht="27.55" customHeight="1">
      <c r="A10" t="s" s="138">
        <v>51</v>
      </c>
      <c r="B10" t="s" s="22">
        <v>34</v>
      </c>
      <c r="C10" s="153">
        <v>1</v>
      </c>
      <c r="D10" s="139">
        <v>3</v>
      </c>
      <c r="E10" s="139">
        <v>1</v>
      </c>
      <c r="F10" s="139">
        <v>1</v>
      </c>
      <c r="G10" s="139">
        <v>3</v>
      </c>
    </row>
    <row r="11" ht="27.55" customHeight="1">
      <c r="A11" t="s" s="138">
        <v>51</v>
      </c>
      <c r="B11" t="s" s="22">
        <v>35</v>
      </c>
      <c r="C11" s="153">
        <v>7</v>
      </c>
      <c r="D11" s="139">
        <v>58</v>
      </c>
      <c r="E11" s="139">
        <v>33</v>
      </c>
      <c r="F11" s="139">
        <v>22</v>
      </c>
      <c r="G11" s="139">
        <v>88</v>
      </c>
    </row>
    <row r="12" ht="27.55" customHeight="1">
      <c r="A12" t="s" s="138">
        <v>51</v>
      </c>
      <c r="B12" t="s" s="22">
        <v>36</v>
      </c>
      <c r="C12" s="153">
        <v>1</v>
      </c>
      <c r="D12" s="139">
        <v>9</v>
      </c>
      <c r="E12" s="139">
        <v>5</v>
      </c>
      <c r="F12" s="139">
        <v>3</v>
      </c>
      <c r="G12" s="139">
        <v>14</v>
      </c>
    </row>
    <row r="13" ht="27.55" customHeight="1">
      <c r="A13" t="s" s="138">
        <v>51</v>
      </c>
      <c r="B13" t="s" s="22">
        <v>823</v>
      </c>
      <c r="C13" s="153">
        <v>2</v>
      </c>
      <c r="D13" s="139">
        <v>6</v>
      </c>
      <c r="E13" s="139">
        <v>3</v>
      </c>
      <c r="F13" s="139">
        <v>1</v>
      </c>
      <c r="G13" s="139">
        <v>10</v>
      </c>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2:N10"/>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0.7969" style="193" customWidth="1"/>
    <col min="3" max="4" width="16.6797" style="193" customWidth="1"/>
    <col min="5" max="6" width="19.1797" style="193" customWidth="1"/>
    <col min="7" max="7" width="16.6797" style="193" customWidth="1"/>
    <col min="8" max="8" width="28.8516" style="193" customWidth="1"/>
    <col min="9" max="13" width="16.6797" style="193" customWidth="1"/>
    <col min="14" max="14" width="37.3281" style="193" customWidth="1"/>
    <col min="15" max="16384" width="16.3516" style="193" customWidth="1"/>
  </cols>
  <sheetData>
    <row r="1" ht="28" customHeight="1">
      <c r="A1" t="s" s="29">
        <v>14</v>
      </c>
      <c r="B1" s="29"/>
      <c r="C1" s="29"/>
      <c r="D1" s="29"/>
      <c r="E1" s="29"/>
      <c r="F1" s="29"/>
      <c r="G1" s="29"/>
      <c r="H1" s="29"/>
      <c r="I1" s="29"/>
      <c r="J1" s="29"/>
      <c r="K1" s="29"/>
      <c r="L1" s="29"/>
      <c r="M1" s="29"/>
      <c r="N1" s="29"/>
    </row>
    <row r="2" ht="80" customHeight="1">
      <c r="A2" t="s" s="9">
        <v>17</v>
      </c>
      <c r="B2" t="s" s="9">
        <v>18</v>
      </c>
      <c r="C2" t="s" s="9">
        <v>337</v>
      </c>
      <c r="D2" t="s" s="9">
        <v>338</v>
      </c>
      <c r="E2" t="s" s="9">
        <v>339</v>
      </c>
      <c r="F2" t="s" s="9">
        <v>340</v>
      </c>
      <c r="G2" t="s" s="9">
        <v>341</v>
      </c>
      <c r="H2" t="s" s="9">
        <v>342</v>
      </c>
      <c r="I2" t="s" s="9">
        <v>343</v>
      </c>
      <c r="J2" t="s" s="9">
        <v>24</v>
      </c>
      <c r="K2" t="s" s="9">
        <v>25</v>
      </c>
      <c r="L2" t="s" s="9">
        <v>26</v>
      </c>
      <c r="M2" t="s" s="9">
        <v>27</v>
      </c>
      <c r="N2" t="s" s="9">
        <v>344</v>
      </c>
    </row>
    <row r="3" ht="30" customHeight="1">
      <c r="A3" t="s" s="135">
        <v>151</v>
      </c>
      <c r="B3" t="s" s="17">
        <v>28</v>
      </c>
      <c r="C3" s="191" cm="1">
        <f t="array" ref="C3">SUM(E3:E10)/SUM(D3:D10)</f>
        <v>0.778125</v>
      </c>
      <c r="D3" s="137">
        <v>15</v>
      </c>
      <c r="E3" s="194">
        <v>11</v>
      </c>
      <c r="F3" s="137" cm="1">
        <f t="array" ref="F3">D3-E3</f>
        <v>4</v>
      </c>
      <c r="G3" t="s" s="20">
        <v>826</v>
      </c>
      <c r="H3" t="s" s="10">
        <v>827</v>
      </c>
      <c r="I3" t="s" s="10">
        <v>828</v>
      </c>
      <c r="J3" t="s" s="20">
        <v>53</v>
      </c>
      <c r="K3" t="s" s="20">
        <v>53</v>
      </c>
      <c r="L3" t="s" s="20">
        <v>53</v>
      </c>
      <c r="M3" t="s" s="20">
        <v>53</v>
      </c>
      <c r="N3" t="s" s="10">
        <v>829</v>
      </c>
    </row>
    <row r="4" ht="30" customHeight="1">
      <c r="A4" t="s" s="138">
        <v>151</v>
      </c>
      <c r="B4" t="s" s="22">
        <v>31</v>
      </c>
      <c r="C4" s="23"/>
      <c r="D4" s="139" cm="1">
        <f t="array" ref="D4">12+2+12+4</f>
        <v>30</v>
      </c>
      <c r="E4" s="195">
        <v>17</v>
      </c>
      <c r="F4" s="139" cm="1">
        <f t="array" ref="F4">D4-E4</f>
        <v>13</v>
      </c>
      <c r="G4" s="25"/>
      <c r="H4" s="25"/>
      <c r="I4" s="25"/>
      <c r="J4" s="25"/>
      <c r="K4" s="25"/>
      <c r="L4" s="25"/>
      <c r="M4" s="25"/>
      <c r="N4" s="25"/>
    </row>
    <row r="5" ht="30" customHeight="1">
      <c r="A5" t="s" s="138">
        <v>151</v>
      </c>
      <c r="B5" t="s" s="22">
        <v>32</v>
      </c>
      <c r="C5" s="23"/>
      <c r="D5" s="139">
        <v>12</v>
      </c>
      <c r="E5" s="195">
        <v>8</v>
      </c>
      <c r="F5" s="139" cm="1">
        <f t="array" ref="F5">D5-E5</f>
        <v>4</v>
      </c>
      <c r="G5" s="25"/>
      <c r="H5" s="25"/>
      <c r="I5" s="25"/>
      <c r="J5" s="25"/>
      <c r="K5" s="25"/>
      <c r="L5" s="25"/>
      <c r="M5" s="25"/>
      <c r="N5" s="25"/>
    </row>
    <row r="6" ht="30" customHeight="1">
      <c r="A6" t="s" s="138">
        <v>151</v>
      </c>
      <c r="B6" t="s" s="22">
        <v>33</v>
      </c>
      <c r="C6" s="23"/>
      <c r="D6" s="139">
        <v>8</v>
      </c>
      <c r="E6" s="195">
        <v>5</v>
      </c>
      <c r="F6" s="139" cm="1">
        <f t="array" ref="F6">D6-E6</f>
        <v>3</v>
      </c>
      <c r="G6" s="25"/>
      <c r="H6" s="25"/>
      <c r="I6" s="25"/>
      <c r="J6" s="25"/>
      <c r="K6" s="25"/>
      <c r="L6" s="25"/>
      <c r="M6" s="25"/>
      <c r="N6" s="25"/>
    </row>
    <row r="7" ht="30" customHeight="1">
      <c r="A7" t="s" s="138">
        <v>151</v>
      </c>
      <c r="B7" t="s" s="22">
        <v>34</v>
      </c>
      <c r="C7" s="23"/>
      <c r="D7" s="139">
        <v>25</v>
      </c>
      <c r="E7" s="195">
        <v>20</v>
      </c>
      <c r="F7" s="139" cm="1">
        <f t="array" ref="F7">D7-E7</f>
        <v>5</v>
      </c>
      <c r="G7" s="25"/>
      <c r="H7" s="25"/>
      <c r="I7" s="25"/>
      <c r="J7" s="25"/>
      <c r="K7" s="25"/>
      <c r="L7" s="25"/>
      <c r="M7" s="25"/>
      <c r="N7" s="25"/>
    </row>
    <row r="8" ht="30" customHeight="1">
      <c r="A8" t="s" s="138">
        <v>151</v>
      </c>
      <c r="B8" t="s" s="22">
        <v>35</v>
      </c>
      <c r="C8" s="23"/>
      <c r="D8" s="139">
        <v>150</v>
      </c>
      <c r="E8" s="195">
        <v>116</v>
      </c>
      <c r="F8" s="139" cm="1">
        <f t="array" ref="F8">D8-E8</f>
        <v>34</v>
      </c>
      <c r="G8" s="25"/>
      <c r="H8" s="25"/>
      <c r="I8" s="25"/>
      <c r="J8" s="25"/>
      <c r="K8" s="25"/>
      <c r="L8" s="25"/>
      <c r="M8" s="25"/>
      <c r="N8" s="25"/>
    </row>
    <row r="9" ht="30" customHeight="1">
      <c r="A9" t="s" s="138">
        <v>151</v>
      </c>
      <c r="B9" t="s" s="22">
        <v>36</v>
      </c>
      <c r="C9" s="23"/>
      <c r="D9" s="139">
        <v>60</v>
      </c>
      <c r="E9" s="195">
        <v>55</v>
      </c>
      <c r="F9" s="139" cm="1">
        <f t="array" ref="F9">D9-E9</f>
        <v>5</v>
      </c>
      <c r="G9" s="25"/>
      <c r="H9" s="25"/>
      <c r="I9" s="25"/>
      <c r="J9" s="25"/>
      <c r="K9" s="25"/>
      <c r="L9" s="25"/>
      <c r="M9" s="25"/>
      <c r="N9" s="25"/>
    </row>
    <row r="10" ht="30" customHeight="1">
      <c r="A10" t="s" s="138">
        <v>151</v>
      </c>
      <c r="B10" t="s" s="22">
        <v>37</v>
      </c>
      <c r="C10" s="23"/>
      <c r="D10" s="139">
        <v>20</v>
      </c>
      <c r="E10" s="195">
        <v>17</v>
      </c>
      <c r="F10" s="139" cm="1">
        <f t="array" ref="F10">D10-E10</f>
        <v>3</v>
      </c>
      <c r="G10" s="25"/>
      <c r="H10" s="25"/>
      <c r="I10" s="25"/>
      <c r="J10" s="25"/>
      <c r="K10" s="25"/>
      <c r="L10" s="25"/>
      <c r="M10" s="25"/>
      <c r="N10" s="25"/>
    </row>
  </sheetData>
  <mergeCells count="10">
    <mergeCell ref="A1:N1"/>
    <mergeCell ref="G3:G10"/>
    <mergeCell ref="H3:H10"/>
    <mergeCell ref="I3:I10"/>
    <mergeCell ref="J3:J10"/>
    <mergeCell ref="K3:K10"/>
    <mergeCell ref="M3:M10"/>
    <mergeCell ref="L3:L10"/>
    <mergeCell ref="N3:N10"/>
    <mergeCell ref="C3:C1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2:G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7" width="20.8203" style="196" customWidth="1"/>
    <col min="8" max="16384" width="16.3516" style="196" customWidth="1"/>
  </cols>
  <sheetData>
    <row r="1" ht="28" customHeight="1">
      <c r="A1" t="s" s="29">
        <v>351</v>
      </c>
      <c r="B1" s="29"/>
      <c r="C1" s="29"/>
      <c r="D1" s="29"/>
      <c r="E1" s="29"/>
      <c r="F1" s="29"/>
      <c r="G1" s="29"/>
    </row>
    <row r="2" ht="27.55" customHeight="1">
      <c r="A2" t="s" s="30">
        <v>17</v>
      </c>
      <c r="B2" t="s" s="30">
        <v>41</v>
      </c>
      <c r="C2" t="s" s="30">
        <v>353</v>
      </c>
      <c r="D2" t="s" s="30">
        <v>354</v>
      </c>
      <c r="E2" t="s" s="30">
        <v>178</v>
      </c>
      <c r="F2" t="s" s="30">
        <v>191</v>
      </c>
      <c r="G2" t="s" s="30">
        <v>144</v>
      </c>
    </row>
    <row r="3" ht="27.55" customHeight="1">
      <c r="A3" s="32"/>
      <c r="B3" t="s" s="33">
        <v>42</v>
      </c>
      <c r="C3" t="s" s="144">
        <v>831</v>
      </c>
      <c r="D3" t="s" s="145">
        <v>832</v>
      </c>
      <c r="E3" t="s" s="145">
        <v>833</v>
      </c>
      <c r="F3" t="s" s="145">
        <v>834</v>
      </c>
      <c r="G3" t="s" s="145">
        <v>835</v>
      </c>
    </row>
    <row r="4" ht="92.35" customHeight="1">
      <c r="A4" s="21"/>
      <c r="B4" t="s" s="22">
        <v>43</v>
      </c>
      <c r="C4" t="s" s="64">
        <v>836</v>
      </c>
      <c r="D4" t="s" s="67">
        <v>837</v>
      </c>
      <c r="E4" t="s" s="67">
        <v>838</v>
      </c>
      <c r="F4" t="s" s="67">
        <v>839</v>
      </c>
      <c r="G4" t="s" s="67">
        <v>840</v>
      </c>
    </row>
    <row r="5" ht="27.55" customHeight="1">
      <c r="A5" s="197"/>
      <c r="B5" t="s" s="148">
        <v>367</v>
      </c>
      <c r="C5" s="149">
        <v>111</v>
      </c>
      <c r="D5" s="150" cm="1">
        <f t="array" ref="D5">4+54</f>
        <v>58</v>
      </c>
      <c r="E5" s="150" cm="1">
        <f t="array" ref="E5">120+12*4+8</f>
        <v>176</v>
      </c>
      <c r="F5" s="150">
        <v>15</v>
      </c>
      <c r="G5" s="150" cm="1">
        <f t="array" ref="G5">189+219</f>
        <v>408</v>
      </c>
    </row>
    <row r="6" ht="27.55" customHeight="1">
      <c r="A6" s="32"/>
      <c r="B6" t="s" s="33">
        <v>28</v>
      </c>
      <c r="C6" s="151">
        <v>2</v>
      </c>
      <c r="D6" s="152">
        <v>1</v>
      </c>
      <c r="E6" s="152">
        <v>2</v>
      </c>
      <c r="F6" s="152">
        <v>1</v>
      </c>
      <c r="G6" s="152">
        <v>3</v>
      </c>
    </row>
    <row r="7" ht="27.55" customHeight="1">
      <c r="A7" s="21"/>
      <c r="B7" t="s" s="22">
        <v>31</v>
      </c>
      <c r="C7" s="153">
        <v>2</v>
      </c>
      <c r="D7" s="139">
        <v>1</v>
      </c>
      <c r="E7" s="139">
        <v>2</v>
      </c>
      <c r="F7" s="139">
        <v>1</v>
      </c>
      <c r="G7" s="139">
        <v>3</v>
      </c>
    </row>
    <row r="8" ht="27.55" customHeight="1">
      <c r="A8" s="21"/>
      <c r="B8" t="s" s="22">
        <v>32</v>
      </c>
      <c r="C8" s="153">
        <v>2</v>
      </c>
      <c r="D8" s="139">
        <v>1</v>
      </c>
      <c r="E8" s="139">
        <v>1</v>
      </c>
      <c r="F8" s="139">
        <v>1</v>
      </c>
      <c r="G8" s="139">
        <v>2</v>
      </c>
    </row>
    <row r="9" ht="27.55" customHeight="1">
      <c r="A9" s="21"/>
      <c r="B9" t="s" s="22">
        <v>33</v>
      </c>
      <c r="C9" s="153">
        <v>1</v>
      </c>
      <c r="D9" s="139">
        <v>0</v>
      </c>
      <c r="E9" s="139">
        <v>1</v>
      </c>
      <c r="F9" s="139">
        <v>0</v>
      </c>
      <c r="G9" s="139">
        <v>2</v>
      </c>
    </row>
    <row r="10" ht="27.55" customHeight="1">
      <c r="A10" s="21"/>
      <c r="B10" t="s" s="22">
        <v>34</v>
      </c>
      <c r="C10" s="153">
        <v>3</v>
      </c>
      <c r="D10" s="139">
        <v>2</v>
      </c>
      <c r="E10" s="139">
        <v>1</v>
      </c>
      <c r="F10" s="139">
        <v>1</v>
      </c>
      <c r="G10" s="139">
        <v>10</v>
      </c>
    </row>
    <row r="11" ht="27.55" customHeight="1">
      <c r="A11" s="21"/>
      <c r="B11" t="s" s="22">
        <v>35</v>
      </c>
      <c r="C11" s="153">
        <v>13</v>
      </c>
      <c r="D11" s="139">
        <v>3</v>
      </c>
      <c r="E11" s="139">
        <v>5</v>
      </c>
      <c r="F11" s="139">
        <v>2</v>
      </c>
      <c r="G11" s="139" cm="1">
        <f t="array" ref="G11">38+25</f>
        <v>63</v>
      </c>
    </row>
    <row r="12" ht="27.55" customHeight="1">
      <c r="A12" s="21"/>
      <c r="B12" t="s" s="22">
        <v>36</v>
      </c>
      <c r="C12" s="153">
        <v>5</v>
      </c>
      <c r="D12" s="139">
        <v>2</v>
      </c>
      <c r="E12" s="139">
        <v>2</v>
      </c>
      <c r="F12" s="139">
        <v>1</v>
      </c>
      <c r="G12" s="139" cm="1">
        <f t="array" ref="G12">18+15</f>
        <v>33</v>
      </c>
    </row>
    <row r="13" ht="27.55" customHeight="1">
      <c r="A13" s="21"/>
      <c r="B13" t="s" s="22">
        <v>37</v>
      </c>
      <c r="C13" s="153">
        <v>2</v>
      </c>
      <c r="D13" s="139">
        <v>1</v>
      </c>
      <c r="E13" s="139">
        <v>1</v>
      </c>
      <c r="F13" s="139">
        <v>1</v>
      </c>
      <c r="G13" s="139">
        <v>10</v>
      </c>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2:M10"/>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0.7969" style="198" customWidth="1"/>
    <col min="3" max="4" width="16.6797" style="198" customWidth="1"/>
    <col min="5" max="6" width="19.1797" style="198" customWidth="1"/>
    <col min="7" max="7" width="16.6797" style="198" customWidth="1"/>
    <col min="8" max="8" width="28.8516" style="198" customWidth="1"/>
    <col min="9" max="13" width="16.6797" style="198" customWidth="1"/>
    <col min="14" max="16384" width="16.3516" style="198" customWidth="1"/>
  </cols>
  <sheetData>
    <row r="1" ht="28" customHeight="1">
      <c r="A1" t="s" s="29">
        <v>14</v>
      </c>
      <c r="B1" s="29"/>
      <c r="C1" s="29"/>
      <c r="D1" s="29"/>
      <c r="E1" s="29"/>
      <c r="F1" s="29"/>
      <c r="G1" s="29"/>
      <c r="H1" s="29"/>
      <c r="I1" s="29"/>
      <c r="J1" s="29"/>
      <c r="K1" s="29"/>
      <c r="L1" s="29"/>
      <c r="M1" s="29"/>
    </row>
    <row r="2" ht="80" customHeight="1">
      <c r="A2" t="s" s="9">
        <v>17</v>
      </c>
      <c r="B2" t="s" s="9">
        <v>18</v>
      </c>
      <c r="C2" t="s" s="9">
        <v>337</v>
      </c>
      <c r="D2" t="s" s="9">
        <v>843</v>
      </c>
      <c r="E2" t="s" s="9">
        <v>339</v>
      </c>
      <c r="F2" t="s" s="9">
        <v>340</v>
      </c>
      <c r="G2" t="s" s="9">
        <v>341</v>
      </c>
      <c r="H2" t="s" s="9">
        <v>342</v>
      </c>
      <c r="I2" t="s" s="9">
        <v>343</v>
      </c>
      <c r="J2" t="s" s="9">
        <v>24</v>
      </c>
      <c r="K2" t="s" s="9">
        <v>25</v>
      </c>
      <c r="L2" t="s" s="9">
        <v>26</v>
      </c>
      <c r="M2" t="s" s="9">
        <v>27</v>
      </c>
    </row>
    <row r="3" ht="30" customHeight="1">
      <c r="A3" t="s" s="135">
        <v>58</v>
      </c>
      <c r="B3" t="s" s="17">
        <v>28</v>
      </c>
      <c r="C3" s="191" cm="1">
        <f t="array" ref="C3">SUM(E3:E10)/SUM(D3:D10)</f>
        <v>0.707317073170732</v>
      </c>
      <c r="D3" s="137">
        <v>14</v>
      </c>
      <c r="E3" s="194">
        <v>10</v>
      </c>
      <c r="F3" s="137" cm="1">
        <f t="array" ref="F3">D3-E3</f>
        <v>4</v>
      </c>
      <c r="G3" s="137">
        <v>3</v>
      </c>
      <c r="H3" t="s" s="10">
        <v>844</v>
      </c>
      <c r="I3" t="s" s="10">
        <v>845</v>
      </c>
      <c r="J3" t="s" s="20">
        <v>53</v>
      </c>
      <c r="K3" t="s" s="20">
        <v>53</v>
      </c>
      <c r="L3" t="s" s="20">
        <v>53</v>
      </c>
      <c r="M3" t="s" s="20">
        <v>53</v>
      </c>
    </row>
    <row r="4" ht="30" customHeight="1">
      <c r="A4" t="s" s="138">
        <v>58</v>
      </c>
      <c r="B4" t="s" s="22">
        <v>31</v>
      </c>
      <c r="C4" s="23"/>
      <c r="D4" s="139">
        <v>21</v>
      </c>
      <c r="E4" s="195">
        <v>12</v>
      </c>
      <c r="F4" s="139" cm="1">
        <f t="array" ref="F4">D4-E4</f>
        <v>9</v>
      </c>
      <c r="G4" s="25"/>
      <c r="H4" s="25"/>
      <c r="I4" s="25"/>
      <c r="J4" s="25"/>
      <c r="K4" s="25"/>
      <c r="L4" s="25"/>
      <c r="M4" s="25"/>
    </row>
    <row r="5" ht="30" customHeight="1">
      <c r="A5" t="s" s="138">
        <v>58</v>
      </c>
      <c r="B5" t="s" s="22">
        <v>32</v>
      </c>
      <c r="C5" s="23"/>
      <c r="D5" s="139">
        <v>10</v>
      </c>
      <c r="E5" s="195">
        <v>6</v>
      </c>
      <c r="F5" s="139" cm="1">
        <f t="array" ref="F5">D5-E5</f>
        <v>4</v>
      </c>
      <c r="G5" s="25"/>
      <c r="H5" s="25"/>
      <c r="I5" s="25"/>
      <c r="J5" s="25"/>
      <c r="K5" s="25"/>
      <c r="L5" s="25"/>
      <c r="M5" s="25"/>
    </row>
    <row r="6" ht="30" customHeight="1">
      <c r="A6" t="s" s="138">
        <v>58</v>
      </c>
      <c r="B6" t="s" s="22">
        <v>33</v>
      </c>
      <c r="C6" s="23"/>
      <c r="D6" s="139">
        <v>12</v>
      </c>
      <c r="E6" s="195">
        <v>7</v>
      </c>
      <c r="F6" s="139" cm="1">
        <f t="array" ref="F6">D6-E6</f>
        <v>5</v>
      </c>
      <c r="G6" s="25"/>
      <c r="H6" s="25"/>
      <c r="I6" s="25"/>
      <c r="J6" s="25"/>
      <c r="K6" s="25"/>
      <c r="L6" s="25"/>
      <c r="M6" s="25"/>
    </row>
    <row r="7" ht="30" customHeight="1">
      <c r="A7" t="s" s="138">
        <v>58</v>
      </c>
      <c r="B7" t="s" s="22">
        <v>34</v>
      </c>
      <c r="C7" s="23"/>
      <c r="D7" s="139">
        <v>5</v>
      </c>
      <c r="E7" s="195">
        <v>4</v>
      </c>
      <c r="F7" s="139" cm="1">
        <f t="array" ref="F7">D7-E7</f>
        <v>1</v>
      </c>
      <c r="G7" s="25"/>
      <c r="H7" s="25"/>
      <c r="I7" s="25"/>
      <c r="J7" s="25"/>
      <c r="K7" s="25"/>
      <c r="L7" s="25"/>
      <c r="M7" s="25"/>
    </row>
    <row r="8" ht="30" customHeight="1">
      <c r="A8" t="s" s="138">
        <v>58</v>
      </c>
      <c r="B8" t="s" s="22">
        <v>35</v>
      </c>
      <c r="C8" s="23"/>
      <c r="D8" s="139">
        <v>91</v>
      </c>
      <c r="E8" s="195">
        <v>65</v>
      </c>
      <c r="F8" s="139" cm="1">
        <f t="array" ref="F8">D8-E8</f>
        <v>26</v>
      </c>
      <c r="G8" s="25"/>
      <c r="H8" s="25"/>
      <c r="I8" s="25"/>
      <c r="J8" s="25"/>
      <c r="K8" s="25"/>
      <c r="L8" s="25"/>
      <c r="M8" s="25"/>
    </row>
    <row r="9" ht="30" customHeight="1">
      <c r="A9" t="s" s="138">
        <v>58</v>
      </c>
      <c r="B9" t="s" s="22">
        <v>36</v>
      </c>
      <c r="C9" s="23"/>
      <c r="D9" s="139">
        <v>44</v>
      </c>
      <c r="E9" s="195">
        <v>35</v>
      </c>
      <c r="F9" s="139" cm="1">
        <f t="array" ref="F9">D9-E9</f>
        <v>9</v>
      </c>
      <c r="G9" s="25"/>
      <c r="H9" s="25"/>
      <c r="I9" s="25"/>
      <c r="J9" s="25"/>
      <c r="K9" s="25"/>
      <c r="L9" s="25"/>
      <c r="M9" s="25"/>
    </row>
    <row r="10" ht="30" customHeight="1">
      <c r="A10" t="s" s="138">
        <v>58</v>
      </c>
      <c r="B10" t="s" s="22">
        <v>37</v>
      </c>
      <c r="C10" s="23"/>
      <c r="D10" s="139">
        <v>8</v>
      </c>
      <c r="E10" s="195">
        <v>6</v>
      </c>
      <c r="F10" s="139" cm="1">
        <f t="array" ref="F10">D10-E10</f>
        <v>2</v>
      </c>
      <c r="G10" s="25"/>
      <c r="H10" s="25"/>
      <c r="I10" s="25"/>
      <c r="J10" s="25"/>
      <c r="K10" s="25"/>
      <c r="L10" s="25"/>
      <c r="M10" s="25"/>
    </row>
  </sheetData>
  <mergeCells count="9">
    <mergeCell ref="A1:M1"/>
    <mergeCell ref="G3:G10"/>
    <mergeCell ref="I3:I10"/>
    <mergeCell ref="J3:J10"/>
    <mergeCell ref="K3:K10"/>
    <mergeCell ref="M3:M10"/>
    <mergeCell ref="L3:L10"/>
    <mergeCell ref="C3:C10"/>
    <mergeCell ref="H3:H1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2:G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7" width="20.8203" style="199" customWidth="1"/>
    <col min="8" max="16384" width="16.3516" style="199" customWidth="1"/>
  </cols>
  <sheetData>
    <row r="1" ht="28" customHeight="1">
      <c r="A1" t="s" s="29">
        <v>39</v>
      </c>
      <c r="B1" s="29"/>
      <c r="C1" s="29"/>
      <c r="D1" s="29"/>
      <c r="E1" s="29"/>
      <c r="F1" s="29"/>
      <c r="G1" s="29"/>
    </row>
    <row r="2" ht="27.55" customHeight="1">
      <c r="A2" t="s" s="30">
        <v>17</v>
      </c>
      <c r="B2" t="s" s="30">
        <v>41</v>
      </c>
      <c r="C2" t="s" s="30">
        <v>353</v>
      </c>
      <c r="D2" t="s" s="30">
        <v>354</v>
      </c>
      <c r="E2" t="s" s="30">
        <v>178</v>
      </c>
      <c r="F2" t="s" s="30">
        <v>191</v>
      </c>
      <c r="G2" t="s" s="30">
        <v>144</v>
      </c>
    </row>
    <row r="3" ht="27.55" customHeight="1">
      <c r="A3" t="s" s="143">
        <v>58</v>
      </c>
      <c r="B3" t="s" s="33">
        <v>42</v>
      </c>
      <c r="C3" t="s" s="144">
        <v>847</v>
      </c>
      <c r="D3" t="s" s="145">
        <v>847</v>
      </c>
      <c r="E3" t="s" s="145">
        <v>847</v>
      </c>
      <c r="F3" t="s" s="145">
        <v>847</v>
      </c>
      <c r="G3" t="s" s="145">
        <v>141</v>
      </c>
    </row>
    <row r="4" ht="32.35" customHeight="1">
      <c r="A4" t="s" s="138">
        <v>58</v>
      </c>
      <c r="B4" t="s" s="22">
        <v>43</v>
      </c>
      <c r="C4" t="s" s="146">
        <v>847</v>
      </c>
      <c r="D4" t="s" s="68">
        <v>847</v>
      </c>
      <c r="E4" t="s" s="68">
        <v>847</v>
      </c>
      <c r="F4" t="s" s="68">
        <v>847</v>
      </c>
      <c r="G4" t="s" s="67">
        <v>848</v>
      </c>
    </row>
    <row r="5" ht="27.55" customHeight="1">
      <c r="A5" t="s" s="147">
        <v>58</v>
      </c>
      <c r="B5" t="s" s="148">
        <v>367</v>
      </c>
      <c r="C5" t="s" s="200">
        <v>847</v>
      </c>
      <c r="D5" t="s" s="201">
        <v>847</v>
      </c>
      <c r="E5" t="s" s="201">
        <v>847</v>
      </c>
      <c r="F5" t="s" s="201">
        <v>847</v>
      </c>
      <c r="G5" s="150">
        <v>3</v>
      </c>
    </row>
    <row r="6" ht="27.55" customHeight="1">
      <c r="A6" t="s" s="143">
        <v>58</v>
      </c>
      <c r="B6" t="s" s="33">
        <v>28</v>
      </c>
      <c r="C6" t="s" s="144">
        <v>847</v>
      </c>
      <c r="D6" t="s" s="145">
        <v>847</v>
      </c>
      <c r="E6" t="s" s="145">
        <v>847</v>
      </c>
      <c r="F6" t="s" s="145">
        <v>847</v>
      </c>
      <c r="G6" s="152">
        <v>3</v>
      </c>
    </row>
    <row r="7" ht="27.55" customHeight="1">
      <c r="A7" t="s" s="138">
        <v>58</v>
      </c>
      <c r="B7" t="s" s="22">
        <v>31</v>
      </c>
      <c r="C7" t="s" s="146">
        <v>847</v>
      </c>
      <c r="D7" t="s" s="68">
        <v>847</v>
      </c>
      <c r="E7" t="s" s="68">
        <v>847</v>
      </c>
      <c r="F7" t="s" s="68">
        <v>847</v>
      </c>
      <c r="G7" s="139">
        <v>3</v>
      </c>
    </row>
    <row r="8" ht="27.55" customHeight="1">
      <c r="A8" t="s" s="138">
        <v>58</v>
      </c>
      <c r="B8" t="s" s="22">
        <v>32</v>
      </c>
      <c r="C8" t="s" s="146">
        <v>847</v>
      </c>
      <c r="D8" t="s" s="68">
        <v>847</v>
      </c>
      <c r="E8" t="s" s="68">
        <v>847</v>
      </c>
      <c r="F8" t="s" s="68">
        <v>847</v>
      </c>
      <c r="G8" s="139">
        <v>3</v>
      </c>
    </row>
    <row r="9" ht="27.55" customHeight="1">
      <c r="A9" t="s" s="138">
        <v>58</v>
      </c>
      <c r="B9" t="s" s="22">
        <v>33</v>
      </c>
      <c r="C9" t="s" s="146">
        <v>847</v>
      </c>
      <c r="D9" t="s" s="68">
        <v>847</v>
      </c>
      <c r="E9" t="s" s="68">
        <v>847</v>
      </c>
      <c r="F9" t="s" s="68">
        <v>847</v>
      </c>
      <c r="G9" s="139">
        <v>2</v>
      </c>
    </row>
    <row r="10" ht="27.55" customHeight="1">
      <c r="A10" t="s" s="138">
        <v>58</v>
      </c>
      <c r="B10" t="s" s="22">
        <v>34</v>
      </c>
      <c r="C10" t="s" s="146">
        <v>847</v>
      </c>
      <c r="D10" t="s" s="68">
        <v>847</v>
      </c>
      <c r="E10" t="s" s="68">
        <v>847</v>
      </c>
      <c r="F10" t="s" s="68">
        <v>847</v>
      </c>
      <c r="G10" s="139">
        <v>2</v>
      </c>
    </row>
    <row r="11" ht="27.55" customHeight="1">
      <c r="A11" t="s" s="138">
        <v>58</v>
      </c>
      <c r="B11" t="s" s="22">
        <v>35</v>
      </c>
      <c r="C11" t="s" s="146">
        <v>847</v>
      </c>
      <c r="D11" t="s" s="68">
        <v>847</v>
      </c>
      <c r="E11" t="s" s="68">
        <v>847</v>
      </c>
      <c r="F11" t="s" s="68">
        <v>847</v>
      </c>
      <c r="G11" s="139">
        <v>10</v>
      </c>
    </row>
    <row r="12" ht="27.55" customHeight="1">
      <c r="A12" t="s" s="138">
        <v>58</v>
      </c>
      <c r="B12" t="s" s="22">
        <v>36</v>
      </c>
      <c r="C12" t="s" s="146">
        <v>847</v>
      </c>
      <c r="D12" t="s" s="68">
        <v>847</v>
      </c>
      <c r="E12" t="s" s="68">
        <v>847</v>
      </c>
      <c r="F12" t="s" s="68">
        <v>847</v>
      </c>
      <c r="G12" s="139">
        <v>9</v>
      </c>
    </row>
    <row r="13" ht="27.55" customHeight="1">
      <c r="A13" t="s" s="138">
        <v>58</v>
      </c>
      <c r="B13" t="s" s="22">
        <v>37</v>
      </c>
      <c r="C13" t="s" s="146">
        <v>847</v>
      </c>
      <c r="D13" t="s" s="68">
        <v>847</v>
      </c>
      <c r="E13" t="s" s="68">
        <v>847</v>
      </c>
      <c r="F13" t="s" s="68">
        <v>847</v>
      </c>
      <c r="G13" s="139">
        <v>2</v>
      </c>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2:M10"/>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0.7969" style="202" customWidth="1"/>
    <col min="3" max="4" width="16.6797" style="202" customWidth="1"/>
    <col min="5" max="6" width="19.1797" style="202" customWidth="1"/>
    <col min="7" max="7" width="16.6797" style="202" customWidth="1"/>
    <col min="8" max="8" width="28.8516" style="202" customWidth="1"/>
    <col min="9" max="13" width="16.6797" style="202" customWidth="1"/>
    <col min="14" max="16384" width="16.3516" style="202" customWidth="1"/>
  </cols>
  <sheetData>
    <row r="1" ht="28" customHeight="1">
      <c r="A1" t="s" s="29">
        <v>14</v>
      </c>
      <c r="B1" s="29"/>
      <c r="C1" s="29"/>
      <c r="D1" s="29"/>
      <c r="E1" s="29"/>
      <c r="F1" s="29"/>
      <c r="G1" s="29"/>
      <c r="H1" s="29"/>
      <c r="I1" s="29"/>
      <c r="J1" s="29"/>
      <c r="K1" s="29"/>
      <c r="L1" s="29"/>
      <c r="M1" s="29"/>
    </row>
    <row r="2" ht="80" customHeight="1">
      <c r="A2" t="s" s="9">
        <v>17</v>
      </c>
      <c r="B2" t="s" s="9">
        <v>18</v>
      </c>
      <c r="C2" t="s" s="9">
        <v>337</v>
      </c>
      <c r="D2" t="s" s="9">
        <v>843</v>
      </c>
      <c r="E2" t="s" s="9">
        <v>339</v>
      </c>
      <c r="F2" t="s" s="9">
        <v>340</v>
      </c>
      <c r="G2" t="s" s="9">
        <v>341</v>
      </c>
      <c r="H2" t="s" s="9">
        <v>342</v>
      </c>
      <c r="I2" t="s" s="9">
        <v>343</v>
      </c>
      <c r="J2" t="s" s="9">
        <v>24</v>
      </c>
      <c r="K2" t="s" s="9">
        <v>25</v>
      </c>
      <c r="L2" t="s" s="9">
        <v>26</v>
      </c>
      <c r="M2" t="s" s="9">
        <v>27</v>
      </c>
    </row>
    <row r="3" ht="30" customHeight="1">
      <c r="A3" t="s" s="135">
        <v>60</v>
      </c>
      <c r="B3" t="s" s="17">
        <v>28</v>
      </c>
      <c r="C3" s="191" cm="1">
        <f t="array" ref="C3">SUM(E3:E10)/SUM(D3:D10)</f>
        <v>0.736842105263158</v>
      </c>
      <c r="D3" s="203">
        <v>10</v>
      </c>
      <c r="E3" s="203">
        <v>8</v>
      </c>
      <c r="F3" s="137" cm="1">
        <f t="array" ref="F3">D3-E3</f>
        <v>2</v>
      </c>
      <c r="G3" s="137">
        <v>2</v>
      </c>
      <c r="H3" t="s" s="10">
        <v>851</v>
      </c>
      <c r="I3" s="52"/>
      <c r="J3" t="s" s="10">
        <v>851</v>
      </c>
      <c r="K3" t="s" s="20">
        <v>852</v>
      </c>
      <c r="L3" t="s" s="20">
        <v>853</v>
      </c>
      <c r="M3" t="s" s="20">
        <v>854</v>
      </c>
    </row>
    <row r="4" ht="30" customHeight="1">
      <c r="A4" t="s" s="138">
        <v>60</v>
      </c>
      <c r="B4" t="s" s="22">
        <v>31</v>
      </c>
      <c r="C4" s="23"/>
      <c r="D4" s="204">
        <v>20</v>
      </c>
      <c r="E4" s="204">
        <v>15</v>
      </c>
      <c r="F4" s="139" cm="1">
        <f t="array" ref="F4">D4-E4</f>
        <v>5</v>
      </c>
      <c r="G4" s="25"/>
      <c r="H4" s="25"/>
      <c r="I4" s="25"/>
      <c r="J4" s="25"/>
      <c r="K4" s="25"/>
      <c r="L4" s="25"/>
      <c r="M4" s="25"/>
    </row>
    <row r="5" ht="30" customHeight="1">
      <c r="A5" t="s" s="138">
        <v>60</v>
      </c>
      <c r="B5" t="s" s="22">
        <v>32</v>
      </c>
      <c r="C5" s="23"/>
      <c r="D5" s="204">
        <v>32</v>
      </c>
      <c r="E5" s="204">
        <v>25</v>
      </c>
      <c r="F5" s="139" cm="1">
        <f t="array" ref="F5">D5-E5</f>
        <v>7</v>
      </c>
      <c r="G5" s="25"/>
      <c r="H5" s="25"/>
      <c r="I5" s="25"/>
      <c r="J5" s="25"/>
      <c r="K5" s="25"/>
      <c r="L5" s="25"/>
      <c r="M5" s="25"/>
    </row>
    <row r="6" ht="30" customHeight="1">
      <c r="A6" t="s" s="138">
        <v>60</v>
      </c>
      <c r="B6" t="s" s="22">
        <v>33</v>
      </c>
      <c r="C6" s="23"/>
      <c r="D6" s="204">
        <v>15</v>
      </c>
      <c r="E6" s="204">
        <v>9</v>
      </c>
      <c r="F6" s="139" cm="1">
        <f t="array" ref="F6">D6-E6</f>
        <v>6</v>
      </c>
      <c r="G6" s="25"/>
      <c r="H6" s="25"/>
      <c r="I6" s="25"/>
      <c r="J6" s="25"/>
      <c r="K6" s="25"/>
      <c r="L6" s="25"/>
      <c r="M6" s="25"/>
    </row>
    <row r="7" ht="30" customHeight="1">
      <c r="A7" t="s" s="138">
        <v>60</v>
      </c>
      <c r="B7" t="s" s="22">
        <v>34</v>
      </c>
      <c r="C7" s="23"/>
      <c r="D7" s="131"/>
      <c r="E7" s="131"/>
      <c r="F7" s="139" cm="1">
        <f t="array" ref="F7">D7-E7</f>
        <v>0</v>
      </c>
      <c r="G7" s="25"/>
      <c r="H7" s="25"/>
      <c r="I7" s="25"/>
      <c r="J7" s="25"/>
      <c r="K7" s="25"/>
      <c r="L7" s="25"/>
      <c r="M7" s="25"/>
    </row>
    <row r="8" ht="30" customHeight="1">
      <c r="A8" t="s" s="138">
        <v>60</v>
      </c>
      <c r="B8" t="s" s="22">
        <v>35</v>
      </c>
      <c r="C8" s="23"/>
      <c r="D8" s="204">
        <v>30</v>
      </c>
      <c r="E8" s="204">
        <v>20</v>
      </c>
      <c r="F8" s="139" cm="1">
        <f t="array" ref="F8">D8-E8</f>
        <v>10</v>
      </c>
      <c r="G8" s="25"/>
      <c r="H8" s="25"/>
      <c r="I8" s="25"/>
      <c r="J8" s="25"/>
      <c r="K8" s="25"/>
      <c r="L8" s="25"/>
      <c r="M8" s="25"/>
    </row>
    <row r="9" ht="30" customHeight="1">
      <c r="A9" t="s" s="138">
        <v>60</v>
      </c>
      <c r="B9" t="s" s="22">
        <v>36</v>
      </c>
      <c r="C9" s="23"/>
      <c r="D9" s="204">
        <v>15</v>
      </c>
      <c r="E9" s="204">
        <v>12</v>
      </c>
      <c r="F9" s="139" cm="1">
        <f t="array" ref="F9">D9-E9</f>
        <v>3</v>
      </c>
      <c r="G9" s="25"/>
      <c r="H9" s="25"/>
      <c r="I9" s="25"/>
      <c r="J9" s="25"/>
      <c r="K9" s="25"/>
      <c r="L9" s="25"/>
      <c r="M9" s="25"/>
    </row>
    <row r="10" ht="30" customHeight="1">
      <c r="A10" t="s" s="138">
        <v>60</v>
      </c>
      <c r="B10" t="s" s="22">
        <v>37</v>
      </c>
      <c r="C10" s="23"/>
      <c r="D10" s="204">
        <v>11</v>
      </c>
      <c r="E10" s="204">
        <v>9</v>
      </c>
      <c r="F10" s="139" cm="1">
        <f t="array" ref="F10">D10-E10</f>
        <v>2</v>
      </c>
      <c r="G10" s="25"/>
      <c r="H10" s="25"/>
      <c r="I10" s="25"/>
      <c r="J10" s="25"/>
      <c r="K10" s="25"/>
      <c r="L10" s="25"/>
      <c r="M10" s="25"/>
    </row>
  </sheetData>
  <mergeCells count="9">
    <mergeCell ref="A1:M1"/>
    <mergeCell ref="G3:G10"/>
    <mergeCell ref="I3:I10"/>
    <mergeCell ref="M3:M10"/>
    <mergeCell ref="L3:L10"/>
    <mergeCell ref="C3:C10"/>
    <mergeCell ref="H3:H10"/>
    <mergeCell ref="J3:J10"/>
    <mergeCell ref="K3:K1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2:E14"/>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5" width="20.8203" style="205" customWidth="1"/>
    <col min="6" max="16384" width="16.3516" style="205" customWidth="1"/>
  </cols>
  <sheetData>
    <row r="1" ht="28" customHeight="1">
      <c r="A1" t="s" s="29">
        <v>39</v>
      </c>
      <c r="B1" s="29"/>
      <c r="C1" s="29"/>
      <c r="D1" s="29"/>
      <c r="E1" s="29"/>
    </row>
    <row r="2" ht="27.55" customHeight="1">
      <c r="A2" t="s" s="30">
        <v>17</v>
      </c>
      <c r="B2" t="s" s="30">
        <v>41</v>
      </c>
      <c r="C2" t="s" s="9">
        <v>144</v>
      </c>
      <c r="D2" t="s" s="9">
        <v>144</v>
      </c>
      <c r="E2" t="s" s="9">
        <v>144</v>
      </c>
    </row>
    <row r="3" ht="27.55" customHeight="1">
      <c r="A3" t="s" s="206">
        <v>60</v>
      </c>
      <c r="B3" t="s" s="33">
        <v>42</v>
      </c>
      <c r="C3" t="s" s="207">
        <v>856</v>
      </c>
      <c r="D3" t="s" s="20">
        <v>856</v>
      </c>
      <c r="E3" t="s" s="20">
        <v>856</v>
      </c>
    </row>
    <row r="4" ht="22" customHeight="1">
      <c r="A4" t="s" s="206">
        <v>60</v>
      </c>
      <c r="B4" t="s" s="22">
        <v>43</v>
      </c>
      <c r="C4" t="s" s="146">
        <v>857</v>
      </c>
      <c r="D4" t="s" s="68">
        <v>858</v>
      </c>
      <c r="E4" t="s" s="68">
        <v>859</v>
      </c>
    </row>
    <row r="5" ht="27.55" customHeight="1">
      <c r="A5" t="s" s="206">
        <v>60</v>
      </c>
      <c r="B5" t="s" s="148">
        <v>367</v>
      </c>
      <c r="C5" t="s" s="146">
        <v>860</v>
      </c>
      <c r="D5" t="s" s="68">
        <v>860</v>
      </c>
      <c r="E5" t="s" s="68">
        <v>860</v>
      </c>
    </row>
    <row r="6" ht="27.55" customHeight="1">
      <c r="A6" t="s" s="206">
        <v>60</v>
      </c>
      <c r="B6" t="s" s="208">
        <v>28</v>
      </c>
      <c r="C6" s="209">
        <v>0.5</v>
      </c>
      <c r="D6" s="204">
        <v>0.5</v>
      </c>
      <c r="E6" s="204">
        <v>1</v>
      </c>
    </row>
    <row r="7" ht="27.55" customHeight="1">
      <c r="A7" t="s" s="206">
        <v>60</v>
      </c>
      <c r="B7" t="s" s="210">
        <v>31</v>
      </c>
      <c r="C7" s="209">
        <v>2</v>
      </c>
      <c r="D7" s="204">
        <v>2</v>
      </c>
      <c r="E7" s="204">
        <v>2</v>
      </c>
    </row>
    <row r="8" ht="27.55" customHeight="1">
      <c r="A8" t="s" s="206">
        <v>60</v>
      </c>
      <c r="B8" t="s" s="210">
        <v>32</v>
      </c>
      <c r="C8" s="209">
        <v>1</v>
      </c>
      <c r="D8" s="204">
        <v>1</v>
      </c>
      <c r="E8" s="204">
        <v>1</v>
      </c>
    </row>
    <row r="9" ht="27.55" customHeight="1">
      <c r="A9" t="s" s="206">
        <v>60</v>
      </c>
      <c r="B9" t="s" s="210">
        <v>33</v>
      </c>
      <c r="C9" s="209">
        <v>2</v>
      </c>
      <c r="D9" s="204">
        <v>2</v>
      </c>
      <c r="E9" s="204">
        <v>2</v>
      </c>
    </row>
    <row r="10" ht="27.55" customHeight="1">
      <c r="A10" t="s" s="206">
        <v>60</v>
      </c>
      <c r="B10" t="s" s="210">
        <v>34</v>
      </c>
      <c r="C10" s="211"/>
      <c r="D10" s="131"/>
      <c r="E10" s="131"/>
    </row>
    <row r="11" ht="27.55" customHeight="1">
      <c r="A11" t="s" s="206">
        <v>60</v>
      </c>
      <c r="B11" t="s" s="210">
        <v>823</v>
      </c>
      <c r="C11" s="209">
        <v>1</v>
      </c>
      <c r="D11" s="204">
        <v>1</v>
      </c>
      <c r="E11" s="204">
        <v>1</v>
      </c>
    </row>
    <row r="12" ht="27.55" customHeight="1">
      <c r="A12" t="s" s="206">
        <v>60</v>
      </c>
      <c r="B12" t="s" s="210">
        <v>861</v>
      </c>
      <c r="C12" s="209">
        <v>10</v>
      </c>
      <c r="D12" s="204">
        <v>10</v>
      </c>
      <c r="E12" s="204">
        <v>10</v>
      </c>
    </row>
    <row r="13" ht="27.55" customHeight="1">
      <c r="A13" t="s" s="206">
        <v>60</v>
      </c>
      <c r="B13" t="s" s="210">
        <v>36</v>
      </c>
      <c r="C13" s="209">
        <v>2</v>
      </c>
      <c r="D13" s="204">
        <v>2</v>
      </c>
      <c r="E13" s="204">
        <v>2</v>
      </c>
    </row>
    <row r="14" ht="27.55" customHeight="1">
      <c r="A14" t="s" s="143">
        <v>60</v>
      </c>
      <c r="B14" t="s" s="210">
        <v>823</v>
      </c>
      <c r="C14" s="209">
        <v>0</v>
      </c>
      <c r="D14" s="204">
        <v>0</v>
      </c>
      <c r="E14" s="204">
        <v>0</v>
      </c>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2:P11"/>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0.7969" style="212" customWidth="1"/>
    <col min="3" max="4" width="16.6797" style="212" customWidth="1"/>
    <col min="5" max="6" width="19.1797" style="212" customWidth="1"/>
    <col min="7" max="9" width="16.6797" style="212" customWidth="1"/>
    <col min="10" max="10" width="35.9375" style="212" customWidth="1"/>
    <col min="11" max="11" width="34.7734" style="212" customWidth="1"/>
    <col min="12" max="12" width="39.4922" style="212" customWidth="1"/>
    <col min="13" max="15" width="16.6797" style="212" customWidth="1"/>
    <col min="16" max="16" width="37.3281" style="212" customWidth="1"/>
    <col min="17" max="16384" width="16.3516" style="212" customWidth="1"/>
  </cols>
  <sheetData>
    <row r="1" ht="28" customHeight="1">
      <c r="A1" t="s" s="29">
        <v>14</v>
      </c>
      <c r="B1" s="29"/>
      <c r="C1" s="29"/>
      <c r="D1" s="29"/>
      <c r="E1" s="29"/>
      <c r="F1" s="29"/>
      <c r="G1" s="29"/>
      <c r="H1" s="29"/>
      <c r="I1" s="29"/>
      <c r="J1" s="29"/>
      <c r="K1" s="29"/>
      <c r="L1" s="29"/>
      <c r="M1" s="29"/>
      <c r="N1" s="29"/>
      <c r="O1" s="29"/>
      <c r="P1" s="29"/>
    </row>
    <row r="2" ht="68.55" customHeight="1">
      <c r="A2" t="s" s="9">
        <v>17</v>
      </c>
      <c r="B2" t="s" s="9">
        <v>18</v>
      </c>
      <c r="C2" t="s" s="9">
        <v>337</v>
      </c>
      <c r="D2" t="s" s="9">
        <v>338</v>
      </c>
      <c r="E2" t="s" s="9">
        <v>339</v>
      </c>
      <c r="F2" t="s" s="9">
        <v>340</v>
      </c>
      <c r="G2" t="s" s="213">
        <v>864</v>
      </c>
      <c r="H2" t="s" s="214">
        <v>865</v>
      </c>
      <c r="I2" t="s" s="9">
        <v>341</v>
      </c>
      <c r="J2" t="s" s="9">
        <v>342</v>
      </c>
      <c r="K2" t="s" s="9">
        <v>343</v>
      </c>
      <c r="L2" t="s" s="9">
        <v>24</v>
      </c>
      <c r="M2" t="s" s="9">
        <v>25</v>
      </c>
      <c r="N2" t="s" s="9">
        <v>26</v>
      </c>
      <c r="O2" t="s" s="9">
        <v>27</v>
      </c>
      <c r="P2" t="s" s="9">
        <v>344</v>
      </c>
    </row>
    <row r="3" ht="26.8" customHeight="1">
      <c r="A3" t="s" s="135">
        <v>56</v>
      </c>
      <c r="B3" t="s" s="17">
        <v>866</v>
      </c>
      <c r="C3" s="191" cm="1">
        <f t="array" ref="C3">SUM(E3:E7)/SUM(D3:D7)</f>
        <v>0.49079754601227</v>
      </c>
      <c r="D3" s="137">
        <v>31</v>
      </c>
      <c r="E3" s="137" cm="1">
        <f t="array" ref="E3">SUM('Y2027 NPI - Cencorp (Rick) - Y1'!C6:G6)</f>
        <v>15</v>
      </c>
      <c r="F3" s="137" cm="1">
        <f t="array" ref="F3">D3-E3</f>
        <v>16</v>
      </c>
      <c r="G3" s="215" cm="1">
        <f t="array" ref="G3">SUM('Y2027 NPI - Cencorp (Rick) - Y2'!C6:J6)</f>
        <v>8.5</v>
      </c>
      <c r="H3" s="216" cm="1">
        <f t="array" ref="H3">F3-G3</f>
        <v>7.5</v>
      </c>
      <c r="I3" t="s" s="20">
        <v>867</v>
      </c>
      <c r="J3" t="s" s="20">
        <v>868</v>
      </c>
      <c r="K3" t="s" s="10">
        <v>869</v>
      </c>
      <c r="L3" t="s" s="20">
        <v>870</v>
      </c>
      <c r="M3" t="s" s="20">
        <v>53</v>
      </c>
      <c r="N3" t="s" s="20">
        <v>53</v>
      </c>
      <c r="O3" t="s" s="20">
        <v>53</v>
      </c>
      <c r="P3" t="s" s="217"/>
    </row>
    <row r="4" ht="26.8" customHeight="1">
      <c r="A4" t="s" s="138">
        <v>56</v>
      </c>
      <c r="B4" t="s" s="22">
        <v>31</v>
      </c>
      <c r="C4" s="23"/>
      <c r="D4" s="139">
        <v>43</v>
      </c>
      <c r="E4" s="139" cm="1">
        <f t="array" ref="E4">SUM('Y2027 NPI - Cencorp (Rick) - Y1'!C7:G7)</f>
        <v>21.5</v>
      </c>
      <c r="F4" s="139" cm="1">
        <f t="array" ref="F4">D4-E4</f>
        <v>21.5</v>
      </c>
      <c r="G4" s="218" cm="1">
        <f t="array" ref="G4">SUM('Y2027 NPI - Cencorp (Rick) - Y2'!C7:J7)</f>
        <v>15</v>
      </c>
      <c r="H4" s="219" cm="1">
        <f t="array" ref="H4">F4-G4</f>
        <v>6.5</v>
      </c>
      <c r="I4" s="25"/>
      <c r="J4" s="25"/>
      <c r="K4" s="25"/>
      <c r="L4" s="25"/>
      <c r="M4" s="25"/>
      <c r="N4" s="25"/>
      <c r="O4" s="25"/>
      <c r="P4" s="25"/>
    </row>
    <row r="5" ht="26.8" customHeight="1">
      <c r="A5" t="s" s="138">
        <v>56</v>
      </c>
      <c r="B5" t="s" s="22">
        <v>32</v>
      </c>
      <c r="C5" s="23"/>
      <c r="D5" s="139">
        <v>36</v>
      </c>
      <c r="E5" s="139" cm="1">
        <f t="array" ref="E5">SUM('Y2027 NPI - Cencorp (Rick) - Y1'!C8:G8)</f>
        <v>20</v>
      </c>
      <c r="F5" s="139" cm="1">
        <f t="array" ref="F5">D5-E5</f>
        <v>16</v>
      </c>
      <c r="G5" s="218" cm="1">
        <f t="array" ref="G5">SUM('Y2027 NPI - Cencorp (Rick) - Y2'!C8:J8)</f>
        <v>12</v>
      </c>
      <c r="H5" s="219" cm="1">
        <f t="array" ref="H5">F5-G5</f>
        <v>4</v>
      </c>
      <c r="I5" s="25"/>
      <c r="J5" s="25"/>
      <c r="K5" s="25"/>
      <c r="L5" s="25"/>
      <c r="M5" s="25"/>
      <c r="N5" s="25"/>
      <c r="O5" s="25"/>
      <c r="P5" s="25"/>
    </row>
    <row r="6" ht="26.8" customHeight="1">
      <c r="A6" t="s" s="138">
        <v>56</v>
      </c>
      <c r="B6" t="s" s="22">
        <v>33</v>
      </c>
      <c r="C6" s="23"/>
      <c r="D6" s="139">
        <v>20</v>
      </c>
      <c r="E6" s="139" cm="1">
        <f t="array" ref="E6">SUM('Y2027 NPI - Cencorp (Rick) - Y1'!C9:G9)</f>
        <v>5</v>
      </c>
      <c r="F6" s="139" cm="1">
        <f t="array" ref="F6">D6-E6</f>
        <v>15</v>
      </c>
      <c r="G6" s="218" cm="1">
        <f t="array" ref="G6">SUM('Y2027 NPI - Cencorp (Rick) - Y2'!C9:J9)</f>
        <v>3.5</v>
      </c>
      <c r="H6" s="219" cm="1">
        <f t="array" ref="H6">F6-G6</f>
        <v>11.5</v>
      </c>
      <c r="I6" s="25"/>
      <c r="J6" s="25"/>
      <c r="K6" s="25"/>
      <c r="L6" s="25"/>
      <c r="M6" s="25"/>
      <c r="N6" s="25"/>
      <c r="O6" s="25"/>
      <c r="P6" s="25"/>
    </row>
    <row r="7" ht="26.8" customHeight="1">
      <c r="A7" t="s" s="138">
        <v>56</v>
      </c>
      <c r="B7" t="s" s="22">
        <v>34</v>
      </c>
      <c r="C7" s="23"/>
      <c r="D7" s="139">
        <v>33</v>
      </c>
      <c r="E7" s="139" cm="1">
        <f t="array" ref="E7">SUM('Y2027 NPI - Cencorp (Rick) - Y1'!C10:G10)</f>
        <v>18.5</v>
      </c>
      <c r="F7" s="139" cm="1">
        <f t="array" ref="F7">D7-E7</f>
        <v>14.5</v>
      </c>
      <c r="G7" s="218" cm="1">
        <f t="array" ref="G7">SUM('Y2027 NPI - Cencorp (Rick) - Y2'!C10:J10)</f>
        <v>10</v>
      </c>
      <c r="H7" s="219" cm="1">
        <f t="array" ref="H7">F7-G7</f>
        <v>4.5</v>
      </c>
      <c r="I7" s="25"/>
      <c r="J7" s="25"/>
      <c r="K7" s="25"/>
      <c r="L7" s="25"/>
      <c r="M7" s="25"/>
      <c r="N7" s="25"/>
      <c r="O7" s="25"/>
      <c r="P7" s="25"/>
    </row>
    <row r="8" ht="26.8" customHeight="1">
      <c r="A8" t="s" s="138">
        <v>56</v>
      </c>
      <c r="B8" t="s" s="22">
        <v>35</v>
      </c>
      <c r="C8" s="220" cm="1">
        <f t="array" ref="C8">SUM(E8:E9)/SUM(D8:D9)</f>
        <v>0.662371134020619</v>
      </c>
      <c r="D8" s="139">
        <v>268</v>
      </c>
      <c r="E8" s="139" cm="1">
        <f t="array" ref="E8">SUM('Y2027 NPI - Cencorp (Rick) - Y1'!C11:G11)</f>
        <v>180</v>
      </c>
      <c r="F8" s="139" cm="1">
        <f t="array" ref="F8">D8-E8</f>
        <v>88</v>
      </c>
      <c r="G8" s="218" cm="1">
        <f t="array" ref="G8">SUM('Y2027 NPI - Cencorp (Rick) - Y2'!C11:J11)</f>
        <v>40</v>
      </c>
      <c r="H8" s="219" cm="1">
        <f t="array" ref="H8">F8-G8</f>
        <v>48</v>
      </c>
      <c r="I8" s="25"/>
      <c r="J8" s="25"/>
      <c r="K8" s="25"/>
      <c r="L8" s="25"/>
      <c r="M8" s="25"/>
      <c r="N8" s="25"/>
      <c r="O8" s="25"/>
      <c r="P8" s="25"/>
    </row>
    <row r="9" ht="26.8" customHeight="1">
      <c r="A9" t="s" s="138">
        <v>56</v>
      </c>
      <c r="B9" t="s" s="22">
        <v>36</v>
      </c>
      <c r="C9" s="23"/>
      <c r="D9" s="139">
        <v>120</v>
      </c>
      <c r="E9" s="139" cm="1">
        <f t="array" ref="E9">SUM('Y2027 NPI - Cencorp (Rick) - Y1'!C12:G12)</f>
        <v>77</v>
      </c>
      <c r="F9" s="139" cm="1">
        <f t="array" ref="F9">D9-E9</f>
        <v>43</v>
      </c>
      <c r="G9" s="218" cm="1">
        <f t="array" ref="G9">SUM('Y2027 NPI - Cencorp (Rick) - Y2'!C12:J12)</f>
        <v>19</v>
      </c>
      <c r="H9" s="219" cm="1">
        <f t="array" ref="H9">F9-G9</f>
        <v>24</v>
      </c>
      <c r="I9" s="25"/>
      <c r="J9" s="25"/>
      <c r="K9" s="25"/>
      <c r="L9" s="25"/>
      <c r="M9" s="25"/>
      <c r="N9" s="25"/>
      <c r="O9" s="25"/>
      <c r="P9" s="25"/>
    </row>
    <row r="10" ht="26.8" customHeight="1">
      <c r="A10" t="s" s="138">
        <v>56</v>
      </c>
      <c r="B10" t="s" s="22">
        <v>37</v>
      </c>
      <c r="C10" s="220" cm="1">
        <f t="array" ref="C10">SUM(E10)/SUM(D10)</f>
        <v>0.66</v>
      </c>
      <c r="D10" s="139">
        <v>25</v>
      </c>
      <c r="E10" s="139" cm="1">
        <f t="array" ref="E10">SUM('Y2027 NPI - Cencorp (Rick) - Y1'!C13:G13)</f>
        <v>16.5</v>
      </c>
      <c r="F10" s="139" cm="1">
        <f t="array" ref="F10">D10-E10</f>
        <v>8.5</v>
      </c>
      <c r="G10" s="218" cm="1">
        <f t="array" ref="G10">SUM('Y2027 NPI - Cencorp (Rick) - Y2'!C13:J13)</f>
        <v>5.5</v>
      </c>
      <c r="H10" s="219" cm="1">
        <f t="array" ref="H10">F10-G10</f>
        <v>3</v>
      </c>
      <c r="I10" s="25"/>
      <c r="J10" s="25"/>
      <c r="K10" s="25"/>
      <c r="L10" s="25"/>
      <c r="M10" s="25"/>
      <c r="N10" s="25"/>
      <c r="O10" s="25"/>
      <c r="P10" s="25"/>
    </row>
    <row r="11" ht="26.8" customHeight="1">
      <c r="A11" s="21"/>
      <c r="B11" s="75"/>
      <c r="C11" s="220" cm="1">
        <f t="array" ref="C11">SUM(E11)/SUM(D11)</f>
        <v>0.613715277777778</v>
      </c>
      <c r="D11" s="27" cm="1">
        <f t="array" ref="D11">SUM(D3:D10)</f>
        <v>576</v>
      </c>
      <c r="E11" s="27" cm="1">
        <f t="array" ref="E11">SUM(E3:E10)</f>
        <v>353.5</v>
      </c>
      <c r="F11" s="27" cm="1">
        <f t="array" ref="F11">SUM(F3:F10)</f>
        <v>222.5</v>
      </c>
      <c r="G11" s="219" cm="1">
        <f t="array" ref="G11">SUM(G3:G10)</f>
        <v>113.5</v>
      </c>
      <c r="H11" s="219" cm="1">
        <f t="array" ref="H11">SUM(H3:H10)</f>
        <v>109</v>
      </c>
      <c r="I11" s="24"/>
      <c r="J11" s="24"/>
      <c r="K11" s="77"/>
      <c r="L11" s="24"/>
      <c r="M11" s="24"/>
      <c r="N11" s="24"/>
      <c r="O11" s="24"/>
      <c r="P11" s="77"/>
    </row>
  </sheetData>
  <mergeCells count="11">
    <mergeCell ref="A1:P1"/>
    <mergeCell ref="J3:J10"/>
    <mergeCell ref="L3:L10"/>
    <mergeCell ref="M3:M10"/>
    <mergeCell ref="O3:O10"/>
    <mergeCell ref="N3:N10"/>
    <mergeCell ref="P3:P10"/>
    <mergeCell ref="C3:C7"/>
    <mergeCell ref="C8:C9"/>
    <mergeCell ref="I3:I10"/>
    <mergeCell ref="K3:K10"/>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2:J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 width="12.3594" style="221" customWidth="1"/>
    <col min="2" max="10" width="20.8203" style="221" customWidth="1"/>
    <col min="11" max="16384" width="16.3516" style="221" customWidth="1"/>
  </cols>
  <sheetData>
    <row r="1" ht="28" customHeight="1">
      <c r="A1" t="s" s="222">
        <v>39</v>
      </c>
      <c r="B1" s="222"/>
      <c r="C1" s="222"/>
      <c r="D1" s="222"/>
      <c r="E1" s="222"/>
      <c r="F1" s="222"/>
      <c r="G1" s="222"/>
      <c r="H1" s="222"/>
      <c r="I1" s="222"/>
      <c r="J1" s="222"/>
    </row>
    <row r="2" ht="27.55" customHeight="1">
      <c r="A2" t="s" s="30">
        <v>17</v>
      </c>
      <c r="B2" t="s" s="30">
        <v>41</v>
      </c>
      <c r="C2" t="s" s="30">
        <v>353</v>
      </c>
      <c r="D2" t="s" s="30">
        <v>353</v>
      </c>
      <c r="E2" t="s" s="30">
        <v>354</v>
      </c>
      <c r="F2" t="s" s="30">
        <v>191</v>
      </c>
      <c r="G2" t="s" s="30">
        <v>191</v>
      </c>
      <c r="H2" t="s" s="30">
        <v>144</v>
      </c>
      <c r="I2" t="s" s="30">
        <v>144</v>
      </c>
      <c r="J2" t="s" s="30">
        <v>144</v>
      </c>
    </row>
    <row r="3" ht="35.2" customHeight="1">
      <c r="A3" t="s" s="143">
        <v>56</v>
      </c>
      <c r="B3" t="s" s="33">
        <v>42</v>
      </c>
      <c r="C3" t="s" s="144">
        <v>200</v>
      </c>
      <c r="D3" t="s" s="145">
        <v>872</v>
      </c>
      <c r="E3" t="s" s="145">
        <v>873</v>
      </c>
      <c r="F3" t="s" s="145">
        <v>189</v>
      </c>
      <c r="G3" t="s" s="145">
        <v>189</v>
      </c>
      <c r="H3" t="s" s="145">
        <v>141</v>
      </c>
      <c r="I3" t="s" s="145">
        <v>141</v>
      </c>
      <c r="J3" t="s" s="145">
        <v>141</v>
      </c>
    </row>
    <row r="4" ht="27.7" customHeight="1">
      <c r="A4" t="s" s="138">
        <v>56</v>
      </c>
      <c r="B4" t="s" s="22">
        <v>43</v>
      </c>
      <c r="C4" t="s" s="146">
        <v>874</v>
      </c>
      <c r="D4" t="s" s="68">
        <v>875</v>
      </c>
      <c r="E4" t="s" s="68">
        <v>876</v>
      </c>
      <c r="F4" t="s" s="68">
        <v>877</v>
      </c>
      <c r="G4" t="s" s="68">
        <v>878</v>
      </c>
      <c r="H4" t="s" s="68">
        <v>879</v>
      </c>
      <c r="I4" t="s" s="68">
        <v>880</v>
      </c>
      <c r="J4" t="s" s="68">
        <v>881</v>
      </c>
    </row>
    <row r="5" ht="30.2" customHeight="1">
      <c r="A5" t="s" s="147">
        <v>56</v>
      </c>
      <c r="B5" t="s" s="148">
        <v>882</v>
      </c>
      <c r="C5" t="s" s="200">
        <v>883</v>
      </c>
      <c r="D5" t="s" s="201">
        <v>883</v>
      </c>
      <c r="E5" t="s" s="201">
        <v>884</v>
      </c>
      <c r="F5" t="s" s="201">
        <v>884</v>
      </c>
      <c r="G5" t="s" s="201">
        <v>884</v>
      </c>
      <c r="H5" t="s" s="201">
        <v>884</v>
      </c>
      <c r="I5" t="s" s="201">
        <v>884</v>
      </c>
      <c r="J5" t="s" s="201">
        <v>884</v>
      </c>
    </row>
    <row r="6" ht="22.1" customHeight="1">
      <c r="A6" t="s" s="143">
        <v>56</v>
      </c>
      <c r="B6" t="s" s="33">
        <v>28</v>
      </c>
      <c r="C6" s="151">
        <v>2.5</v>
      </c>
      <c r="D6" s="152">
        <v>1.5</v>
      </c>
      <c r="E6" s="152">
        <v>1</v>
      </c>
      <c r="F6" s="152">
        <v>0.5</v>
      </c>
      <c r="G6" s="152">
        <v>0.5</v>
      </c>
      <c r="H6" s="152">
        <v>0.5</v>
      </c>
      <c r="I6" s="152">
        <v>1</v>
      </c>
      <c r="J6" s="152">
        <v>1</v>
      </c>
    </row>
    <row r="7" ht="22.1" customHeight="1">
      <c r="A7" t="s" s="138">
        <v>56</v>
      </c>
      <c r="B7" t="s" s="22">
        <v>31</v>
      </c>
      <c r="C7" s="153">
        <v>3</v>
      </c>
      <c r="D7" s="139">
        <v>3</v>
      </c>
      <c r="E7" s="139">
        <v>2</v>
      </c>
      <c r="F7" s="139">
        <v>1</v>
      </c>
      <c r="G7" s="139">
        <v>1</v>
      </c>
      <c r="H7" s="139">
        <v>1</v>
      </c>
      <c r="I7" s="139">
        <v>3</v>
      </c>
      <c r="J7" s="139">
        <v>1</v>
      </c>
    </row>
    <row r="8" ht="22.1" customHeight="1">
      <c r="A8" t="s" s="138">
        <v>56</v>
      </c>
      <c r="B8" t="s" s="22">
        <v>32</v>
      </c>
      <c r="C8" s="153">
        <v>3</v>
      </c>
      <c r="D8" s="139">
        <v>3</v>
      </c>
      <c r="E8" s="139">
        <v>1</v>
      </c>
      <c r="F8" s="139">
        <v>0.7</v>
      </c>
      <c r="G8" s="139">
        <v>0.3</v>
      </c>
      <c r="H8" s="139">
        <v>1</v>
      </c>
      <c r="I8" s="139">
        <v>2</v>
      </c>
      <c r="J8" s="139">
        <v>1</v>
      </c>
    </row>
    <row r="9" ht="22.1" customHeight="1">
      <c r="A9" t="s" s="138">
        <v>56</v>
      </c>
      <c r="B9" t="s" s="22">
        <v>33</v>
      </c>
      <c r="C9" s="153">
        <v>0.5</v>
      </c>
      <c r="D9" s="139">
        <v>0.5</v>
      </c>
      <c r="E9" s="139">
        <v>0.5</v>
      </c>
      <c r="F9" s="139">
        <v>0.3</v>
      </c>
      <c r="G9" s="139">
        <v>0.2</v>
      </c>
      <c r="H9" s="139">
        <v>0.5</v>
      </c>
      <c r="I9" s="139">
        <v>0.5</v>
      </c>
      <c r="J9" s="139">
        <v>0.5</v>
      </c>
    </row>
    <row r="10" ht="22.1" customHeight="1">
      <c r="A10" t="s" s="138">
        <v>56</v>
      </c>
      <c r="B10" t="s" s="22">
        <v>34</v>
      </c>
      <c r="C10" s="153">
        <v>2.5</v>
      </c>
      <c r="D10" s="139">
        <v>1.5</v>
      </c>
      <c r="E10" s="139">
        <v>1</v>
      </c>
      <c r="F10" s="139">
        <v>0.5</v>
      </c>
      <c r="G10" s="139">
        <v>0.5</v>
      </c>
      <c r="H10" s="139">
        <v>1</v>
      </c>
      <c r="I10" s="139">
        <v>2</v>
      </c>
      <c r="J10" s="139">
        <v>1</v>
      </c>
    </row>
    <row r="11" ht="22.1" customHeight="1">
      <c r="A11" t="s" s="138">
        <v>56</v>
      </c>
      <c r="B11" t="s" s="22">
        <v>35</v>
      </c>
      <c r="C11" s="153">
        <v>13</v>
      </c>
      <c r="D11" s="139">
        <v>8</v>
      </c>
      <c r="E11" s="139">
        <v>4</v>
      </c>
      <c r="F11" s="139">
        <v>2</v>
      </c>
      <c r="G11" s="139">
        <v>5</v>
      </c>
      <c r="H11" s="139">
        <v>2</v>
      </c>
      <c r="I11" s="139">
        <v>4</v>
      </c>
      <c r="J11" s="139">
        <v>2</v>
      </c>
    </row>
    <row r="12" ht="22.1" customHeight="1">
      <c r="A12" t="s" s="138">
        <v>56</v>
      </c>
      <c r="B12" t="s" s="22">
        <v>36</v>
      </c>
      <c r="C12" s="153">
        <v>8</v>
      </c>
      <c r="D12" s="139">
        <v>5</v>
      </c>
      <c r="E12" s="139">
        <v>1</v>
      </c>
      <c r="F12" s="139">
        <v>1</v>
      </c>
      <c r="G12" s="139">
        <v>1</v>
      </c>
      <c r="H12" s="139">
        <v>1</v>
      </c>
      <c r="I12" s="139">
        <v>1</v>
      </c>
      <c r="J12" s="139">
        <v>1</v>
      </c>
    </row>
    <row r="13" ht="22.1" customHeight="1">
      <c r="A13" t="s" s="138">
        <v>56</v>
      </c>
      <c r="B13" t="s" s="22">
        <v>37</v>
      </c>
      <c r="C13" s="153">
        <v>1.5</v>
      </c>
      <c r="D13" s="139">
        <v>1</v>
      </c>
      <c r="E13" s="139">
        <v>0.5</v>
      </c>
      <c r="F13" s="139">
        <v>0.5</v>
      </c>
      <c r="G13" s="139">
        <v>0.5</v>
      </c>
      <c r="H13" s="139">
        <v>0.5</v>
      </c>
      <c r="I13" s="139">
        <v>0.5</v>
      </c>
      <c r="J13" s="139">
        <v>0.5</v>
      </c>
    </row>
  </sheetData>
  <mergeCells count="1">
    <mergeCell ref="A1:J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dimension ref="A2:G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 width="21.5938" style="223" customWidth="1"/>
    <col min="2" max="6" width="20.8203" style="223" customWidth="1"/>
    <col min="7" max="7" width="20.9688" style="223" customWidth="1"/>
    <col min="8" max="16384" width="16.3516" style="223" customWidth="1"/>
  </cols>
  <sheetData>
    <row r="1" ht="28" customHeight="1">
      <c r="A1" t="s" s="224">
        <v>885</v>
      </c>
      <c r="B1" s="224"/>
      <c r="C1" s="224"/>
      <c r="D1" s="224"/>
      <c r="E1" s="224"/>
      <c r="F1" s="224"/>
      <c r="G1" s="224"/>
    </row>
    <row r="2" ht="27.55" customHeight="1">
      <c r="A2" t="s" s="30">
        <v>17</v>
      </c>
      <c r="B2" t="s" s="30">
        <v>41</v>
      </c>
      <c r="C2" t="s" s="30">
        <v>353</v>
      </c>
      <c r="D2" t="s" s="30">
        <v>354</v>
      </c>
      <c r="E2" t="s" s="30">
        <v>178</v>
      </c>
      <c r="F2" t="s" s="30">
        <v>191</v>
      </c>
      <c r="G2" t="s" s="30">
        <v>144</v>
      </c>
    </row>
    <row r="3" ht="27.55" customHeight="1">
      <c r="A3" t="s" s="143">
        <v>56</v>
      </c>
      <c r="B3" t="s" s="33">
        <v>42</v>
      </c>
      <c r="C3" t="s" s="144">
        <v>887</v>
      </c>
      <c r="D3" s="35"/>
      <c r="E3" s="35"/>
      <c r="F3" t="s" s="145">
        <v>816</v>
      </c>
      <c r="G3" t="s" s="145">
        <v>888</v>
      </c>
    </row>
    <row r="4" ht="200.35" customHeight="1">
      <c r="A4" t="s" s="138">
        <v>56</v>
      </c>
      <c r="B4" t="s" s="22">
        <v>43</v>
      </c>
      <c r="C4" t="s" s="146">
        <v>889</v>
      </c>
      <c r="D4" s="24"/>
      <c r="E4" s="24"/>
      <c r="F4" t="s" s="68">
        <v>890</v>
      </c>
      <c r="G4" t="s" s="68">
        <v>891</v>
      </c>
    </row>
    <row r="5" ht="129.15" customHeight="1">
      <c r="A5" t="s" s="147">
        <v>56</v>
      </c>
      <c r="B5" t="s" s="148">
        <v>367</v>
      </c>
      <c r="C5" t="s" s="200">
        <v>892</v>
      </c>
      <c r="D5" s="225"/>
      <c r="E5" s="225"/>
      <c r="F5" t="s" s="201">
        <v>893</v>
      </c>
      <c r="G5" t="s" s="201">
        <v>894</v>
      </c>
    </row>
    <row r="6" ht="27.55" customHeight="1">
      <c r="A6" t="s" s="143">
        <v>56</v>
      </c>
      <c r="B6" t="s" s="33">
        <v>28</v>
      </c>
      <c r="C6" s="151">
        <v>6</v>
      </c>
      <c r="D6" s="35"/>
      <c r="E6" s="35"/>
      <c r="F6" s="152">
        <v>1</v>
      </c>
      <c r="G6" s="152">
        <v>8</v>
      </c>
    </row>
    <row r="7" ht="27.55" customHeight="1">
      <c r="A7" t="s" s="138">
        <v>56</v>
      </c>
      <c r="B7" t="s" s="22">
        <v>31</v>
      </c>
      <c r="C7" s="153">
        <v>8.5</v>
      </c>
      <c r="D7" s="24"/>
      <c r="E7" s="24"/>
      <c r="F7" s="139">
        <v>3</v>
      </c>
      <c r="G7" s="139">
        <v>10</v>
      </c>
    </row>
    <row r="8" ht="27.55" customHeight="1">
      <c r="A8" t="s" s="138">
        <v>56</v>
      </c>
      <c r="B8" t="s" s="22">
        <v>32</v>
      </c>
      <c r="C8" s="153">
        <v>9</v>
      </c>
      <c r="D8" s="24"/>
      <c r="E8" s="24"/>
      <c r="F8" s="139">
        <v>2</v>
      </c>
      <c r="G8" s="139">
        <v>9</v>
      </c>
    </row>
    <row r="9" ht="27.55" customHeight="1">
      <c r="A9" t="s" s="138">
        <v>56</v>
      </c>
      <c r="B9" t="s" s="22">
        <v>33</v>
      </c>
      <c r="C9" s="153">
        <v>1</v>
      </c>
      <c r="D9" s="24"/>
      <c r="E9" s="24"/>
      <c r="F9" s="139">
        <v>1</v>
      </c>
      <c r="G9" s="139">
        <v>3</v>
      </c>
    </row>
    <row r="10" ht="27.55" customHeight="1">
      <c r="A10" t="s" s="138">
        <v>56</v>
      </c>
      <c r="B10" t="s" s="22">
        <v>34</v>
      </c>
      <c r="C10" s="153">
        <v>7.5</v>
      </c>
      <c r="D10" s="24"/>
      <c r="E10" s="24"/>
      <c r="F10" s="139">
        <v>1</v>
      </c>
      <c r="G10" s="139">
        <v>10</v>
      </c>
    </row>
    <row r="11" ht="27.55" customHeight="1">
      <c r="A11" t="s" s="138">
        <v>56</v>
      </c>
      <c r="B11" t="s" s="22">
        <v>35</v>
      </c>
      <c r="C11" s="153">
        <v>48</v>
      </c>
      <c r="D11" s="24"/>
      <c r="E11" s="24"/>
      <c r="F11" s="139" cm="1">
        <f t="array" ref="F11">13*3</f>
        <v>39</v>
      </c>
      <c r="G11" s="139">
        <v>93</v>
      </c>
    </row>
    <row r="12" ht="27.55" customHeight="1">
      <c r="A12" t="s" s="138">
        <v>56</v>
      </c>
      <c r="B12" t="s" s="22">
        <v>36</v>
      </c>
      <c r="C12" s="153">
        <v>13</v>
      </c>
      <c r="D12" s="24"/>
      <c r="E12" s="24"/>
      <c r="F12" s="139">
        <v>12</v>
      </c>
      <c r="G12" s="139">
        <v>52</v>
      </c>
    </row>
    <row r="13" ht="27.55" customHeight="1">
      <c r="A13" t="s" s="138">
        <v>56</v>
      </c>
      <c r="B13" t="s" s="22">
        <v>37</v>
      </c>
      <c r="C13" s="153">
        <v>5</v>
      </c>
      <c r="D13" s="24"/>
      <c r="E13" s="24"/>
      <c r="F13" s="139">
        <v>2</v>
      </c>
      <c r="G13" s="139">
        <v>9.5</v>
      </c>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dimension ref="A2:G1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8.125" style="226" customWidth="1"/>
    <col min="8" max="16384" width="16.3516" style="226" customWidth="1"/>
  </cols>
  <sheetData>
    <row r="1" ht="28.65" customHeight="1">
      <c r="A1" t="s" s="227">
        <v>895</v>
      </c>
      <c r="B1" s="227"/>
      <c r="C1" s="227"/>
      <c r="D1" s="227"/>
      <c r="E1" s="227"/>
      <c r="F1" s="227"/>
      <c r="G1" s="227"/>
    </row>
    <row r="2" ht="21.55" customHeight="1">
      <c r="A2" t="s" s="228">
        <v>897</v>
      </c>
      <c r="B2" t="s" s="229">
        <v>28</v>
      </c>
      <c r="C2" t="s" s="229">
        <v>31</v>
      </c>
      <c r="D2" t="s" s="229">
        <v>32</v>
      </c>
      <c r="E2" t="s" s="229">
        <v>33</v>
      </c>
      <c r="F2" t="s" s="229">
        <v>34</v>
      </c>
      <c r="G2" t="s" s="230">
        <v>823</v>
      </c>
    </row>
    <row r="3" ht="39" customHeight="1">
      <c r="A3" t="s" s="231">
        <v>898</v>
      </c>
      <c r="B3" s="232">
        <v>1</v>
      </c>
      <c r="C3" s="233">
        <v>2</v>
      </c>
      <c r="D3" s="233">
        <v>2</v>
      </c>
      <c r="E3" s="233">
        <v>1</v>
      </c>
      <c r="F3" s="233">
        <v>3</v>
      </c>
      <c r="G3" s="234">
        <v>2</v>
      </c>
    </row>
    <row r="4" ht="38.6" customHeight="1">
      <c r="A4" t="s" s="235">
        <v>899</v>
      </c>
      <c r="B4" s="236">
        <v>1</v>
      </c>
      <c r="C4" s="237">
        <v>1</v>
      </c>
      <c r="D4" s="237">
        <v>1</v>
      </c>
      <c r="E4" s="238"/>
      <c r="F4" s="237">
        <v>1</v>
      </c>
      <c r="G4" s="239">
        <v>1</v>
      </c>
    </row>
    <row r="5" ht="38.6" customHeight="1">
      <c r="A5" t="s" s="235">
        <v>900</v>
      </c>
      <c r="B5" s="236">
        <v>1</v>
      </c>
      <c r="C5" s="237">
        <v>1</v>
      </c>
      <c r="D5" s="237">
        <v>1</v>
      </c>
      <c r="E5" s="238"/>
      <c r="F5" s="237">
        <v>1</v>
      </c>
      <c r="G5" s="239">
        <v>1</v>
      </c>
    </row>
    <row r="6" ht="38.6" customHeight="1">
      <c r="A6" t="s" s="235">
        <v>901</v>
      </c>
      <c r="B6" s="236">
        <v>1</v>
      </c>
      <c r="C6" s="237">
        <v>1</v>
      </c>
      <c r="D6" s="237">
        <v>1</v>
      </c>
      <c r="E6" s="237">
        <v>0.5</v>
      </c>
      <c r="F6" s="237">
        <v>0.5</v>
      </c>
      <c r="G6" s="239">
        <v>2</v>
      </c>
    </row>
    <row r="7" ht="38.6" customHeight="1">
      <c r="A7" t="s" s="235">
        <v>902</v>
      </c>
      <c r="B7" s="236">
        <v>0.5</v>
      </c>
      <c r="C7" s="237">
        <v>0.5</v>
      </c>
      <c r="D7" s="237">
        <v>0.5</v>
      </c>
      <c r="E7" s="238"/>
      <c r="F7" s="237">
        <v>0.5</v>
      </c>
      <c r="G7" s="239">
        <v>1</v>
      </c>
    </row>
    <row r="8" ht="38.6" customHeight="1">
      <c r="A8" t="s" s="235">
        <v>903</v>
      </c>
      <c r="B8" s="236">
        <v>0.5</v>
      </c>
      <c r="C8" s="237">
        <v>0.5</v>
      </c>
      <c r="D8" s="237">
        <v>0.5</v>
      </c>
      <c r="E8" s="238"/>
      <c r="F8" s="237">
        <v>0.5</v>
      </c>
      <c r="G8" s="239">
        <v>1</v>
      </c>
    </row>
    <row r="9" ht="38.6" customHeight="1">
      <c r="A9" t="s" s="235">
        <v>904</v>
      </c>
      <c r="B9" s="236">
        <v>0.5</v>
      </c>
      <c r="C9" s="237">
        <v>0.5</v>
      </c>
      <c r="D9" s="237">
        <v>0.5</v>
      </c>
      <c r="E9" s="238"/>
      <c r="F9" s="237">
        <v>0.5</v>
      </c>
      <c r="G9" s="239">
        <v>1</v>
      </c>
    </row>
    <row r="10" ht="38.6" customHeight="1">
      <c r="A10" t="s" s="235">
        <v>876</v>
      </c>
      <c r="B10" s="236">
        <v>0.5</v>
      </c>
      <c r="C10" s="237">
        <v>0.5</v>
      </c>
      <c r="D10" s="237">
        <v>0.5</v>
      </c>
      <c r="E10" s="237">
        <v>1</v>
      </c>
      <c r="F10" s="237">
        <v>0.5</v>
      </c>
      <c r="G10" s="239">
        <v>1</v>
      </c>
    </row>
    <row r="11" ht="38.6" customHeight="1">
      <c r="A11" t="s" s="235">
        <v>905</v>
      </c>
      <c r="B11" s="240">
        <v>0.5</v>
      </c>
      <c r="C11" s="241">
        <v>0.5</v>
      </c>
      <c r="D11" s="241">
        <v>0.5</v>
      </c>
      <c r="E11" s="241">
        <v>0.5</v>
      </c>
      <c r="F11" s="241">
        <v>0.5</v>
      </c>
      <c r="G11" s="242">
        <v>1</v>
      </c>
    </row>
    <row r="12" ht="38.6" customHeight="1">
      <c r="A12" t="s" s="235">
        <v>906</v>
      </c>
      <c r="B12" s="240">
        <v>0.5</v>
      </c>
      <c r="C12" s="241">
        <v>2.5</v>
      </c>
      <c r="D12" s="241">
        <v>1.5</v>
      </c>
      <c r="E12" s="243"/>
      <c r="F12" s="241">
        <v>0.5</v>
      </c>
      <c r="G12" s="242">
        <v>1</v>
      </c>
    </row>
    <row r="13" ht="38.6" customHeight="1">
      <c r="A13" t="s" s="235">
        <v>907</v>
      </c>
      <c r="B13" s="236">
        <v>0.5</v>
      </c>
      <c r="C13" s="237">
        <v>0.5</v>
      </c>
      <c r="D13" s="237">
        <v>1</v>
      </c>
      <c r="E13" s="238"/>
      <c r="F13" s="237">
        <v>1.5</v>
      </c>
      <c r="G13" s="239">
        <v>1</v>
      </c>
    </row>
    <row r="14" ht="38.6" customHeight="1">
      <c r="A14" t="s" s="235">
        <v>874</v>
      </c>
      <c r="B14" s="236">
        <v>2.5</v>
      </c>
      <c r="C14" s="237">
        <v>3</v>
      </c>
      <c r="D14" s="237">
        <v>3</v>
      </c>
      <c r="E14" s="237">
        <v>0.5</v>
      </c>
      <c r="F14" s="237">
        <v>2.5</v>
      </c>
      <c r="G14" s="239">
        <v>1.5</v>
      </c>
    </row>
    <row r="15" ht="38.6" customHeight="1">
      <c r="A15" t="s" s="235">
        <v>908</v>
      </c>
      <c r="B15" s="236">
        <v>2.5</v>
      </c>
      <c r="C15" s="237">
        <v>3</v>
      </c>
      <c r="D15" s="237">
        <v>3</v>
      </c>
      <c r="E15" s="237">
        <v>0.5</v>
      </c>
      <c r="F15" s="237">
        <v>2.5</v>
      </c>
      <c r="G15" s="239">
        <v>1.5</v>
      </c>
    </row>
    <row r="16" ht="38.6" customHeight="1">
      <c r="A16" t="s" s="235">
        <v>909</v>
      </c>
      <c r="B16" s="240">
        <v>0.5</v>
      </c>
      <c r="C16" s="241">
        <v>2</v>
      </c>
      <c r="D16" s="241">
        <v>2</v>
      </c>
      <c r="E16" s="243"/>
      <c r="F16" s="241">
        <v>1</v>
      </c>
      <c r="G16" s="242">
        <v>1</v>
      </c>
    </row>
    <row r="17" ht="38.6" customHeight="1">
      <c r="A17" t="s" s="244">
        <v>910</v>
      </c>
      <c r="B17" s="245">
        <v>2</v>
      </c>
      <c r="C17" s="246">
        <v>3</v>
      </c>
      <c r="D17" s="246">
        <v>2</v>
      </c>
      <c r="E17" s="246">
        <v>1</v>
      </c>
      <c r="F17" s="246">
        <v>2</v>
      </c>
      <c r="G17" s="247">
        <v>2</v>
      </c>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2:N10"/>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0.7969" style="248" customWidth="1"/>
    <col min="3" max="4" width="16.6797" style="248" customWidth="1"/>
    <col min="5" max="6" width="19.1797" style="248" customWidth="1"/>
    <col min="7" max="7" width="16.2266" style="248" customWidth="1"/>
    <col min="8" max="13" width="16.6797" style="248" customWidth="1"/>
    <col min="14" max="14" width="37.3281" style="248" customWidth="1"/>
    <col min="15" max="16384" width="16.3516" style="248" customWidth="1"/>
  </cols>
  <sheetData>
    <row r="1" ht="28" customHeight="1">
      <c r="A1" t="s" s="29">
        <v>14</v>
      </c>
      <c r="B1" s="29"/>
      <c r="C1" s="29"/>
      <c r="D1" s="29"/>
      <c r="E1" s="29"/>
      <c r="F1" s="29"/>
      <c r="G1" s="29"/>
      <c r="H1" s="29"/>
      <c r="I1" s="29"/>
      <c r="J1" s="29"/>
      <c r="K1" s="29"/>
      <c r="L1" s="29"/>
      <c r="M1" s="29"/>
      <c r="N1" s="29"/>
    </row>
    <row r="2" ht="80" customHeight="1">
      <c r="A2" t="s" s="9">
        <v>17</v>
      </c>
      <c r="B2" t="s" s="9">
        <v>18</v>
      </c>
      <c r="C2" t="s" s="9">
        <v>337</v>
      </c>
      <c r="D2" t="s" s="9">
        <v>338</v>
      </c>
      <c r="E2" t="s" s="9">
        <v>339</v>
      </c>
      <c r="F2" t="s" s="9">
        <v>340</v>
      </c>
      <c r="G2" t="s" s="9">
        <v>341</v>
      </c>
      <c r="H2" t="s" s="9">
        <v>342</v>
      </c>
      <c r="I2" t="s" s="9">
        <v>343</v>
      </c>
      <c r="J2" t="s" s="9">
        <v>24</v>
      </c>
      <c r="K2" t="s" s="9">
        <v>25</v>
      </c>
      <c r="L2" t="s" s="9">
        <v>26</v>
      </c>
      <c r="M2" t="s" s="9">
        <v>27</v>
      </c>
      <c r="N2" t="s" s="9">
        <v>344</v>
      </c>
    </row>
    <row r="3" ht="38" customHeight="1">
      <c r="A3" t="s" s="135">
        <v>154</v>
      </c>
      <c r="B3" t="s" s="17">
        <v>28</v>
      </c>
      <c r="C3" s="136" cm="1">
        <f t="array" ref="C3">SUM(E3:E10)/SUM(D3:D10)</f>
        <v>0.63953488372093</v>
      </c>
      <c r="D3" s="137">
        <v>8</v>
      </c>
      <c r="E3" s="137">
        <v>5</v>
      </c>
      <c r="F3" s="137" cm="1">
        <f t="array" ref="F3">D3-E3</f>
        <v>3</v>
      </c>
      <c r="G3" t="s" s="20">
        <v>913</v>
      </c>
      <c r="H3" t="s" s="10">
        <v>914</v>
      </c>
      <c r="I3" t="s" s="10">
        <v>915</v>
      </c>
      <c r="J3" t="s" s="20">
        <v>53</v>
      </c>
      <c r="K3" t="s" s="20">
        <v>53</v>
      </c>
      <c r="L3" t="s" s="20">
        <v>53</v>
      </c>
      <c r="M3" t="s" s="20">
        <v>53</v>
      </c>
      <c r="N3" t="s" s="10">
        <v>916</v>
      </c>
    </row>
    <row r="4" ht="38" customHeight="1">
      <c r="A4" t="s" s="138">
        <v>154</v>
      </c>
      <c r="B4" t="s" s="22">
        <v>31</v>
      </c>
      <c r="C4" s="23"/>
      <c r="D4" s="139">
        <v>25</v>
      </c>
      <c r="E4" s="139">
        <v>16</v>
      </c>
      <c r="F4" s="139" cm="1">
        <f t="array" ref="F4">D4-E4</f>
        <v>9</v>
      </c>
      <c r="G4" s="25"/>
      <c r="H4" s="25"/>
      <c r="I4" s="25"/>
      <c r="J4" s="25"/>
      <c r="K4" s="25"/>
      <c r="L4" s="25"/>
      <c r="M4" s="25"/>
      <c r="N4" s="25"/>
    </row>
    <row r="5" ht="38" customHeight="1">
      <c r="A5" t="s" s="138">
        <v>154</v>
      </c>
      <c r="B5" t="s" s="22">
        <v>32</v>
      </c>
      <c r="C5" s="23"/>
      <c r="D5" s="139">
        <v>7</v>
      </c>
      <c r="E5" s="139">
        <v>4</v>
      </c>
      <c r="F5" s="139" cm="1">
        <f t="array" ref="F5">D5-E5</f>
        <v>3</v>
      </c>
      <c r="G5" s="25"/>
      <c r="H5" s="25"/>
      <c r="I5" s="25"/>
      <c r="J5" s="25"/>
      <c r="K5" s="25"/>
      <c r="L5" s="25"/>
      <c r="M5" s="25"/>
      <c r="N5" s="25"/>
    </row>
    <row r="6" ht="38" customHeight="1">
      <c r="A6" t="s" s="138">
        <v>154</v>
      </c>
      <c r="B6" t="s" s="22">
        <v>33</v>
      </c>
      <c r="C6" s="23"/>
      <c r="D6" s="139">
        <v>12</v>
      </c>
      <c r="E6" s="139">
        <v>7</v>
      </c>
      <c r="F6" s="139" cm="1">
        <f t="array" ref="F6">D6-E6</f>
        <v>5</v>
      </c>
      <c r="G6" s="25"/>
      <c r="H6" s="25"/>
      <c r="I6" s="25"/>
      <c r="J6" s="25"/>
      <c r="K6" s="25"/>
      <c r="L6" s="25"/>
      <c r="M6" s="25"/>
      <c r="N6" s="25"/>
    </row>
    <row r="7" ht="38" customHeight="1">
      <c r="A7" t="s" s="138">
        <v>154</v>
      </c>
      <c r="B7" t="s" s="22">
        <v>34</v>
      </c>
      <c r="C7" s="23"/>
      <c r="D7" s="139">
        <v>56</v>
      </c>
      <c r="E7" s="139">
        <v>43</v>
      </c>
      <c r="F7" s="139" cm="1">
        <f t="array" ref="F7">D7-E7</f>
        <v>13</v>
      </c>
      <c r="G7" s="25"/>
      <c r="H7" s="25"/>
      <c r="I7" s="25"/>
      <c r="J7" s="25"/>
      <c r="K7" s="25"/>
      <c r="L7" s="25"/>
      <c r="M7" s="25"/>
      <c r="N7" s="25"/>
    </row>
    <row r="8" ht="38" customHeight="1">
      <c r="A8" t="s" s="138">
        <v>154</v>
      </c>
      <c r="B8" t="s" s="22">
        <v>35</v>
      </c>
      <c r="C8" s="23"/>
      <c r="D8" s="139">
        <v>98</v>
      </c>
      <c r="E8" s="139">
        <v>50</v>
      </c>
      <c r="F8" s="139" cm="1">
        <f t="array" ref="F8">D8-E8</f>
        <v>48</v>
      </c>
      <c r="G8" s="25"/>
      <c r="H8" s="25"/>
      <c r="I8" s="25"/>
      <c r="J8" s="25"/>
      <c r="K8" s="25"/>
      <c r="L8" s="25"/>
      <c r="M8" s="25"/>
      <c r="N8" s="25"/>
    </row>
    <row r="9" ht="38" customHeight="1">
      <c r="A9" t="s" s="138">
        <v>154</v>
      </c>
      <c r="B9" t="s" s="22">
        <v>36</v>
      </c>
      <c r="C9" s="23"/>
      <c r="D9" s="139">
        <v>32</v>
      </c>
      <c r="E9" s="139">
        <v>24</v>
      </c>
      <c r="F9" s="139" cm="1">
        <f t="array" ref="F9">D9-E9</f>
        <v>8</v>
      </c>
      <c r="G9" s="25"/>
      <c r="H9" s="25"/>
      <c r="I9" s="25"/>
      <c r="J9" s="25"/>
      <c r="K9" s="25"/>
      <c r="L9" s="25"/>
      <c r="M9" s="25"/>
      <c r="N9" s="25"/>
    </row>
    <row r="10" ht="38" customHeight="1">
      <c r="A10" t="s" s="138">
        <v>154</v>
      </c>
      <c r="B10" t="s" s="22">
        <v>37</v>
      </c>
      <c r="C10" s="23"/>
      <c r="D10" s="139">
        <v>20</v>
      </c>
      <c r="E10" s="139">
        <v>16</v>
      </c>
      <c r="F10" s="139" cm="1">
        <f t="array" ref="F10">D10-E10</f>
        <v>4</v>
      </c>
      <c r="G10" s="25"/>
      <c r="H10" s="25"/>
      <c r="I10" s="25"/>
      <c r="J10" s="25"/>
      <c r="K10" s="25"/>
      <c r="L10" s="25"/>
      <c r="M10" s="25"/>
      <c r="N10" s="25"/>
    </row>
  </sheetData>
  <mergeCells count="10">
    <mergeCell ref="A1:N1"/>
    <mergeCell ref="C3:C10"/>
    <mergeCell ref="G3:G10"/>
    <mergeCell ref="H3:H10"/>
    <mergeCell ref="I3:I10"/>
    <mergeCell ref="J3:J10"/>
    <mergeCell ref="K3:K10"/>
    <mergeCell ref="L3:L10"/>
    <mergeCell ref="M3:M10"/>
    <mergeCell ref="N3:N1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2:H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 width="8" style="249" customWidth="1"/>
    <col min="2" max="2" width="18.6172" style="249" customWidth="1"/>
    <col min="3" max="8" width="20.8203" style="249" customWidth="1"/>
    <col min="9" max="16384" width="16.3516" style="249" customWidth="1"/>
  </cols>
  <sheetData>
    <row r="1" ht="28" customHeight="1">
      <c r="A1" t="s" s="29">
        <v>351</v>
      </c>
      <c r="B1" s="29"/>
      <c r="C1" s="29"/>
      <c r="D1" s="29"/>
      <c r="E1" s="29"/>
      <c r="F1" s="29"/>
      <c r="G1" s="29"/>
      <c r="H1" s="29"/>
    </row>
    <row r="2" ht="27.55" customHeight="1">
      <c r="A2" t="s" s="30">
        <v>17</v>
      </c>
      <c r="B2" t="s" s="30">
        <v>41</v>
      </c>
      <c r="C2" t="s" s="30">
        <v>353</v>
      </c>
      <c r="D2" t="s" s="30">
        <v>354</v>
      </c>
      <c r="E2" t="s" s="30">
        <v>355</v>
      </c>
      <c r="F2" t="s" s="30">
        <v>178</v>
      </c>
      <c r="G2" t="s" s="30">
        <v>191</v>
      </c>
      <c r="H2" t="s" s="30">
        <v>144</v>
      </c>
    </row>
    <row r="3" ht="41.3" customHeight="1">
      <c r="A3" t="s" s="143">
        <v>154</v>
      </c>
      <c r="B3" t="s" s="33">
        <v>42</v>
      </c>
      <c r="C3" s="34"/>
      <c r="D3" s="35"/>
      <c r="E3" s="35"/>
      <c r="F3" s="35"/>
      <c r="G3" s="35"/>
      <c r="H3" t="s" s="145">
        <v>918</v>
      </c>
    </row>
    <row r="4" ht="52.9" customHeight="1">
      <c r="A4" t="s" s="138">
        <v>154</v>
      </c>
      <c r="B4" t="s" s="22">
        <v>43</v>
      </c>
      <c r="C4" s="45"/>
      <c r="D4" s="24"/>
      <c r="E4" s="24"/>
      <c r="F4" s="24"/>
      <c r="G4" s="24"/>
      <c r="H4" t="s" s="68">
        <v>919</v>
      </c>
    </row>
    <row r="5" ht="29.6" customHeight="1">
      <c r="A5" t="s" s="147">
        <v>154</v>
      </c>
      <c r="B5" t="s" s="148">
        <v>367</v>
      </c>
      <c r="C5" s="149" cm="1">
        <f t="array" ref="C5">SUM(C6:C13)</f>
        <v>0</v>
      </c>
      <c r="D5" s="150" cm="1">
        <f t="array" ref="D5">SUM(D6:D13)</f>
        <v>0</v>
      </c>
      <c r="E5" s="150" cm="1">
        <f t="array" ref="E5">SUM(E6:E13)</f>
        <v>0</v>
      </c>
      <c r="F5" s="150" cm="1">
        <f t="array" ref="F5">SUM(F6:F13)</f>
        <v>0</v>
      </c>
      <c r="G5" s="150" cm="1">
        <f t="array" ref="G5">SUM(G6:G13)</f>
        <v>0</v>
      </c>
      <c r="H5" s="150" cm="1">
        <f t="array" ref="H5">SUM(H6:H13)</f>
        <v>165</v>
      </c>
    </row>
    <row r="6" ht="27.55" customHeight="1">
      <c r="A6" t="s" s="143">
        <v>154</v>
      </c>
      <c r="B6" t="s" s="33">
        <v>28</v>
      </c>
      <c r="C6" s="34"/>
      <c r="D6" s="35"/>
      <c r="E6" s="35"/>
      <c r="F6" s="35"/>
      <c r="G6" s="35"/>
      <c r="H6" s="152">
        <v>5</v>
      </c>
    </row>
    <row r="7" ht="27.55" customHeight="1">
      <c r="A7" t="s" s="138">
        <v>154</v>
      </c>
      <c r="B7" t="s" s="22">
        <v>31</v>
      </c>
      <c r="C7" s="45"/>
      <c r="D7" s="24"/>
      <c r="E7" s="24"/>
      <c r="F7" s="24"/>
      <c r="G7" s="24"/>
      <c r="H7" s="139">
        <v>16</v>
      </c>
    </row>
    <row r="8" ht="27.55" customHeight="1">
      <c r="A8" t="s" s="138">
        <v>154</v>
      </c>
      <c r="B8" t="s" s="22">
        <v>32</v>
      </c>
      <c r="C8" s="45"/>
      <c r="D8" s="24"/>
      <c r="E8" s="24"/>
      <c r="F8" s="24"/>
      <c r="G8" s="24"/>
      <c r="H8" s="139">
        <v>4</v>
      </c>
    </row>
    <row r="9" ht="27.55" customHeight="1">
      <c r="A9" t="s" s="138">
        <v>154</v>
      </c>
      <c r="B9" t="s" s="22">
        <v>33</v>
      </c>
      <c r="C9" s="45"/>
      <c r="D9" s="24"/>
      <c r="E9" s="24"/>
      <c r="F9" s="24"/>
      <c r="G9" s="24"/>
      <c r="H9" s="139">
        <v>7</v>
      </c>
    </row>
    <row r="10" ht="27.55" customHeight="1">
      <c r="A10" t="s" s="138">
        <v>154</v>
      </c>
      <c r="B10" t="s" s="22">
        <v>34</v>
      </c>
      <c r="C10" s="45"/>
      <c r="D10" s="24"/>
      <c r="E10" s="24"/>
      <c r="F10" s="24"/>
      <c r="G10" s="24"/>
      <c r="H10" s="139">
        <v>43</v>
      </c>
    </row>
    <row r="11" ht="27.55" customHeight="1">
      <c r="A11" t="s" s="138">
        <v>154</v>
      </c>
      <c r="B11" t="s" s="22">
        <v>35</v>
      </c>
      <c r="C11" s="45"/>
      <c r="D11" s="24"/>
      <c r="E11" s="24"/>
      <c r="F11" s="24"/>
      <c r="G11" s="24"/>
      <c r="H11" s="139">
        <v>50</v>
      </c>
    </row>
    <row r="12" ht="27.55" customHeight="1">
      <c r="A12" t="s" s="138">
        <v>154</v>
      </c>
      <c r="B12" t="s" s="22">
        <v>36</v>
      </c>
      <c r="C12" s="45"/>
      <c r="D12" s="24"/>
      <c r="E12" s="24"/>
      <c r="F12" s="24"/>
      <c r="G12" s="24"/>
      <c r="H12" s="139">
        <v>24</v>
      </c>
    </row>
    <row r="13" ht="27.55" customHeight="1">
      <c r="A13" t="s" s="138">
        <v>154</v>
      </c>
      <c r="B13" t="s" s="22">
        <v>37</v>
      </c>
      <c r="C13" s="45"/>
      <c r="D13" s="24"/>
      <c r="E13" s="24"/>
      <c r="F13" s="24"/>
      <c r="G13" s="24"/>
      <c r="H13" s="139">
        <v>16</v>
      </c>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2:J14"/>
  <sheetViews>
    <sheetView workbookViewId="0" showGridLines="0" defaultGridColor="1">
      <pane topLeftCell="C4" xSplit="2" ySplit="3" activePane="bottomRight" state="frozen"/>
    </sheetView>
  </sheetViews>
  <sheetFormatPr defaultColWidth="16.3333" defaultRowHeight="19.9" customHeight="1" outlineLevelRow="0" outlineLevelCol="0"/>
  <cols>
    <col min="1" max="1" width="12.3594" style="250" customWidth="1"/>
    <col min="2" max="10" width="20.8203" style="250" customWidth="1"/>
    <col min="11" max="16384" width="16.3516" style="250" customWidth="1"/>
  </cols>
  <sheetData>
    <row r="1" ht="28" customHeight="1">
      <c r="A1" t="s" s="29">
        <v>39</v>
      </c>
      <c r="B1" s="29"/>
      <c r="C1" s="29"/>
      <c r="D1" s="29"/>
      <c r="E1" s="29"/>
      <c r="F1" s="29"/>
      <c r="G1" s="29"/>
      <c r="H1" s="29"/>
      <c r="I1" s="29"/>
      <c r="J1" s="29"/>
    </row>
    <row r="2" ht="27.55" customHeight="1">
      <c r="A2" t="s" s="15">
        <v>16</v>
      </c>
      <c r="B2" s="8"/>
      <c r="C2" s="8"/>
      <c r="D2" s="8"/>
      <c r="E2" s="8"/>
      <c r="F2" s="8"/>
      <c r="G2" s="8"/>
      <c r="H2" s="8"/>
      <c r="I2" s="8"/>
      <c r="J2" s="8"/>
    </row>
    <row r="3" ht="27.55" customHeight="1">
      <c r="A3" t="s" s="30">
        <v>154</v>
      </c>
      <c r="B3" t="s" s="30">
        <v>41</v>
      </c>
      <c r="C3" s="31"/>
      <c r="D3" s="31"/>
      <c r="E3" s="31"/>
      <c r="F3" s="31"/>
      <c r="G3" s="31"/>
      <c r="H3" s="31"/>
      <c r="I3" s="31"/>
      <c r="J3" s="31"/>
    </row>
    <row r="4" ht="35.2" customHeight="1">
      <c r="A4" s="32"/>
      <c r="B4" t="s" s="33">
        <v>42</v>
      </c>
      <c r="C4" t="s" s="144">
        <v>176</v>
      </c>
      <c r="D4" t="s" s="145">
        <v>141</v>
      </c>
      <c r="E4" t="s" s="145">
        <v>141</v>
      </c>
      <c r="F4" s="35"/>
      <c r="G4" s="35"/>
      <c r="H4" s="35"/>
      <c r="I4" s="35"/>
      <c r="J4" s="35"/>
    </row>
    <row r="5" ht="27.7" customHeight="1">
      <c r="A5" s="36"/>
      <c r="B5" t="s" s="37">
        <v>43</v>
      </c>
      <c r="C5" t="s" s="251">
        <v>178</v>
      </c>
      <c r="D5" t="s" s="252">
        <v>921</v>
      </c>
      <c r="E5" t="s" s="252">
        <v>922</v>
      </c>
      <c r="F5" s="39"/>
      <c r="G5" s="39"/>
      <c r="H5" s="39"/>
      <c r="I5" s="39"/>
      <c r="J5" s="39"/>
    </row>
    <row r="6" ht="30.2" customHeight="1">
      <c r="A6" s="40"/>
      <c r="B6" t="s" s="41">
        <v>44</v>
      </c>
      <c r="C6" t="s" s="253">
        <v>860</v>
      </c>
      <c r="D6" s="43"/>
      <c r="E6" s="43"/>
      <c r="F6" s="43"/>
      <c r="G6" s="43"/>
      <c r="H6" s="43"/>
      <c r="I6" s="43"/>
      <c r="J6" s="43"/>
    </row>
    <row r="7" ht="22.1" customHeight="1">
      <c r="A7" s="16"/>
      <c r="B7" t="s" s="17">
        <v>28</v>
      </c>
      <c r="C7" s="254">
        <v>2</v>
      </c>
      <c r="D7" s="19"/>
      <c r="E7" s="19"/>
      <c r="F7" s="19"/>
      <c r="G7" s="19"/>
      <c r="H7" s="19"/>
      <c r="I7" s="19"/>
      <c r="J7" s="19"/>
    </row>
    <row r="8" ht="22.1" customHeight="1">
      <c r="A8" s="21"/>
      <c r="B8" t="s" s="22">
        <v>31</v>
      </c>
      <c r="C8" s="153">
        <v>6</v>
      </c>
      <c r="D8" s="24"/>
      <c r="E8" s="24"/>
      <c r="F8" s="24"/>
      <c r="G8" s="24"/>
      <c r="H8" s="24"/>
      <c r="I8" s="24"/>
      <c r="J8" s="24"/>
    </row>
    <row r="9" ht="22.1" customHeight="1">
      <c r="A9" s="21"/>
      <c r="B9" t="s" s="22">
        <v>32</v>
      </c>
      <c r="C9" s="153">
        <v>2</v>
      </c>
      <c r="D9" s="24"/>
      <c r="E9" s="24"/>
      <c r="F9" s="24"/>
      <c r="G9" s="24"/>
      <c r="H9" s="24"/>
      <c r="I9" s="24"/>
      <c r="J9" s="24"/>
    </row>
    <row r="10" ht="22.1" customHeight="1">
      <c r="A10" s="21"/>
      <c r="B10" t="s" s="22">
        <v>33</v>
      </c>
      <c r="C10" s="153">
        <v>4</v>
      </c>
      <c r="D10" s="24"/>
      <c r="E10" s="24"/>
      <c r="F10" s="24"/>
      <c r="G10" s="24"/>
      <c r="H10" s="24"/>
      <c r="I10" s="24"/>
      <c r="J10" s="24"/>
    </row>
    <row r="11" ht="22.1" customHeight="1">
      <c r="A11" s="21"/>
      <c r="B11" t="s" s="22">
        <v>34</v>
      </c>
      <c r="C11" s="153">
        <v>9</v>
      </c>
      <c r="D11" s="24"/>
      <c r="E11" s="24"/>
      <c r="F11" s="24"/>
      <c r="G11" s="24"/>
      <c r="H11" s="24"/>
      <c r="I11" s="24"/>
      <c r="J11" s="24"/>
    </row>
    <row r="12" ht="22.1" customHeight="1">
      <c r="A12" s="21"/>
      <c r="B12" t="s" s="22">
        <v>37</v>
      </c>
      <c r="C12" s="153">
        <v>3</v>
      </c>
      <c r="D12" s="24"/>
      <c r="E12" s="24"/>
      <c r="F12" s="24"/>
      <c r="G12" s="24"/>
      <c r="H12" s="24"/>
      <c r="I12" s="24"/>
      <c r="J12" s="24"/>
    </row>
    <row r="13" ht="22.1" customHeight="1">
      <c r="A13" s="21"/>
      <c r="B13" t="s" s="22">
        <v>35</v>
      </c>
      <c r="C13" s="153">
        <v>36</v>
      </c>
      <c r="D13" s="24"/>
      <c r="E13" s="24"/>
      <c r="F13" s="24"/>
      <c r="G13" s="24"/>
      <c r="H13" s="24"/>
      <c r="I13" s="24"/>
      <c r="J13" s="24"/>
    </row>
    <row r="14" ht="22.1" customHeight="1">
      <c r="A14" s="21"/>
      <c r="B14" t="s" s="22">
        <v>36</v>
      </c>
      <c r="C14" s="153">
        <v>6</v>
      </c>
      <c r="D14" s="24"/>
      <c r="E14" s="24"/>
      <c r="F14" s="24"/>
      <c r="G14" s="24"/>
      <c r="H14" s="24"/>
      <c r="I14" s="24"/>
      <c r="J14" s="24"/>
    </row>
  </sheetData>
  <mergeCells count="2">
    <mergeCell ref="A1:J1"/>
    <mergeCell ref="A2:J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30.xml><?xml version="1.0" encoding="utf-8"?>
<worksheet xmlns:r="http://schemas.openxmlformats.org/officeDocument/2006/relationships" xmlns="http://schemas.openxmlformats.org/spreadsheetml/2006/main">
  <sheetPr>
    <pageSetUpPr fitToPage="1"/>
  </sheetPr>
  <dimension ref="A2:N10"/>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 width="13.9531" style="255" customWidth="1"/>
    <col min="2" max="2" width="10.7969" style="255" customWidth="1"/>
    <col min="3" max="4" width="16.6797" style="255" customWidth="1"/>
    <col min="5" max="6" width="19.1797" style="255" customWidth="1"/>
    <col min="7" max="13" width="16.6797" style="255" customWidth="1"/>
    <col min="14" max="14" width="37.3281" style="255" customWidth="1"/>
    <col min="15" max="16384" width="16.3516" style="255" customWidth="1"/>
  </cols>
  <sheetData>
    <row r="1" ht="28" customHeight="1">
      <c r="A1" t="s" s="29">
        <v>14</v>
      </c>
      <c r="B1" s="29"/>
      <c r="C1" s="29"/>
      <c r="D1" s="29"/>
      <c r="E1" s="29"/>
      <c r="F1" s="29"/>
      <c r="G1" s="29"/>
      <c r="H1" s="29"/>
      <c r="I1" s="29"/>
      <c r="J1" s="29"/>
      <c r="K1" s="29"/>
      <c r="L1" s="29"/>
      <c r="M1" s="29"/>
      <c r="N1" s="29"/>
    </row>
    <row r="2" ht="80" customHeight="1">
      <c r="A2" t="s" s="9">
        <v>17</v>
      </c>
      <c r="B2" t="s" s="9">
        <v>18</v>
      </c>
      <c r="C2" t="s" s="9">
        <v>337</v>
      </c>
      <c r="D2" t="s" s="9">
        <v>338</v>
      </c>
      <c r="E2" t="s" s="9">
        <v>339</v>
      </c>
      <c r="F2" t="s" s="9">
        <v>340</v>
      </c>
      <c r="G2" t="s" s="9">
        <v>341</v>
      </c>
      <c r="H2" t="s" s="9">
        <v>342</v>
      </c>
      <c r="I2" t="s" s="9">
        <v>343</v>
      </c>
      <c r="J2" t="s" s="9">
        <v>24</v>
      </c>
      <c r="K2" t="s" s="9">
        <v>25</v>
      </c>
      <c r="L2" t="s" s="9">
        <v>26</v>
      </c>
      <c r="M2" t="s" s="9">
        <v>27</v>
      </c>
      <c r="N2" t="s" s="9">
        <v>344</v>
      </c>
    </row>
    <row r="3" ht="30" customHeight="1">
      <c r="A3" t="s" s="135">
        <v>63</v>
      </c>
      <c r="B3" t="s" s="17">
        <v>28</v>
      </c>
      <c r="C3" s="191" cm="1">
        <f t="array" ref="C3">SUM(E3:E10)/SUM(D3:D10)</f>
        <v>0.5390625</v>
      </c>
      <c r="D3" s="137">
        <v>15</v>
      </c>
      <c r="E3" s="137">
        <v>9</v>
      </c>
      <c r="F3" s="137" cm="1">
        <f t="array" ref="F3">D3-E3</f>
        <v>6</v>
      </c>
      <c r="G3" t="s" s="20">
        <v>345</v>
      </c>
      <c r="H3" t="s" s="20">
        <v>926</v>
      </c>
      <c r="I3" t="s" s="10">
        <v>927</v>
      </c>
      <c r="J3" t="s" s="20">
        <v>53</v>
      </c>
      <c r="K3" t="s" s="20">
        <v>53</v>
      </c>
      <c r="L3" t="s" s="20">
        <v>53</v>
      </c>
      <c r="M3" t="s" s="20">
        <v>53</v>
      </c>
      <c r="N3" t="s" s="10">
        <v>847</v>
      </c>
    </row>
    <row r="4" ht="30" customHeight="1">
      <c r="A4" t="s" s="138">
        <v>63</v>
      </c>
      <c r="B4" t="s" s="22">
        <v>31</v>
      </c>
      <c r="C4" s="23"/>
      <c r="D4" s="139">
        <v>20</v>
      </c>
      <c r="E4" s="139">
        <v>6</v>
      </c>
      <c r="F4" s="139" cm="1">
        <f t="array" ref="F4">D4-E4</f>
        <v>14</v>
      </c>
      <c r="G4" s="25"/>
      <c r="H4" s="25"/>
      <c r="I4" s="25"/>
      <c r="J4" s="25"/>
      <c r="K4" s="25"/>
      <c r="L4" s="25"/>
      <c r="M4" s="25"/>
      <c r="N4" s="25"/>
    </row>
    <row r="5" ht="30" customHeight="1">
      <c r="A5" t="s" s="138">
        <v>63</v>
      </c>
      <c r="B5" t="s" s="22">
        <v>32</v>
      </c>
      <c r="C5" s="23"/>
      <c r="D5" s="139">
        <v>8</v>
      </c>
      <c r="E5" s="139">
        <v>4</v>
      </c>
      <c r="F5" s="139" cm="1">
        <f t="array" ref="F5">D5-E5</f>
        <v>4</v>
      </c>
      <c r="G5" s="25"/>
      <c r="H5" s="25"/>
      <c r="I5" s="25"/>
      <c r="J5" s="25"/>
      <c r="K5" s="25"/>
      <c r="L5" s="25"/>
      <c r="M5" s="25"/>
      <c r="N5" s="25"/>
    </row>
    <row r="6" ht="30" customHeight="1">
      <c r="A6" t="s" s="138">
        <v>63</v>
      </c>
      <c r="B6" t="s" s="22">
        <v>33</v>
      </c>
      <c r="C6" s="23"/>
      <c r="D6" s="139">
        <v>20</v>
      </c>
      <c r="E6" s="139">
        <v>8</v>
      </c>
      <c r="F6" s="139" cm="1">
        <f t="array" ref="F6">D6-E6</f>
        <v>12</v>
      </c>
      <c r="G6" s="25"/>
      <c r="H6" s="25"/>
      <c r="I6" s="25"/>
      <c r="J6" s="25"/>
      <c r="K6" s="25"/>
      <c r="L6" s="25"/>
      <c r="M6" s="25"/>
      <c r="N6" s="25"/>
    </row>
    <row r="7" ht="30" customHeight="1">
      <c r="A7" t="s" s="138">
        <v>63</v>
      </c>
      <c r="B7" t="s" s="22">
        <v>34</v>
      </c>
      <c r="C7" s="23"/>
      <c r="D7" s="139">
        <v>20</v>
      </c>
      <c r="E7" s="139">
        <v>16</v>
      </c>
      <c r="F7" s="139" cm="1">
        <f t="array" ref="F7">D7-E7</f>
        <v>4</v>
      </c>
      <c r="G7" s="25"/>
      <c r="H7" s="25"/>
      <c r="I7" s="25"/>
      <c r="J7" s="25"/>
      <c r="K7" s="25"/>
      <c r="L7" s="25"/>
      <c r="M7" s="25"/>
      <c r="N7" s="25"/>
    </row>
    <row r="8" ht="30" customHeight="1">
      <c r="A8" t="s" s="138">
        <v>63</v>
      </c>
      <c r="B8" t="s" s="22">
        <v>35</v>
      </c>
      <c r="C8" s="23"/>
      <c r="D8" s="139">
        <v>25</v>
      </c>
      <c r="E8" s="139">
        <v>15</v>
      </c>
      <c r="F8" s="139" cm="1">
        <f t="array" ref="F8">D8-E8</f>
        <v>10</v>
      </c>
      <c r="G8" s="25"/>
      <c r="H8" s="25"/>
      <c r="I8" s="25"/>
      <c r="J8" s="25"/>
      <c r="K8" s="25"/>
      <c r="L8" s="25"/>
      <c r="M8" s="25"/>
      <c r="N8" s="25"/>
    </row>
    <row r="9" ht="30" customHeight="1">
      <c r="A9" t="s" s="138">
        <v>63</v>
      </c>
      <c r="B9" t="s" s="22">
        <v>36</v>
      </c>
      <c r="C9" s="23"/>
      <c r="D9" s="139">
        <v>12</v>
      </c>
      <c r="E9" s="139">
        <v>7</v>
      </c>
      <c r="F9" s="139" cm="1">
        <f t="array" ref="F9">D9-E9</f>
        <v>5</v>
      </c>
      <c r="G9" s="25"/>
      <c r="H9" s="25"/>
      <c r="I9" s="25"/>
      <c r="J9" s="25"/>
      <c r="K9" s="25"/>
      <c r="L9" s="25"/>
      <c r="M9" s="25"/>
      <c r="N9" s="25"/>
    </row>
    <row r="10" ht="30" customHeight="1">
      <c r="A10" t="s" s="138">
        <v>63</v>
      </c>
      <c r="B10" t="s" s="22">
        <v>37</v>
      </c>
      <c r="C10" s="23"/>
      <c r="D10" s="139">
        <v>8</v>
      </c>
      <c r="E10" s="139">
        <v>4</v>
      </c>
      <c r="F10" s="139" cm="1">
        <f t="array" ref="F10">D10-E10</f>
        <v>4</v>
      </c>
      <c r="G10" s="25"/>
      <c r="H10" s="25"/>
      <c r="I10" s="25"/>
      <c r="J10" s="25"/>
      <c r="K10" s="25"/>
      <c r="L10" s="25"/>
      <c r="M10" s="25"/>
      <c r="N10" s="25"/>
    </row>
  </sheetData>
  <mergeCells count="10">
    <mergeCell ref="A1:N1"/>
    <mergeCell ref="G3:G10"/>
    <mergeCell ref="H3:H10"/>
    <mergeCell ref="N3:N10"/>
    <mergeCell ref="C3:C10"/>
    <mergeCell ref="M3:M10"/>
    <mergeCell ref="L3:L10"/>
    <mergeCell ref="K3:K10"/>
    <mergeCell ref="J3:J10"/>
    <mergeCell ref="I3:I1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2:G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7" width="20.8203" style="256" customWidth="1"/>
    <col min="8" max="16384" width="16.3516" style="256" customWidth="1"/>
  </cols>
  <sheetData>
    <row r="1" ht="28" customHeight="1">
      <c r="A1" t="s" s="29">
        <v>351</v>
      </c>
      <c r="B1" s="29"/>
      <c r="C1" s="29"/>
      <c r="D1" s="29"/>
      <c r="E1" s="29"/>
      <c r="F1" s="29"/>
      <c r="G1" s="29"/>
    </row>
    <row r="2" ht="27.55" customHeight="1">
      <c r="A2" t="s" s="30">
        <v>17</v>
      </c>
      <c r="B2" t="s" s="30">
        <v>41</v>
      </c>
      <c r="C2" t="s" s="30">
        <v>353</v>
      </c>
      <c r="D2" t="s" s="30">
        <v>354</v>
      </c>
      <c r="E2" t="s" s="30">
        <v>178</v>
      </c>
      <c r="F2" t="s" s="30">
        <v>191</v>
      </c>
      <c r="G2" t="s" s="30">
        <v>144</v>
      </c>
    </row>
    <row r="3" ht="27.55" customHeight="1">
      <c r="A3" t="s" s="143">
        <v>63</v>
      </c>
      <c r="B3" t="s" s="33">
        <v>42</v>
      </c>
      <c r="C3" t="s" s="144">
        <v>929</v>
      </c>
      <c r="D3" s="35"/>
      <c r="E3" s="35"/>
      <c r="F3" s="35"/>
      <c r="G3" t="s" s="145">
        <v>930</v>
      </c>
    </row>
    <row r="4" ht="27.55" customHeight="1">
      <c r="A4" t="s" s="138">
        <v>63</v>
      </c>
      <c r="B4" t="s" s="22">
        <v>43</v>
      </c>
      <c r="C4" t="s" s="146">
        <v>931</v>
      </c>
      <c r="D4" s="24"/>
      <c r="E4" s="24"/>
      <c r="F4" s="24"/>
      <c r="G4" t="s" s="68">
        <v>932</v>
      </c>
    </row>
    <row r="5" ht="27.55" customHeight="1">
      <c r="A5" t="s" s="147">
        <v>63</v>
      </c>
      <c r="B5" t="s" s="148">
        <v>367</v>
      </c>
      <c r="C5" s="149">
        <v>0</v>
      </c>
      <c r="D5" s="225"/>
      <c r="E5" s="225"/>
      <c r="F5" s="225"/>
      <c r="G5" s="150">
        <v>5</v>
      </c>
    </row>
    <row r="6" ht="27.55" customHeight="1">
      <c r="A6" t="s" s="143">
        <v>63</v>
      </c>
      <c r="B6" t="s" s="33">
        <v>28</v>
      </c>
      <c r="C6" t="s" s="144">
        <v>847</v>
      </c>
      <c r="D6" s="35"/>
      <c r="E6" s="35"/>
      <c r="F6" s="35"/>
      <c r="G6" s="152">
        <v>9</v>
      </c>
    </row>
    <row r="7" ht="27.55" customHeight="1">
      <c r="A7" t="s" s="138">
        <v>63</v>
      </c>
      <c r="B7" t="s" s="22">
        <v>31</v>
      </c>
      <c r="C7" t="s" s="146">
        <v>847</v>
      </c>
      <c r="D7" s="24"/>
      <c r="E7" s="24"/>
      <c r="F7" s="24"/>
      <c r="G7" s="139">
        <v>4</v>
      </c>
    </row>
    <row r="8" ht="27.55" customHeight="1">
      <c r="A8" t="s" s="138">
        <v>63</v>
      </c>
      <c r="B8" t="s" s="22">
        <v>32</v>
      </c>
      <c r="C8" t="s" s="146">
        <v>847</v>
      </c>
      <c r="D8" s="24"/>
      <c r="E8" s="24"/>
      <c r="F8" s="24"/>
      <c r="G8" s="139">
        <v>3</v>
      </c>
    </row>
    <row r="9" ht="27.55" customHeight="1">
      <c r="A9" t="s" s="138">
        <v>63</v>
      </c>
      <c r="B9" t="s" s="22">
        <v>33</v>
      </c>
      <c r="C9" t="s" s="146">
        <v>847</v>
      </c>
      <c r="D9" s="24"/>
      <c r="E9" s="24"/>
      <c r="F9" s="24"/>
      <c r="G9" s="139">
        <v>8</v>
      </c>
    </row>
    <row r="10" ht="27.55" customHeight="1">
      <c r="A10" t="s" s="138">
        <v>63</v>
      </c>
      <c r="B10" t="s" s="22">
        <v>34</v>
      </c>
      <c r="C10" s="153">
        <v>1</v>
      </c>
      <c r="D10" s="24"/>
      <c r="E10" s="24"/>
      <c r="F10" s="24"/>
      <c r="G10" s="139">
        <v>15</v>
      </c>
    </row>
    <row r="11" ht="27.55" customHeight="1">
      <c r="A11" t="s" s="138">
        <v>63</v>
      </c>
      <c r="B11" t="s" s="22">
        <v>35</v>
      </c>
      <c r="C11" t="s" s="146">
        <v>847</v>
      </c>
      <c r="D11" s="24"/>
      <c r="E11" s="24"/>
      <c r="F11" s="24"/>
      <c r="G11" s="139">
        <v>15</v>
      </c>
    </row>
    <row r="12" ht="27.55" customHeight="1">
      <c r="A12" t="s" s="138">
        <v>63</v>
      </c>
      <c r="B12" t="s" s="22">
        <v>36</v>
      </c>
      <c r="C12" t="s" s="146">
        <v>847</v>
      </c>
      <c r="D12" s="24"/>
      <c r="E12" s="24"/>
      <c r="F12" s="24"/>
      <c r="G12" s="139">
        <v>7</v>
      </c>
    </row>
    <row r="13" ht="27.55" customHeight="1">
      <c r="A13" t="s" s="138">
        <v>63</v>
      </c>
      <c r="B13" t="s" s="22">
        <v>37</v>
      </c>
      <c r="C13" t="s" s="146">
        <v>847</v>
      </c>
      <c r="D13" s="24"/>
      <c r="E13" s="24"/>
      <c r="F13" s="24"/>
      <c r="G13" s="139">
        <v>4</v>
      </c>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dimension ref="A2:N10"/>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0.7969" style="257" customWidth="1"/>
    <col min="3" max="4" width="16.6797" style="257" customWidth="1"/>
    <col min="5" max="6" width="19.1797" style="257" customWidth="1"/>
    <col min="7" max="7" width="16.6797" style="257" customWidth="1"/>
    <col min="8" max="8" width="47.25" style="257" customWidth="1"/>
    <col min="9" max="9" width="61.0234" style="257" customWidth="1"/>
    <col min="10" max="13" width="16.6797" style="257" customWidth="1"/>
    <col min="14" max="14" width="37.3281" style="257" customWidth="1"/>
    <col min="15" max="16384" width="16.3516" style="257" customWidth="1"/>
  </cols>
  <sheetData>
    <row r="1" ht="28" customHeight="1">
      <c r="A1" t="s" s="29">
        <v>14</v>
      </c>
      <c r="B1" s="29"/>
      <c r="C1" s="29"/>
      <c r="D1" s="29"/>
      <c r="E1" s="29"/>
      <c r="F1" s="29"/>
      <c r="G1" s="29"/>
      <c r="H1" s="29"/>
      <c r="I1" s="29"/>
      <c r="J1" s="29"/>
      <c r="K1" s="29"/>
      <c r="L1" s="29"/>
      <c r="M1" s="29"/>
      <c r="N1" s="29"/>
    </row>
    <row r="2" ht="80" customHeight="1">
      <c r="A2" t="s" s="9">
        <v>17</v>
      </c>
      <c r="B2" t="s" s="9">
        <v>18</v>
      </c>
      <c r="C2" t="s" s="9">
        <v>337</v>
      </c>
      <c r="D2" t="s" s="9">
        <v>338</v>
      </c>
      <c r="E2" t="s" s="9">
        <v>339</v>
      </c>
      <c r="F2" t="s" s="9">
        <v>340</v>
      </c>
      <c r="G2" t="s" s="9">
        <v>341</v>
      </c>
      <c r="H2" t="s" s="9">
        <v>342</v>
      </c>
      <c r="I2" t="s" s="9">
        <v>343</v>
      </c>
      <c r="J2" t="s" s="9">
        <v>24</v>
      </c>
      <c r="K2" t="s" s="9">
        <v>25</v>
      </c>
      <c r="L2" t="s" s="9">
        <v>26</v>
      </c>
      <c r="M2" t="s" s="9">
        <v>27</v>
      </c>
      <c r="N2" t="s" s="9">
        <v>344</v>
      </c>
    </row>
    <row r="3" ht="35" customHeight="1">
      <c r="A3" s="16"/>
      <c r="B3" t="s" s="17">
        <v>28</v>
      </c>
      <c r="C3" s="191" cm="1">
        <f t="array" ref="C3">SUM(E3:E10)/SUM(D3:D10)</f>
        <v>0.484261501210654</v>
      </c>
      <c r="D3" s="137">
        <v>37</v>
      </c>
      <c r="E3" s="137" cm="1">
        <f t="array" ref="E3">ROUNDUP('Y2027 NPI - CYG (Rick) - Y2026 '!C6+'Y2027 NPI - CYG (Rick) - Y2026 '!D6+'Y2027 NPI - CYG (Rick) - Y2026 '!E6+'Y2027 NPI - CYG (Rick) - Y2026 '!F6+'Y2027 NPI - CYG (Rick) - Y2026 '!G6+'Y2027 NPI - CYG (Rick) - Y2026 '!H6+'Y2027 NPI - CYG (Rick) - Y2026 '!I6,0)</f>
        <v>11</v>
      </c>
      <c r="F3" s="137" cm="1">
        <f t="array" ref="F3">D3-E3</f>
        <v>26</v>
      </c>
      <c r="G3" t="s" s="20">
        <v>935</v>
      </c>
      <c r="H3" t="s" s="10">
        <v>936</v>
      </c>
      <c r="I3" t="s" s="10">
        <v>937</v>
      </c>
      <c r="J3" t="s" s="20">
        <v>53</v>
      </c>
      <c r="K3" t="s" s="20">
        <v>53</v>
      </c>
      <c r="L3" t="s" s="20">
        <v>53</v>
      </c>
      <c r="M3" t="s" s="20">
        <v>53</v>
      </c>
      <c r="N3" t="s" s="10">
        <v>938</v>
      </c>
    </row>
    <row r="4" ht="35" customHeight="1">
      <c r="A4" s="21"/>
      <c r="B4" t="s" s="22">
        <v>31</v>
      </c>
      <c r="C4" s="23"/>
      <c r="D4" s="139">
        <v>42</v>
      </c>
      <c r="E4" s="139" cm="1">
        <f t="array" ref="E4">ROUNDUP('Y2027 NPI - CYG (Rick) - Y2026 '!C7+'Y2027 NPI - CYG (Rick) - Y2026 '!D7+'Y2027 NPI - CYG (Rick) - Y2026 '!E7+'Y2027 NPI - CYG (Rick) - Y2026 '!F7+'Y2027 NPI - CYG (Rick) - Y2026 '!G7+'Y2027 NPI - CYG (Rick) - Y2026 '!H7+'Y2027 NPI - CYG (Rick) - Y2026 '!I7,0)</f>
        <v>11</v>
      </c>
      <c r="F4" s="139" cm="1">
        <f t="array" ref="F4">D4-E4</f>
        <v>31</v>
      </c>
      <c r="G4" s="25"/>
      <c r="H4" s="25"/>
      <c r="I4" s="25"/>
      <c r="J4" s="25"/>
      <c r="K4" s="25"/>
      <c r="L4" s="25"/>
      <c r="M4" s="25"/>
      <c r="N4" s="25"/>
    </row>
    <row r="5" ht="35" customHeight="1">
      <c r="A5" s="21"/>
      <c r="B5" t="s" s="22">
        <v>32</v>
      </c>
      <c r="C5" s="23"/>
      <c r="D5" s="139">
        <v>43</v>
      </c>
      <c r="E5" s="139" cm="1">
        <f t="array" ref="E5">ROUNDUP('Y2027 NPI - CYG (Rick) - Y2026 '!C8+'Y2027 NPI - CYG (Rick) - Y2026 '!D8+'Y2027 NPI - CYG (Rick) - Y2026 '!E8+'Y2027 NPI - CYG (Rick) - Y2026 '!F8+'Y2027 NPI - CYG (Rick) - Y2026 '!G8+'Y2027 NPI - CYG (Rick) - Y2026 '!H8+'Y2027 NPI - CYG (Rick) - Y2026 '!I8,0)</f>
        <v>9</v>
      </c>
      <c r="F5" s="139" cm="1">
        <f t="array" ref="F5">D5-E5</f>
        <v>34</v>
      </c>
      <c r="G5" s="25"/>
      <c r="H5" s="25"/>
      <c r="I5" s="25"/>
      <c r="J5" s="25"/>
      <c r="K5" s="25"/>
      <c r="L5" s="25"/>
      <c r="M5" s="25"/>
      <c r="N5" s="25"/>
    </row>
    <row r="6" ht="35" customHeight="1">
      <c r="A6" s="21"/>
      <c r="B6" t="s" s="22">
        <v>33</v>
      </c>
      <c r="C6" s="23"/>
      <c r="D6" s="139">
        <v>22</v>
      </c>
      <c r="E6" s="139" cm="1">
        <f t="array" ref="E6">ROUNDUP('Y2027 NPI - CYG (Rick) - Y2026 '!C9+'Y2027 NPI - CYG (Rick) - Y2026 '!D9+'Y2027 NPI - CYG (Rick) - Y2026 '!E9+'Y2027 NPI - CYG (Rick) - Y2026 '!F9+'Y2027 NPI - CYG (Rick) - Y2026 '!G9+'Y2027 NPI - CYG (Rick) - Y2026 '!H9+'Y2027 NPI - CYG (Rick) - Y2026 '!I9,0)</f>
        <v>5</v>
      </c>
      <c r="F6" s="139" cm="1">
        <f t="array" ref="F6">D6-E6</f>
        <v>17</v>
      </c>
      <c r="G6" s="25"/>
      <c r="H6" s="25"/>
      <c r="I6" s="25"/>
      <c r="J6" s="25"/>
      <c r="K6" s="25"/>
      <c r="L6" s="25"/>
      <c r="M6" s="25"/>
      <c r="N6" s="25"/>
    </row>
    <row r="7" ht="35" customHeight="1">
      <c r="A7" s="21"/>
      <c r="B7" t="s" s="22">
        <v>34</v>
      </c>
      <c r="C7" s="23"/>
      <c r="D7" s="139">
        <v>48</v>
      </c>
      <c r="E7" s="139" cm="1">
        <f t="array" ref="E7">ROUNDUP('Y2027 NPI - CYG (Rick) - Y2026 '!C10+'Y2027 NPI - CYG (Rick) - Y2026 '!D10+'Y2027 NPI - CYG (Rick) - Y2026 '!E10+'Y2027 NPI - CYG (Rick) - Y2026 '!F10+'Y2027 NPI - CYG (Rick) - Y2026 '!G10+'Y2027 NPI - CYG (Rick) - Y2026 '!H10+'Y2027 NPI - CYG (Rick) - Y2026 '!I10,0)</f>
        <v>15</v>
      </c>
      <c r="F7" s="139" cm="1">
        <f t="array" ref="F7">D7-E7</f>
        <v>33</v>
      </c>
      <c r="G7" s="25"/>
      <c r="H7" s="25"/>
      <c r="I7" s="25"/>
      <c r="J7" s="25"/>
      <c r="K7" s="25"/>
      <c r="L7" s="25"/>
      <c r="M7" s="25"/>
      <c r="N7" s="25"/>
    </row>
    <row r="8" ht="35" customHeight="1">
      <c r="A8" s="21"/>
      <c r="B8" t="s" s="22">
        <v>35</v>
      </c>
      <c r="C8" s="23"/>
      <c r="D8" s="139">
        <v>135</v>
      </c>
      <c r="E8" s="139" cm="1">
        <f t="array" ref="E8">ROUNDUP('Y2027 NPI - CYG (Rick) - Y2026 '!C11+'Y2027 NPI - CYG (Rick) - Y2026 '!D11+'Y2027 NPI - CYG (Rick) - Y2026 '!E11+'Y2027 NPI - CYG (Rick) - Y2026 '!F11+'Y2027 NPI - CYG (Rick) - Y2026 '!G11+'Y2027 NPI - CYG (Rick) - Y2026 '!H11+'Y2027 NPI - CYG (Rick) - Y2026 '!I11,0)</f>
        <v>96</v>
      </c>
      <c r="F8" s="139" cm="1">
        <f t="array" ref="F8">D8-E8</f>
        <v>39</v>
      </c>
      <c r="G8" s="25"/>
      <c r="H8" s="25"/>
      <c r="I8" s="25"/>
      <c r="J8" s="25"/>
      <c r="K8" s="25"/>
      <c r="L8" s="25"/>
      <c r="M8" s="25"/>
      <c r="N8" s="25"/>
    </row>
    <row r="9" ht="35" customHeight="1">
      <c r="A9" s="21"/>
      <c r="B9" t="s" s="22">
        <v>36</v>
      </c>
      <c r="C9" s="23"/>
      <c r="D9" s="139">
        <v>64</v>
      </c>
      <c r="E9" s="139" cm="1">
        <f t="array" ref="E9">ROUNDUP('Y2027 NPI - CYG (Rick) - Y2026 '!C12+'Y2027 NPI - CYG (Rick) - Y2026 '!D12+'Y2027 NPI - CYG (Rick) - Y2026 '!E12+'Y2027 NPI - CYG (Rick) - Y2026 '!F12+'Y2027 NPI - CYG (Rick) - Y2026 '!G12+'Y2027 NPI - CYG (Rick) - Y2026 '!H12+'Y2027 NPI - CYG (Rick) - Y2026 '!I12,0)</f>
        <v>39</v>
      </c>
      <c r="F9" s="139" cm="1">
        <f t="array" ref="F9">D9-E9</f>
        <v>25</v>
      </c>
      <c r="G9" s="25"/>
      <c r="H9" s="25"/>
      <c r="I9" s="25"/>
      <c r="J9" s="25"/>
      <c r="K9" s="25"/>
      <c r="L9" s="25"/>
      <c r="M9" s="25"/>
      <c r="N9" s="25"/>
    </row>
    <row r="10" ht="35" customHeight="1">
      <c r="A10" s="21"/>
      <c r="B10" t="s" s="22">
        <v>37</v>
      </c>
      <c r="C10" s="23"/>
      <c r="D10" s="139">
        <v>22</v>
      </c>
      <c r="E10" s="139" cm="1">
        <f t="array" ref="E10">ROUNDUP('Y2027 NPI - CYG (Rick) - Y2026 '!C13+'Y2027 NPI - CYG (Rick) - Y2026 '!D13+'Y2027 NPI - CYG (Rick) - Y2026 '!E13+'Y2027 NPI - CYG (Rick) - Y2026 '!F13+'Y2027 NPI - CYG (Rick) - Y2026 '!G13+'Y2027 NPI - CYG (Rick) - Y2026 '!H13+'Y2027 NPI - CYG (Rick) - Y2026 '!I13,0)</f>
        <v>14</v>
      </c>
      <c r="F10" s="139" cm="1">
        <f t="array" ref="F10">D10-E10</f>
        <v>8</v>
      </c>
      <c r="G10" s="25"/>
      <c r="H10" s="25"/>
      <c r="I10" s="25"/>
      <c r="J10" s="25"/>
      <c r="K10" s="25"/>
      <c r="L10" s="25"/>
      <c r="M10" s="25"/>
      <c r="N10" s="25"/>
    </row>
  </sheetData>
  <mergeCells count="10">
    <mergeCell ref="A1:N1"/>
    <mergeCell ref="J3:J10"/>
    <mergeCell ref="K3:K10"/>
    <mergeCell ref="M3:M10"/>
    <mergeCell ref="L3:L10"/>
    <mergeCell ref="N3:N10"/>
    <mergeCell ref="C3:C10"/>
    <mergeCell ref="G3:G10"/>
    <mergeCell ref="H3:H10"/>
    <mergeCell ref="I3:I10"/>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dimension ref="A2:J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3" width="20.8203" style="258" customWidth="1"/>
    <col min="4" max="4" width="27.3203" style="258" customWidth="1"/>
    <col min="5" max="5" width="27.3047" style="258" customWidth="1"/>
    <col min="6" max="6" width="32.5781" style="258" customWidth="1"/>
    <col min="7" max="7" width="44.375" style="258" customWidth="1"/>
    <col min="8" max="10" width="20.8203" style="258" customWidth="1"/>
    <col min="11" max="16384" width="16.3516" style="258" customWidth="1"/>
  </cols>
  <sheetData>
    <row r="1" ht="28" customHeight="1">
      <c r="A1" t="s" s="224">
        <v>39</v>
      </c>
      <c r="B1" s="224"/>
      <c r="C1" s="224"/>
      <c r="D1" s="224"/>
      <c r="E1" s="224"/>
      <c r="F1" s="224"/>
      <c r="G1" s="224"/>
      <c r="H1" s="224"/>
      <c r="I1" s="224"/>
      <c r="J1" s="224"/>
    </row>
    <row r="2" ht="27.55" customHeight="1">
      <c r="A2" t="s" s="30">
        <v>17</v>
      </c>
      <c r="B2" t="s" s="30">
        <v>41</v>
      </c>
      <c r="C2" t="s" s="30">
        <v>353</v>
      </c>
      <c r="D2" t="s" s="30">
        <v>354</v>
      </c>
      <c r="E2" t="s" s="30">
        <v>178</v>
      </c>
      <c r="F2" t="s" s="30">
        <v>191</v>
      </c>
      <c r="G2" t="s" s="30">
        <v>144</v>
      </c>
      <c r="H2" t="s" s="30">
        <v>940</v>
      </c>
      <c r="I2" t="s" s="30">
        <v>941</v>
      </c>
      <c r="J2" t="s" s="30">
        <v>942</v>
      </c>
    </row>
    <row r="3" ht="33.15" customHeight="1">
      <c r="A3" s="32"/>
      <c r="B3" t="s" s="33">
        <v>42</v>
      </c>
      <c r="C3" t="s" s="144">
        <v>943</v>
      </c>
      <c r="D3" t="s" s="145">
        <v>171</v>
      </c>
      <c r="E3" t="s" s="145">
        <v>944</v>
      </c>
      <c r="F3" t="s" s="145">
        <v>189</v>
      </c>
      <c r="G3" t="s" s="145">
        <v>141</v>
      </c>
      <c r="H3" t="s" s="145">
        <v>945</v>
      </c>
      <c r="I3" t="s" s="145">
        <v>946</v>
      </c>
      <c r="J3" s="35"/>
    </row>
    <row r="4" ht="27.55" customHeight="1">
      <c r="A4" s="21"/>
      <c r="B4" t="s" s="22">
        <v>43</v>
      </c>
      <c r="C4" t="s" s="146">
        <v>947</v>
      </c>
      <c r="D4" t="s" s="68">
        <v>948</v>
      </c>
      <c r="E4" t="s" s="68">
        <v>949</v>
      </c>
      <c r="F4" t="s" s="68">
        <v>950</v>
      </c>
      <c r="G4" t="s" s="68">
        <v>951</v>
      </c>
      <c r="H4" t="s" s="68">
        <v>952</v>
      </c>
      <c r="I4" t="s" s="68">
        <v>953</v>
      </c>
      <c r="J4" s="24"/>
    </row>
    <row r="5" ht="27.55" customHeight="1">
      <c r="A5" s="197"/>
      <c r="B5" t="s" s="148">
        <v>882</v>
      </c>
      <c r="C5" t="s" s="200">
        <v>954</v>
      </c>
      <c r="D5" t="s" s="201">
        <v>954</v>
      </c>
      <c r="E5" t="s" s="201">
        <v>954</v>
      </c>
      <c r="F5" t="s" s="201">
        <v>954</v>
      </c>
      <c r="G5" t="s" s="201">
        <v>954</v>
      </c>
      <c r="H5" t="s" s="201">
        <v>954</v>
      </c>
      <c r="I5" t="s" s="201">
        <v>953</v>
      </c>
      <c r="J5" s="225"/>
    </row>
    <row r="6" ht="27.55" customHeight="1">
      <c r="A6" s="32"/>
      <c r="B6" t="s" s="33">
        <v>28</v>
      </c>
      <c r="C6" s="151">
        <v>3</v>
      </c>
      <c r="D6" s="152">
        <v>1</v>
      </c>
      <c r="E6" s="152">
        <v>1</v>
      </c>
      <c r="F6" s="152">
        <v>3</v>
      </c>
      <c r="G6" s="152">
        <v>2</v>
      </c>
      <c r="H6" s="152">
        <v>3</v>
      </c>
      <c r="I6" s="35"/>
      <c r="J6" s="152" cm="1">
        <f t="array" ref="J6">SUM(C6:I6)</f>
        <v>13</v>
      </c>
    </row>
    <row r="7" ht="27.55" customHeight="1">
      <c r="A7" s="21"/>
      <c r="B7" t="s" s="22">
        <v>31</v>
      </c>
      <c r="C7" s="153">
        <v>4</v>
      </c>
      <c r="D7" s="139">
        <v>1</v>
      </c>
      <c r="E7" s="139">
        <v>2</v>
      </c>
      <c r="F7" s="139">
        <v>4</v>
      </c>
      <c r="G7" s="139">
        <v>3</v>
      </c>
      <c r="H7" s="139">
        <v>3</v>
      </c>
      <c r="I7" s="24"/>
      <c r="J7" s="139" cm="1">
        <f t="array" ref="J7">SUM(C7:I7)</f>
        <v>17</v>
      </c>
    </row>
    <row r="8" ht="27.55" customHeight="1">
      <c r="A8" s="21"/>
      <c r="B8" t="s" s="22">
        <v>32</v>
      </c>
      <c r="C8" s="153">
        <v>9</v>
      </c>
      <c r="D8" s="139">
        <v>1</v>
      </c>
      <c r="E8" s="139">
        <v>2</v>
      </c>
      <c r="F8" s="139">
        <v>4</v>
      </c>
      <c r="G8" s="139">
        <v>3</v>
      </c>
      <c r="H8" s="139">
        <v>4</v>
      </c>
      <c r="I8" s="24"/>
      <c r="J8" s="139" cm="1">
        <f t="array" ref="J8">SUM(C8:I8)</f>
        <v>23</v>
      </c>
    </row>
    <row r="9" ht="27.55" customHeight="1">
      <c r="A9" s="21"/>
      <c r="B9" t="s" s="22">
        <v>33</v>
      </c>
      <c r="C9" s="153">
        <v>2</v>
      </c>
      <c r="D9" s="139">
        <v>1</v>
      </c>
      <c r="E9" s="139">
        <v>1</v>
      </c>
      <c r="F9" s="139">
        <v>1</v>
      </c>
      <c r="G9" s="139">
        <v>1</v>
      </c>
      <c r="H9" s="139">
        <v>2</v>
      </c>
      <c r="I9" s="24"/>
      <c r="J9" s="139" cm="1">
        <f t="array" ref="J9">SUM(C9:I9)</f>
        <v>8</v>
      </c>
    </row>
    <row r="10" ht="27.55" customHeight="1">
      <c r="A10" s="21"/>
      <c r="B10" t="s" s="22">
        <v>34</v>
      </c>
      <c r="C10" s="153">
        <v>9</v>
      </c>
      <c r="D10" s="139">
        <v>1</v>
      </c>
      <c r="E10" s="139">
        <v>2</v>
      </c>
      <c r="F10" s="139">
        <v>4</v>
      </c>
      <c r="G10" s="139">
        <v>2</v>
      </c>
      <c r="H10" s="139">
        <v>4</v>
      </c>
      <c r="I10" s="24"/>
      <c r="J10" s="139" cm="1">
        <f t="array" ref="J10">SUM(C10:I10)</f>
        <v>22</v>
      </c>
    </row>
    <row r="11" ht="27.55" customHeight="1">
      <c r="A11" s="21"/>
      <c r="B11" t="s" s="22">
        <v>35</v>
      </c>
      <c r="C11" s="153">
        <v>8</v>
      </c>
      <c r="D11" s="139">
        <v>1</v>
      </c>
      <c r="E11" s="139">
        <v>1.5</v>
      </c>
      <c r="F11" s="139">
        <v>6</v>
      </c>
      <c r="G11" s="139">
        <v>5</v>
      </c>
      <c r="H11" s="139">
        <v>2.5</v>
      </c>
      <c r="I11" s="24"/>
      <c r="J11" s="139" cm="1">
        <f t="array" ref="J11">SUM(C11:I11)</f>
        <v>24</v>
      </c>
    </row>
    <row r="12" ht="27.55" customHeight="1">
      <c r="A12" s="21"/>
      <c r="B12" t="s" s="22">
        <v>36</v>
      </c>
      <c r="C12" s="153">
        <v>4</v>
      </c>
      <c r="D12" s="139">
        <v>0.5</v>
      </c>
      <c r="E12" s="139">
        <v>1</v>
      </c>
      <c r="F12" s="139">
        <v>4</v>
      </c>
      <c r="G12" s="139">
        <v>3</v>
      </c>
      <c r="H12" s="139">
        <v>2</v>
      </c>
      <c r="I12" s="24"/>
      <c r="J12" s="139" cm="1">
        <f t="array" ref="J12">SUM(C12:I12)</f>
        <v>14.5</v>
      </c>
    </row>
    <row r="13" ht="27.55" customHeight="1">
      <c r="A13" s="21"/>
      <c r="B13" t="s" s="22">
        <v>37</v>
      </c>
      <c r="C13" s="153">
        <v>1</v>
      </c>
      <c r="D13" s="139">
        <v>0.2</v>
      </c>
      <c r="E13" s="139">
        <v>0.5</v>
      </c>
      <c r="F13" s="139">
        <v>1.5</v>
      </c>
      <c r="G13" s="139">
        <v>1.5</v>
      </c>
      <c r="H13" s="139">
        <v>0.5</v>
      </c>
      <c r="I13" s="24"/>
      <c r="J13" s="139" cm="1">
        <f t="array" ref="J13">SUM(C13:I13)</f>
        <v>5.2</v>
      </c>
    </row>
  </sheetData>
  <mergeCells count="1">
    <mergeCell ref="A1:J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4.xml><?xml version="1.0" encoding="utf-8"?>
<worksheet xmlns:r="http://schemas.openxmlformats.org/officeDocument/2006/relationships" xmlns="http://schemas.openxmlformats.org/spreadsheetml/2006/main">
  <dimension ref="A2:I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3" width="20.8203" style="259" customWidth="1"/>
    <col min="4" max="4" width="27.3203" style="259" customWidth="1"/>
    <col min="5" max="5" width="27.3047" style="259" customWidth="1"/>
    <col min="6" max="6" width="32.5781" style="259" customWidth="1"/>
    <col min="7" max="7" width="44.375" style="259" customWidth="1"/>
    <col min="8" max="9" width="20.8203" style="259" customWidth="1"/>
    <col min="10" max="16384" width="16.3516" style="259" customWidth="1"/>
  </cols>
  <sheetData>
    <row r="1" ht="28" customHeight="1">
      <c r="A1" t="s" s="29">
        <v>885</v>
      </c>
      <c r="B1" s="29"/>
      <c r="C1" s="29"/>
      <c r="D1" s="29"/>
      <c r="E1" s="29"/>
      <c r="F1" s="29"/>
      <c r="G1" s="29"/>
      <c r="H1" s="29"/>
      <c r="I1" s="29"/>
    </row>
    <row r="2" ht="27.55" customHeight="1">
      <c r="A2" t="s" s="30">
        <v>17</v>
      </c>
      <c r="B2" t="s" s="30">
        <v>41</v>
      </c>
      <c r="C2" t="s" s="30">
        <v>353</v>
      </c>
      <c r="D2" t="s" s="30">
        <v>354</v>
      </c>
      <c r="E2" t="s" s="30">
        <v>178</v>
      </c>
      <c r="F2" t="s" s="30">
        <v>191</v>
      </c>
      <c r="G2" t="s" s="30">
        <v>144</v>
      </c>
      <c r="H2" t="s" s="30">
        <v>940</v>
      </c>
      <c r="I2" t="s" s="30">
        <v>941</v>
      </c>
    </row>
    <row r="3" ht="27.55" customHeight="1">
      <c r="A3" s="32"/>
      <c r="B3" t="s" s="33">
        <v>42</v>
      </c>
      <c r="C3" t="s" s="144">
        <v>956</v>
      </c>
      <c r="D3" t="s" s="145">
        <v>957</v>
      </c>
      <c r="E3" t="s" s="145">
        <v>958</v>
      </c>
      <c r="F3" t="s" s="145">
        <v>959</v>
      </c>
      <c r="G3" t="s" s="145">
        <v>960</v>
      </c>
      <c r="H3" t="s" s="145">
        <v>961</v>
      </c>
      <c r="I3" t="s" s="145">
        <v>962</v>
      </c>
    </row>
    <row r="4" ht="27.55" customHeight="1">
      <c r="A4" s="21"/>
      <c r="B4" t="s" s="22">
        <v>43</v>
      </c>
      <c r="C4" t="s" s="146">
        <v>947</v>
      </c>
      <c r="D4" t="s" s="68">
        <v>963</v>
      </c>
      <c r="E4" t="s" s="68">
        <v>949</v>
      </c>
      <c r="F4" t="s" s="68">
        <v>964</v>
      </c>
      <c r="G4" t="s" s="68">
        <v>965</v>
      </c>
      <c r="H4" t="s" s="68">
        <v>966</v>
      </c>
      <c r="I4" t="s" s="68">
        <v>967</v>
      </c>
    </row>
    <row r="5" ht="27.55" customHeight="1">
      <c r="A5" s="197"/>
      <c r="B5" t="s" s="148">
        <v>367</v>
      </c>
      <c r="C5" s="149">
        <v>199</v>
      </c>
      <c r="D5" s="150">
        <v>24</v>
      </c>
      <c r="E5" s="150">
        <v>100</v>
      </c>
      <c r="F5" t="s" s="201">
        <v>968</v>
      </c>
      <c r="G5" t="s" s="201">
        <v>969</v>
      </c>
      <c r="H5" s="150">
        <v>35</v>
      </c>
      <c r="I5" s="150">
        <v>39</v>
      </c>
    </row>
    <row r="6" ht="27.55" customHeight="1">
      <c r="A6" s="32"/>
      <c r="B6" t="s" s="33">
        <v>28</v>
      </c>
      <c r="C6" s="151">
        <v>2</v>
      </c>
      <c r="D6" s="152">
        <v>0.1</v>
      </c>
      <c r="E6" s="152">
        <v>0.1</v>
      </c>
      <c r="F6" s="152">
        <v>3</v>
      </c>
      <c r="G6" s="152">
        <v>4</v>
      </c>
      <c r="H6" s="152">
        <v>0.5</v>
      </c>
      <c r="I6" s="152">
        <v>0.5</v>
      </c>
    </row>
    <row r="7" ht="27.55" customHeight="1">
      <c r="A7" s="21"/>
      <c r="B7" t="s" s="22">
        <v>31</v>
      </c>
      <c r="C7" s="153">
        <v>1</v>
      </c>
      <c r="D7" s="139">
        <v>0.1</v>
      </c>
      <c r="E7" s="139">
        <v>0.1</v>
      </c>
      <c r="F7" s="139">
        <v>2</v>
      </c>
      <c r="G7" s="139">
        <v>6</v>
      </c>
      <c r="H7" s="139">
        <v>0.5</v>
      </c>
      <c r="I7" s="139">
        <v>0.5</v>
      </c>
    </row>
    <row r="8" ht="27.55" customHeight="1">
      <c r="A8" s="21"/>
      <c r="B8" t="s" s="22">
        <v>32</v>
      </c>
      <c r="C8" s="153">
        <v>1</v>
      </c>
      <c r="D8" s="139">
        <v>0.1</v>
      </c>
      <c r="E8" s="139">
        <v>0.1</v>
      </c>
      <c r="F8" s="139">
        <v>2</v>
      </c>
      <c r="G8" s="139">
        <v>4</v>
      </c>
      <c r="H8" s="139">
        <v>0.5</v>
      </c>
      <c r="I8" s="139">
        <v>0.5</v>
      </c>
    </row>
    <row r="9" ht="27.55" customHeight="1">
      <c r="A9" s="21"/>
      <c r="B9" t="s" s="22">
        <v>33</v>
      </c>
      <c r="C9" s="153">
        <v>1</v>
      </c>
      <c r="D9" s="139">
        <v>0.1</v>
      </c>
      <c r="E9" s="139">
        <v>0.1</v>
      </c>
      <c r="F9" s="139">
        <v>1</v>
      </c>
      <c r="G9" s="139">
        <v>1</v>
      </c>
      <c r="H9" s="139">
        <v>0.5</v>
      </c>
      <c r="I9" s="139">
        <v>0.5</v>
      </c>
    </row>
    <row r="10" ht="27.55" customHeight="1">
      <c r="A10" s="21"/>
      <c r="B10" t="s" s="22">
        <v>34</v>
      </c>
      <c r="C10" s="153">
        <v>2</v>
      </c>
      <c r="D10" s="139">
        <v>0.1</v>
      </c>
      <c r="E10" s="139">
        <v>0.1</v>
      </c>
      <c r="F10" s="139">
        <v>5</v>
      </c>
      <c r="G10" s="139">
        <v>5</v>
      </c>
      <c r="H10" s="139">
        <v>1</v>
      </c>
      <c r="I10" s="139">
        <v>1</v>
      </c>
    </row>
    <row r="11" ht="27.55" customHeight="1">
      <c r="A11" s="21"/>
      <c r="B11" t="s" s="22">
        <v>35</v>
      </c>
      <c r="C11" s="153">
        <v>12</v>
      </c>
      <c r="D11" s="139">
        <v>0</v>
      </c>
      <c r="E11" s="139">
        <v>0</v>
      </c>
      <c r="F11" s="139">
        <v>36</v>
      </c>
      <c r="G11" s="139">
        <v>32</v>
      </c>
      <c r="H11" s="139">
        <v>8</v>
      </c>
      <c r="I11" s="139">
        <v>8</v>
      </c>
    </row>
    <row r="12" ht="27.55" customHeight="1">
      <c r="A12" s="21"/>
      <c r="B12" t="s" s="22">
        <v>36</v>
      </c>
      <c r="C12" s="153">
        <v>5</v>
      </c>
      <c r="D12" s="139">
        <v>0</v>
      </c>
      <c r="E12" s="139">
        <v>0</v>
      </c>
      <c r="F12" s="139">
        <v>15</v>
      </c>
      <c r="G12" s="139">
        <v>14</v>
      </c>
      <c r="H12" s="139">
        <v>3</v>
      </c>
      <c r="I12" s="139">
        <v>2</v>
      </c>
    </row>
    <row r="13" ht="27.55" customHeight="1">
      <c r="A13" s="21"/>
      <c r="B13" t="s" s="22">
        <v>37</v>
      </c>
      <c r="C13" s="153">
        <v>2</v>
      </c>
      <c r="D13" s="139">
        <v>0</v>
      </c>
      <c r="E13" s="139">
        <v>0</v>
      </c>
      <c r="F13" s="139">
        <v>6</v>
      </c>
      <c r="G13" s="139">
        <v>5</v>
      </c>
      <c r="H13" s="139">
        <v>0.5</v>
      </c>
      <c r="I13" s="139">
        <v>0.5</v>
      </c>
    </row>
  </sheetData>
  <mergeCells count="1">
    <mergeCell ref="A1:I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2:O10"/>
  <sheetViews>
    <sheetView workbookViewId="0" showGridLines="0" defaultGridColor="1">
      <pane topLeftCell="C3" xSplit="2" ySplit="2" activePane="bottomRight" state="frozen"/>
    </sheetView>
  </sheetViews>
  <sheetFormatPr defaultColWidth="16.3333" defaultRowHeight="21.1" customHeight="1" outlineLevelRow="0" outlineLevelCol="0"/>
  <cols>
    <col min="1" max="2" width="10.7969" style="260" customWidth="1"/>
    <col min="3" max="3" width="18.3438" style="260" customWidth="1"/>
    <col min="4" max="4" width="16.6797" style="260" customWidth="1"/>
    <col min="5" max="6" width="19.1797" style="260" customWidth="1"/>
    <col min="7" max="13" width="16.6797" style="260" customWidth="1"/>
    <col min="14" max="14" width="34.7266" style="260" customWidth="1"/>
    <col min="15" max="15" width="17.5703" style="260" customWidth="1"/>
    <col min="16" max="16384" width="16.3516" style="260" customWidth="1"/>
  </cols>
  <sheetData>
    <row r="1" ht="29" customHeight="1">
      <c r="A1" t="s" s="261">
        <v>14</v>
      </c>
      <c r="B1" s="261"/>
      <c r="C1" s="261"/>
      <c r="D1" s="261"/>
      <c r="E1" s="261"/>
      <c r="F1" s="261"/>
      <c r="G1" s="261"/>
      <c r="H1" s="261"/>
      <c r="I1" s="261"/>
      <c r="J1" s="261"/>
      <c r="K1" s="261"/>
      <c r="L1" s="261"/>
      <c r="M1" s="261"/>
      <c r="N1" s="261"/>
      <c r="O1" s="261"/>
    </row>
    <row r="2" ht="80" customHeight="1">
      <c r="A2" t="s" s="262">
        <v>17</v>
      </c>
      <c r="B2" t="s" s="262">
        <v>18</v>
      </c>
      <c r="C2" t="s" s="262">
        <v>972</v>
      </c>
      <c r="D2" t="s" s="262">
        <v>973</v>
      </c>
      <c r="E2" t="s" s="262">
        <v>974</v>
      </c>
      <c r="F2" t="s" s="262">
        <v>975</v>
      </c>
      <c r="G2" t="s" s="262">
        <v>976</v>
      </c>
      <c r="H2" t="s" s="262">
        <v>977</v>
      </c>
      <c r="I2" t="s" s="262">
        <v>343</v>
      </c>
      <c r="J2" t="s" s="262">
        <v>978</v>
      </c>
      <c r="K2" t="s" s="262">
        <v>979</v>
      </c>
      <c r="L2" t="s" s="262">
        <v>980</v>
      </c>
      <c r="M2" t="s" s="262">
        <v>981</v>
      </c>
      <c r="N2" t="s" s="262">
        <v>344</v>
      </c>
      <c r="O2" t="s" s="262">
        <v>982</v>
      </c>
    </row>
    <row r="3" ht="30" customHeight="1">
      <c r="A3" t="s" s="263">
        <v>167</v>
      </c>
      <c r="B3" t="s" s="264">
        <v>28</v>
      </c>
      <c r="C3" s="265" cm="1">
        <f t="array" ref="C3">SUM(E3:E10)/SUM(D3:D10)</f>
        <v>0.157281553398058</v>
      </c>
      <c r="D3" s="266">
        <v>59</v>
      </c>
      <c r="E3" s="266">
        <v>4</v>
      </c>
      <c r="F3" s="267" cm="1">
        <f t="array" ref="F3">D3-E3</f>
        <v>55</v>
      </c>
      <c r="G3" t="s" s="268">
        <v>983</v>
      </c>
      <c r="H3" t="s" s="268">
        <v>984</v>
      </c>
      <c r="I3" t="s" s="269">
        <v>985</v>
      </c>
      <c r="J3" t="s" s="268">
        <v>53</v>
      </c>
      <c r="K3" t="s" s="268">
        <v>53</v>
      </c>
      <c r="L3" t="s" s="268">
        <v>53</v>
      </c>
      <c r="M3" t="s" s="268">
        <v>53</v>
      </c>
      <c r="N3" t="s" s="270">
        <v>986</v>
      </c>
      <c r="O3" s="267">
        <v>98</v>
      </c>
    </row>
    <row r="4" ht="30" customHeight="1">
      <c r="A4" t="s" s="271">
        <v>167</v>
      </c>
      <c r="B4" t="s" s="272">
        <v>31</v>
      </c>
      <c r="C4" s="273"/>
      <c r="D4" s="274">
        <v>52</v>
      </c>
      <c r="E4" s="274">
        <v>4</v>
      </c>
      <c r="F4" s="275" cm="1">
        <f t="array" ref="F4">D4-E4</f>
        <v>48</v>
      </c>
      <c r="G4" s="276"/>
      <c r="H4" s="276"/>
      <c r="I4" s="276"/>
      <c r="J4" s="276"/>
      <c r="K4" s="276"/>
      <c r="L4" s="276"/>
      <c r="M4" s="276"/>
      <c r="N4" s="276"/>
      <c r="O4" s="277">
        <v>417</v>
      </c>
    </row>
    <row r="5" ht="30" customHeight="1">
      <c r="A5" t="s" s="271">
        <v>167</v>
      </c>
      <c r="B5" t="s" s="272">
        <v>32</v>
      </c>
      <c r="C5" s="273"/>
      <c r="D5" s="274">
        <v>31</v>
      </c>
      <c r="E5" s="274">
        <v>3</v>
      </c>
      <c r="F5" s="275" cm="1">
        <f t="array" ref="F5">D5-E5</f>
        <v>28</v>
      </c>
      <c r="G5" s="276"/>
      <c r="H5" s="276"/>
      <c r="I5" s="276"/>
      <c r="J5" s="276"/>
      <c r="K5" s="276"/>
      <c r="L5" s="276"/>
      <c r="M5" s="276"/>
      <c r="N5" s="276"/>
      <c r="O5" s="277">
        <v>210</v>
      </c>
    </row>
    <row r="6" ht="30" customHeight="1">
      <c r="A6" t="s" s="271">
        <v>167</v>
      </c>
      <c r="B6" t="s" s="272">
        <v>33</v>
      </c>
      <c r="C6" s="273"/>
      <c r="D6" s="274">
        <v>53</v>
      </c>
      <c r="E6" s="274">
        <v>3</v>
      </c>
      <c r="F6" s="275" cm="1">
        <f t="array" ref="F6">D6-E6</f>
        <v>50</v>
      </c>
      <c r="G6" s="276"/>
      <c r="H6" s="276"/>
      <c r="I6" s="276"/>
      <c r="J6" s="276"/>
      <c r="K6" s="276"/>
      <c r="L6" s="276"/>
      <c r="M6" s="276"/>
      <c r="N6" s="276"/>
      <c r="O6" s="277">
        <v>72</v>
      </c>
    </row>
    <row r="7" ht="30" customHeight="1">
      <c r="A7" t="s" s="271">
        <v>167</v>
      </c>
      <c r="B7" t="s" s="272">
        <v>34</v>
      </c>
      <c r="C7" s="273"/>
      <c r="D7" s="274">
        <v>95</v>
      </c>
      <c r="E7" s="274">
        <v>21</v>
      </c>
      <c r="F7" s="275" cm="1">
        <f t="array" ref="F7">D7-E7</f>
        <v>74</v>
      </c>
      <c r="G7" s="276"/>
      <c r="H7" s="276"/>
      <c r="I7" s="276"/>
      <c r="J7" s="276"/>
      <c r="K7" s="276"/>
      <c r="L7" s="276"/>
      <c r="M7" s="276"/>
      <c r="N7" s="276"/>
      <c r="O7" s="277">
        <v>290</v>
      </c>
    </row>
    <row r="8" ht="30" customHeight="1">
      <c r="A8" t="s" s="271">
        <v>167</v>
      </c>
      <c r="B8" t="s" s="272">
        <v>35</v>
      </c>
      <c r="C8" s="273"/>
      <c r="D8" s="274">
        <v>152</v>
      </c>
      <c r="E8" s="274">
        <v>22</v>
      </c>
      <c r="F8" s="275" cm="1">
        <f t="array" ref="F8">D8-E8</f>
        <v>130</v>
      </c>
      <c r="G8" s="276"/>
      <c r="H8" s="276"/>
      <c r="I8" s="276"/>
      <c r="J8" s="276"/>
      <c r="K8" s="276"/>
      <c r="L8" s="276"/>
      <c r="M8" s="276"/>
      <c r="N8" s="276"/>
      <c r="O8" s="277">
        <v>266</v>
      </c>
    </row>
    <row r="9" ht="30" customHeight="1">
      <c r="A9" t="s" s="271">
        <v>167</v>
      </c>
      <c r="B9" t="s" s="272">
        <v>36</v>
      </c>
      <c r="C9" s="273"/>
      <c r="D9" s="274">
        <v>48</v>
      </c>
      <c r="E9" s="274">
        <v>21</v>
      </c>
      <c r="F9" s="275" cm="1">
        <f t="array" ref="F9">D9-E9</f>
        <v>27</v>
      </c>
      <c r="G9" s="276"/>
      <c r="H9" s="276"/>
      <c r="I9" s="276"/>
      <c r="J9" s="276"/>
      <c r="K9" s="276"/>
      <c r="L9" s="276"/>
      <c r="M9" s="276"/>
      <c r="N9" s="276"/>
      <c r="O9" s="277">
        <v>103</v>
      </c>
    </row>
    <row r="10" ht="30" customHeight="1">
      <c r="A10" t="s" s="271">
        <v>167</v>
      </c>
      <c r="B10" t="s" s="272">
        <v>37</v>
      </c>
      <c r="C10" s="273"/>
      <c r="D10" s="274">
        <v>25</v>
      </c>
      <c r="E10" s="274">
        <v>3</v>
      </c>
      <c r="F10" s="275" cm="1">
        <f t="array" ref="F10">D10-E10</f>
        <v>22</v>
      </c>
      <c r="G10" s="276"/>
      <c r="H10" s="276"/>
      <c r="I10" s="276"/>
      <c r="J10" s="276"/>
      <c r="K10" s="276"/>
      <c r="L10" s="276"/>
      <c r="M10" s="276"/>
      <c r="N10" s="276"/>
      <c r="O10" s="277">
        <v>87</v>
      </c>
    </row>
  </sheetData>
  <mergeCells count="10">
    <mergeCell ref="A1:O1"/>
    <mergeCell ref="G3:G10"/>
    <mergeCell ref="H3:H10"/>
    <mergeCell ref="I3:I10"/>
    <mergeCell ref="J3:J10"/>
    <mergeCell ref="K3:K10"/>
    <mergeCell ref="M3:M10"/>
    <mergeCell ref="L3:L10"/>
    <mergeCell ref="N3:N10"/>
    <mergeCell ref="C3:C1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2:G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7" width="20.8203" style="278" customWidth="1"/>
    <col min="8" max="16384" width="16.3516" style="278" customWidth="1"/>
  </cols>
  <sheetData>
    <row r="1" ht="28" customHeight="1">
      <c r="A1" t="s" s="29">
        <v>351</v>
      </c>
      <c r="B1" s="29"/>
      <c r="C1" s="29"/>
      <c r="D1" s="29"/>
      <c r="E1" s="29"/>
      <c r="F1" s="29"/>
      <c r="G1" s="29"/>
    </row>
    <row r="2" ht="27.55" customHeight="1">
      <c r="A2" t="s" s="9">
        <v>17</v>
      </c>
      <c r="B2" t="s" s="30">
        <v>41</v>
      </c>
      <c r="C2" t="s" s="30">
        <v>353</v>
      </c>
      <c r="D2" t="s" s="30">
        <v>354</v>
      </c>
      <c r="E2" t="s" s="30">
        <v>178</v>
      </c>
      <c r="F2" t="s" s="30">
        <v>191</v>
      </c>
      <c r="G2" t="s" s="30">
        <v>144</v>
      </c>
    </row>
    <row r="3" ht="27.55" customHeight="1">
      <c r="A3" t="s" s="263">
        <v>167</v>
      </c>
      <c r="B3" t="s" s="33">
        <v>42</v>
      </c>
      <c r="C3" s="34"/>
      <c r="D3" s="35"/>
      <c r="E3" s="35"/>
      <c r="F3" s="35"/>
      <c r="G3" t="s" s="145">
        <v>988</v>
      </c>
    </row>
    <row r="4" ht="27.55" customHeight="1">
      <c r="A4" t="s" s="271">
        <v>167</v>
      </c>
      <c r="B4" t="s" s="22">
        <v>43</v>
      </c>
      <c r="C4" s="45"/>
      <c r="D4" s="24"/>
      <c r="E4" s="24"/>
      <c r="F4" s="24"/>
      <c r="G4" t="s" s="68">
        <v>989</v>
      </c>
    </row>
    <row r="5" ht="27.55" customHeight="1">
      <c r="A5" t="s" s="271">
        <v>167</v>
      </c>
      <c r="B5" t="s" s="148">
        <v>367</v>
      </c>
      <c r="C5" s="279"/>
      <c r="D5" s="225"/>
      <c r="E5" s="225"/>
      <c r="F5" s="225"/>
      <c r="G5" t="s" s="201">
        <v>983</v>
      </c>
    </row>
    <row r="6" ht="27.55" customHeight="1">
      <c r="A6" t="s" s="271">
        <v>167</v>
      </c>
      <c r="B6" t="s" s="33">
        <v>28</v>
      </c>
      <c r="C6" s="34"/>
      <c r="D6" s="35"/>
      <c r="E6" s="35"/>
      <c r="F6" s="35"/>
      <c r="G6" s="280">
        <v>4</v>
      </c>
    </row>
    <row r="7" ht="27.55" customHeight="1">
      <c r="A7" t="s" s="271">
        <v>167</v>
      </c>
      <c r="B7" t="s" s="22">
        <v>31</v>
      </c>
      <c r="C7" s="45"/>
      <c r="D7" s="24"/>
      <c r="E7" s="24"/>
      <c r="F7" s="24"/>
      <c r="G7" s="274">
        <v>4</v>
      </c>
    </row>
    <row r="8" ht="27.55" customHeight="1">
      <c r="A8" t="s" s="271">
        <v>167</v>
      </c>
      <c r="B8" t="s" s="22">
        <v>32</v>
      </c>
      <c r="C8" s="45"/>
      <c r="D8" s="24"/>
      <c r="E8" s="24"/>
      <c r="F8" s="24"/>
      <c r="G8" s="274">
        <v>3</v>
      </c>
    </row>
    <row r="9" ht="27.55" customHeight="1">
      <c r="A9" t="s" s="271">
        <v>167</v>
      </c>
      <c r="B9" t="s" s="22">
        <v>33</v>
      </c>
      <c r="C9" s="45"/>
      <c r="D9" s="24"/>
      <c r="E9" s="24"/>
      <c r="F9" s="24"/>
      <c r="G9" s="274">
        <v>3</v>
      </c>
    </row>
    <row r="10" ht="27.55" customHeight="1">
      <c r="A10" t="s" s="271">
        <v>167</v>
      </c>
      <c r="B10" t="s" s="22">
        <v>34</v>
      </c>
      <c r="C10" s="45"/>
      <c r="D10" s="24"/>
      <c r="E10" s="24"/>
      <c r="F10" s="24"/>
      <c r="G10" s="274">
        <v>21</v>
      </c>
    </row>
    <row r="11" ht="27.55" customHeight="1">
      <c r="A11" t="s" s="271">
        <v>167</v>
      </c>
      <c r="B11" t="s" s="22">
        <v>35</v>
      </c>
      <c r="C11" s="45"/>
      <c r="D11" s="24"/>
      <c r="E11" s="24"/>
      <c r="F11" s="24"/>
      <c r="G11" s="274">
        <v>22</v>
      </c>
    </row>
    <row r="12" ht="27.55" customHeight="1">
      <c r="A12" t="s" s="271">
        <v>167</v>
      </c>
      <c r="B12" t="s" s="22">
        <v>36</v>
      </c>
      <c r="C12" s="45"/>
      <c r="D12" s="24"/>
      <c r="E12" s="24"/>
      <c r="F12" s="24"/>
      <c r="G12" s="274">
        <v>21</v>
      </c>
    </row>
    <row r="13" ht="27.55" customHeight="1">
      <c r="A13" t="s" s="271">
        <v>167</v>
      </c>
      <c r="B13" t="s" s="22">
        <v>37</v>
      </c>
      <c r="C13" s="45"/>
      <c r="D13" s="24"/>
      <c r="E13" s="24"/>
      <c r="F13" s="24"/>
      <c r="G13" s="274">
        <v>3</v>
      </c>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7.xml><?xml version="1.0" encoding="utf-8"?>
<worksheet xmlns:r="http://schemas.openxmlformats.org/officeDocument/2006/relationships" xmlns="http://schemas.openxmlformats.org/spreadsheetml/2006/main">
  <sheetPr>
    <pageSetUpPr fitToPage="1"/>
  </sheetPr>
  <dimension ref="B3:K12"/>
  <sheetViews>
    <sheetView workbookViewId="0" showGridLines="0" defaultGridColor="1">
      <pane topLeftCell="C5" xSplit="2" ySplit="4" activePane="bottomRight" state="frozen"/>
    </sheetView>
  </sheetViews>
  <sheetFormatPr defaultColWidth="16.3333" defaultRowHeight="19.9" customHeight="1" outlineLevelRow="0" outlineLevelCol="0"/>
  <cols>
    <col min="1" max="1" width="1.07031" style="281" customWidth="1"/>
    <col min="2" max="2" width="13.3516" style="281" customWidth="1"/>
    <col min="3" max="4" width="24.9375" style="281" customWidth="1"/>
    <col min="5" max="5" width="7.46094" style="281" customWidth="1"/>
    <col min="6" max="7" width="50" style="281" customWidth="1"/>
    <col min="8" max="11" width="18.2969" style="281" customWidth="1"/>
    <col min="12" max="16384" width="16.3516" style="281" customWidth="1"/>
  </cols>
  <sheetData>
    <row r="1" ht="34.55" customHeight="1"/>
    <row r="2" ht="28" customHeight="1">
      <c r="B2" t="s" s="29">
        <v>5</v>
      </c>
      <c r="C2" s="29"/>
      <c r="D2" s="29"/>
      <c r="E2" s="29"/>
      <c r="F2" s="29"/>
      <c r="G2" s="29"/>
      <c r="H2" s="29"/>
      <c r="I2" s="29"/>
      <c r="J2" s="29"/>
      <c r="K2" s="29"/>
    </row>
    <row r="3" ht="20.35" customHeight="1">
      <c r="B3" t="s" s="282">
        <v>67</v>
      </c>
      <c r="C3" s="8"/>
      <c r="D3" s="8"/>
      <c r="E3" t="s" s="58">
        <v>18</v>
      </c>
      <c r="F3" s="8"/>
      <c r="G3" s="8"/>
      <c r="H3" t="s" s="59">
        <v>992</v>
      </c>
      <c r="I3" s="8"/>
      <c r="J3" s="60"/>
      <c r="K3" s="8"/>
    </row>
    <row r="4" ht="80" customHeight="1">
      <c r="B4" t="s" s="9">
        <v>70</v>
      </c>
      <c r="C4" t="s" s="9">
        <v>8</v>
      </c>
      <c r="D4" t="s" s="9">
        <v>993</v>
      </c>
      <c r="E4" t="s" s="9">
        <v>994</v>
      </c>
      <c r="F4" s="48"/>
      <c r="G4" t="s" s="9">
        <v>995</v>
      </c>
      <c r="H4" t="s" s="9">
        <v>72</v>
      </c>
      <c r="I4" t="s" s="9">
        <v>73</v>
      </c>
      <c r="J4" t="s" s="9">
        <v>74</v>
      </c>
      <c r="K4" t="s" s="9">
        <v>75</v>
      </c>
    </row>
    <row r="5" ht="104.05" customHeight="1">
      <c r="B5" t="s" s="17">
        <v>76</v>
      </c>
      <c r="C5" t="s" s="61">
        <v>77</v>
      </c>
      <c r="D5" t="s" s="10">
        <v>996</v>
      </c>
      <c r="E5" s="283">
        <v>0.68</v>
      </c>
      <c r="F5" t="s" s="284">
        <v>997</v>
      </c>
      <c r="G5" t="s" s="20">
        <v>998</v>
      </c>
      <c r="H5" t="s" s="20">
        <v>999</v>
      </c>
      <c r="I5" t="s" s="20">
        <v>999</v>
      </c>
      <c r="J5" t="s" s="20">
        <v>999</v>
      </c>
      <c r="K5" t="s" s="20">
        <v>999</v>
      </c>
    </row>
    <row r="6" ht="188.35" customHeight="1">
      <c r="B6" t="s" s="22">
        <v>82</v>
      </c>
      <c r="C6" t="s" s="64">
        <v>83</v>
      </c>
      <c r="D6" t="s" s="285">
        <v>99</v>
      </c>
      <c r="E6" s="286">
        <v>0.51</v>
      </c>
      <c r="F6" t="s" s="67">
        <v>85</v>
      </c>
      <c r="G6" t="s" s="68">
        <v>1000</v>
      </c>
      <c r="H6" t="s" s="68">
        <v>999</v>
      </c>
      <c r="I6" t="s" s="68">
        <v>999</v>
      </c>
      <c r="J6" t="s" s="68">
        <v>999</v>
      </c>
      <c r="K6" t="s" s="68">
        <v>999</v>
      </c>
    </row>
    <row r="7" ht="66.05" customHeight="1">
      <c r="B7" t="s" s="22">
        <v>105</v>
      </c>
      <c r="C7" t="s" s="64">
        <v>106</v>
      </c>
      <c r="D7" t="s" s="285">
        <v>99</v>
      </c>
      <c r="E7" s="286">
        <v>0.48</v>
      </c>
      <c r="F7" t="s" s="67">
        <v>107</v>
      </c>
      <c r="G7" t="s" s="67">
        <v>1001</v>
      </c>
      <c r="H7" t="s" s="68">
        <v>999</v>
      </c>
      <c r="I7" t="s" s="68">
        <v>999</v>
      </c>
      <c r="J7" t="s" s="68">
        <v>999</v>
      </c>
      <c r="K7" t="s" s="68">
        <v>999</v>
      </c>
    </row>
    <row r="8" ht="152.35" customHeight="1">
      <c r="B8" t="s" s="22">
        <v>97</v>
      </c>
      <c r="C8" t="s" s="64">
        <v>98</v>
      </c>
      <c r="D8" t="s" s="287">
        <v>1002</v>
      </c>
      <c r="E8" s="161">
        <v>0.59</v>
      </c>
      <c r="F8" t="s" s="68">
        <v>1003</v>
      </c>
      <c r="G8" t="s" s="68">
        <v>999</v>
      </c>
      <c r="H8" t="s" s="68">
        <v>999</v>
      </c>
      <c r="I8" t="s" s="68">
        <v>999</v>
      </c>
      <c r="J8" t="s" s="68">
        <v>999</v>
      </c>
      <c r="K8" t="s" s="68">
        <v>999</v>
      </c>
    </row>
    <row r="9" ht="223.2" customHeight="1">
      <c r="B9" t="s" s="22">
        <v>87</v>
      </c>
      <c r="C9" t="s" s="288">
        <v>88</v>
      </c>
      <c r="D9" t="s" s="69">
        <v>1004</v>
      </c>
      <c r="E9" s="289">
        <v>0.51</v>
      </c>
      <c r="F9" t="s" s="70">
        <v>90</v>
      </c>
      <c r="G9" t="s" s="67">
        <v>1005</v>
      </c>
      <c r="H9" t="s" s="68">
        <v>999</v>
      </c>
      <c r="I9" t="s" s="68">
        <v>999</v>
      </c>
      <c r="J9" t="s" s="68">
        <v>999</v>
      </c>
      <c r="K9" t="s" s="68">
        <v>999</v>
      </c>
    </row>
    <row r="10" ht="217.05" customHeight="1">
      <c r="B10" t="s" s="22">
        <v>92</v>
      </c>
      <c r="C10" t="s" s="288">
        <v>93</v>
      </c>
      <c r="D10" t="s" s="55">
        <v>1006</v>
      </c>
      <c r="E10" s="161">
        <v>0.64</v>
      </c>
      <c r="F10" t="s" s="70">
        <v>95</v>
      </c>
      <c r="G10" t="s" s="67">
        <v>1007</v>
      </c>
      <c r="H10" t="s" s="68">
        <v>1008</v>
      </c>
      <c r="I10" t="s" s="68">
        <v>999</v>
      </c>
      <c r="J10" t="s" s="68">
        <v>999</v>
      </c>
      <c r="K10" t="s" s="68">
        <v>1009</v>
      </c>
    </row>
    <row r="11" ht="104.05" customHeight="1">
      <c r="B11" t="s" s="22">
        <v>102</v>
      </c>
      <c r="C11" t="s" s="290">
        <v>103</v>
      </c>
      <c r="D11" t="s" s="285">
        <v>99</v>
      </c>
      <c r="E11" s="161" cm="1">
        <f t="array" ref="E11">'Y2027 NPI - Pantamaster (JS) - '!C3</f>
        <v>0.5390625</v>
      </c>
      <c r="F11" t="s" s="67">
        <v>1010</v>
      </c>
      <c r="G11" t="s" s="68">
        <v>1011</v>
      </c>
      <c r="H11" t="s" s="68">
        <v>999</v>
      </c>
      <c r="I11" t="s" s="68">
        <v>999</v>
      </c>
      <c r="J11" t="s" s="68">
        <v>999</v>
      </c>
      <c r="K11" t="s" s="68">
        <v>999</v>
      </c>
    </row>
    <row r="12" ht="104.05" customHeight="1">
      <c r="B12" t="s" s="22">
        <v>109</v>
      </c>
      <c r="C12" t="s" s="291">
        <v>110</v>
      </c>
      <c r="D12" t="s" s="285">
        <v>99</v>
      </c>
      <c r="E12" t="s" s="164">
        <v>1012</v>
      </c>
      <c r="F12" t="s" s="67">
        <v>1013</v>
      </c>
      <c r="G12" t="s" s="68">
        <v>999</v>
      </c>
      <c r="H12" t="s" s="68">
        <v>999</v>
      </c>
      <c r="I12" t="s" s="68">
        <v>999</v>
      </c>
      <c r="J12" t="s" s="68">
        <v>999</v>
      </c>
      <c r="K12" t="s" s="68">
        <v>999</v>
      </c>
    </row>
  </sheetData>
  <mergeCells count="5">
    <mergeCell ref="B2:K2"/>
    <mergeCell ref="E3:G3"/>
    <mergeCell ref="B3:D3"/>
    <mergeCell ref="H3:K3"/>
    <mergeCell ref="E4:F4"/>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38.xml><?xml version="1.0" encoding="utf-8"?>
<worksheet xmlns:r="http://schemas.openxmlformats.org/officeDocument/2006/relationships" xmlns="http://schemas.openxmlformats.org/spreadsheetml/2006/main">
  <dimension ref="A2:N11"/>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0.7969" style="292" customWidth="1"/>
    <col min="3" max="4" width="16.6797" style="292" customWidth="1"/>
    <col min="5" max="6" width="19.1797" style="292" customWidth="1"/>
    <col min="7" max="7" width="16.2266" style="292" customWidth="1"/>
    <col min="8" max="13" width="16.6797" style="292" customWidth="1"/>
    <col min="14" max="14" width="37.3281" style="292" customWidth="1"/>
    <col min="15" max="16384" width="16.3516" style="292" customWidth="1"/>
  </cols>
  <sheetData>
    <row r="1" ht="28" customHeight="1">
      <c r="A1" t="s" s="29">
        <v>14</v>
      </c>
      <c r="B1" s="29"/>
      <c r="C1" s="29"/>
      <c r="D1" s="29"/>
      <c r="E1" s="29"/>
      <c r="F1" s="29"/>
      <c r="G1" s="29"/>
      <c r="H1" s="29"/>
      <c r="I1" s="29"/>
      <c r="J1" s="29"/>
      <c r="K1" s="29"/>
      <c r="L1" s="29"/>
      <c r="M1" s="29"/>
      <c r="N1" s="29"/>
    </row>
    <row r="2" ht="80" customHeight="1">
      <c r="A2" t="s" s="9">
        <v>17</v>
      </c>
      <c r="B2" t="s" s="9">
        <v>18</v>
      </c>
      <c r="C2" t="s" s="9">
        <v>337</v>
      </c>
      <c r="D2" t="s" s="9">
        <v>338</v>
      </c>
      <c r="E2" t="s" s="9">
        <v>339</v>
      </c>
      <c r="F2" t="s" s="9">
        <v>340</v>
      </c>
      <c r="G2" t="s" s="9">
        <v>341</v>
      </c>
      <c r="H2" t="s" s="9">
        <v>342</v>
      </c>
      <c r="I2" t="s" s="9">
        <v>343</v>
      </c>
      <c r="J2" t="s" s="9">
        <v>24</v>
      </c>
      <c r="K2" t="s" s="9">
        <v>25</v>
      </c>
      <c r="L2" t="s" s="9">
        <v>26</v>
      </c>
      <c r="M2" t="s" s="9">
        <v>27</v>
      </c>
      <c r="N2" t="s" s="9">
        <v>344</v>
      </c>
    </row>
    <row r="3" ht="30" customHeight="1">
      <c r="A3" t="s" s="135">
        <v>52</v>
      </c>
      <c r="B3" t="s" s="17">
        <v>28</v>
      </c>
      <c r="C3" s="136" cm="1">
        <f t="array" ref="C3">SUM(E3:E11)/SUM(D3:D11)</f>
        <v>0.677009873060649</v>
      </c>
      <c r="D3" s="137">
        <v>69</v>
      </c>
      <c r="E3" s="137" cm="1">
        <f t="array" ref="E3">SUM('Y2027 NPI - PRM (Anna) - 4_13v1'!C6:H6)</f>
        <v>40</v>
      </c>
      <c r="F3" s="137" cm="1">
        <f t="array" ref="F3">D3-E3</f>
        <v>29</v>
      </c>
      <c r="G3" t="s" s="20">
        <v>1016</v>
      </c>
      <c r="H3" t="s" s="10">
        <v>1017</v>
      </c>
      <c r="I3" t="s" s="10">
        <v>1018</v>
      </c>
      <c r="J3" t="s" s="20">
        <v>53</v>
      </c>
      <c r="K3" t="s" s="20">
        <v>53</v>
      </c>
      <c r="L3" t="s" s="20">
        <v>53</v>
      </c>
      <c r="M3" t="s" s="20">
        <v>53</v>
      </c>
      <c r="N3" s="12"/>
    </row>
    <row r="4" ht="30" customHeight="1">
      <c r="A4" t="s" s="138">
        <v>52</v>
      </c>
      <c r="B4" t="s" s="22">
        <v>31</v>
      </c>
      <c r="C4" s="23"/>
      <c r="D4" s="139">
        <v>123</v>
      </c>
      <c r="E4" s="139" cm="1">
        <f t="array" ref="E4">SUM('Y2027 NPI - PRM (Anna) - 4_13v1'!C7:H7)</f>
        <v>61</v>
      </c>
      <c r="F4" s="139" cm="1">
        <f t="array" ref="F4">D4-E4</f>
        <v>62</v>
      </c>
      <c r="G4" s="25"/>
      <c r="H4" s="25"/>
      <c r="I4" s="25"/>
      <c r="J4" s="25"/>
      <c r="K4" s="25"/>
      <c r="L4" s="25"/>
      <c r="M4" s="25"/>
      <c r="N4" s="25"/>
    </row>
    <row r="5" ht="30" customHeight="1">
      <c r="A5" t="s" s="138">
        <v>52</v>
      </c>
      <c r="B5" t="s" s="22">
        <v>32</v>
      </c>
      <c r="C5" s="23"/>
      <c r="D5" s="139">
        <v>75</v>
      </c>
      <c r="E5" s="139" cm="1">
        <f t="array" ref="E5">SUM('Y2027 NPI - PRM (Anna) - 4_13v1'!C8:H8)</f>
        <v>62</v>
      </c>
      <c r="F5" s="139" cm="1">
        <f t="array" ref="F5">D5-E5</f>
        <v>13</v>
      </c>
      <c r="G5" s="25"/>
      <c r="H5" s="25"/>
      <c r="I5" s="25"/>
      <c r="J5" s="25"/>
      <c r="K5" s="25"/>
      <c r="L5" s="25"/>
      <c r="M5" s="25"/>
      <c r="N5" s="25"/>
    </row>
    <row r="6" ht="30" customHeight="1">
      <c r="A6" t="s" s="138">
        <v>52</v>
      </c>
      <c r="B6" t="s" s="22">
        <v>33</v>
      </c>
      <c r="C6" s="23"/>
      <c r="D6" s="139" cm="1">
        <f t="array" ref="D6">5+16+17+24</f>
        <v>62</v>
      </c>
      <c r="E6" s="139" cm="1">
        <f t="array" ref="E6">SUM('Y2027 NPI - PRM (Anna) - 4_13v1'!C9:H9)</f>
        <v>43</v>
      </c>
      <c r="F6" s="139" cm="1">
        <f t="array" ref="F6">D6-E6</f>
        <v>19</v>
      </c>
      <c r="G6" s="25"/>
      <c r="H6" s="25"/>
      <c r="I6" s="25"/>
      <c r="J6" s="25"/>
      <c r="K6" s="25"/>
      <c r="L6" s="25"/>
      <c r="M6" s="25"/>
      <c r="N6" s="25"/>
    </row>
    <row r="7" ht="30" customHeight="1">
      <c r="A7" t="s" s="138">
        <v>52</v>
      </c>
      <c r="B7" t="s" s="22">
        <v>34</v>
      </c>
      <c r="C7" s="23"/>
      <c r="D7" s="139" cm="1">
        <f t="array" ref="D7">55+36</f>
        <v>91</v>
      </c>
      <c r="E7" s="139" cm="1">
        <f t="array" ref="E7">SUM('Y2027 NPI - PRM (Anna) - 4_13v1'!C10:H10)</f>
        <v>67</v>
      </c>
      <c r="F7" s="139" cm="1">
        <f t="array" ref="F7">D7-E7</f>
        <v>24</v>
      </c>
      <c r="G7" s="25"/>
      <c r="H7" s="25"/>
      <c r="I7" s="25"/>
      <c r="J7" s="25"/>
      <c r="K7" s="25"/>
      <c r="L7" s="25"/>
      <c r="M7" s="25"/>
      <c r="N7" s="25"/>
    </row>
    <row r="8" ht="30" customHeight="1">
      <c r="A8" t="s" s="138">
        <v>52</v>
      </c>
      <c r="B8" t="s" s="22">
        <v>35</v>
      </c>
      <c r="C8" s="23"/>
      <c r="D8" s="139" cm="1">
        <f t="array" ref="D8">40+88+48</f>
        <v>176</v>
      </c>
      <c r="E8" s="139" cm="1">
        <f t="array" ref="E8">SUM('Y2027 NPI - PRM (Anna) - 4_13v1'!C11:H11)</f>
        <v>111</v>
      </c>
      <c r="F8" s="139" cm="1">
        <f t="array" ref="F8">D8-E8</f>
        <v>65</v>
      </c>
      <c r="G8" s="25"/>
      <c r="H8" s="25"/>
      <c r="I8" s="25"/>
      <c r="J8" s="25"/>
      <c r="K8" s="25"/>
      <c r="L8" s="25"/>
      <c r="M8" s="25"/>
      <c r="N8" s="25"/>
    </row>
    <row r="9" ht="30" customHeight="1">
      <c r="A9" t="s" s="138">
        <v>52</v>
      </c>
      <c r="B9" t="s" s="22">
        <v>36</v>
      </c>
      <c r="C9" s="23"/>
      <c r="D9" s="139" cm="1">
        <f t="array" ref="D9">34+21</f>
        <v>55</v>
      </c>
      <c r="E9" s="139" cm="1">
        <f t="array" ref="E9">SUM('Y2027 NPI - PRM (Anna) - 4_13v1'!C12:H12)</f>
        <v>52</v>
      </c>
      <c r="F9" s="139" cm="1">
        <f t="array" ref="F9">D9-E9</f>
        <v>3</v>
      </c>
      <c r="G9" s="25"/>
      <c r="H9" s="25"/>
      <c r="I9" s="25"/>
      <c r="J9" s="25"/>
      <c r="K9" s="25"/>
      <c r="L9" s="25"/>
      <c r="M9" s="25"/>
      <c r="N9" s="25"/>
    </row>
    <row r="10" ht="30" customHeight="1">
      <c r="A10" t="s" s="138">
        <v>52</v>
      </c>
      <c r="B10" t="s" s="22">
        <v>37</v>
      </c>
      <c r="C10" s="23"/>
      <c r="D10" s="139" cm="1">
        <f t="array" ref="D10">13+32</f>
        <v>45</v>
      </c>
      <c r="E10" s="139" cm="1">
        <f t="array" ref="E10">SUM('Y2027 NPI - PRM (Anna) - 4_13v1'!C13:H13)</f>
        <v>38</v>
      </c>
      <c r="F10" s="139" cm="1">
        <f t="array" ref="F10">D10-E10</f>
        <v>7</v>
      </c>
      <c r="G10" s="25"/>
      <c r="H10" s="25"/>
      <c r="I10" s="25"/>
      <c r="J10" s="25"/>
      <c r="K10" s="25"/>
      <c r="L10" s="25"/>
      <c r="M10" s="25"/>
      <c r="N10" s="25"/>
    </row>
    <row r="11" ht="30" customHeight="1">
      <c r="A11" t="s" s="138">
        <v>52</v>
      </c>
      <c r="B11" t="s" s="22">
        <v>349</v>
      </c>
      <c r="C11" s="23"/>
      <c r="D11" s="139">
        <v>13</v>
      </c>
      <c r="E11" s="139" cm="1">
        <f t="array" ref="E11">SUM('Y2027 NPI - PRM (Anna) - 4_13v1'!C14:H14)</f>
        <v>6</v>
      </c>
      <c r="F11" s="139" cm="1">
        <f t="array" ref="F11">D11-E11</f>
        <v>7</v>
      </c>
      <c r="G11" s="25"/>
      <c r="H11" s="25"/>
      <c r="I11" s="25"/>
      <c r="J11" s="25"/>
      <c r="K11" s="25"/>
      <c r="L11" s="25"/>
      <c r="M11" s="25"/>
      <c r="N11" s="25"/>
    </row>
  </sheetData>
  <mergeCells count="10">
    <mergeCell ref="A1:N1"/>
    <mergeCell ref="C3:C11"/>
    <mergeCell ref="G3:G11"/>
    <mergeCell ref="H3:H11"/>
    <mergeCell ref="I3:I11"/>
    <mergeCell ref="J3:J11"/>
    <mergeCell ref="K3:K11"/>
    <mergeCell ref="L3:L11"/>
    <mergeCell ref="M3:M11"/>
    <mergeCell ref="N3:N1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9.xml><?xml version="1.0" encoding="utf-8"?>
<worksheet xmlns:r="http://schemas.openxmlformats.org/officeDocument/2006/relationships" xmlns="http://schemas.openxmlformats.org/spreadsheetml/2006/main">
  <dimension ref="A2:H14"/>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 width="8" style="293" customWidth="1"/>
    <col min="2" max="2" width="18.6172" style="293" customWidth="1"/>
    <col min="3" max="8" width="20.8203" style="293" customWidth="1"/>
    <col min="9" max="16384" width="16.3516" style="293" customWidth="1"/>
  </cols>
  <sheetData>
    <row r="1" ht="28" customHeight="1">
      <c r="A1" t="s" s="29">
        <v>351</v>
      </c>
      <c r="B1" s="29"/>
      <c r="C1" s="29"/>
      <c r="D1" s="29"/>
      <c r="E1" s="29"/>
      <c r="F1" s="29"/>
      <c r="G1" s="29"/>
      <c r="H1" s="29"/>
    </row>
    <row r="2" ht="27.55" customHeight="1">
      <c r="A2" t="s" s="30">
        <v>17</v>
      </c>
      <c r="B2" t="s" s="30">
        <v>41</v>
      </c>
      <c r="C2" t="s" s="30">
        <v>353</v>
      </c>
      <c r="D2" t="s" s="30">
        <v>354</v>
      </c>
      <c r="E2" t="s" s="30">
        <v>355</v>
      </c>
      <c r="F2" t="s" s="30">
        <v>178</v>
      </c>
      <c r="G2" t="s" s="30">
        <v>191</v>
      </c>
      <c r="H2" t="s" s="30">
        <v>144</v>
      </c>
    </row>
    <row r="3" ht="41.3" customHeight="1">
      <c r="A3" t="s" s="143">
        <v>52</v>
      </c>
      <c r="B3" t="s" s="33">
        <v>42</v>
      </c>
      <c r="C3" t="s" s="144">
        <v>356</v>
      </c>
      <c r="D3" t="s" s="145">
        <v>357</v>
      </c>
      <c r="E3" t="s" s="145">
        <v>358</v>
      </c>
      <c r="F3" t="s" s="145">
        <v>359</v>
      </c>
      <c r="G3" t="s" s="145">
        <v>360</v>
      </c>
      <c r="H3" t="s" s="145">
        <v>361</v>
      </c>
    </row>
    <row r="4" ht="52.9" customHeight="1">
      <c r="A4" t="s" s="138">
        <v>52</v>
      </c>
      <c r="B4" t="s" s="22">
        <v>43</v>
      </c>
      <c r="C4" t="s" s="146">
        <v>362</v>
      </c>
      <c r="D4" t="s" s="68">
        <v>363</v>
      </c>
      <c r="E4" t="s" s="68">
        <v>363</v>
      </c>
      <c r="F4" t="s" s="68">
        <v>364</v>
      </c>
      <c r="G4" t="s" s="68">
        <v>365</v>
      </c>
      <c r="H4" t="s" s="68">
        <v>366</v>
      </c>
    </row>
    <row r="5" ht="29.6" customHeight="1">
      <c r="A5" t="s" s="147">
        <v>52</v>
      </c>
      <c r="B5" t="s" s="148">
        <v>367</v>
      </c>
      <c r="C5" s="149" cm="1">
        <f t="array" ref="C5">SUM(C6:C13)</f>
        <v>73</v>
      </c>
      <c r="D5" s="150" cm="1">
        <f t="array" ref="D5">SUM(D6:D13)</f>
        <v>42</v>
      </c>
      <c r="E5" s="150" cm="1">
        <f t="array" ref="E5">SUM(E6:E13)</f>
        <v>59</v>
      </c>
      <c r="F5" s="150" cm="1">
        <f t="array" ref="F5">SUM(F6:F13)</f>
        <v>72</v>
      </c>
      <c r="G5" s="150" cm="1">
        <f t="array" ref="G5">SUM(G6:G13)</f>
        <v>56</v>
      </c>
      <c r="H5" s="150" cm="1">
        <f t="array" ref="H5">SUM(H6:H13)</f>
        <v>172</v>
      </c>
    </row>
    <row r="6" ht="27.55" customHeight="1">
      <c r="A6" t="s" s="143">
        <v>52</v>
      </c>
      <c r="B6" t="s" s="33">
        <v>28</v>
      </c>
      <c r="C6" s="151" cm="1">
        <f t="array" ref="C6">2+5</f>
        <v>7</v>
      </c>
      <c r="D6" s="152">
        <v>2</v>
      </c>
      <c r="E6" s="152" cm="1">
        <f t="array" ref="E6">3+1</f>
        <v>4</v>
      </c>
      <c r="F6" s="152" cm="1">
        <f t="array" ref="F6">7+2</f>
        <v>9</v>
      </c>
      <c r="G6" s="152" cm="1">
        <f t="array" ref="G6">2+2+2</f>
        <v>6</v>
      </c>
      <c r="H6" s="152" cm="1">
        <f t="array" ref="H6">8+4</f>
        <v>12</v>
      </c>
    </row>
    <row r="7" ht="27.55" customHeight="1">
      <c r="A7" t="s" s="138">
        <v>52</v>
      </c>
      <c r="B7" t="s" s="22">
        <v>31</v>
      </c>
      <c r="C7" s="153" cm="1">
        <f t="array" ref="C7">5+7</f>
        <v>12</v>
      </c>
      <c r="D7" s="139">
        <v>5</v>
      </c>
      <c r="E7" s="139" cm="1">
        <f t="array" ref="E7">5+2</f>
        <v>7</v>
      </c>
      <c r="F7" s="139" cm="1">
        <f t="array" ref="F7">5+3</f>
        <v>8</v>
      </c>
      <c r="G7" s="139" cm="1">
        <f t="array" ref="G7">3+2+1</f>
        <v>6</v>
      </c>
      <c r="H7" s="139" cm="1">
        <f t="array" ref="H7">10+13</f>
        <v>23</v>
      </c>
    </row>
    <row r="8" ht="27.55" customHeight="1">
      <c r="A8" t="s" s="138">
        <v>52</v>
      </c>
      <c r="B8" t="s" s="22">
        <v>32</v>
      </c>
      <c r="C8" s="153" cm="1">
        <f t="array" ref="C8">1+10</f>
        <v>11</v>
      </c>
      <c r="D8" s="139">
        <v>8</v>
      </c>
      <c r="E8" s="139" cm="1">
        <f t="array" ref="E8">8+2</f>
        <v>10</v>
      </c>
      <c r="F8" s="139" cm="1">
        <f t="array" ref="F8">8+1</f>
        <v>9</v>
      </c>
      <c r="G8" s="139" cm="1">
        <f t="array" ref="G8">5+1+2</f>
        <v>8</v>
      </c>
      <c r="H8" s="139" cm="1">
        <f t="array" ref="H8">6+10</f>
        <v>16</v>
      </c>
    </row>
    <row r="9" ht="27.55" customHeight="1">
      <c r="A9" t="s" s="138">
        <v>52</v>
      </c>
      <c r="B9" t="s" s="22">
        <v>33</v>
      </c>
      <c r="C9" s="153" cm="1">
        <f t="array" ref="C9">1+6+3</f>
        <v>10</v>
      </c>
      <c r="D9" s="139">
        <v>8</v>
      </c>
      <c r="E9" s="139" cm="1">
        <f t="array" ref="E9">6+2</f>
        <v>8</v>
      </c>
      <c r="F9" s="139" cm="1">
        <f t="array" ref="F9">10+1</f>
        <v>11</v>
      </c>
      <c r="G9" s="139" cm="1">
        <f t="array" ref="G9">3+1</f>
        <v>4</v>
      </c>
      <c r="H9" s="139">
        <v>2</v>
      </c>
    </row>
    <row r="10" ht="27.55" customHeight="1">
      <c r="A10" t="s" s="138">
        <v>52</v>
      </c>
      <c r="B10" t="s" s="22">
        <v>34</v>
      </c>
      <c r="C10" s="153" cm="1">
        <f t="array" ref="C10">4+4</f>
        <v>8</v>
      </c>
      <c r="D10" s="139">
        <v>8</v>
      </c>
      <c r="E10" s="139" cm="1">
        <f t="array" ref="E10">8+1</f>
        <v>9</v>
      </c>
      <c r="F10" s="139" cm="1">
        <f t="array" ref="F10">9+3</f>
        <v>12</v>
      </c>
      <c r="G10" s="139" cm="1">
        <f t="array" ref="G10">3+1+4</f>
        <v>8</v>
      </c>
      <c r="H10" s="139">
        <v>22</v>
      </c>
    </row>
    <row r="11" ht="27.55" customHeight="1">
      <c r="A11" t="s" s="138">
        <v>52</v>
      </c>
      <c r="B11" t="s" s="22">
        <v>35</v>
      </c>
      <c r="C11" s="153">
        <v>14</v>
      </c>
      <c r="D11" s="139">
        <v>5</v>
      </c>
      <c r="E11" s="139">
        <v>8</v>
      </c>
      <c r="F11" s="139">
        <v>12</v>
      </c>
      <c r="G11" s="139">
        <v>15</v>
      </c>
      <c r="H11" s="139" cm="1">
        <f t="array" ref="H11">13+18+18+8</f>
        <v>57</v>
      </c>
    </row>
    <row r="12" ht="27.55" customHeight="1">
      <c r="A12" t="s" s="138">
        <v>52</v>
      </c>
      <c r="B12" t="s" s="22">
        <v>36</v>
      </c>
      <c r="C12" s="153">
        <v>6</v>
      </c>
      <c r="D12" s="139">
        <v>3</v>
      </c>
      <c r="E12" s="139">
        <v>7</v>
      </c>
      <c r="F12" s="139">
        <v>6</v>
      </c>
      <c r="G12" s="139">
        <v>5</v>
      </c>
      <c r="H12" s="139" cm="1">
        <f t="array" ref="H12">6+6+13</f>
        <v>25</v>
      </c>
    </row>
    <row r="13" ht="27.55" customHeight="1">
      <c r="A13" t="s" s="138">
        <v>52</v>
      </c>
      <c r="B13" t="s" s="22">
        <v>37</v>
      </c>
      <c r="C13" s="153">
        <v>5</v>
      </c>
      <c r="D13" s="139">
        <v>3</v>
      </c>
      <c r="E13" s="139">
        <v>6</v>
      </c>
      <c r="F13" s="139">
        <v>5</v>
      </c>
      <c r="G13" s="139">
        <v>4</v>
      </c>
      <c r="H13" s="139" cm="1">
        <f t="array" ref="H13">7+8</f>
        <v>15</v>
      </c>
    </row>
    <row r="14" ht="27.55" customHeight="1">
      <c r="A14" t="s" s="138">
        <v>52</v>
      </c>
      <c r="B14" t="s" s="22">
        <v>349</v>
      </c>
      <c r="C14" s="45"/>
      <c r="D14" s="24"/>
      <c r="E14" s="24"/>
      <c r="F14" s="24"/>
      <c r="G14" s="24"/>
      <c r="H14" s="139">
        <v>6</v>
      </c>
    </row>
  </sheetData>
  <mergeCells count="1">
    <mergeCell ref="A1:H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0.xml><?xml version="1.0" encoding="utf-8"?>
<worksheet xmlns:r="http://schemas.openxmlformats.org/officeDocument/2006/relationships" xmlns="http://schemas.openxmlformats.org/spreadsheetml/2006/main">
  <dimension ref="B3:L11"/>
  <sheetViews>
    <sheetView workbookViewId="0" showGridLines="0" defaultGridColor="1">
      <pane topLeftCell="D4" xSplit="3" ySplit="3" activePane="bottomRight" state="frozen"/>
    </sheetView>
  </sheetViews>
  <sheetFormatPr defaultColWidth="16.3333" defaultRowHeight="19.9" customHeight="1" outlineLevelRow="0" outlineLevelCol="0"/>
  <cols>
    <col min="1" max="1" width="2.53125" style="294" customWidth="1"/>
    <col min="2" max="3" width="10.7969" style="294" customWidth="1"/>
    <col min="4" max="5" width="16.6797" style="294" customWidth="1"/>
    <col min="6" max="7" width="19.1797" style="294" customWidth="1"/>
    <col min="8" max="8" width="16.2266" style="294" customWidth="1"/>
    <col min="9" max="12" width="16.6797" style="294" customWidth="1"/>
    <col min="13" max="16384" width="16.3516" style="294" customWidth="1"/>
  </cols>
  <sheetData>
    <row r="1" ht="13.1" customHeight="1"/>
    <row r="2" ht="28" customHeight="1">
      <c r="B2" t="s" s="29">
        <v>14</v>
      </c>
      <c r="C2" s="29"/>
      <c r="D2" s="29"/>
      <c r="E2" s="29"/>
      <c r="F2" s="29"/>
      <c r="G2" s="29"/>
      <c r="H2" s="29"/>
      <c r="I2" s="29"/>
      <c r="J2" s="29"/>
      <c r="K2" s="29"/>
      <c r="L2" s="29"/>
    </row>
    <row r="3" ht="80" customHeight="1">
      <c r="B3" t="s" s="9">
        <v>17</v>
      </c>
      <c r="C3" t="s" s="9">
        <v>18</v>
      </c>
      <c r="D3" t="s" s="9">
        <v>19</v>
      </c>
      <c r="E3" t="s" s="9">
        <v>20</v>
      </c>
      <c r="F3" t="s" s="9">
        <v>21</v>
      </c>
      <c r="G3" t="s" s="9">
        <v>22</v>
      </c>
      <c r="H3" t="s" s="9">
        <v>1022</v>
      </c>
      <c r="I3" t="s" s="9">
        <v>1023</v>
      </c>
      <c r="J3" t="s" s="9">
        <v>1024</v>
      </c>
      <c r="K3" t="s" s="9">
        <v>1025</v>
      </c>
      <c r="L3" t="s" s="9">
        <v>1026</v>
      </c>
    </row>
    <row r="4" ht="30" customHeight="1">
      <c r="B4" t="s" s="135">
        <v>52</v>
      </c>
      <c r="C4" t="s" s="17">
        <v>28</v>
      </c>
      <c r="D4" s="136" cm="1">
        <f t="array" ref="D4">SUM(F4:F11)/SUM(E4:E11)</f>
        <v>0.6</v>
      </c>
      <c r="E4" s="137" cm="1">
        <f t="array" ref="E4">SUM(F4:G4)</f>
        <v>6</v>
      </c>
      <c r="F4" s="137">
        <v>3</v>
      </c>
      <c r="G4" s="137">
        <v>3</v>
      </c>
      <c r="H4" t="s" s="20">
        <v>1016</v>
      </c>
      <c r="I4" t="s" s="20">
        <v>53</v>
      </c>
      <c r="J4" t="s" s="20">
        <v>53</v>
      </c>
      <c r="K4" t="s" s="20">
        <v>53</v>
      </c>
      <c r="L4" t="s" s="20">
        <v>53</v>
      </c>
    </row>
    <row r="5" ht="30" customHeight="1">
      <c r="B5" t="s" s="138">
        <v>52</v>
      </c>
      <c r="C5" t="s" s="22">
        <v>31</v>
      </c>
      <c r="D5" s="23"/>
      <c r="E5" s="139" cm="1">
        <f t="array" ref="E5">SUM(F5:G5)</f>
        <v>10</v>
      </c>
      <c r="F5" s="139">
        <v>4</v>
      </c>
      <c r="G5" s="139">
        <v>6</v>
      </c>
      <c r="H5" s="25"/>
      <c r="I5" s="25"/>
      <c r="J5" s="25"/>
      <c r="K5" s="25"/>
      <c r="L5" s="25"/>
    </row>
    <row r="6" ht="30" customHeight="1">
      <c r="B6" t="s" s="138">
        <v>52</v>
      </c>
      <c r="C6" t="s" s="22">
        <v>32</v>
      </c>
      <c r="D6" s="23"/>
      <c r="E6" s="139" cm="1">
        <f t="array" ref="E6">SUM(F6:G6)</f>
        <v>10</v>
      </c>
      <c r="F6" s="139">
        <v>4</v>
      </c>
      <c r="G6" s="139">
        <v>6</v>
      </c>
      <c r="H6" s="25"/>
      <c r="I6" s="25"/>
      <c r="J6" s="25"/>
      <c r="K6" s="25"/>
      <c r="L6" s="25"/>
    </row>
    <row r="7" ht="30" customHeight="1">
      <c r="B7" t="s" s="138">
        <v>52</v>
      </c>
      <c r="C7" t="s" s="22">
        <v>33</v>
      </c>
      <c r="D7" s="23"/>
      <c r="E7" s="139" cm="1">
        <f t="array" ref="E7">SUM(F7:G7)</f>
        <v>6</v>
      </c>
      <c r="F7" s="139">
        <v>2</v>
      </c>
      <c r="G7" s="139">
        <v>4</v>
      </c>
      <c r="H7" s="25"/>
      <c r="I7" s="25"/>
      <c r="J7" s="25"/>
      <c r="K7" s="25"/>
      <c r="L7" s="25"/>
    </row>
    <row r="8" ht="30" customHeight="1">
      <c r="B8" t="s" s="138">
        <v>52</v>
      </c>
      <c r="C8" t="s" s="22">
        <v>34</v>
      </c>
      <c r="D8" s="23"/>
      <c r="E8" s="139" cm="1">
        <f t="array" ref="E8">SUM(F8:G8)</f>
        <v>0</v>
      </c>
      <c r="F8" s="139">
        <v>0</v>
      </c>
      <c r="G8" s="139">
        <v>0</v>
      </c>
      <c r="H8" s="25"/>
      <c r="I8" s="25"/>
      <c r="J8" s="25"/>
      <c r="K8" s="25"/>
      <c r="L8" s="25"/>
    </row>
    <row r="9" ht="30" customHeight="1">
      <c r="B9" t="s" s="138">
        <v>52</v>
      </c>
      <c r="C9" t="s" s="22">
        <v>35</v>
      </c>
      <c r="D9" s="23"/>
      <c r="E9" s="139" cm="1">
        <f t="array" ref="E9">SUM(F9:G9)</f>
        <v>35</v>
      </c>
      <c r="F9" s="139">
        <v>25</v>
      </c>
      <c r="G9" s="139">
        <v>10</v>
      </c>
      <c r="H9" s="25"/>
      <c r="I9" s="25"/>
      <c r="J9" s="25"/>
      <c r="K9" s="25"/>
      <c r="L9" s="25"/>
    </row>
    <row r="10" ht="30" customHeight="1">
      <c r="B10" t="s" s="138">
        <v>52</v>
      </c>
      <c r="C10" t="s" s="22">
        <v>36</v>
      </c>
      <c r="D10" s="23"/>
      <c r="E10" s="139" cm="1">
        <f t="array" ref="E10">SUM(F10:G10)</f>
        <v>2</v>
      </c>
      <c r="F10" s="139">
        <v>2</v>
      </c>
      <c r="G10" s="139">
        <v>0</v>
      </c>
      <c r="H10" s="25"/>
      <c r="I10" s="25"/>
      <c r="J10" s="25"/>
      <c r="K10" s="25"/>
      <c r="L10" s="25"/>
    </row>
    <row r="11" ht="30" customHeight="1">
      <c r="B11" t="s" s="138">
        <v>52</v>
      </c>
      <c r="C11" t="s" s="22">
        <v>37</v>
      </c>
      <c r="D11" s="23"/>
      <c r="E11" s="139" cm="1">
        <f t="array" ref="E11">SUM(F11:G11)</f>
        <v>6</v>
      </c>
      <c r="F11" s="139">
        <v>5</v>
      </c>
      <c r="G11" s="139">
        <v>1</v>
      </c>
      <c r="H11" s="25"/>
      <c r="I11" s="25"/>
      <c r="J11" s="25"/>
      <c r="K11" s="25"/>
      <c r="L11" s="25"/>
    </row>
  </sheetData>
  <mergeCells count="7">
    <mergeCell ref="B2:L2"/>
    <mergeCell ref="D4:D11"/>
    <mergeCell ref="H4:H11"/>
    <mergeCell ref="I4:I11"/>
    <mergeCell ref="J4:J11"/>
    <mergeCell ref="K4:K11"/>
    <mergeCell ref="L4:L1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1.xml><?xml version="1.0" encoding="utf-8"?>
<worksheet xmlns:r="http://schemas.openxmlformats.org/officeDocument/2006/relationships" xmlns="http://schemas.openxmlformats.org/spreadsheetml/2006/main">
  <dimension ref="B3:L11"/>
  <sheetViews>
    <sheetView workbookViewId="0" showGridLines="0" defaultGridColor="1">
      <pane topLeftCell="D4" xSplit="3" ySplit="3" activePane="bottomRight" state="frozen"/>
    </sheetView>
  </sheetViews>
  <sheetFormatPr defaultColWidth="16.3333" defaultRowHeight="19.9" customHeight="1" outlineLevelRow="0" outlineLevelCol="0"/>
  <cols>
    <col min="1" max="1" width="2.53125" style="295" customWidth="1"/>
    <col min="2" max="3" width="10.7969" style="295" customWidth="1"/>
    <col min="4" max="5" width="16.6797" style="295" customWidth="1"/>
    <col min="6" max="7" width="19.1797" style="295" customWidth="1"/>
    <col min="8" max="8" width="16.2266" style="295" customWidth="1"/>
    <col min="9" max="12" width="16.6797" style="295" customWidth="1"/>
    <col min="13" max="16384" width="16.3516" style="295" customWidth="1"/>
  </cols>
  <sheetData>
    <row r="1" ht="13.1" customHeight="1"/>
    <row r="2" ht="28" customHeight="1">
      <c r="B2" t="s" s="29">
        <v>14</v>
      </c>
      <c r="C2" s="29"/>
      <c r="D2" s="29"/>
      <c r="E2" s="29"/>
      <c r="F2" s="29"/>
      <c r="G2" s="29"/>
      <c r="H2" s="29"/>
      <c r="I2" s="29"/>
      <c r="J2" s="29"/>
      <c r="K2" s="29"/>
      <c r="L2" s="29"/>
    </row>
    <row r="3" ht="80" customHeight="1">
      <c r="B3" t="s" s="9">
        <v>17</v>
      </c>
      <c r="C3" t="s" s="9">
        <v>18</v>
      </c>
      <c r="D3" t="s" s="9">
        <v>19</v>
      </c>
      <c r="E3" t="s" s="9">
        <v>20</v>
      </c>
      <c r="F3" t="s" s="9">
        <v>21</v>
      </c>
      <c r="G3" t="s" s="9">
        <v>22</v>
      </c>
      <c r="H3" t="s" s="9">
        <v>1022</v>
      </c>
      <c r="I3" t="s" s="9">
        <v>1023</v>
      </c>
      <c r="J3" t="s" s="9">
        <v>1024</v>
      </c>
      <c r="K3" t="s" s="9">
        <v>1025</v>
      </c>
      <c r="L3" t="s" s="9">
        <v>1026</v>
      </c>
    </row>
    <row r="4" ht="30" customHeight="1">
      <c r="B4" t="s" s="135">
        <v>52</v>
      </c>
      <c r="C4" t="s" s="17">
        <v>28</v>
      </c>
      <c r="D4" s="136" cm="1">
        <f t="array" ref="D4">SUM(F4:F11)/SUM(E4:E11)</f>
        <v>0.389277389277389</v>
      </c>
      <c r="E4" s="137" cm="1">
        <f t="array" ref="E4">SUM(F4:G4)</f>
        <v>16</v>
      </c>
      <c r="F4" s="137">
        <v>6</v>
      </c>
      <c r="G4" s="137">
        <v>10</v>
      </c>
      <c r="H4" s="137">
        <v>30</v>
      </c>
      <c r="I4" t="s" s="20">
        <v>1029</v>
      </c>
      <c r="J4" t="s" s="20">
        <v>1029</v>
      </c>
      <c r="K4" t="s" s="20">
        <v>1029</v>
      </c>
      <c r="L4" t="s" s="20">
        <v>1029</v>
      </c>
    </row>
    <row r="5" ht="30" customHeight="1">
      <c r="B5" t="s" s="138">
        <v>52</v>
      </c>
      <c r="C5" t="s" s="22">
        <v>31</v>
      </c>
      <c r="D5" s="23"/>
      <c r="E5" s="139" cm="1">
        <f t="array" ref="E5">SUM(F5:G5)</f>
        <v>62</v>
      </c>
      <c r="F5" s="139">
        <v>31</v>
      </c>
      <c r="G5" s="139">
        <v>31</v>
      </c>
      <c r="H5" s="25"/>
      <c r="I5" s="25"/>
      <c r="J5" s="25"/>
      <c r="K5" s="25"/>
      <c r="L5" s="25"/>
    </row>
    <row r="6" ht="30" customHeight="1">
      <c r="B6" t="s" s="138">
        <v>52</v>
      </c>
      <c r="C6" t="s" s="22">
        <v>32</v>
      </c>
      <c r="D6" s="23"/>
      <c r="E6" s="139" cm="1">
        <f t="array" ref="E6">SUM(F6:G6)</f>
        <v>49</v>
      </c>
      <c r="F6" s="139">
        <v>13</v>
      </c>
      <c r="G6" s="139">
        <v>36</v>
      </c>
      <c r="H6" s="25"/>
      <c r="I6" s="25"/>
      <c r="J6" s="25"/>
      <c r="K6" s="25"/>
      <c r="L6" s="25"/>
    </row>
    <row r="7" ht="30" customHeight="1">
      <c r="B7" t="s" s="138">
        <v>52</v>
      </c>
      <c r="C7" t="s" s="22">
        <v>33</v>
      </c>
      <c r="D7" s="23"/>
      <c r="E7" s="139" cm="1">
        <f t="array" ref="E7">SUM(F7:G7)</f>
        <v>35</v>
      </c>
      <c r="F7" s="139">
        <v>6</v>
      </c>
      <c r="G7" s="139">
        <v>29</v>
      </c>
      <c r="H7" s="25"/>
      <c r="I7" s="25"/>
      <c r="J7" s="25"/>
      <c r="K7" s="25"/>
      <c r="L7" s="25"/>
    </row>
    <row r="8" ht="30" customHeight="1">
      <c r="B8" t="s" s="138">
        <v>52</v>
      </c>
      <c r="C8" t="s" s="22">
        <v>34</v>
      </c>
      <c r="D8" s="23"/>
      <c r="E8" s="139" cm="1">
        <f t="array" ref="E8">SUM(F8:G8)</f>
        <v>8</v>
      </c>
      <c r="F8" s="139">
        <v>3</v>
      </c>
      <c r="G8" s="139">
        <v>5</v>
      </c>
      <c r="H8" s="25"/>
      <c r="I8" s="25"/>
      <c r="J8" s="25"/>
      <c r="K8" s="25"/>
      <c r="L8" s="25"/>
    </row>
    <row r="9" ht="30" customHeight="1">
      <c r="B9" t="s" s="138">
        <v>52</v>
      </c>
      <c r="C9" t="s" s="22">
        <v>35</v>
      </c>
      <c r="D9" s="23"/>
      <c r="E9" s="139" cm="1">
        <f t="array" ref="E9">SUM(F9:G9)</f>
        <v>170</v>
      </c>
      <c r="F9" s="139">
        <v>74</v>
      </c>
      <c r="G9" s="139">
        <v>96</v>
      </c>
      <c r="H9" s="25"/>
      <c r="I9" s="25"/>
      <c r="J9" s="25"/>
      <c r="K9" s="25"/>
      <c r="L9" s="25"/>
    </row>
    <row r="10" ht="30" customHeight="1">
      <c r="B10" t="s" s="138">
        <v>52</v>
      </c>
      <c r="C10" t="s" s="22">
        <v>36</v>
      </c>
      <c r="D10" s="23"/>
      <c r="E10" s="139" cm="1">
        <f t="array" ref="E10">SUM(F10:G10)</f>
        <v>5</v>
      </c>
      <c r="F10" s="139">
        <v>2</v>
      </c>
      <c r="G10" s="139">
        <v>3</v>
      </c>
      <c r="H10" s="25"/>
      <c r="I10" s="25"/>
      <c r="J10" s="25"/>
      <c r="K10" s="25"/>
      <c r="L10" s="25"/>
    </row>
    <row r="11" ht="30" customHeight="1">
      <c r="B11" t="s" s="138">
        <v>52</v>
      </c>
      <c r="C11" t="s" s="22">
        <v>37</v>
      </c>
      <c r="D11" s="23"/>
      <c r="E11" s="139" cm="1">
        <f t="array" ref="E11">SUM(F11:G11)</f>
        <v>84</v>
      </c>
      <c r="F11" s="139">
        <v>32</v>
      </c>
      <c r="G11" s="139">
        <v>52</v>
      </c>
      <c r="H11" s="25"/>
      <c r="I11" s="25"/>
      <c r="J11" s="25"/>
      <c r="K11" s="25"/>
      <c r="L11" s="25"/>
    </row>
  </sheetData>
  <mergeCells count="7">
    <mergeCell ref="B2:L2"/>
    <mergeCell ref="D4:D11"/>
    <mergeCell ref="H4:H11"/>
    <mergeCell ref="I4:I11"/>
    <mergeCell ref="J4:J11"/>
    <mergeCell ref="K4:K11"/>
    <mergeCell ref="L4:L1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2.xml><?xml version="1.0" encoding="utf-8"?>
<worksheet xmlns:r="http://schemas.openxmlformats.org/officeDocument/2006/relationships" xmlns="http://schemas.openxmlformats.org/spreadsheetml/2006/main">
  <sheetPr>
    <pageSetUpPr fitToPage="1"/>
  </sheetPr>
  <dimension ref="B2:K11"/>
  <sheetViews>
    <sheetView workbookViewId="0" showGridLines="0" defaultGridColor="1">
      <pane topLeftCell="C4" xSplit="2" ySplit="3" activePane="bottomRight" state="frozen"/>
    </sheetView>
  </sheetViews>
  <sheetFormatPr defaultColWidth="16.3333" defaultRowHeight="19.9" customHeight="1" outlineLevelRow="0" outlineLevelCol="0"/>
  <cols>
    <col min="1" max="1" width="1.07031" style="296" customWidth="1"/>
    <col min="2" max="2" width="13.3516" style="296" customWidth="1"/>
    <col min="3" max="4" width="24.9375" style="296" customWidth="1"/>
    <col min="5" max="5" width="7.46094" style="296" customWidth="1"/>
    <col min="6" max="6" width="50" style="296" customWidth="1"/>
    <col min="7" max="7" width="53.2266" style="296" customWidth="1"/>
    <col min="8" max="11" width="18.2969" style="296" customWidth="1"/>
    <col min="12" max="16384" width="16.3516" style="296" customWidth="1"/>
  </cols>
  <sheetData>
    <row r="1" ht="34.55" customHeight="1"/>
    <row r="2" ht="33.7" customHeight="1">
      <c r="B2" t="s" s="57">
        <v>67</v>
      </c>
      <c r="C2" s="8"/>
      <c r="D2" s="8"/>
      <c r="E2" t="s" s="58">
        <v>18</v>
      </c>
      <c r="F2" s="8"/>
      <c r="G2" s="8"/>
      <c r="H2" t="s" s="59">
        <v>992</v>
      </c>
      <c r="I2" s="8"/>
      <c r="J2" s="60"/>
      <c r="K2" s="8"/>
    </row>
    <row r="3" ht="80" customHeight="1">
      <c r="B3" t="s" s="9">
        <v>70</v>
      </c>
      <c r="C3" t="s" s="9">
        <v>8</v>
      </c>
      <c r="D3" t="s" s="9">
        <v>993</v>
      </c>
      <c r="E3" t="s" s="9">
        <v>994</v>
      </c>
      <c r="F3" s="48"/>
      <c r="G3" t="s" s="9">
        <v>995</v>
      </c>
      <c r="H3" t="s" s="9">
        <v>72</v>
      </c>
      <c r="I3" t="s" s="9">
        <v>73</v>
      </c>
      <c r="J3" t="s" s="9">
        <v>74</v>
      </c>
      <c r="K3" t="s" s="9">
        <v>75</v>
      </c>
    </row>
    <row r="4" ht="104.05" customHeight="1">
      <c r="B4" t="s" s="17">
        <v>76</v>
      </c>
      <c r="C4" t="s" s="61">
        <v>77</v>
      </c>
      <c r="D4" t="s" s="10">
        <v>1032</v>
      </c>
      <c r="E4" s="297">
        <v>0.8100000000000001</v>
      </c>
      <c r="F4" t="s" s="63">
        <v>79</v>
      </c>
      <c r="G4" t="s" s="10">
        <v>1033</v>
      </c>
      <c r="H4" t="s" s="20">
        <v>1034</v>
      </c>
      <c r="I4" t="s" s="20">
        <v>1034</v>
      </c>
      <c r="J4" t="s" s="20">
        <v>1034</v>
      </c>
      <c r="K4" t="s" s="20">
        <v>1034</v>
      </c>
    </row>
    <row r="5" ht="188.35" customHeight="1">
      <c r="B5" t="s" s="22">
        <v>82</v>
      </c>
      <c r="C5" t="s" s="64">
        <v>83</v>
      </c>
      <c r="D5" t="s" s="298">
        <v>99</v>
      </c>
      <c r="E5" s="299">
        <v>0.51</v>
      </c>
      <c r="F5" t="s" s="67">
        <v>85</v>
      </c>
      <c r="G5" t="s" s="67">
        <v>1035</v>
      </c>
      <c r="H5" t="s" s="68">
        <v>1034</v>
      </c>
      <c r="I5" t="s" s="68">
        <v>1034</v>
      </c>
      <c r="J5" t="s" s="68">
        <v>1034</v>
      </c>
      <c r="K5" t="s" s="68">
        <v>1034</v>
      </c>
    </row>
    <row r="6" ht="212.35" customHeight="1">
      <c r="B6" t="s" s="22">
        <v>87</v>
      </c>
      <c r="C6" t="s" s="64">
        <v>88</v>
      </c>
      <c r="D6" t="s" s="69">
        <v>1036</v>
      </c>
      <c r="E6" s="299">
        <v>0.51</v>
      </c>
      <c r="F6" t="s" s="70">
        <v>90</v>
      </c>
      <c r="G6" t="s" s="67">
        <v>1037</v>
      </c>
      <c r="H6" t="s" s="68">
        <v>1034</v>
      </c>
      <c r="I6" t="s" s="68">
        <v>1034</v>
      </c>
      <c r="J6" t="s" s="68">
        <v>1034</v>
      </c>
      <c r="K6" t="s" s="68">
        <v>1034</v>
      </c>
    </row>
    <row r="7" ht="176.35" customHeight="1">
      <c r="B7" t="s" s="22">
        <v>92</v>
      </c>
      <c r="C7" t="s" s="64">
        <v>93</v>
      </c>
      <c r="D7" t="s" s="69">
        <v>1038</v>
      </c>
      <c r="E7" s="300">
        <v>0.64</v>
      </c>
      <c r="F7" t="s" s="70">
        <v>95</v>
      </c>
      <c r="G7" t="s" s="67">
        <v>1039</v>
      </c>
      <c r="H7" t="s" s="68">
        <v>1034</v>
      </c>
      <c r="I7" t="s" s="68">
        <v>1034</v>
      </c>
      <c r="J7" t="s" s="68">
        <v>1034</v>
      </c>
      <c r="K7" t="s" s="68">
        <v>1040</v>
      </c>
    </row>
    <row r="8" ht="152.35" customHeight="1">
      <c r="B8" t="s" s="22">
        <v>97</v>
      </c>
      <c r="C8" t="s" s="64">
        <v>98</v>
      </c>
      <c r="D8" t="s" s="298">
        <v>99</v>
      </c>
      <c r="E8" s="299">
        <v>0.59</v>
      </c>
      <c r="F8" t="s" s="67">
        <v>100</v>
      </c>
      <c r="G8" t="s" s="67">
        <v>1041</v>
      </c>
      <c r="H8" t="s" s="68">
        <v>1034</v>
      </c>
      <c r="I8" t="s" s="68">
        <v>1034</v>
      </c>
      <c r="J8" t="s" s="68">
        <v>1034</v>
      </c>
      <c r="K8" t="s" s="68">
        <v>1034</v>
      </c>
    </row>
    <row r="9" ht="104.05" customHeight="1">
      <c r="B9" t="s" s="22">
        <v>102</v>
      </c>
      <c r="C9" t="s" s="71">
        <v>103</v>
      </c>
      <c r="D9" t="s" s="298">
        <v>99</v>
      </c>
      <c r="E9" s="299" cm="1">
        <f t="array" ref="E9">'Y2027 NPI - Pantamaster (JS) - '!C3</f>
        <v>0.5390625</v>
      </c>
      <c r="F9" t="s" s="67">
        <v>104</v>
      </c>
      <c r="G9" t="s" s="67">
        <v>1034</v>
      </c>
      <c r="H9" t="s" s="68">
        <v>1034</v>
      </c>
      <c r="I9" t="s" s="68">
        <v>1034</v>
      </c>
      <c r="J9" t="s" s="68">
        <v>1034</v>
      </c>
      <c r="K9" t="s" s="68">
        <v>1034</v>
      </c>
    </row>
    <row r="10" ht="104.05" customHeight="1">
      <c r="B10" t="s" s="22">
        <v>105</v>
      </c>
      <c r="C10" t="s" s="64">
        <v>106</v>
      </c>
      <c r="D10" t="s" s="298">
        <v>99</v>
      </c>
      <c r="E10" s="299">
        <v>0.48</v>
      </c>
      <c r="F10" t="s" s="67">
        <v>107</v>
      </c>
      <c r="G10" t="s" s="67">
        <v>1042</v>
      </c>
      <c r="H10" t="s" s="68">
        <v>1034</v>
      </c>
      <c r="I10" t="s" s="68">
        <v>1034</v>
      </c>
      <c r="J10" t="s" s="68">
        <v>1034</v>
      </c>
      <c r="K10" t="s" s="68">
        <v>1034</v>
      </c>
    </row>
    <row r="11" ht="104.05" customHeight="1">
      <c r="B11" t="s" s="22">
        <v>109</v>
      </c>
      <c r="C11" t="s" s="64">
        <v>110</v>
      </c>
      <c r="D11" t="s" s="298">
        <v>99</v>
      </c>
      <c r="E11" s="299">
        <v>0.16</v>
      </c>
      <c r="F11" t="s" s="67">
        <v>111</v>
      </c>
      <c r="G11" t="s" s="67">
        <v>1034</v>
      </c>
      <c r="H11" t="s" s="68">
        <v>1034</v>
      </c>
      <c r="I11" t="s" s="68">
        <v>1034</v>
      </c>
      <c r="J11" t="s" s="68">
        <v>1034</v>
      </c>
      <c r="K11" t="s" s="68">
        <v>1034</v>
      </c>
    </row>
  </sheetData>
  <mergeCells count="4">
    <mergeCell ref="E2:G2"/>
    <mergeCell ref="B2:D2"/>
    <mergeCell ref="H2:K2"/>
    <mergeCell ref="E3:F3"/>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43.xml><?xml version="1.0" encoding="utf-8"?>
<worksheet xmlns:r="http://schemas.openxmlformats.org/officeDocument/2006/relationships" xmlns="http://schemas.openxmlformats.org/spreadsheetml/2006/main">
  <sheetPr>
    <pageSetUpPr fitToPage="1"/>
  </sheetPr>
  <dimension ref="A2:G1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6.3516" style="301" customWidth="1"/>
    <col min="8" max="16384" width="16.3516" style="301" customWidth="1"/>
  </cols>
  <sheetData>
    <row r="1" ht="27.65" customHeight="1">
      <c r="A1" t="s" s="47">
        <v>1044</v>
      </c>
      <c r="B1" s="47"/>
      <c r="C1" s="47"/>
      <c r="D1" s="47"/>
      <c r="E1" s="47"/>
      <c r="F1" s="47"/>
      <c r="G1" s="47"/>
    </row>
    <row r="2" ht="32.25" customHeight="1">
      <c r="A2" t="s" s="49">
        <v>132</v>
      </c>
      <c r="B2" t="s" s="49">
        <v>1046</v>
      </c>
      <c r="C2" t="s" s="49">
        <v>1047</v>
      </c>
      <c r="D2" t="s" s="49">
        <v>1048</v>
      </c>
      <c r="E2" t="s" s="49">
        <v>1049</v>
      </c>
      <c r="F2" t="s" s="49">
        <v>1050</v>
      </c>
      <c r="G2" t="s" s="49">
        <v>1051</v>
      </c>
    </row>
    <row r="3" ht="20.25" customHeight="1">
      <c r="A3" t="s" s="50">
        <v>56</v>
      </c>
      <c r="B3" t="s" s="88">
        <v>53</v>
      </c>
      <c r="C3" s="52"/>
      <c r="D3" s="52"/>
      <c r="E3" s="52"/>
      <c r="F3" s="52"/>
      <c r="G3" s="52"/>
    </row>
    <row r="4" ht="20.05" customHeight="1">
      <c r="A4" t="s" s="53">
        <v>151</v>
      </c>
      <c r="B4" t="s" s="54">
        <v>53</v>
      </c>
      <c r="C4" s="25"/>
      <c r="D4" s="25"/>
      <c r="E4" s="25"/>
      <c r="F4" s="25"/>
      <c r="G4" s="25"/>
    </row>
    <row r="5" ht="20.05" customHeight="1">
      <c r="A5" t="s" s="53">
        <v>51</v>
      </c>
      <c r="B5" t="s" s="54">
        <v>53</v>
      </c>
      <c r="C5" s="25"/>
      <c r="D5" s="25"/>
      <c r="E5" s="25"/>
      <c r="F5" s="25"/>
      <c r="G5" s="25"/>
    </row>
    <row r="6" ht="20.05" customHeight="1">
      <c r="A6" t="s" s="53">
        <v>154</v>
      </c>
      <c r="B6" s="23"/>
      <c r="C6" s="25"/>
      <c r="D6" s="25"/>
      <c r="E6" s="25"/>
      <c r="F6" s="25"/>
      <c r="G6" s="25"/>
    </row>
    <row r="7" ht="20.05" customHeight="1">
      <c r="A7" t="s" s="53">
        <v>60</v>
      </c>
      <c r="B7" s="23"/>
      <c r="C7" s="25"/>
      <c r="D7" s="25"/>
      <c r="E7" s="25"/>
      <c r="F7" s="25"/>
      <c r="G7" s="25"/>
    </row>
    <row r="8" ht="20.05" customHeight="1">
      <c r="A8" t="s" s="53">
        <v>52</v>
      </c>
      <c r="B8" s="23"/>
      <c r="C8" s="25"/>
      <c r="D8" s="25"/>
      <c r="E8" s="25"/>
      <c r="F8" s="25"/>
      <c r="G8" s="25"/>
    </row>
    <row r="9" ht="20.05" customHeight="1">
      <c r="A9" t="s" s="53">
        <v>1052</v>
      </c>
      <c r="B9" s="23"/>
      <c r="C9" s="25"/>
      <c r="D9" s="25"/>
      <c r="E9" s="25"/>
      <c r="F9" s="25"/>
      <c r="G9" s="25"/>
    </row>
    <row r="10" ht="20.05" customHeight="1">
      <c r="A10" t="s" s="53">
        <v>1053</v>
      </c>
      <c r="B10" s="23"/>
      <c r="C10" s="25"/>
      <c r="D10" s="25"/>
      <c r="E10" s="25"/>
      <c r="F10" s="25"/>
      <c r="G10" s="25"/>
    </row>
    <row r="11" ht="20.05" customHeight="1">
      <c r="A11" t="s" s="53">
        <v>64</v>
      </c>
      <c r="B11" s="23"/>
      <c r="C11" s="25"/>
      <c r="D11" s="25"/>
      <c r="E11" s="25"/>
      <c r="F11" s="25"/>
      <c r="G11" s="25"/>
    </row>
    <row r="12" ht="20.05" customHeight="1">
      <c r="A12" t="s" s="53">
        <v>167</v>
      </c>
      <c r="B12" s="23"/>
      <c r="C12" s="25"/>
      <c r="D12" s="25"/>
      <c r="E12" s="25"/>
      <c r="F12" s="25"/>
      <c r="G12" s="25"/>
    </row>
    <row r="13" ht="56.05" customHeight="1">
      <c r="A13" t="s" s="53">
        <v>1054</v>
      </c>
      <c r="B13" t="s" s="54">
        <v>1055</v>
      </c>
      <c r="C13" t="s" s="55">
        <v>1056</v>
      </c>
      <c r="D13" t="s" s="55">
        <v>1057</v>
      </c>
      <c r="E13" t="s" s="55">
        <v>1058</v>
      </c>
      <c r="F13" s="25"/>
      <c r="G13" s="25"/>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