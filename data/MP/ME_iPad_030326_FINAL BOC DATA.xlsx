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mitkoppalkar/Desktop/Team Files/Ayush /"/>
    </mc:Choice>
  </mc:AlternateContent>
  <xr:revisionPtr revIDLastSave="0" documentId="13_ncr:1_{680B79AD-3179-2F42-B650-DACC91D18ED1}" xr6:coauthVersionLast="47" xr6:coauthVersionMax="47" xr10:uidLastSave="{00000000-0000-0000-0000-000000000000}"/>
  <bookViews>
    <workbookView xWindow="40500" yWindow="2380" windowWidth="28800" windowHeight="17400" activeTab="1" xr2:uid="{6A3D45A9-B9DC-F94F-AD5A-96907F36EBF1}"/>
  </bookViews>
  <sheets>
    <sheet name="Index" sheetId="43" r:id="rId1"/>
    <sheet name="ME" sheetId="1" r:id="rId2"/>
  </sheets>
  <definedNames>
    <definedName name="_xlnm._FilterDatabase" localSheetId="1" hidden="1">ME!$A$1:$AL$1067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A127" i="1"/>
  <c r="AB127" i="1" s="1"/>
  <c r="AA128" i="1"/>
  <c r="AB128" i="1" s="1"/>
  <c r="AA129" i="1"/>
  <c r="AB129" i="1" s="1"/>
  <c r="AA130" i="1"/>
  <c r="AB130" i="1" s="1"/>
  <c r="AA131" i="1"/>
  <c r="AA132" i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A154" i="1"/>
  <c r="AA155" i="1"/>
  <c r="AA156" i="1"/>
  <c r="AA157" i="1"/>
  <c r="AB157" i="1" s="1"/>
  <c r="AA158" i="1"/>
  <c r="AA159" i="1"/>
  <c r="AA160" i="1"/>
  <c r="AA161" i="1"/>
  <c r="AA162" i="1"/>
  <c r="AA163" i="1"/>
  <c r="AA164" i="1"/>
  <c r="AA165" i="1"/>
  <c r="AA166" i="1"/>
  <c r="AA167" i="1"/>
  <c r="AB167" i="1" s="1"/>
  <c r="AA168" i="1"/>
  <c r="AA169" i="1"/>
  <c r="AA170" i="1"/>
  <c r="AA171" i="1"/>
  <c r="AA172" i="1"/>
  <c r="AA173" i="1"/>
  <c r="AB173" i="1" s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B234" i="1" s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B247" i="1" s="1"/>
  <c r="AA248" i="1"/>
  <c r="AB248" i="1" s="1"/>
  <c r="AA249" i="1"/>
  <c r="AB249" i="1" s="1"/>
  <c r="AA250" i="1"/>
  <c r="AB250" i="1" s="1"/>
  <c r="AA251" i="1"/>
  <c r="AA252" i="1"/>
  <c r="AA253" i="1"/>
  <c r="AA254" i="1"/>
  <c r="AA255" i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B541" i="1" s="1"/>
  <c r="AA542" i="1"/>
  <c r="AB542" i="1" s="1"/>
  <c r="AA543" i="1"/>
  <c r="AB543" i="1" s="1"/>
  <c r="AA544" i="1"/>
  <c r="AA545" i="1"/>
  <c r="AB545" i="1" s="1"/>
  <c r="AA546" i="1"/>
  <c r="AB546" i="1" s="1"/>
  <c r="AA547" i="1"/>
  <c r="AA548" i="1"/>
  <c r="AA549" i="1"/>
  <c r="AA550" i="1"/>
  <c r="AA551" i="1"/>
  <c r="AA552" i="1"/>
  <c r="AA553" i="1"/>
  <c r="AB553" i="1" s="1"/>
  <c r="AA554" i="1"/>
  <c r="AB554" i="1" s="1"/>
  <c r="AA555" i="1"/>
  <c r="AB555" i="1" s="1"/>
  <c r="AA556" i="1"/>
  <c r="AA557" i="1"/>
  <c r="AA558" i="1"/>
  <c r="AA559" i="1"/>
  <c r="AA560" i="1"/>
  <c r="AB560" i="1" s="1"/>
  <c r="AA561" i="1"/>
  <c r="AB561" i="1" s="1"/>
  <c r="AA562" i="1"/>
  <c r="AA563" i="1"/>
  <c r="AA564" i="1"/>
  <c r="AB564" i="1" s="1"/>
  <c r="AA565" i="1"/>
  <c r="AB565" i="1" s="1"/>
  <c r="AA566" i="1"/>
  <c r="AA567" i="1"/>
  <c r="AA568" i="1"/>
  <c r="AA569" i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B587" i="1" s="1"/>
  <c r="AA588" i="1"/>
  <c r="AB588" i="1" s="1"/>
  <c r="AA589" i="1"/>
  <c r="AA590" i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A598" i="1"/>
  <c r="AA599" i="1"/>
  <c r="AA600" i="1"/>
  <c r="AA601" i="1"/>
  <c r="AB601" i="1" s="1"/>
  <c r="AA602" i="1"/>
  <c r="AB602" i="1" s="1"/>
  <c r="AA603" i="1"/>
  <c r="AA604" i="1"/>
  <c r="AA605" i="1"/>
  <c r="AB605" i="1" s="1"/>
  <c r="AA606" i="1"/>
  <c r="AB606" i="1" s="1"/>
  <c r="AA607" i="1"/>
  <c r="AA608" i="1"/>
  <c r="AA609" i="1"/>
  <c r="AA610" i="1"/>
  <c r="AA611" i="1"/>
  <c r="AA612" i="1"/>
  <c r="AA613" i="1"/>
  <c r="AB613" i="1" s="1"/>
  <c r="AA614" i="1"/>
  <c r="AB614" i="1" s="1"/>
  <c r="AA615" i="1"/>
  <c r="AA616" i="1"/>
  <c r="AA617" i="1"/>
  <c r="AA618" i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B844" i="1" s="1"/>
  <c r="AA845" i="1"/>
  <c r="AB845" i="1" s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B888" i="1" s="1"/>
  <c r="AA889" i="1"/>
  <c r="AB889" i="1" s="1"/>
  <c r="AA890" i="1"/>
  <c r="AA891" i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A899" i="1"/>
  <c r="AB899" i="1" s="1"/>
  <c r="AA900" i="1"/>
  <c r="AB900" i="1" s="1"/>
  <c r="AA901" i="1"/>
  <c r="AB901" i="1" s="1"/>
  <c r="AA902" i="1"/>
  <c r="AA903" i="1"/>
  <c r="AA904" i="1"/>
  <c r="AB904" i="1" s="1"/>
  <c r="AA905" i="1"/>
  <c r="AA906" i="1"/>
  <c r="AB906" i="1" s="1"/>
  <c r="AA907" i="1"/>
  <c r="AB907" i="1" s="1"/>
  <c r="AA908" i="1"/>
  <c r="AB908" i="1" s="1"/>
  <c r="AA909" i="1"/>
  <c r="AB909" i="1" s="1"/>
  <c r="AA910" i="1"/>
  <c r="AA911" i="1"/>
  <c r="AA912" i="1"/>
  <c r="AB912" i="1" s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A935" i="1"/>
  <c r="AA936" i="1"/>
  <c r="AB936" i="1" s="1"/>
  <c r="AA937" i="1"/>
  <c r="AB937" i="1" s="1"/>
  <c r="AA938" i="1"/>
  <c r="AB938" i="1" s="1"/>
  <c r="AA939" i="1"/>
  <c r="AB939" i="1" s="1"/>
  <c r="AA940" i="1"/>
  <c r="AA941" i="1"/>
  <c r="AA942" i="1"/>
  <c r="AA943" i="1"/>
  <c r="AA944" i="1"/>
  <c r="AA945" i="1"/>
  <c r="AA946" i="1"/>
  <c r="AB946" i="1" s="1"/>
  <c r="AA947" i="1"/>
  <c r="AA948" i="1"/>
  <c r="AA949" i="1"/>
  <c r="AA950" i="1"/>
  <c r="AA951" i="1"/>
  <c r="AA952" i="1"/>
  <c r="AA953" i="1"/>
  <c r="AA954" i="1"/>
  <c r="AA955" i="1"/>
  <c r="AA956" i="1"/>
  <c r="AB956" i="1" s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AB1067" i="1" l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5" i="1"/>
  <c r="AB954" i="1"/>
  <c r="AB953" i="1"/>
  <c r="AB952" i="1"/>
  <c r="AB951" i="1"/>
  <c r="AB950" i="1"/>
  <c r="AB949" i="1"/>
  <c r="AB948" i="1"/>
  <c r="AB947" i="1"/>
  <c r="AB945" i="1"/>
  <c r="AB944" i="1"/>
  <c r="AB943" i="1"/>
  <c r="AB942" i="1"/>
  <c r="AB941" i="1"/>
  <c r="AB940" i="1"/>
  <c r="AB935" i="1"/>
  <c r="AB934" i="1"/>
  <c r="AB922" i="1"/>
  <c r="AB911" i="1"/>
  <c r="AB910" i="1"/>
  <c r="AB905" i="1"/>
  <c r="AB903" i="1"/>
  <c r="AB902" i="1"/>
  <c r="AB898" i="1"/>
  <c r="AB891" i="1"/>
  <c r="AB890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3" i="1"/>
  <c r="AB822" i="1"/>
  <c r="AB821" i="1"/>
  <c r="AB820" i="1"/>
  <c r="AB819" i="1"/>
  <c r="AB818" i="1"/>
  <c r="AB817" i="1"/>
  <c r="AB815" i="1"/>
  <c r="AB814" i="1"/>
  <c r="AB813" i="1"/>
  <c r="AB812" i="1"/>
  <c r="AB811" i="1"/>
  <c r="AB810" i="1"/>
  <c r="AB809" i="1"/>
  <c r="AB808" i="1"/>
  <c r="AB807" i="1"/>
  <c r="AB806" i="1"/>
  <c r="AB804" i="1"/>
  <c r="AB803" i="1"/>
  <c r="AB802" i="1"/>
  <c r="AB801" i="1"/>
  <c r="AB800" i="1"/>
  <c r="AB799" i="1"/>
  <c r="AB798" i="1"/>
  <c r="AB797" i="1"/>
  <c r="AB796" i="1"/>
  <c r="AB795" i="1"/>
  <c r="AB794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18" i="1"/>
  <c r="AB617" i="1"/>
  <c r="AM616" i="1"/>
  <c r="AB616" i="1"/>
  <c r="AM615" i="1"/>
  <c r="AB615" i="1"/>
  <c r="AM612" i="1"/>
  <c r="AB612" i="1"/>
  <c r="AM611" i="1"/>
  <c r="AB611" i="1"/>
  <c r="AM610" i="1"/>
  <c r="AB610" i="1"/>
  <c r="AM609" i="1"/>
  <c r="AB609" i="1"/>
  <c r="AM608" i="1"/>
  <c r="AB608" i="1"/>
  <c r="AM607" i="1"/>
  <c r="AB607" i="1"/>
  <c r="AB604" i="1"/>
  <c r="AB603" i="1"/>
  <c r="AB600" i="1"/>
  <c r="AB599" i="1"/>
  <c r="AB598" i="1"/>
  <c r="AB597" i="1"/>
  <c r="AB590" i="1"/>
  <c r="AB589" i="1"/>
  <c r="AM586" i="1"/>
  <c r="AB586" i="1"/>
  <c r="AM585" i="1"/>
  <c r="AB585" i="1"/>
  <c r="AM584" i="1"/>
  <c r="AB584" i="1"/>
  <c r="AM583" i="1"/>
  <c r="AB583" i="1"/>
  <c r="AM582" i="1"/>
  <c r="AB582" i="1"/>
  <c r="AM581" i="1"/>
  <c r="AB581" i="1"/>
  <c r="AM580" i="1"/>
  <c r="AB580" i="1"/>
  <c r="AM579" i="1"/>
  <c r="AB579" i="1"/>
  <c r="AM578" i="1"/>
  <c r="AB578" i="1"/>
  <c r="AM577" i="1"/>
  <c r="AB577" i="1"/>
  <c r="AM576" i="1"/>
  <c r="AB576" i="1"/>
  <c r="AM575" i="1"/>
  <c r="AB575" i="1"/>
  <c r="AM569" i="1"/>
  <c r="AB569" i="1"/>
  <c r="AM568" i="1"/>
  <c r="AB568" i="1"/>
  <c r="AM567" i="1"/>
  <c r="AB567" i="1"/>
  <c r="AM566" i="1"/>
  <c r="AB566" i="1"/>
  <c r="AB563" i="1"/>
  <c r="AB562" i="1"/>
  <c r="AB559" i="1"/>
  <c r="AB558" i="1"/>
  <c r="AM557" i="1"/>
  <c r="AB557" i="1"/>
  <c r="AM556" i="1"/>
  <c r="AB556" i="1"/>
  <c r="AM552" i="1"/>
  <c r="AB552" i="1"/>
  <c r="AM551" i="1"/>
  <c r="AB551" i="1"/>
  <c r="AM550" i="1"/>
  <c r="AB550" i="1"/>
  <c r="AM549" i="1"/>
  <c r="AB549" i="1"/>
  <c r="AM548" i="1"/>
  <c r="AB548" i="1"/>
  <c r="AM547" i="1"/>
  <c r="AB547" i="1"/>
  <c r="AB544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M523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M411" i="1"/>
  <c r="AB411" i="1"/>
  <c r="AM410" i="1"/>
  <c r="AB410" i="1"/>
  <c r="AM409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M342" i="1"/>
  <c r="AB342" i="1"/>
  <c r="AM341" i="1"/>
  <c r="AB341" i="1"/>
  <c r="AM340" i="1"/>
  <c r="AB340" i="1"/>
  <c r="AM339" i="1"/>
  <c r="AB339" i="1"/>
  <c r="AM338" i="1"/>
  <c r="AB338" i="1"/>
  <c r="AM337" i="1"/>
  <c r="AB337" i="1"/>
  <c r="AB336" i="1"/>
  <c r="AB335" i="1"/>
  <c r="AB334" i="1"/>
  <c r="AB333" i="1"/>
  <c r="AB332" i="1"/>
  <c r="AB331" i="1"/>
  <c r="AM330" i="1"/>
  <c r="AB330" i="1"/>
  <c r="AM329" i="1"/>
  <c r="AB329" i="1"/>
  <c r="AM328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M300" i="1"/>
  <c r="AB300" i="1"/>
  <c r="AM299" i="1"/>
  <c r="AB299" i="1"/>
  <c r="AM298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M285" i="1"/>
  <c r="AB285" i="1"/>
  <c r="AM284" i="1"/>
  <c r="AB284" i="1"/>
  <c r="AM283" i="1"/>
  <c r="AB283" i="1"/>
  <c r="AM282" i="1"/>
  <c r="AB282" i="1"/>
  <c r="AM281" i="1"/>
  <c r="AB281" i="1"/>
  <c r="AM280" i="1"/>
  <c r="AB280" i="1"/>
  <c r="AB279" i="1"/>
  <c r="AB278" i="1"/>
  <c r="AB277" i="1"/>
  <c r="AM276" i="1"/>
  <c r="AB276" i="1"/>
  <c r="AM275" i="1"/>
  <c r="AB275" i="1"/>
  <c r="AM274" i="1"/>
  <c r="AB274" i="1"/>
  <c r="AM273" i="1"/>
  <c r="AB273" i="1"/>
  <c r="AM272" i="1"/>
  <c r="AB272" i="1"/>
  <c r="AM271" i="1"/>
  <c r="AB271" i="1"/>
  <c r="AM270" i="1"/>
  <c r="AB270" i="1"/>
  <c r="AM269" i="1"/>
  <c r="AB269" i="1"/>
  <c r="AM268" i="1"/>
  <c r="AB268" i="1"/>
  <c r="AM267" i="1"/>
  <c r="AB267" i="1"/>
  <c r="AM266" i="1"/>
  <c r="AB266" i="1"/>
  <c r="AM265" i="1"/>
  <c r="AB265" i="1"/>
  <c r="AB264" i="1"/>
  <c r="AM255" i="1"/>
  <c r="AB255" i="1"/>
  <c r="AM254" i="1"/>
  <c r="AB254" i="1"/>
  <c r="AM253" i="1"/>
  <c r="AB253" i="1"/>
  <c r="AM252" i="1"/>
  <c r="AB252" i="1"/>
  <c r="AM251" i="1"/>
  <c r="AB251" i="1"/>
  <c r="AB246" i="1"/>
  <c r="AB245" i="1"/>
  <c r="AM244" i="1"/>
  <c r="AB244" i="1"/>
  <c r="AM243" i="1"/>
  <c r="AB243" i="1"/>
  <c r="AM242" i="1"/>
  <c r="AB242" i="1"/>
  <c r="AM241" i="1"/>
  <c r="AB241" i="1"/>
  <c r="AM240" i="1"/>
  <c r="AB240" i="1"/>
  <c r="AM239" i="1"/>
  <c r="AB239" i="1"/>
  <c r="AM238" i="1"/>
  <c r="AB238" i="1"/>
  <c r="AM237" i="1"/>
  <c r="AB237" i="1"/>
  <c r="AM236" i="1"/>
  <c r="AB236" i="1"/>
  <c r="AM235" i="1"/>
  <c r="AB235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2" i="1"/>
  <c r="AB171" i="1"/>
  <c r="AB170" i="1"/>
  <c r="AB169" i="1"/>
  <c r="AB168" i="1"/>
  <c r="AB166" i="1"/>
  <c r="AB165" i="1"/>
  <c r="AB164" i="1"/>
  <c r="AB163" i="1"/>
  <c r="AB162" i="1"/>
  <c r="AB161" i="1"/>
  <c r="AB160" i="1"/>
  <c r="AB159" i="1"/>
  <c r="AB158" i="1"/>
  <c r="AB156" i="1"/>
  <c r="AB155" i="1"/>
  <c r="AB154" i="1"/>
  <c r="AB153" i="1"/>
  <c r="AB132" i="1"/>
  <c r="AB131" i="1"/>
  <c r="AB126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M53" i="1"/>
  <c r="AB53" i="1"/>
  <c r="AM52" i="1"/>
  <c r="AB52" i="1"/>
  <c r="AM51" i="1"/>
  <c r="AB51" i="1"/>
  <c r="AM50" i="1"/>
  <c r="AB50" i="1"/>
  <c r="AM49" i="1"/>
  <c r="AB49" i="1"/>
  <c r="AM48" i="1"/>
  <c r="AB48" i="1"/>
  <c r="AM47" i="1"/>
  <c r="AB47" i="1"/>
  <c r="AM46" i="1"/>
  <c r="AB46" i="1"/>
  <c r="AM45" i="1"/>
  <c r="AB45" i="1"/>
  <c r="AM44" i="1"/>
  <c r="AB44" i="1"/>
  <c r="AM43" i="1"/>
  <c r="AB43" i="1"/>
  <c r="AM42" i="1"/>
  <c r="AB42" i="1"/>
  <c r="AM41" i="1"/>
  <c r="AB41" i="1"/>
  <c r="AM40" i="1"/>
  <c r="AB40" i="1"/>
  <c r="AM39" i="1"/>
  <c r="AB39" i="1"/>
  <c r="AM38" i="1"/>
  <c r="AB38" i="1"/>
  <c r="AM37" i="1"/>
  <c r="AB37" i="1"/>
  <c r="AM36" i="1"/>
  <c r="AB36" i="1"/>
  <c r="AM35" i="1"/>
  <c r="AB35" i="1"/>
  <c r="AM34" i="1"/>
  <c r="AB34" i="1"/>
  <c r="AM33" i="1"/>
  <c r="AB33" i="1"/>
  <c r="AM32" i="1"/>
  <c r="AB32" i="1"/>
  <c r="AM31" i="1"/>
  <c r="AB31" i="1"/>
  <c r="AM30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M15" i="1"/>
  <c r="AB15" i="1"/>
  <c r="AM14" i="1"/>
  <c r="AB14" i="1"/>
  <c r="AM13" i="1"/>
  <c r="AB13" i="1"/>
  <c r="AM12" i="1"/>
  <c r="AB12" i="1"/>
  <c r="AM11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<sst xmlns="http://schemas.openxmlformats.org/spreadsheetml/2006/main" count="13371" uniqueCount="1368">
  <si>
    <t>Supplier</t>
  </si>
  <si>
    <t>Category</t>
  </si>
  <si>
    <t>Program</t>
  </si>
  <si>
    <t>Retrofit Program</t>
  </si>
  <si>
    <t>Retrofit Vintage</t>
  </si>
  <si>
    <t>GSM DRI</t>
  </si>
  <si>
    <t>APO GSM</t>
  </si>
  <si>
    <t>CM Site</t>
  </si>
  <si>
    <t>Location</t>
  </si>
  <si>
    <t>SHENZHEN HENGLITIAN TECHNOLOGY CO.,LTD</t>
  </si>
  <si>
    <t>China</t>
  </si>
  <si>
    <t>V64</t>
  </si>
  <si>
    <t>NA</t>
  </si>
  <si>
    <t>Ryan Hubbert</t>
  </si>
  <si>
    <t>N</t>
  </si>
  <si>
    <t>LXSZ</t>
  </si>
  <si>
    <t>CN</t>
  </si>
  <si>
    <t>CHENGDU INNOREV INDUSTRIAL CO., LTD.</t>
  </si>
  <si>
    <t>V68</t>
  </si>
  <si>
    <t>V54</t>
  </si>
  <si>
    <t>N-1</t>
  </si>
  <si>
    <t>Bowman Browne Jr</t>
  </si>
  <si>
    <t>FXZZ</t>
  </si>
  <si>
    <t>CENCORP (ZHUHAI) INDUSTRIAL TECHNOLOGY CO., LTD.</t>
  </si>
  <si>
    <t>V63</t>
  </si>
  <si>
    <t>V53</t>
  </si>
  <si>
    <t>Bella Canova</t>
  </si>
  <si>
    <t>LXKU</t>
  </si>
  <si>
    <t>HANGZHOU AMPHENOL PHOENIX TELECOM PARTS CO., LTD</t>
  </si>
  <si>
    <t>Global</t>
  </si>
  <si>
    <t>B868</t>
  </si>
  <si>
    <t>B768</t>
  </si>
  <si>
    <t>Tyler Worley</t>
  </si>
  <si>
    <t>VN</t>
  </si>
  <si>
    <t>TESCOM</t>
  </si>
  <si>
    <t>N237</t>
  </si>
  <si>
    <t>D93</t>
  </si>
  <si>
    <t>N-2</t>
  </si>
  <si>
    <t>Hemik Parikh</t>
  </si>
  <si>
    <t>FXCN</t>
  </si>
  <si>
    <t>IN</t>
  </si>
  <si>
    <t>P&amp;R MEASUREMENT TECHNOLOGY CO.,LTD.</t>
  </si>
  <si>
    <t>B001</t>
  </si>
  <si>
    <t>D48</t>
  </si>
  <si>
    <t>Nellie Tanguay</t>
  </si>
  <si>
    <t>TEHR</t>
  </si>
  <si>
    <t>HYVISION SYSTEM INC.</t>
  </si>
  <si>
    <t>B529</t>
  </si>
  <si>
    <t>D94</t>
  </si>
  <si>
    <t>Rick Deng</t>
  </si>
  <si>
    <t>Y</t>
  </si>
  <si>
    <t>FXGL</t>
  </si>
  <si>
    <t>INTELLIGENT AUTOMATION (ZHUHAI) CO., LTD.</t>
  </si>
  <si>
    <t>N23x</t>
  </si>
  <si>
    <t>Junwen Deng</t>
  </si>
  <si>
    <t>Vietnam</t>
  </si>
  <si>
    <t>TRANTEST ENTERPRISES LIMITED</t>
  </si>
  <si>
    <t>K11p</t>
  </si>
  <si>
    <t>V57</t>
  </si>
  <si>
    <t>Hanwei wang</t>
  </si>
  <si>
    <t>LXKJ</t>
  </si>
  <si>
    <t>ANORA</t>
  </si>
  <si>
    <t>India</t>
  </si>
  <si>
    <t>N240</t>
  </si>
  <si>
    <t>D47</t>
  </si>
  <si>
    <t>Gilberto</t>
  </si>
  <si>
    <t>BYLG</t>
  </si>
  <si>
    <t>JLK TECHNOLOGY PTE. LTD.</t>
  </si>
  <si>
    <t>J510</t>
  </si>
  <si>
    <t>N22x</t>
  </si>
  <si>
    <t>Thanmayee Maddipati</t>
  </si>
  <si>
    <t>JIANGSU LIANKANG INFO CO., LTD.</t>
  </si>
  <si>
    <t>K114</t>
  </si>
  <si>
    <t>B698</t>
  </si>
  <si>
    <t>Jessie Wang</t>
  </si>
  <si>
    <t>ITVY</t>
  </si>
  <si>
    <t>SHENZHEN STRONG TECHNOLOGY CO., LTD.</t>
  </si>
  <si>
    <t>K116</t>
  </si>
  <si>
    <t>N230</t>
  </si>
  <si>
    <t>Anna Zhou</t>
  </si>
  <si>
    <t>ITJS</t>
  </si>
  <si>
    <t>SFO TECHNOLOGIES PRIVATE LIMITED</t>
  </si>
  <si>
    <t>B735</t>
  </si>
  <si>
    <t>J614</t>
  </si>
  <si>
    <t>Elle Wang</t>
  </si>
  <si>
    <t>GPW</t>
  </si>
  <si>
    <t>ZHUHAI BOJAY ELECTRONICS CO., LTD</t>
  </si>
  <si>
    <t>J616</t>
  </si>
  <si>
    <t>Daniel Savaya</t>
  </si>
  <si>
    <t>ITBG</t>
  </si>
  <si>
    <t>VVDN TECHNOLOGIES PVT LTD</t>
  </si>
  <si>
    <t>D37</t>
  </si>
  <si>
    <t>&gt;=N-3</t>
  </si>
  <si>
    <t>QSMC</t>
  </si>
  <si>
    <t>ACCURATE GAUGING &amp; INSTRUMENTS PVT LTD.</t>
  </si>
  <si>
    <t>J514</t>
  </si>
  <si>
    <t>USI VN</t>
  </si>
  <si>
    <t>SHENZHEN IN-CUBE AUTOMATION CO., LTD.</t>
  </si>
  <si>
    <t>N227</t>
  </si>
  <si>
    <t>QCMT</t>
  </si>
  <si>
    <t>SUZHOU HYC.OLYTO AUTOMATION TECHNOLOGY CO., LTD.</t>
  </si>
  <si>
    <t>D63</t>
  </si>
  <si>
    <t>HONGKONG EAST-WIN INTERNATIONAL</t>
  </si>
  <si>
    <t>J504</t>
  </si>
  <si>
    <t>HHCD</t>
  </si>
  <si>
    <t>SUZHOU SET SAIL ELECTRONICS CO., LTD</t>
  </si>
  <si>
    <t>D74</t>
  </si>
  <si>
    <t>PGMD</t>
  </si>
  <si>
    <t>KIMBALL ELECTRONICS INDIANA, INC. DBA GES</t>
  </si>
  <si>
    <t>J410</t>
  </si>
  <si>
    <t>USI JQ</t>
  </si>
  <si>
    <t>EPOCH INTERNATIONAL ENTERPRISES INC.</t>
  </si>
  <si>
    <t>D23</t>
  </si>
  <si>
    <t>FXBL</t>
  </si>
  <si>
    <t>GUANGDONG WORLD PRECISION TECHNOLOGY CO., LTD</t>
  </si>
  <si>
    <t>J271</t>
  </si>
  <si>
    <t>BYPT</t>
  </si>
  <si>
    <t>TEST RESEARCH INC. (TRI)</t>
  </si>
  <si>
    <t>D83</t>
  </si>
  <si>
    <t>ZHUHAI GUANGHAOJIE PRECISION MACHINE CO, LTD.</t>
  </si>
  <si>
    <t>D84</t>
  </si>
  <si>
    <t>D49</t>
  </si>
  <si>
    <t>D53</t>
  </si>
  <si>
    <t>N14z</t>
  </si>
  <si>
    <t>N207</t>
  </si>
  <si>
    <t>N210a</t>
  </si>
  <si>
    <t>J720</t>
  </si>
  <si>
    <t>D38</t>
  </si>
  <si>
    <t>D17</t>
  </si>
  <si>
    <t>D73</t>
  </si>
  <si>
    <t>D28</t>
  </si>
  <si>
    <t>J481</t>
  </si>
  <si>
    <t>D27</t>
  </si>
  <si>
    <t>B532</t>
  </si>
  <si>
    <t>Vendor+Program+Station Name Unique Key</t>
  </si>
  <si>
    <t>RNB Lookup</t>
  </si>
  <si>
    <t>EBD ID</t>
  </si>
  <si>
    <t>Equipment Category</t>
  </si>
  <si>
    <t>LOB</t>
  </si>
  <si>
    <t>New Buy/Retrofit</t>
  </si>
  <si>
    <t>AQID</t>
  </si>
  <si>
    <t>Station Name</t>
  </si>
  <si>
    <t>Equipment Name</t>
  </si>
  <si>
    <t>Pre BOC Price</t>
  </si>
  <si>
    <t>Post BOC Price (Update as Final)</t>
  </si>
  <si>
    <t>Forecasted QTY</t>
  </si>
  <si>
    <t>EBD Type</t>
  </si>
  <si>
    <t>Lead Time (WKS)</t>
  </si>
  <si>
    <t>Equipment MPN</t>
  </si>
  <si>
    <t>Station Variation</t>
  </si>
  <si>
    <t>Equipment Target Price</t>
  </si>
  <si>
    <t>Previous Years Unit Pricing ($)</t>
  </si>
  <si>
    <t>(iPhone China sites ONLY) Post negotiated Sustaining OSS ($)</t>
  </si>
  <si>
    <t>Intial Spend</t>
  </si>
  <si>
    <t>Target Spend</t>
  </si>
  <si>
    <t>Post-BOC Spend</t>
  </si>
  <si>
    <t xml:space="preserve">Savings </t>
  </si>
  <si>
    <t>ND/RNB/RTF (Manual input)</t>
  </si>
  <si>
    <t>GSM (APO?)</t>
  </si>
  <si>
    <t>Supplier Category</t>
  </si>
  <si>
    <t>Post BOC China Benchmark</t>
  </si>
  <si>
    <t>Multiplier</t>
  </si>
  <si>
    <t>Weighted Multiplier</t>
  </si>
  <si>
    <t>2026 NB Benchmark</t>
  </si>
  <si>
    <t>Retro % of NB</t>
  </si>
  <si>
    <t xml:space="preserve">Lifetime Savings </t>
  </si>
  <si>
    <t>ME</t>
  </si>
  <si>
    <t>New Buy</t>
  </si>
  <si>
    <t>RNB</t>
  </si>
  <si>
    <t>JIANGSU COWAIN TECHNOLOGY CO., LTD.</t>
  </si>
  <si>
    <t>Retrofit</t>
  </si>
  <si>
    <t>RTF</t>
  </si>
  <si>
    <t>CY</t>
  </si>
  <si>
    <t>iPad</t>
  </si>
  <si>
    <t>J581</t>
  </si>
  <si>
    <t> </t>
  </si>
  <si>
    <t>1197483-01</t>
  </si>
  <si>
    <t>FXT,FXT,J581,SOC REWORK CARRIER FOR RE NC MLB B,CY</t>
  </si>
  <si>
    <t>Wasif Zaidi</t>
  </si>
  <si>
    <t>FXT,CAR,NC,SOC REWORK CARRIER(FOR RE) MLB B,CY</t>
  </si>
  <si>
    <t>1197482-01</t>
  </si>
  <si>
    <t>FXT,CAR,NC,SOC REWORK CARRIER(FOR RE) MLB A,CY</t>
  </si>
  <si>
    <t>FXT,CAR,J581,SOC REWORK CARRIER(FOR RE) MLB A,CY</t>
  </si>
  <si>
    <t>1191286-01</t>
  </si>
  <si>
    <t>FXT,CAR,NC,SOC STICK REWORK CARRIER(FOR RE) MLB A,CY</t>
  </si>
  <si>
    <t>1191083-01-R</t>
  </si>
  <si>
    <t>FXT,CAR KIT,J481-J581,UNDERFILL CARRIER NC MLB A,CY</t>
  </si>
  <si>
    <t>1189858-01-R</t>
  </si>
  <si>
    <t>UNLOAD HOLDER,KIRBY MLB A/B</t>
  </si>
  <si>
    <t>FXT,CAR KIT,J481-J581,UNLOAD HOLDER,LUIGI MLB A/B,CY</t>
  </si>
  <si>
    <t>1189857-01-R</t>
  </si>
  <si>
    <t>FXT,CAR KIT,J481-J581,FLIP FIXTURE,LUIGI MLB A/B,CY</t>
  </si>
  <si>
    <t>FLIP FIXTURE,KIRBY MLB A/B</t>
  </si>
  <si>
    <t>1187524-01</t>
  </si>
  <si>
    <t>FXT,CAR,J581,TOP MYLAR TOUCHUP FIXTURE MLB A+B,CY</t>
  </si>
  <si>
    <t>1187409-01</t>
  </si>
  <si>
    <t>FXT,FXT,J581,KIC UF FIXTURE,MLB A+B,CY</t>
  </si>
  <si>
    <t>1187406-01</t>
  </si>
  <si>
    <t>FXT,FXT,J581,KIC REFLOW FIXTURE,MLB A+B,CY</t>
  </si>
  <si>
    <t>1187403-01</t>
  </si>
  <si>
    <t>FXT,FXT,J581,CUSTOMIZED ROLLERS MLB A+B,CY</t>
  </si>
  <si>
    <t>1187400-01</t>
  </si>
  <si>
    <t>FXT,CAR,J581,BOT MYLAR TOUCHUP FIXTURE MLB A+B,CY</t>
  </si>
  <si>
    <t>1187350-01</t>
  </si>
  <si>
    <t>FXT,ME,J581,2D BARCODE CHECK FIXTURE,MLB B,CY</t>
  </si>
  <si>
    <t>1187347-01</t>
  </si>
  <si>
    <t>FXT,ME,J581,2D BARCODE CHECK FIXTURE,MLB A,CY</t>
  </si>
  <si>
    <t>1183684-01-R</t>
  </si>
  <si>
    <t>FXT,FXT KIT,J481-J581,SHIELD PRESS SEMI AUTO TOUCHUP FIXTUR MLB A+B,CY</t>
  </si>
  <si>
    <t>1183682-01-R</t>
  </si>
  <si>
    <t>FXT,FXT,J581,SEMI AUTO PRESS FOAM FIXTURE,MLB B</t>
  </si>
  <si>
    <t>FXT,FXT KIT,J481-J581,NC FOAM PRESS SEMI AUTO FIXTURE MLB B,CY</t>
  </si>
  <si>
    <t>1183680-01-R</t>
  </si>
  <si>
    <t>FXT,CAR,J581,OFFLINE ROUTER FIXTURE,MLB B</t>
  </si>
  <si>
    <t>FXT,CAR KIT,J481-J581,OFFLINE ROUTER FIXTURE,MLB B,CY</t>
  </si>
  <si>
    <t>1183679-01-R</t>
  </si>
  <si>
    <t>FXT,CAR,J481,OFFLINE ROUTER BLOCK,KIRBY MLB B</t>
  </si>
  <si>
    <t>FXT,CAR KIT,J481-J581,OFFLINE ROUTER BLCOK, MLB B,CY</t>
  </si>
  <si>
    <t>1183677-01-R</t>
  </si>
  <si>
    <t>FXT,CAR,J581,OFFLINE ROUTER COVER,MLB B</t>
  </si>
  <si>
    <t>FXT,CAR KIT,J481-J581,OFFLINE ROUTER COVER,MLB B,CY</t>
  </si>
  <si>
    <t>1183673-01-R</t>
  </si>
  <si>
    <t>FXT,CAR,J581,OFFLINE ROUTER FIXTURE,MLB A</t>
  </si>
  <si>
    <t>FXT,CAR KIT,J481-J581,OFFLINE ROUTER FIXTURE,MLB A,CY</t>
  </si>
  <si>
    <t>1183672-01-R</t>
  </si>
  <si>
    <t>FXT,CAR,J581,OFFLINE ROUTER COVER,MLB A</t>
  </si>
  <si>
    <t>FXT,CAR KIT,J481-J581,OFFLINE ROUTER COVER,MLB A,CY</t>
  </si>
  <si>
    <t>1183671-01-R</t>
  </si>
  <si>
    <t>FXT,CAR,J481,OFFLINE ROUTER BLOCK,KIRBY MLB A</t>
  </si>
  <si>
    <t>FXT,CAR KIT,J481-J581,OFFLINE ROUTER BLOCK,MLB A,CY</t>
  </si>
  <si>
    <t>1183670-01-R</t>
  </si>
  <si>
    <t>FXT,CAR,J581,AUTO ROUTER COVER,MLB A+B</t>
  </si>
  <si>
    <t>FXT,CAR KIT,J481-J581,AUTO ROUTER COVER,MLB A+B,CY</t>
  </si>
  <si>
    <t>1183669-01-R</t>
  </si>
  <si>
    <t>FXT,CAR,J581,AUTO ROUTER BLOCK,MLB A+B</t>
  </si>
  <si>
    <t>FXT,CAR KIT,J481-J581,AUTO ROUTER BLOCK,MLB A+B,CY</t>
  </si>
  <si>
    <t>1183615-01-R</t>
  </si>
  <si>
    <t>FXT,FXT KIT,J481-J581,NC FOAM PRESS SEMI AUTO FIXTURE MLB A,CY</t>
  </si>
  <si>
    <t>1161560-01</t>
  </si>
  <si>
    <t>FXT,CAR,J581,WLAN REWORK CARRIER(FOR RE) MLB B,CY</t>
  </si>
  <si>
    <t>1161559-01</t>
  </si>
  <si>
    <t>FXT,CAR,J581,WLAN REWORK CARRIER(FOR RE) MLB A,CY</t>
  </si>
  <si>
    <t>1161556-01</t>
  </si>
  <si>
    <t>FXT,CAR,J581,TOP REWORK CARRIER(FOR RE) MLB B,CY</t>
  </si>
  <si>
    <t>1161555-01</t>
  </si>
  <si>
    <t>FXT,CAR,J581,TOP REWORK CARRIER(FOR RE) MLB A,CY</t>
  </si>
  <si>
    <t>1161551-01</t>
  </si>
  <si>
    <t>FXT,CAR,NC,SOC STICK REWORK CARRIER (FOR RE) MLB B,CY</t>
  </si>
  <si>
    <t>FXT,CAR,J581,SOC STICK REWORK CARRIER (FOR RE) MLB B,CY</t>
  </si>
  <si>
    <t>1161544-01</t>
  </si>
  <si>
    <t>FXT,CAR,J581,RF CAN FENCE REWORK CARRIER(FOR RE) MLB B,CY</t>
  </si>
  <si>
    <t>1161493-01</t>
  </si>
  <si>
    <t>FXT,CAR,J581,NAND REWORK CARRIER(FOR RE) MLB A,CY</t>
  </si>
  <si>
    <t>1161492-01</t>
  </si>
  <si>
    <t>FXT,CAR,J581,NAND REWORK CARRIER (FOR RE) MLB B,CY</t>
  </si>
  <si>
    <t>1161482-01</t>
  </si>
  <si>
    <t>FXT,CAR,J581,BOT REWORK CARRIER(FOR RE) MLB B,CY</t>
  </si>
  <si>
    <t>1161481-01</t>
  </si>
  <si>
    <t>FXT,CAR,J581,BOT REWORK CARRIER(FOR RE) MLB A,CY</t>
  </si>
  <si>
    <t>1161477-01</t>
  </si>
  <si>
    <t>FXT,CAR,J581,BB CAN FENCE REWORK CARRIER(FOR RE) MLB A,CY</t>
  </si>
  <si>
    <t>1139693-01</t>
  </si>
  <si>
    <t>FXT,CAR,J581,TOP ASSY SINGLE BOARD OMM FIXTURE NC MLB B,CY</t>
  </si>
  <si>
    <t>1139692-01</t>
  </si>
  <si>
    <t>FXT,CAR,J581,TOP ASSY SINGLE BOARD OMM FIXTURE NC MLB A,CY</t>
  </si>
  <si>
    <t>1139685-01</t>
  </si>
  <si>
    <t>FXT,CAR,J581,ROUTER GO NO GO NC MLB A,CY</t>
  </si>
  <si>
    <t>1139683-01</t>
  </si>
  <si>
    <t>FXT,CAR,J581,PRE AOI X-RAY PB FIXTURE NC MLB A,CY</t>
  </si>
  <si>
    <t>1139649-01</t>
  </si>
  <si>
    <t>FXT,CAR,J581,SINGLE BOARD X-RAY FIXTURE,MLB B</t>
  </si>
  <si>
    <t>FXT,CAR,J581,NC,POST AOI SINGLE X-RAY PB FIXTURE MLB B,CY</t>
  </si>
  <si>
    <t>1139648-01</t>
  </si>
  <si>
    <t>FXT,CAR,J581,NC,POST AOI SINGLE X-RAY PB FIXTURE MLB A,CY</t>
  </si>
  <si>
    <t>1139646-01</t>
  </si>
  <si>
    <t>FXT,CAR,J581,POST AOI PANEL X-RAY PB FIXTURE NC MLB A,CY</t>
  </si>
  <si>
    <t>1139515-01</t>
  </si>
  <si>
    <t>FXT,CAR,J581,BOT ASSY SINGLE BOARD OMM FIXTURE NC MLB B,CY</t>
  </si>
  <si>
    <t>1139514-01</t>
  </si>
  <si>
    <t>FXT,CAR,J581,BOT ASSY SINGLE BOARD OMM FIXTURE NC MLB A,CY</t>
  </si>
  <si>
    <t>1138686-01</t>
  </si>
  <si>
    <t>FXT,CAR,J581,NC,REFLOW JIG 2ND MLB B,CY</t>
  </si>
  <si>
    <t>1138685-01</t>
  </si>
  <si>
    <t>FXT,CAR,J581,NC,REFLOW JIG 2ND MLB A,CY</t>
  </si>
  <si>
    <t>1128203-01</t>
  </si>
  <si>
    <t>FXT,CAR,J581,ROUTER GO NO GO NC MLB B,CY</t>
  </si>
  <si>
    <t>1128196-01</t>
  </si>
  <si>
    <t>FXT,CAR,J581,REPAIR UNDERFILL CARRIER NC MLB B,CY</t>
  </si>
  <si>
    <t>1128195-01</t>
  </si>
  <si>
    <t>FXT,CAR,J581,REPAIR UNDERFILL CARRIER NC MLB A,CY</t>
  </si>
  <si>
    <t>1128162-01</t>
  </si>
  <si>
    <t>FXT,CAR,NC,CAN REPAIR CARRIER TOP FIXTURE MLB B,CY</t>
  </si>
  <si>
    <t>FXT,CAR,J581,CAN REPAIR CARRIER TOP FIXTURE,NC MLB B,CY</t>
  </si>
  <si>
    <t>1128161-01</t>
  </si>
  <si>
    <t>FXT,CAR,NC,CAN REPAIR CARRIER TOP FIXTURE MLB A,CY</t>
  </si>
  <si>
    <t>FXT,CAR,J581,CAN REPAIR CARRIER TOP FIXTURE,NC MLB A,CY</t>
  </si>
  <si>
    <t>1202212-01</t>
  </si>
  <si>
    <t>FXT,CAR,J510,DEDUSTING CARRIER,TOAD LIFT FEM+BB</t>
  </si>
  <si>
    <t>1202171-01</t>
  </si>
  <si>
    <t>FXT,CAR,J510,UNDERFILL CARRIER,TOAD MLB A</t>
  </si>
  <si>
    <t>1202168-01</t>
  </si>
  <si>
    <t>FXT,CAR,J510,UNDERFILL CARRIER, TOAD MLB B</t>
  </si>
  <si>
    <t>1202160-01</t>
  </si>
  <si>
    <t>FXT,CAR,J510,TOP STICK MYLAR FIXTURE,TOAD MLB A</t>
  </si>
  <si>
    <t>1202155-01</t>
  </si>
  <si>
    <t>FXT,CAR,J510,TOP STICK MYLAR FIXTURE, TOAD MLB B</t>
  </si>
  <si>
    <t>1202146-01</t>
  </si>
  <si>
    <t>FXT,CAR,J510,TOP POST AOI FIXTURE,TOAD MLB A</t>
  </si>
  <si>
    <t>1202144-01</t>
  </si>
  <si>
    <t>FXT,CAR,J510,TOP POST AOI FIXTURE, TOAD MLB B</t>
  </si>
  <si>
    <t>1202127-01</t>
  </si>
  <si>
    <t>FXT,CAR,J510,REFLOW JIG 2ND,TOAD MLB A</t>
  </si>
  <si>
    <t>1202126-01</t>
  </si>
  <si>
    <t>FXT,CAR,J510,REFLOW JIG 2ND, TOAD MLB B</t>
  </si>
  <si>
    <t>1202104-01</t>
  </si>
  <si>
    <t>FXT,CAR,J510,PRINTING CARRIER 2ND,TOAD MLB A</t>
  </si>
  <si>
    <t>1202102-01</t>
  </si>
  <si>
    <t>FXT,CAR,J510,PRINTING CARRIER 2ND, TOAD MLB B</t>
  </si>
  <si>
    <t>1202099-01</t>
  </si>
  <si>
    <t>FXT,CAR,J510,PRINTING CARRIER 1ST,TOAD MLB A</t>
  </si>
  <si>
    <t>1202096-01</t>
  </si>
  <si>
    <t>FXT,CAR,J510,PRINTING CARRIER 1ST, TOAD MLB B</t>
  </si>
  <si>
    <t>1202062-01</t>
  </si>
  <si>
    <t>FXT,CAR,J510,CLEAN FIXTURE,TOAD MLB A</t>
  </si>
  <si>
    <t>1202059-01</t>
  </si>
  <si>
    <t>FXT,CAR,J510,CLEAN FIXTURE, TOAD MLB B</t>
  </si>
  <si>
    <t>1202056-01</t>
  </si>
  <si>
    <t>FXT,CAR,J510,BOT STICK MYLAR FIXTURE,TOAD MLB A</t>
  </si>
  <si>
    <t>1202054-01</t>
  </si>
  <si>
    <t>FXT,CAR,J510,BOT STICK MYLAR FIXTURE, TOAD MLB B</t>
  </si>
  <si>
    <t>1202031-01</t>
  </si>
  <si>
    <t>FXT,CAR,J510,AOI SINGLE INSPECT FIXTURE,TOAD MLB A</t>
  </si>
  <si>
    <t>1202028-01</t>
  </si>
  <si>
    <t>FXT,CAR,J510,AOI SINGLE INSPECT FIXTURE, TOAD MLB B</t>
  </si>
  <si>
    <t>1200377-01</t>
  </si>
  <si>
    <t>FXT,FXT,J510,WF5 ALG FLIP ALIGN FIXTURE,CY</t>
  </si>
  <si>
    <t>1200326-01</t>
  </si>
  <si>
    <t>FXT,FXT,J510,FC PF INSTALL FIXTURE,CY</t>
  </si>
  <si>
    <t>1191262-01</t>
  </si>
  <si>
    <t>FXT,CAR,J510,REFLOW JIG 2ND,TOAD LIFT BOARD,CY</t>
  </si>
  <si>
    <t>BOZHON PRECISION INDUSTRY TECHNOLOGY CO., LTD.</t>
  </si>
  <si>
    <t>1202211-01</t>
  </si>
  <si>
    <t>1202183-01</t>
  </si>
  <si>
    <t>FXT,FXT,J510,TOP MLB LOAD AND UNLOAD,TOAD MLB UNIVERSAL</t>
  </si>
  <si>
    <t>1202176-01</t>
  </si>
  <si>
    <t>FXT,FXT,J510,BOT MLB UNLOAD,TOAD MLB WIFI</t>
  </si>
  <si>
    <t>1202175-01</t>
  </si>
  <si>
    <t>FXT,FXT,J510,BOT MLB UNLOAD,TOAD MLB CELL</t>
  </si>
  <si>
    <t>1202174-01</t>
  </si>
  <si>
    <t>FXT,FXT,J510,BOT MLB LOAD,TOAD MLB WIFI</t>
  </si>
  <si>
    <t>1202173-01</t>
  </si>
  <si>
    <t>FXT,FXT,J510,BOT MLB LOAD,TOAD MLB CELL</t>
  </si>
  <si>
    <t>1202142-01</t>
  </si>
  <si>
    <t>FXT,CAR,J510,TOP AUTO MYLAR CARRIER,TOAD MLB UNIVERSAL</t>
  </si>
  <si>
    <t>1202055-01</t>
  </si>
  <si>
    <t>1202053-01</t>
  </si>
  <si>
    <t>1206181-01</t>
  </si>
  <si>
    <t>FXT,FXT,J581,STANDARD BLOCK FOR SOFT SHIELD PRESS, BZ</t>
  </si>
  <si>
    <t>1024426-01</t>
  </si>
  <si>
    <t>INST,CALKIT,DOSAGE CARD,RADPRO</t>
  </si>
  <si>
    <t>1206179-01</t>
  </si>
  <si>
    <t>FXT,FXT,J581,CALIBARTION FIXTURE, BZ</t>
  </si>
  <si>
    <t>1206180-01</t>
  </si>
  <si>
    <t>FXT,FXT,J581,STANDARD BLOCK FOR PSA PRESS, BZ</t>
  </si>
  <si>
    <t>JUSTECH (JIANGSU) PRECISION INDUSTRY CO., LTD.</t>
  </si>
  <si>
    <t>92419-01</t>
  </si>
  <si>
    <t>FIXT,ME,MANUAL DISPENSING MACHINE,JST</t>
  </si>
  <si>
    <t>/</t>
  </si>
  <si>
    <t>1205512-01-R</t>
  </si>
  <si>
    <t>FXT,ME KIT,J481-J581,FC SUPPORT FOAM ALIGN FIXTURE,V01,STG</t>
  </si>
  <si>
    <t>1205434-01</t>
  </si>
  <si>
    <t>FXT,ME,J581,VB FLEX REBEND FIXTURE 3 IN 1,V01,STG</t>
  </si>
  <si>
    <t>1205433-01</t>
  </si>
  <si>
    <t>FXT,ME,J581,STIFFENER GLUE TAKE APART WITH HEAT FIXTURE,V03,STG</t>
  </si>
  <si>
    <t>1205432-01</t>
  </si>
  <si>
    <t>FXT,ME,J581,STIFFENER GLUE TAKE APART TOOL,V01,STG</t>
  </si>
  <si>
    <t>1205431-01</t>
  </si>
  <si>
    <t>FXT,ME,J581,MLB PRESS FIXTURE WITH LOAD CELL-WF,V04,STG</t>
  </si>
  <si>
    <t>1205430-01</t>
  </si>
  <si>
    <t>FXT,ME,J581,MLB PRESS FIXTURE WITH LOAD CELL-CELL,V04,STG</t>
  </si>
  <si>
    <t>1205429-01</t>
  </si>
  <si>
    <t>FXT,ME,J581,MIC ALS FLEX PRESS PEN,V3,STG</t>
  </si>
  <si>
    <t>1205428-01</t>
  </si>
  <si>
    <t>FXT,ME,J581,IO USB-C INSTALL ALT FIXTURE,V01,STG</t>
  </si>
  <si>
    <t>1205427-01</t>
  </si>
  <si>
    <t>FXT,ME,J581,GB STIFFENER GLUE TAKE APART WITH HEAT FIXTURE,V02,STG</t>
  </si>
  <si>
    <t>1205426-01</t>
  </si>
  <si>
    <t>FXT,ME,J581,GB MLB PRESS FIXTURE WITH LOAD CELL-WF,V02,STG</t>
  </si>
  <si>
    <t>1205425-01</t>
  </si>
  <si>
    <t>FXT,ME,J581,GB MLB PRESS FIXTURE WITH LOAD CELL-CELL,V02,STG</t>
  </si>
  <si>
    <t>1205424-01</t>
  </si>
  <si>
    <t>FXT,ME,J581,GB MAHI V6 FLEX REBEND FIXTURE,V01,STG</t>
  </si>
  <si>
    <t>1205421-01</t>
  </si>
  <si>
    <t>FXT,ME,J581,FC SUPPORT FOAM ALIGN FIXTURE,V01,STG</t>
  </si>
  <si>
    <t>1204162-01</t>
  </si>
  <si>
    <t>FXT,ME,J581,MLB HOLE PROTECTIVE COVER,V2,STG</t>
  </si>
  <si>
    <t>1204161-01</t>
  </si>
  <si>
    <t>FXT,ME,J581,MIC ALS FLEX REBEND FIXTURE WITH HEAT STEP3,V2,STG</t>
  </si>
  <si>
    <t>1204160-01</t>
  </si>
  <si>
    <t>FXT,ME,J581,MIC ALS FLEX REBEND FIXTURE WITH HEAT STEP2,V1,STG</t>
  </si>
  <si>
    <t>1204159-01</t>
  </si>
  <si>
    <t>FXT,ME,J581,MIC ALS FLEX REBEND FIXTURE WITH HEAT STEP1,V02,STG</t>
  </si>
  <si>
    <t>1204157-01</t>
  </si>
  <si>
    <t>FXT,ME,J581,MIC ALS FLEX ALIGN FIXTURE,V2,STG</t>
  </si>
  <si>
    <t>1204155-01</t>
  </si>
  <si>
    <t>FXT,ME,J581,MAHI V6 FLEX REBEND FIXTURE,V1,STG</t>
  </si>
  <si>
    <t>1204147-01</t>
  </si>
  <si>
    <t>FXT,ME,J581,GB MIC ALS FLEX ALIGN FIXTURE,V1,STG</t>
  </si>
  <si>
    <t>1204144-01</t>
  </si>
  <si>
    <t>FXT,ME,J581,FC FLEX REBEND FIXTURE WITH HEAT STEP2,V02,STG</t>
  </si>
  <si>
    <t>1204143-01</t>
  </si>
  <si>
    <t>FXT,ME,J581,FC FLEX REBEND FIXTURE WITH HEAT STEP1,V03,STG</t>
  </si>
  <si>
    <t>1204140-01</t>
  </si>
  <si>
    <t>FXT,ME,J581,BATTERY PROTECTIVE COVER FOR ANT CABLE,V1,STG</t>
  </si>
  <si>
    <t>1204048-01-R</t>
  </si>
  <si>
    <t>FXT,ME,J271-J581,FC FLEX REBEND FIXTURE WITH HEAT STEP1,V03,STG</t>
  </si>
  <si>
    <t xml:space="preserve"> / </t>
  </si>
  <si>
    <t xml:space="preserve"> $-   </t>
  </si>
  <si>
    <t>1197906-01</t>
  </si>
  <si>
    <t>FXT,CAR,J581,TOP ASSY SINGLE BOARD OMM FIXTURE MLB B,STRONG</t>
  </si>
  <si>
    <t>1197905-01</t>
  </si>
  <si>
    <t>FXT,CAR,J581,TOP ASSY SINGLE BOARD OMM FIXTURE MLB A,STRONG</t>
  </si>
  <si>
    <t>1197901-01</t>
  </si>
  <si>
    <t>FXT,CAR,J581,BOT ASSY SINGLE BOARD OMM FIXTURE MLB B,STRONG</t>
  </si>
  <si>
    <t>1197900-01</t>
  </si>
  <si>
    <t>FXT,CAR,J581,BOT ASSY SINGLE BOARD OMM FIXTURE MLB A,STRONG</t>
  </si>
  <si>
    <t>1191285-01</t>
  </si>
  <si>
    <t>FXT,CAR,NC,SMT TOP REPAIR FIXTURE NC MLB A,STRONG</t>
  </si>
  <si>
    <t>FXT,CAR,J581,SMT TOP REPAIR FIXTURE NC MLB A,STRONG</t>
  </si>
  <si>
    <t>1191284-01</t>
  </si>
  <si>
    <t>FXT,CAR,NC,SMT BOT REPAIR FIXTURE NC MLB A,STRONG</t>
  </si>
  <si>
    <t>FXT,CAR,J581,SMT BOT REPAIR FIXTURE NC MLB A,STRONG</t>
  </si>
  <si>
    <t>1191084-01-R</t>
  </si>
  <si>
    <t>FXT,CAR KIT,J481-J581,UNDERFILL CARRIER MLB B,STRONG</t>
  </si>
  <si>
    <t>1191081-01-R</t>
  </si>
  <si>
    <t>FXT,CAR KIT,J481-J581,PRINTING CARRIER 2ND,KIRBY MLB B,SR</t>
  </si>
  <si>
    <t>1187526-01</t>
  </si>
  <si>
    <t>FXT,CAR,J581,TOP MYLAR TOUCHUP FIXTURE MLB A+B,STRONG</t>
  </si>
  <si>
    <t>1187411-01</t>
  </si>
  <si>
    <t>FXT,FXT,J581,KIC UF FIXTURE,MLB A+B,STRONG</t>
  </si>
  <si>
    <t>1187408-01</t>
  </si>
  <si>
    <t>FXT,FXT,J581,KIC REFLOW FIXTURE,MLB A+B,STRONG</t>
  </si>
  <si>
    <t>1187405-01</t>
  </si>
  <si>
    <t>FXT,FXT,J581,CUSTOMIZED ROLLERS MLB A+B,STRONG</t>
  </si>
  <si>
    <t>1187402-01</t>
  </si>
  <si>
    <t>FXT,CAR,J581,BOT MYLAR TOUCHUP FIXTURE MLB A+B,STRONG</t>
  </si>
  <si>
    <t>1187352-01</t>
  </si>
  <si>
    <t>FXT,ME,J581,2D BARCODE CHECK FIXTURE,MLB B,STRONG</t>
  </si>
  <si>
    <t>1187349-01</t>
  </si>
  <si>
    <t>FXT,ME,J581,2D BARCODE CHECK FIXTURE,MLB A,STRONG</t>
  </si>
  <si>
    <t>1183920-01-R</t>
  </si>
  <si>
    <t>FXT,CAR,J481,POST ROUTER INSPECT FIXTURE,KIRBY MLB A,SR</t>
  </si>
  <si>
    <t>FXT,CAR KIT,J481-J581,ROUTER INSPECTION FIXTURE,STRONG</t>
  </si>
  <si>
    <t>1166071-01-R</t>
  </si>
  <si>
    <t>FXT,CAR KIT,J481-J581,PRINTING AND REFLOW CARRIER 2ND NC MLB A,SR</t>
  </si>
  <si>
    <t>1161558-01</t>
  </si>
  <si>
    <t>FXT,CAR,NC,WIFI MATERIAL AREA THERMAL NOZZLE FIXTURE MLB,STRONG</t>
  </si>
  <si>
    <t>FXT,CAR,J581,WIFI MATERIAL AREA THERMAL NOZZLE FIXTURE MLB,STRONG</t>
  </si>
  <si>
    <t>1161553-01</t>
  </si>
  <si>
    <t>FXT,CAR,NC,SOC THERMAL NOZZLE(FOR RE) MLB,STRONG</t>
  </si>
  <si>
    <t>FXT,CAR,J581,SOC THERMAL NOZZLE(FOR RE) MLB,STRONG</t>
  </si>
  <si>
    <t>1161550-01</t>
  </si>
  <si>
    <t>FXT,CAR,NC,SMT TOP REPAIR FIXTURE NC MLB B,STRONG</t>
  </si>
  <si>
    <t>FXT,CAR,J581,SMT TOP REPAIR FIXTURE NC MLB B,STRONG</t>
  </si>
  <si>
    <t>1161548-01</t>
  </si>
  <si>
    <t>FXT,CAR,NC,SMT BOT REPAIR FIXTURE NC MLB B,STRONG</t>
  </si>
  <si>
    <t>FXT,CAR,J581,SMT BOT REPAIR FIXTURE NC MLB B,STRONG</t>
  </si>
  <si>
    <t>1161542-01</t>
  </si>
  <si>
    <t>FXT,FXT,NC,PRINT TIN FIXTURE FORU_TXDSM_C MLB,STRONG</t>
  </si>
  <si>
    <t>FXT,FXT,J581,PRINT TIN FIXTURE FORU-TXDSM-C MLB,STRONG</t>
  </si>
  <si>
    <t>1161541-01</t>
  </si>
  <si>
    <t>FXT,FXT,J581,PRINT TIN FIXTURE FOR WIFI CAN NC MLB A,SR</t>
  </si>
  <si>
    <t>1161540-01</t>
  </si>
  <si>
    <t>FXT,FXT,NC,PRINT TIN FIXTURE FOR UBBPMU E MLB,STRONG</t>
  </si>
  <si>
    <t>FXT,FXT,J581,PRINT TIN FIXTURE FOR UBBPMU E MLB,STRONG</t>
  </si>
  <si>
    <t>1161539-01</t>
  </si>
  <si>
    <t>FXT,FXT,NC,PRINT TIN FIXTURE FOR U8800_S MLB FOR FA,STRONG</t>
  </si>
  <si>
    <t>FXT,FXT,J581,PRINT TIN FIXTURE FOR U8800-S MLB FOR FA,STRONG</t>
  </si>
  <si>
    <t>1161538-01</t>
  </si>
  <si>
    <t>FXT,FXT,NC,PRINT TIN FIXTURE FOR U8700 MLB FOR FA,STRONG</t>
  </si>
  <si>
    <t>FXT,FXT,J581,PRINT TIN FIXTURE FOR U8700 MLB FOR FA,STRONG</t>
  </si>
  <si>
    <t>1161537-01</t>
  </si>
  <si>
    <t>FXT,FXT,NC,PRINT TIN FIXTURE FOR U8600 MLB FOR FA,STRONG</t>
  </si>
  <si>
    <t>FXT,FXT,J581,PRINT TIN FIXTURE FOR U8600 MLB FOR FA,STRONG</t>
  </si>
  <si>
    <t>1161536-01</t>
  </si>
  <si>
    <t>FXT,FXT,NC,PRINT TIN FIXTURE FOR U8500 MLB FOR FA,STRONG</t>
  </si>
  <si>
    <t>FXT,FXT,J581,PRINT TIN FIXTURE FOR U8500 MLB FOR FA,STRONG</t>
  </si>
  <si>
    <t>1161535-01</t>
  </si>
  <si>
    <t>FXT,FXT,NC,PRINT TIN FIXTURE FOR U8000 MLB,STRONG</t>
  </si>
  <si>
    <t>FXT,FXT,J581,PRINT TIN FIXTURE FOR U8000 MLB,STRONG</t>
  </si>
  <si>
    <t>1161534-01</t>
  </si>
  <si>
    <t>FXT,FXT,NC,PRINT TIN FIXTURE FOR U7900 MLB FOR FA,STRONG</t>
  </si>
  <si>
    <t>FXT,FXT,J581,PRINT TIN FIXTURE FOR U7900 MLB FOR FA,STRONG</t>
  </si>
  <si>
    <t>1161533-01</t>
  </si>
  <si>
    <t>FXT,FXT,NC,PRINT TIN FIXTURE FOR U7000 MLB,STRONG</t>
  </si>
  <si>
    <t>FXT,FXT,J581,PRINT TIN FIXTURE FOR U7000 MLB,STRONG</t>
  </si>
  <si>
    <t>1161532-01</t>
  </si>
  <si>
    <t>FXT,FXT,NC,PRINT TIN FIXTURE FOR U6100 MLB FOR FA,STRONG</t>
  </si>
  <si>
    <t>FXT,FXT,J581,PRINT TIN FIXTURE FOR U6100 MLB FOR FA,STRONG</t>
  </si>
  <si>
    <t>1161531-01</t>
  </si>
  <si>
    <t>FXT,FXT,NC,PRINT TIN FIXTURE FOR U5401_2G_C0-W MLB,STRONG</t>
  </si>
  <si>
    <t>FXT,FXT,J581,PRINT TIN FIXTURE FOR U5401-2G-C0-W MLB,STRONG</t>
  </si>
  <si>
    <t>1161530-01</t>
  </si>
  <si>
    <t>FXT,FXT,NC,PRINT TIN FIXTURE FOR U5201_5G_C0-W MLB,STRONG</t>
  </si>
  <si>
    <t>FXT,FXT,J581,PRINT TIN FIXTURE FOR U5201-5G-C0-W MLB,STRONG</t>
  </si>
  <si>
    <t>1161529-01</t>
  </si>
  <si>
    <t>FXT,FXT,NC,PRINT TIN FIXTURE FOR U3710 MLB FOR FA,STRONG</t>
  </si>
  <si>
    <t>FXT,FXT,J581,PRINT TIN FIXTURE FOR U3710 MLB FOR FA,STRONG</t>
  </si>
  <si>
    <t>1161528-01</t>
  </si>
  <si>
    <t>FXT,FXT,NC,PRINT TIN FIXTURE FOR U3700 MLB,STRONG</t>
  </si>
  <si>
    <t>FXT,FXT,J581,PRINT TIN FIXTURE FOR U3700 MLB,STRONG</t>
  </si>
  <si>
    <t>1161527-01</t>
  </si>
  <si>
    <t>FXT,FXT,NC,PRINT TIN FIXTURE FOR U3200 MLB FOR FA,STRONG</t>
  </si>
  <si>
    <t>FXT,FXT,J581,PRINT TIN FIXTURE FOR U3200 MLB FOR FA,STRONG</t>
  </si>
  <si>
    <t>1161526-01</t>
  </si>
  <si>
    <t>FXT,FXT,NC,PRINT TIN FIXTURE FOR U3000 MLB FOR FA,STRONG</t>
  </si>
  <si>
    <t>FXT,FXT,J581,PRINT TIN FIXTURE FOR U3000 MLB FOR FA,STRONG</t>
  </si>
  <si>
    <t>1161525-01</t>
  </si>
  <si>
    <t>FXT,FXT,NC,PRINT TIN FIXTURE FOR U2301 MLB,STRONG</t>
  </si>
  <si>
    <t>FXT,FXT,J581,PRINT TIN FIXTURE FOR U2301 MLB,STRONG</t>
  </si>
  <si>
    <t>1161524-01</t>
  </si>
  <si>
    <t>FXT,FXT,NC,PRINT TIN FIXTURE FOR U2280 MLB FOR FA,STRONG</t>
  </si>
  <si>
    <t>FXT,FXT,J581,PRINT TIN FIXTURE FOR U2280 MLB FOR FA,STRONG</t>
  </si>
  <si>
    <t>1161523-01</t>
  </si>
  <si>
    <t>FXT,FXT,NC,PRINT TIN FIXTURE FOR U2200 MLB FOR FA,STRONG</t>
  </si>
  <si>
    <t>FXT,FXT,J581,PRINT TIN FIXTURE FOR U2200 MLB FOR FA,STRONG</t>
  </si>
  <si>
    <t>1161522-01</t>
  </si>
  <si>
    <t>FXT,FXT,NC,PRINT TIN FIXTURE FOR U2150 MLB,STRONG</t>
  </si>
  <si>
    <t>FXT,FXT,J581,PRINT TIN FIXTURE FOR U2150 MLB,STRONG</t>
  </si>
  <si>
    <t>1161521-01</t>
  </si>
  <si>
    <t>FXT,FXT,NC,PRINT TIN FIXTURE FOR U2120 MLB,STRONG</t>
  </si>
  <si>
    <t>FXT,FXT,J581,PRINT TIN FIXTURE FOR U2120 MLB,STRONG</t>
  </si>
  <si>
    <t>1161520-01</t>
  </si>
  <si>
    <t>FXT,FXT,NC,PRINT TIN FIXTURE FOR U0200_WLAN_W MLB A,STRONG</t>
  </si>
  <si>
    <t>FXT,FXT,J581,PRINT TIN FIXTURE FOR U0200-WLAN-W MLB A,STRONG</t>
  </si>
  <si>
    <t>1161519-01</t>
  </si>
  <si>
    <t>FXT,FXT,NC,PRINT TIN FIXTURE FOR U_VESTA_C MLB FOR FA,STRONG</t>
  </si>
  <si>
    <t>FXT,FXT,J581,PRINT TIN FIXTURE FOR U-VESTA-C MLB FOR FA,STRONG</t>
  </si>
  <si>
    <t>1161518-01</t>
  </si>
  <si>
    <t>FXT,FXT,NC,PRINT TIN FIXTURE FOR U_UUHBDSM_C MLB,STRONG</t>
  </si>
  <si>
    <t>FXT,FXT,J581,PRINT TIN FIXTURE FOR U-UUHBDSM-C MLB,STRONG</t>
  </si>
  <si>
    <t>1161517-01</t>
  </si>
  <si>
    <t>FXT,FXT,NC,PRINT TIN FIXTURE FOR U_UMODSM_C MLB,STRONG</t>
  </si>
  <si>
    <t>FXT,FXT,J581,PRINT TIN FIXTURE FOR U-UMODSM-C MLB,STRONG</t>
  </si>
  <si>
    <t>1161516-01</t>
  </si>
  <si>
    <t>FXT,FXT,NC,PRINT TIN FIXTURE FOR U_UETIC_C MLB FOR FA,STRONG</t>
  </si>
  <si>
    <t>FXT,FXT,J581,PRINT TIN FIXTURE FOR U-UETIC-C MLB FOR FA,STRONG</t>
  </si>
  <si>
    <t>1161515-01</t>
  </si>
  <si>
    <t>FXT,FXT,NC,PRINT TIN FIXTURE FOR U_TXDSM_C MLB FOR FA,STRONG</t>
  </si>
  <si>
    <t>FXT,FXT,J581,PRINT TIN FIXTURE FOR U-TXDSM-C MLB FOR FA,STRONG</t>
  </si>
  <si>
    <t>1161514-01</t>
  </si>
  <si>
    <t>FXT,FXT,NC,PRINT TIN FIXTURE FOR U_LUHBPA_C MLB FOR FA,STRONG</t>
  </si>
  <si>
    <t>FXT,FXT,J581,PRINT TIN FIXTURE FOR U-LUHBPA-C MLB FOR FA,STRONG</t>
  </si>
  <si>
    <t>1161513-01</t>
  </si>
  <si>
    <t>FXT,FXT,NC,PRINT TIN FIXTURE FOR U_LMODSM_C MLB FOR FA,STRONG</t>
  </si>
  <si>
    <t>FXT,FXT,J581,PRINT TIN FIXTURE FOR U-LMODSM-C MLB FOR FA,STRONG</t>
  </si>
  <si>
    <t>1161512-01</t>
  </si>
  <si>
    <t>FXT,FXT,NC,PRINT TIN FIXTURE FOR U_LETIC_C MLB FOR FA,STRONG</t>
  </si>
  <si>
    <t>FXT,FXT,J581,PRINT TIN FIXTURE FOR U-LETIC-C MLB FOR FA,STRONG</t>
  </si>
  <si>
    <t>1161511-01</t>
  </si>
  <si>
    <t>FXT,FXT,NC,PRINT TIN FIXTURE FOR U_LBSPAD_C MLB FOR FA,STRONG</t>
  </si>
  <si>
    <t>FXT,FXT,J581,PRINT TIN FIXTURE FOR U-LBSPAD-C MLB FOR FA,STRONG</t>
  </si>
  <si>
    <t>1161510-01</t>
  </si>
  <si>
    <t>FXT,FXT,NC,PRINT TIN FIXTURE FOR U_HBSPAD_C MLB,STRONG</t>
  </si>
  <si>
    <t>FXT,FXT,J581,PRINT TIN FIXTURE FOR U-HBSPAD-C MLB,STRONG</t>
  </si>
  <si>
    <t>1161509-01</t>
  </si>
  <si>
    <t>FXT,FXT,NC,PRINT TIN FIXTURE FOR U_CCPLR1C MLB FOR FA,STRONG</t>
  </si>
  <si>
    <t>FXT,FXT,J581,PRINT TIN FIXTURE FOR U-CCPLR1C MLB FOR FA,STRONG</t>
  </si>
  <si>
    <t>1161508-01</t>
  </si>
  <si>
    <t>FXT,FXT,NC,PRINT TIN FIXTURE FOR U_CARPO_C MLB,STRONG</t>
  </si>
  <si>
    <t>FXT,FXT,J581,PRINT TIN FIXTURE FOR U-CARPO-C MLB,STRONG</t>
  </si>
  <si>
    <t>1161507-01</t>
  </si>
  <si>
    <t>FXT,FXT,NC,PRINT TIN FIXTURE FOR U_CARPO_C MLB FOR FA,STRONG</t>
  </si>
  <si>
    <t>FXT,FXT,J581,PRINT TIN FIXTURE FOR U-CARPO-C MLB FOR FA,STRONG</t>
  </si>
  <si>
    <t>1161506-01</t>
  </si>
  <si>
    <t>FXT,FXT,NC,PRINT TIN FIXTURE FOR U_BB_C MLB,STRONG</t>
  </si>
  <si>
    <t>FXT,FXT,J581,PRINT TIN FIXTURE FOR U-BB-C MLB,STRONG</t>
  </si>
  <si>
    <t>1161505-01</t>
  </si>
  <si>
    <t>FXT,FXT,J581,PRINT TIN FIXTURE FOR RF CAN NC MLB A,SR</t>
  </si>
  <si>
    <t>1161504-01</t>
  </si>
  <si>
    <t>FXT,FXT,NC,PRINT TIN FIXTURE FOR MLB U0200_WLAN_W MLB B,STRONG</t>
  </si>
  <si>
    <t>FXT,FXT,J581,PRINT TIN FIXTURE FOR MLB U0200-WLAN-W MLB B,STRONG</t>
  </si>
  <si>
    <t>1161503-01</t>
  </si>
  <si>
    <t>FXT,FXT,NC,PRINT TIN FIXTURE FOR FL_ANT4_C MLB,STRONG</t>
  </si>
  <si>
    <t>FXT,FXT,J581,PRINT TIN FIXTURE FOR FL-ANT4-C MLB,STRONG</t>
  </si>
  <si>
    <t>1161502-01</t>
  </si>
  <si>
    <t>FXT,FXT,NC,PRINT TIN FIXTURE FOR FL_ANT3B_C MLB,STRONG</t>
  </si>
  <si>
    <t>FXT,FXT,J581,PRINT TIN FIXTURE FOR FL-ANT3B-C MLB,STRONG</t>
  </si>
  <si>
    <t>1161501-01</t>
  </si>
  <si>
    <t>FXT,FXT,NC,PRINT TIN FIXTURE FOR FL_ANT3A_C MLB,STRONG</t>
  </si>
  <si>
    <t>FXT,FXT,J581,PRINT TIN FIXTURE FOR FL-ANT3A-C MLB,STRONG</t>
  </si>
  <si>
    <t>1161500-01</t>
  </si>
  <si>
    <t>FXT,FXT,NC,PRINT TIN FIXTURE FOR FL_ANT2B_C MLB,STRONG</t>
  </si>
  <si>
    <t>FXT,FXT,J581,PRINT TIN FIXTURE FOR FL-ANT2B-C MLB,STRONG</t>
  </si>
  <si>
    <t>1161499-01</t>
  </si>
  <si>
    <t>FXT,FXT,NC,PRINT TIN FIXTURE FOR FL_ANT1B_C MLB,STRONG</t>
  </si>
  <si>
    <t>FXT,FXT,J581,PRINT TIN FIXTURE FOR FL-ANT1B-C MLB,STRONG</t>
  </si>
  <si>
    <t>1161498-01</t>
  </si>
  <si>
    <t>FXT,FXT,NC,PRINT TIN FIXTURE FOR CPU MLB,STRONG</t>
  </si>
  <si>
    <t>FXT,FXT,J581,PRINT TIN FIXTURE FOR CPU MLB,STRONG</t>
  </si>
  <si>
    <t>1161497-01</t>
  </si>
  <si>
    <t>FXT,FXT,J581,PRINT TIN FIXTURE FOR BB CAN NC MLB A,SR</t>
  </si>
  <si>
    <t>1161496-01</t>
  </si>
  <si>
    <t>FXT,FXT,J581,PRINT TIN FIXTURE FOR AP CAN NC MLB A,SR</t>
  </si>
  <si>
    <t>1161495-01</t>
  </si>
  <si>
    <t>FXT,CAR,NC,PMU THERMAL NOZZLE FIXTURE MLB,STRONG</t>
  </si>
  <si>
    <t>FXT,CAR,J581,PMU THERMAL NOZZLE FIXTURE MLB,STRONG</t>
  </si>
  <si>
    <t>1161494-01</t>
  </si>
  <si>
    <t>FXT,CAR,NC,NAND THERMAL NOZZLE(FOR RE) MLB,STRONG</t>
  </si>
  <si>
    <t>FXT,CAR,J581,NAND THERMAL NOZZLE(FOR RE) MLB,STRONG</t>
  </si>
  <si>
    <t>1161483-01</t>
  </si>
  <si>
    <t>FXT,CAR,NC,GRAPE CAN THERMAL NOZZLE FIXTURE MLB,STRONG</t>
  </si>
  <si>
    <t>FXT,CAR,J581,GRAPE CAN THERMAL NOZZLE FIXTURE MLB,STRONG</t>
  </si>
  <si>
    <t>1161480-01</t>
  </si>
  <si>
    <t>FXT,CAR,NC,BB MATERIAL AREA THERMAL NOZZLE FIXTURE MLB,STRONG</t>
  </si>
  <si>
    <t>FXT,CAR,J581,BB MATERIAL AREA THERMAL NOZZLE FIXTURE MLB,STRONG</t>
  </si>
  <si>
    <t>1155621-01-R</t>
  </si>
  <si>
    <t>FXT,ME KIT,J481-J581,MIC ALS FLEX REBEND FIXTURE WITH HEAT STEP3,V2,STG</t>
  </si>
  <si>
    <t>1155619-01-R</t>
  </si>
  <si>
    <t>FXT,ME KIT,J481-J581,MIC ALS FLEX REBEND FIXTURE WITH HEAT STEP2,V1,STG</t>
  </si>
  <si>
    <t>1155618-01-R</t>
  </si>
  <si>
    <t>FXT,ME KIT,J481-J581,MIC ALS FLEX REBEND FIXTURE WITH HEAT STEP1,V2,STG</t>
  </si>
  <si>
    <t>1155530-01-R</t>
  </si>
  <si>
    <t>FXT,ME KIT,J481-J581,CGS AND LCM INSTALL TO HSG FIXTURE,STR</t>
  </si>
  <si>
    <t>1155523-01-R</t>
  </si>
  <si>
    <t>FXT,ME KIT,J271-J581,FINAL PRESS FIXTURE,STR</t>
  </si>
  <si>
    <t>1155520-01-R</t>
  </si>
  <si>
    <t>FXT,ME KIT,J481-J581,ANT1A2A SLOPE SCREW FLIP PROTECTIVE COVER,STR</t>
  </si>
  <si>
    <t>1155515-01-R</t>
  </si>
  <si>
    <t>FXT,ME KIT,J481-J581,CG PSA INSTALL FIXTURE,STR</t>
  </si>
  <si>
    <t>1148350-01</t>
  </si>
  <si>
    <t>FXT,ME,J581,WF7 TAPE ROUTING TOOL,STR</t>
  </si>
  <si>
    <t>1148348-01</t>
  </si>
  <si>
    <t>FXT,ME,J581,SHRAPNEL PROTECTION FIXTURE,STR</t>
  </si>
  <si>
    <t>1148333-02</t>
  </si>
  <si>
    <t>FXT,ME,J581,MAHI PRESS PEN,V02,STR</t>
  </si>
  <si>
    <t>1148331-01</t>
  </si>
  <si>
    <t>FXT,ME,J581,MAHI CONN PUSH TOOL,STR</t>
  </si>
  <si>
    <t>1148330-01</t>
  </si>
  <si>
    <t>FXT,ME,J581,MAHI CONN PRESS TOOL WITH PU,V02,STROLD: FXT,ME,J581,MAHI CONN PRESS TOOL WITH PU,STR</t>
  </si>
  <si>
    <t>FXT,ME,J581,MAHI CONN PRESS TOOL WITH PU,V02,STR</t>
  </si>
  <si>
    <t>1148329-02</t>
  </si>
  <si>
    <t>FXT,ME,J581,MAHI CONN PRESS STICK TOOL WITH PU,V02,STR</t>
  </si>
  <si>
    <t>1148329-01</t>
  </si>
  <si>
    <t>FXT,ME,J581,MAHI CONN PRESS STICK TOOL WITH PU,STR</t>
  </si>
  <si>
    <t>1148328-02</t>
  </si>
  <si>
    <t>FXT,ME,J581,MAHI BEND UP WIRE BLOCK,V02,STR</t>
  </si>
  <si>
    <t>1148325-01</t>
  </si>
  <si>
    <t>FXT,ME,J581,IO WRAP TAPE ALIGN FIXTURE,STR</t>
  </si>
  <si>
    <t>1148324-01</t>
  </si>
  <si>
    <t>FXT,ME,J581,HSG CLEAN GLUE PROTECTIVE COVER-WF,STR</t>
  </si>
  <si>
    <t>1148323-01</t>
  </si>
  <si>
    <t>FXT,ME,J581,HSG CLEAN GLUE PROTECTIVE COVER-CELL,STR</t>
  </si>
  <si>
    <t>1148321-01</t>
  </si>
  <si>
    <t>FXT,ME,J581,GB-FINAL PRESS FIXTURE,STR</t>
  </si>
  <si>
    <t>1148320-01</t>
  </si>
  <si>
    <t>FXT,ME,J581,FINAL PRESS FIXTURE,STR</t>
  </si>
  <si>
    <t>1148316-01</t>
  </si>
  <si>
    <t>FXT,ME,J581,CGS AND LCM INSTALL TO HSG FIXTURE,STR</t>
  </si>
  <si>
    <t>1148314-01</t>
  </si>
  <si>
    <t>FXT,ME,J581,GB2-NC-CG PSA INSTALL FIXTURE,STR</t>
  </si>
  <si>
    <t>1148313-01</t>
  </si>
  <si>
    <t>FXT,ME,J581,CG PSA INSTALL FIXTURE,STR</t>
  </si>
  <si>
    <t>1148312-01</t>
  </si>
  <si>
    <t>FXT,ME,J581,GB1-NC-CG PSA INSTALL FIXTURE,STR</t>
  </si>
  <si>
    <t>1148310-02</t>
  </si>
  <si>
    <t>FXT,ME,J581,BATTERY PROTECTIVE COVER,V4,STG</t>
  </si>
  <si>
    <t>1148310-01</t>
  </si>
  <si>
    <t>FXT,ME,J581,BATTERY PROTECTIVE COVER,STR</t>
  </si>
  <si>
    <t>1148297-01</t>
  </si>
  <si>
    <t>FXT,ME,J581,ANT1A2A SLOPE SCREW FLIP PROTECTIVE COVER,STR</t>
  </si>
  <si>
    <t>1128211-01</t>
  </si>
  <si>
    <t>FXT,CAR,NC,WIFI CAN THERMAL NOZZLE FIXTURE MLB A,STRONG</t>
  </si>
  <si>
    <t>FXT,CAR,J581,WIFI CAN HOT GUN NOZZLE FIXTURE,NC MLB A,SR</t>
  </si>
  <si>
    <t>1128198-01</t>
  </si>
  <si>
    <t>FXT,CAR,NC,RF CAN THERMAL NOZZLE FIXTURE MLB B,STRONG</t>
  </si>
  <si>
    <t>FXT,CAR,J581,RF CAN THERMAL NOZZLE FIXTURE NC MLB B,SR</t>
  </si>
  <si>
    <t>1128169-01</t>
  </si>
  <si>
    <t>FXT,CAR,NC,MID CAN THERMAL NOZZLE FIXTURE MLB,STRONG</t>
  </si>
  <si>
    <t>FXT,CAR,J581,MID CAN HOT GUN NOZZLE FIXTURE,NC MLB B,SR</t>
  </si>
  <si>
    <t>1128157-01</t>
  </si>
  <si>
    <t>FXT,CAR,NC,BB CAN THERMAL NOZZLE FIXTURE MLB B,STRONG</t>
  </si>
  <si>
    <t>FXT,CAR,J581,BB CAN THERMAL NOZZLE FIXTURE NC MLB B,SR</t>
  </si>
  <si>
    <t>1128155-01</t>
  </si>
  <si>
    <t>FXT,CAR,NC,AP CAN THERMAL NOZZLE FIXTURE MLB B,STRONG</t>
  </si>
  <si>
    <t>FXT,CAR,J581,AP CAN THERMAL NOZZLE FIXTURE NC MLB B,SR</t>
  </si>
  <si>
    <t>1128154-01</t>
  </si>
  <si>
    <t>FXT,CAR,NC,AP CAN THERMAL NOZZLE FIXTURE MLB A,STRONG</t>
  </si>
  <si>
    <t>FXT,CAR,J581,AP CAN THERMAL NOZZLE FIXTURE NC MLB A,SR</t>
  </si>
  <si>
    <t>1128151-01</t>
  </si>
  <si>
    <t>FXT,FXT,J581,ACE CAN HOT GUN NOZZLE FIXTURE,NC MLB B,SR</t>
  </si>
  <si>
    <t>FXT,CAR,NC,ACE CAN THERMAL NOZZLE FIXTURE MLB,STRONG</t>
  </si>
  <si>
    <t>1048623-01</t>
  </si>
  <si>
    <t>FXT,FXT,CARRIER CURING SHELF FOR RE MLB,STRONG</t>
  </si>
  <si>
    <t>1045660-04</t>
  </si>
  <si>
    <t>FXT,FXT,J481,IO USB-C INSTALL ALT FIXTURE,REV04,SR</t>
  </si>
  <si>
    <t>1043833-01-R</t>
  </si>
  <si>
    <t>EQP,EQP KIT,J271-J481,CG TAKE APART,SR</t>
  </si>
  <si>
    <t>1025410-02</t>
  </si>
  <si>
    <t>FXT,FXT,J481,TM UNIVERSAL NEST FOR GE,REV03,SR</t>
  </si>
  <si>
    <t>-</t>
  </si>
  <si>
    <t>NC-IO USB-C INSTALL ALT FIXTURE_RETROFIT</t>
  </si>
  <si>
    <t>99780-01</t>
  </si>
  <si>
    <t>FIXT,ME,QQ-BATTERY PICKUP FIXTURE NEST</t>
  </si>
  <si>
    <t>99779-02</t>
  </si>
  <si>
    <t>FIXT,ME,QQ-BATTERY PICKUP FIXTURE</t>
  </si>
  <si>
    <t>1203698-01</t>
  </si>
  <si>
    <t>TD-RC GND TAPE PUSH TOOL</t>
  </si>
  <si>
    <t>1203697-01</t>
  </si>
  <si>
    <t>TD-ANT2 SCREW FLIP PROTECTIVE FIXTURE</t>
  </si>
  <si>
    <t>1203696-01</t>
  </si>
  <si>
    <t>TD-WF8 FLEX REBEND FIXTURE</t>
  </si>
  <si>
    <t>1203695-01</t>
  </si>
  <si>
    <t>TD-ANT3B SCREW FLIP PROTECTIVE FIXTURE</t>
  </si>
  <si>
    <t>1203694-01</t>
  </si>
  <si>
    <t>TD-ANT3A FASTEN SLOPE SCREW HOLDER</t>
  </si>
  <si>
    <t>1203693-01</t>
  </si>
  <si>
    <t>TD-ANT2 AND ANT3A SCREW ANGLE NEST</t>
  </si>
  <si>
    <t>1203692-01</t>
  </si>
  <si>
    <t>TD-ANT1 FASTEN SLOPE SCREW HOLDER</t>
  </si>
  <si>
    <t>1203691-01</t>
  </si>
  <si>
    <t>TD-ANT1 AND ANT2 SCREW ANGLE NEST</t>
  </si>
  <si>
    <t>1203672-01-R</t>
  </si>
  <si>
    <t>TD-BATTERY TAKE APART WITH HEAT FIXTURE RETROFIT J410 TO J510</t>
  </si>
  <si>
    <t>1203671-01-R</t>
  </si>
  <si>
    <t>TD-BURN IN CLAMP OPEN FIXTURE RETROFIT FROM J410 TO J510</t>
  </si>
  <si>
    <t>1202210-01</t>
  </si>
  <si>
    <t>1202182-01</t>
  </si>
  <si>
    <t>FXT,FXT,J510,SHIELD PRESS SEMI AUTO FIXTURE,TOAD MLB A</t>
  </si>
  <si>
    <t>1202177-01</t>
  </si>
  <si>
    <t>FXT,FXT,J510,SHIELD PRESS SEMI AUTO FIXTURE, TOAD MLB B</t>
  </si>
  <si>
    <t>1202172-01</t>
  </si>
  <si>
    <t>1202169-01</t>
  </si>
  <si>
    <t>1202165-01</t>
  </si>
  <si>
    <t>FXT,CAR,J510,TOPBOARD OMM FIXTURE,TOAD MLB A</t>
  </si>
  <si>
    <t>1202163-01</t>
  </si>
  <si>
    <t>FXT,CAR,J510,TOPBOARD OMM FIXTURE, TOAD MLB B</t>
  </si>
  <si>
    <t>1202159-01</t>
  </si>
  <si>
    <t>1202157-01</t>
  </si>
  <si>
    <t>1202154-01</t>
  </si>
  <si>
    <t>FXT,CAR,J510,TOP SMT PANEL OMM FIXTURE,TOAD MLB A</t>
  </si>
  <si>
    <t>1202151-01</t>
  </si>
  <si>
    <t>FXT,CAR,J510,TOP SMT PANEL OMM FIXTURE, TOAD MLB B</t>
  </si>
  <si>
    <t>1202148-01</t>
  </si>
  <si>
    <t>1202145-01</t>
  </si>
  <si>
    <t>1202140-01</t>
  </si>
  <si>
    <t>FXT,CAR,J510,SINGLE BOARD X-RAY FIXTURE,TOAD MLB A</t>
  </si>
  <si>
    <t>1202136-01</t>
  </si>
  <si>
    <t>FXT,CAR,J510,SINGLE BOARD X-RAY FIXTURE, TOAD MLB B</t>
  </si>
  <si>
    <t>1202134-01</t>
  </si>
  <si>
    <t>FXT,CAR,J510,SINGLE BOARD OMM FIXTURE,TOAD MLB A</t>
  </si>
  <si>
    <t>1202130-01</t>
  </si>
  <si>
    <t>FXT,CAR,J510,SINGLE BOARD OMM FIXTURE, TOAD MLB B</t>
  </si>
  <si>
    <t>1202128-01</t>
  </si>
  <si>
    <t>1202124-01</t>
  </si>
  <si>
    <t>1202123-01</t>
  </si>
  <si>
    <t>FXT,CAR,J510,PSA PRESS SEMI AUTO FIXTURE,TOAD MLB A</t>
  </si>
  <si>
    <t>1202119-01</t>
  </si>
  <si>
    <t>FXT,CAR,J510,PSA PRESS SEMI AUTO FIXTURE, TOAD MLB B</t>
  </si>
  <si>
    <t>1202117-01</t>
  </si>
  <si>
    <t>FXT,CAR,J510,PRINTING SUPPORT BLOCK 2ND,TOAD MLB A</t>
  </si>
  <si>
    <t>1202113-01</t>
  </si>
  <si>
    <t>FXT,CAR,J510,PRINTING SUPPORT BLOCK 2ND, TOAD MLB B</t>
  </si>
  <si>
    <t>1202110-01</t>
  </si>
  <si>
    <t>FXT,CAR,J510,PRINTING SUPPORT BLOCK 1ST,TOAD MLB A</t>
  </si>
  <si>
    <t>1202108-01</t>
  </si>
  <si>
    <t>FXT,CAR,J510,PRINTING SUPPORT BLOCK 1ST, TOAD MLB B</t>
  </si>
  <si>
    <t>1202105-01</t>
  </si>
  <si>
    <t>1202100-01</t>
  </si>
  <si>
    <t>1202097-01</t>
  </si>
  <si>
    <t>1202095-01</t>
  </si>
  <si>
    <t>1202091-01</t>
  </si>
  <si>
    <t>FXT,CAR,J510,PRE AOI X-RAY PB FIXTURE,TOAD MLB A</t>
  </si>
  <si>
    <t>1202090-01</t>
  </si>
  <si>
    <t>FXT,CAR,J510,PRE AOI X-RAY PB FIXTURE, TOAD MLB B</t>
  </si>
  <si>
    <t>1202085-01</t>
  </si>
  <si>
    <t>FXT,CAR,J510,POST ROUTER INSPECT FIXTURE,TOAD MLB A</t>
  </si>
  <si>
    <t>1202083-01</t>
  </si>
  <si>
    <t>FXT,CAR,J510,POST ROUTER INSPECT FIXTURE, TOAD MLB B</t>
  </si>
  <si>
    <t>1202080-01</t>
  </si>
  <si>
    <t>FXT,CAR,J510,MYLAR ROLLING BRACKET FIXTURE,TOAD MLB B</t>
  </si>
  <si>
    <t>1202078-01</t>
  </si>
  <si>
    <t>FXT,CAR,J510,MYLAR ROLLING BRACKET FIXTURE,TOAD MLB A</t>
  </si>
  <si>
    <t>1202075-01</t>
  </si>
  <si>
    <t>FXT,CAR,J510,LASER CHECKING FIXTURE,TOAD MLB A</t>
  </si>
  <si>
    <t>1202072-01</t>
  </si>
  <si>
    <t>FXT,CAR,J510,LASER CHECKING FIXTURE, TOAD MLB B</t>
  </si>
  <si>
    <t>1202068-01</t>
  </si>
  <si>
    <t>FXT,CAR,J510,FOAM PRESS SEMI AUTO FIXTURE,TOAD MLB A</t>
  </si>
  <si>
    <t>1202066-01</t>
  </si>
  <si>
    <t>FXT,CAR,J510,FOAM PRESS SEMI AUTO FIXTURE, TOAD MLB B</t>
  </si>
  <si>
    <t>1202061-01</t>
  </si>
  <si>
    <t>1202058-01</t>
  </si>
  <si>
    <t>1202051-01</t>
  </si>
  <si>
    <t>FXT,CAR,J510,BOT SMT PANEL OMM FIXTURE,TOAD MLB A</t>
  </si>
  <si>
    <t>1202047-01</t>
  </si>
  <si>
    <t>FXT,CAR,J510,BOT SMT PANEL OMM FIXTURE, TOAD MLB B</t>
  </si>
  <si>
    <t>1202042-01</t>
  </si>
  <si>
    <t>FXT,CAR,J510,AUTO ROUTER COVER,TOAD MLB A</t>
  </si>
  <si>
    <t>1202038-01</t>
  </si>
  <si>
    <t>FXT,CAR,J510,AUTO ROUTER COVER, TOAD MLB B</t>
  </si>
  <si>
    <t>1202035-01</t>
  </si>
  <si>
    <t>FXT,CAR,J510,AUTO ROUTER BLOCK,TOAD MLB A</t>
  </si>
  <si>
    <t>1202034-01</t>
  </si>
  <si>
    <t>FXT,CAR,J510,AUTO ROUTER BLOCK, TOAD MLB B</t>
  </si>
  <si>
    <t>1202030-01</t>
  </si>
  <si>
    <t>1202026-01</t>
  </si>
  <si>
    <t>1200594-01</t>
  </si>
  <si>
    <t>FXT,FXT,J510,GB-UV CURING FOR CG MIC,SR</t>
  </si>
  <si>
    <t>1200495-01</t>
  </si>
  <si>
    <t>FXT,FXT,J510,VB BKT TO FLEX ASSY FIXTURE-WF,SR</t>
  </si>
  <si>
    <t>1200492-01</t>
  </si>
  <si>
    <t>FXT,FXT,J510,TM GND TAPE PRESS PEN,SR</t>
  </si>
  <si>
    <t>1200491-01</t>
  </si>
  <si>
    <t>FXT,FXT,J510,TM GND TAPE PRESS FIXTURE-WF,SR</t>
  </si>
  <si>
    <t>1200490-01</t>
  </si>
  <si>
    <t>FXT,FXT,J510,TM GND TAPE ALIGN FIXTURE-WF,SR</t>
  </si>
  <si>
    <t>1200480-01</t>
  </si>
  <si>
    <t>FXT,FXT,J510,PB FLEX MODULE INSTALL FIXTURE,SR</t>
  </si>
  <si>
    <t>1200448-01</t>
  </si>
  <si>
    <t>FXT,FXT,J510,C4 WOOFER ALIGN FIXTURE-WF,SR</t>
  </si>
  <si>
    <t>1200444-01</t>
  </si>
  <si>
    <t>FXT,FXT,J510,C4 WOOFER VACUUM FIXTURE,SR</t>
  </si>
  <si>
    <t>1200443-01</t>
  </si>
  <si>
    <t>FXT,FXT,J510,C4 WOOFER ALIGN FIXTURE-CELL,SR</t>
  </si>
  <si>
    <t>1200440-01</t>
  </si>
  <si>
    <t>FXT,FXT,J510,C4 ALS FOAM PRESS FIXTURE,SR</t>
  </si>
  <si>
    <t>1200432-01</t>
  </si>
  <si>
    <t>FXT,FXT,J510,C3 REAR MIC STROBE ALIGN FIXTURE,SR</t>
  </si>
  <si>
    <t>1200430-01</t>
  </si>
  <si>
    <t>FXT,FXT,J510,C3 REAR MIC FLEX ALIGN FIXTURE,SR</t>
  </si>
  <si>
    <t>1200424-01</t>
  </si>
  <si>
    <t>FXT,FXT,J510,C1 WOOFER ALIGN FIXTURE,SR</t>
  </si>
  <si>
    <t>1200423-01</t>
  </si>
  <si>
    <t>FXT,FXT,J510,C1 WOOFER VACUUM FIXTURE,SR</t>
  </si>
  <si>
    <t>1200416-01</t>
  </si>
  <si>
    <t>FXT,FXT,J510,BI SHIM FLIP ALIGN FIXTURE,SR</t>
  </si>
  <si>
    <t>1200411-01</t>
  </si>
  <si>
    <t>FXT,FXT,J510,ANT4 FASTEN SLOPE SCREW HOLDER,SR</t>
  </si>
  <si>
    <t>1200410-01</t>
  </si>
  <si>
    <t>FXT,FXT,J510,ANT3B TAB REBEND FIXTURE,SR</t>
  </si>
  <si>
    <t>1200408-01</t>
  </si>
  <si>
    <t>FXT,FXT,J510,ANT3B AND ANT4 SCREW ANGLE NEST,SR</t>
  </si>
  <si>
    <t>1200388-01</t>
  </si>
  <si>
    <t>FXT,FXT,J510,WF8 GND TAPE FLIP ALIGN FIXTURE FOR REPAIR,SR</t>
  </si>
  <si>
    <t>1200386-01</t>
  </si>
  <si>
    <t>FXT,FXT,J510,WF7 GND TAPE FLIP ALIGN FIXTURE FOR REPAIR,SR</t>
  </si>
  <si>
    <t>1200380-01</t>
  </si>
  <si>
    <t>FXT,FXT,J510,WF5T CARRIER SHEET FLIP ALIGN FIXTURE-WF FOR REPAIR,SR</t>
  </si>
  <si>
    <t>1200379-01</t>
  </si>
  <si>
    <t>FXT,FXT,J510,WF5B CARRIER SHEET FLIP ALIGN FIXTURE-WF FOR REPAIR,SR</t>
  </si>
  <si>
    <t>1200376-01</t>
  </si>
  <si>
    <t>FXT,FXT,J510,VB FLEX SIDEWALL PRESS PEN-WF,SR</t>
  </si>
  <si>
    <t>1200375-01</t>
  </si>
  <si>
    <t>FXT,FXT,J510,VB FLEX FLIP ALIGN FIXTURE-WF,SR</t>
  </si>
  <si>
    <t>1200374-01</t>
  </si>
  <si>
    <t>FXT,FXT,J510,VB FEELING ADJUST TOOL-CELL FOR REPAIR,SR</t>
  </si>
  <si>
    <t>1200373-01</t>
  </si>
  <si>
    <t>FXT,FXT,J510,VB BKT TO FLEX ASSY FIXTURE-CELL,SR</t>
  </si>
  <si>
    <t>1200372-01</t>
  </si>
  <si>
    <t>FXT,FXT,J510,UV CURING NEST FOR CG MIC BKT,SR</t>
  </si>
  <si>
    <t>1200371-01</t>
  </si>
  <si>
    <t>FXT,FXT,J510,UNIVERSAL UV CURING FIXTURE FOR SUB,SR</t>
  </si>
  <si>
    <t>1200369-01</t>
  </si>
  <si>
    <t>FXT,FXT,J510,TM VACUUM BALL,SR</t>
  </si>
  <si>
    <t>1200368-01</t>
  </si>
  <si>
    <t>FXT,FXT,J510,TM INSTALL TO HSG FIXTURE FOR REPAIR,SR</t>
  </si>
  <si>
    <t>1200367-01</t>
  </si>
  <si>
    <t>FXT,FXT,J510,TM INSTALL TO HSG FIXTURE,SR</t>
  </si>
  <si>
    <t>1200365-01</t>
  </si>
  <si>
    <t>FXT,FXT,J510,SPK MESH PROTECTIVE COVER WITH HOLDER-WF,SR</t>
  </si>
  <si>
    <t>1200364-01</t>
  </si>
  <si>
    <t>FXT,FXT,J510,SPK MESH PROTECTIVE COVER WITH HOLDER-CELL,SR</t>
  </si>
  <si>
    <t>1200363-01</t>
  </si>
  <si>
    <t>FXT,FXT,J510,ROLLBAR NEST PICK UP TOOL,SR</t>
  </si>
  <si>
    <t>1200358-01</t>
  </si>
  <si>
    <t>FXT,FXT,J510,PB ROLLBAR NEST INSTALL FIXTURE,SR</t>
  </si>
  <si>
    <t>1200357-01</t>
  </si>
  <si>
    <t>FXT,FXT,J510,PB FLEX TO HSG PRESS FIXTURE,SR</t>
  </si>
  <si>
    <t>1200348-01</t>
  </si>
  <si>
    <t>FXT,FXT,J510,MAHI PRESS TOOL,SR</t>
  </si>
  <si>
    <t>1200347-01</t>
  </si>
  <si>
    <t>FXT,FXT,J510,MAHI HOLDING TOOL,SR</t>
  </si>
  <si>
    <t>1200346-01</t>
  </si>
  <si>
    <t>FXT,FXT,J510,MAHI ARRANGE TOOL,SR</t>
  </si>
  <si>
    <t>1200345-01</t>
  </si>
  <si>
    <t>FXT,FXT,J510,IO FLEX TAKE APART SHIM,SR</t>
  </si>
  <si>
    <t>1200341-01</t>
  </si>
  <si>
    <t>FXT,FXT,J510,IO FLEX INSTALL FIXTURE,SR</t>
  </si>
  <si>
    <t>1200340-01</t>
  </si>
  <si>
    <t>FXT,FXT,J510,IO ASSY TOOL,SR</t>
  </si>
  <si>
    <t>1200337-01</t>
  </si>
  <si>
    <t>FXT,FXT,J510,INSTALL DISPLAY SHIELDING SEMI-AUTO MACHINE,SR</t>
  </si>
  <si>
    <t>1200334-01</t>
  </si>
  <si>
    <t>FXT,FXT,J510,GRAPE FLEX REBEND FIXTURE STEP2,SR</t>
  </si>
  <si>
    <t>1200333-01</t>
  </si>
  <si>
    <t>FXT,FXT,J510,GRAPE FLEX REBEND FIXTURE STEP1,SR</t>
  </si>
  <si>
    <t>1200328-01</t>
  </si>
  <si>
    <t>FXT,FXT,J510,FH SPK CABLE ALIGN FIXTURE-WF,SR</t>
  </si>
  <si>
    <t>1200327-01</t>
  </si>
  <si>
    <t>FXT,FXT,J510,FH SPK CABLE ALIGN FIXTURE-CELL,SR</t>
  </si>
  <si>
    <t>1200324-01</t>
  </si>
  <si>
    <t>FXT,FXT,J510,EDP FLEX REBEND FIXTURE STEP2 OPT2,SR</t>
  </si>
  <si>
    <t>1200323-01</t>
  </si>
  <si>
    <t>FXT,FXT,J510,EDP FLEX REBEND FIXTURE STEP2 OPT1,SR</t>
  </si>
  <si>
    <t>1200321-01</t>
  </si>
  <si>
    <t>FXT,FXT,J510,EDP FLEX REBEND FIXTURE STEP1.5,SR</t>
  </si>
  <si>
    <t>1200320-01</t>
  </si>
  <si>
    <t>FXT,FXT,J510,EDP FLEX REBEND FIXTURE STEP1,SR</t>
  </si>
  <si>
    <t>1200319-01</t>
  </si>
  <si>
    <t>FXT,FXT,J510,DISPLAY SHIELDING PTPS,SR</t>
  </si>
  <si>
    <t>1200315-01</t>
  </si>
  <si>
    <t>FXT,FXT,J510,CH SPK CABLE ALIGN FIXTURE,SR</t>
  </si>
  <si>
    <t>1200313-01</t>
  </si>
  <si>
    <t>FXT,FXT,J510,CG MIC TO AR INSTALL FIXTURE,SR</t>
  </si>
  <si>
    <t>1200308-01</t>
  </si>
  <si>
    <t>FXT,FXT,J510,C4 ALS ALIGN FIXTURE,SR</t>
  </si>
  <si>
    <t>1200307-01</t>
  </si>
  <si>
    <t>FXT,FXT,J510,C3 BVENT FLIP ALIGN FIXTURE FOR REPAIR,SR</t>
  </si>
  <si>
    <t>1200305-01</t>
  </si>
  <si>
    <t>FXT,FXT,J510,C2 ALS FOAM PRESS FIXTURE,SR</t>
  </si>
  <si>
    <t>1200298-01</t>
  </si>
  <si>
    <t>FXT,FXT,J510,BATTERY PROTECTIVE COVER FOR 2 IN 1,SR</t>
  </si>
  <si>
    <t>1200294-01</t>
  </si>
  <si>
    <t>FXT,FXT,J510,ANT4 SCREW FLIP PROTECTIVE FIXTURE,SR</t>
  </si>
  <si>
    <t>1200293-01</t>
  </si>
  <si>
    <t>FXT,FXT,J510,ANT4 PSA PRESS PEN,SR</t>
  </si>
  <si>
    <t>1200292-01</t>
  </si>
  <si>
    <t>FXT,FXT,J510,ANT4 FLEX REBEND FIXTURE STEP3,SR</t>
  </si>
  <si>
    <t>1200291-01</t>
  </si>
  <si>
    <t>FXT,FXT,J510,ANT4 FLEX REBEND FIXTURE STEP2,SR</t>
  </si>
  <si>
    <t>1200290-01</t>
  </si>
  <si>
    <t>FXT,FXT,J510,ANT4 FLEX REBEND FIXTURE STEP1,SR</t>
  </si>
  <si>
    <t>1200288-01</t>
  </si>
  <si>
    <t>FXT,FXT,J510,ANT3A SCREW FLIP PROTECTIVE FIXTURE,SR</t>
  </si>
  <si>
    <t>1200287-01</t>
  </si>
  <si>
    <t>FXT,FXT,J510,ANT3A PSA PRESS PEN,SR</t>
  </si>
  <si>
    <t>1200286-01</t>
  </si>
  <si>
    <t>FXT,FXT,J510,ANT2 FLEX REBEND FIXTURE,SR</t>
  </si>
  <si>
    <t>1200285-01</t>
  </si>
  <si>
    <t>FXT,FXT,J510,ANT1 SCREW FLIP PROTECTIVE FIXTURE,SR</t>
  </si>
  <si>
    <t>1200284-01</t>
  </si>
  <si>
    <t>FXT,FXT,J510,ANT CONNECTOR PRESS PEN,SR</t>
  </si>
  <si>
    <t>1191263-01</t>
  </si>
  <si>
    <t>FXT,OTHER,J510,OVENFIXTURERACK,TOADLIFT,STRONG</t>
  </si>
  <si>
    <t>1191261-01</t>
  </si>
  <si>
    <t>FXT,CAR,J510,OVENFIXTURE,TOADLIFT,STRONG</t>
  </si>
  <si>
    <t>1191260-01</t>
  </si>
  <si>
    <t>FXT,CAR,J510,MCO FIXTURE,TOAD LIFT,STRONG</t>
  </si>
  <si>
    <t>1191257-01</t>
  </si>
  <si>
    <t>FXT,CAR,J510,AUTO ROUTER BLOCK,LIFT FEM+BB FOR DE-PANEL MACHINE,STRONG</t>
  </si>
  <si>
    <t>1026400-01</t>
  </si>
  <si>
    <t>FXT,FXT,J410,RC GND TAPE PUSH TOOL,REV01,SR</t>
  </si>
  <si>
    <t>1026392-01</t>
  </si>
  <si>
    <t>FXT,FXT,J410,MLB TAKE APART TOOL,V01,SR</t>
  </si>
  <si>
    <t>1026391-01</t>
  </si>
  <si>
    <t>FXT,FXT,J410,MLB TAKE APART SHIM,V02,SR</t>
  </si>
  <si>
    <t>1026342-01</t>
  </si>
  <si>
    <t>FXT,FXT,J410,COEX CONN INSTALL TOOL,REV01,SR</t>
  </si>
  <si>
    <t>1008589-01</t>
  </si>
  <si>
    <t>FXT,ME,J720,COEX CONN INSTALL TOOL,STG</t>
  </si>
  <si>
    <t>SUZHOU FARPULL INTELLIGENT EQUIPMENT CO., LTD.</t>
  </si>
  <si>
    <t>265979-01</t>
  </si>
  <si>
    <t>FIXT,ME,GB- ALIGN FIXTURE FOR REPAIR,LR,FP</t>
  </si>
  <si>
    <t xml:space="preserve">Retrofit </t>
  </si>
  <si>
    <t>1205697-01-R</t>
  </si>
  <si>
    <t>FXT,ME KIT,J481-J581,ANT3B REBEND FIXTURE 2 IN 1,FP</t>
  </si>
  <si>
    <t>1205539-01-R</t>
  </si>
  <si>
    <t>FXT,ME,J481-J581,ANT CABLE PRESS FIXTURE WITH CLAMP,V03,FP</t>
  </si>
  <si>
    <t>FXT,ME KIT,J481-J581,ANT CABLE PRESS FIXTURE WITH CLAMP,V03,FP</t>
  </si>
  <si>
    <t>1205423-01</t>
  </si>
  <si>
    <t>FXT,ME,J581,GB MAHI CONN INSTALL HOLDING NEST,V01,FP</t>
  </si>
  <si>
    <t>1205422-01</t>
  </si>
  <si>
    <t>FXT,ME,J581,GB CG PSA INSTALL FIXTURE FOR REPAIR,V01,FP</t>
  </si>
  <si>
    <t>1205419-01</t>
  </si>
  <si>
    <t>FXT,ME,J581,ANT4 REBEND FIXTURE 2 IN 1,V01,FP</t>
  </si>
  <si>
    <t>1204156-01</t>
  </si>
  <si>
    <t>FXT,ME,J581,MAHI WITH TAB REMOVE COIL NEST,V02,FP</t>
  </si>
  <si>
    <t>1204154-01</t>
  </si>
  <si>
    <t>FXT,ME,J581,MAHI V5 FLEX BEND UP TOOL,V2,FP</t>
  </si>
  <si>
    <t>1204153-01</t>
  </si>
  <si>
    <t>FXT,ME,J581,MAHI CONN WITH TAB REMOVE TOOL,V2,FP</t>
  </si>
  <si>
    <t>1204152-01</t>
  </si>
  <si>
    <t>FXT,ME,J581,MAHI CONN INSTALL HOLDING NEST,V2,FP</t>
  </si>
  <si>
    <t>1204150-01</t>
  </si>
  <si>
    <t>FXT,ME,J581,LCM SCREW FLIP PROTECTIVE COVER,V01,FP</t>
  </si>
  <si>
    <t>1204148-01</t>
  </si>
  <si>
    <t>FXT,ME,J581,GB-MAHI WITH TAB REMOVE COIL NEST,V1,FP</t>
  </si>
  <si>
    <t>1204142-01</t>
  </si>
  <si>
    <t>FXT,ME,J581,C1 SPK ALIGN TOOL FOR REPAIR,V01,FP</t>
  </si>
  <si>
    <t>1203706-01</t>
  </si>
  <si>
    <t>TD-BATTERY PROTECTIVE COVER</t>
  </si>
  <si>
    <t>1203705-01</t>
  </si>
  <si>
    <t>TD-VB BKT ASSY AND PRESS FIXTURE-CELL</t>
  </si>
  <si>
    <t>1203664-01-R</t>
  </si>
  <si>
    <t>FXT,ME,J481-J581,ANT4 REBEND FIXTURE 2 IN 1,V01,FP</t>
  </si>
  <si>
    <t>FXT,ME KIT,J481-J581,ANT4 REBEND FIXTURE 2 IN 1,V01,FP</t>
  </si>
  <si>
    <t>1203455-01</t>
  </si>
  <si>
    <t>TD-VB BUTTON CLIP ANGLE NEST</t>
  </si>
  <si>
    <t>1200603-01</t>
  </si>
  <si>
    <t>FXT,FXT,J510,HYPERION FLEX CONN ARRANGE FIXTURE WITH DINO,FP</t>
  </si>
  <si>
    <t>1200602-01</t>
  </si>
  <si>
    <t>FXT,FXT,J510,CG TAKE APART TOOL-2,FP</t>
  </si>
  <si>
    <t>1200508-01</t>
  </si>
  <si>
    <t>FXT,FXT,J510,WF5T FLIP ALIGN FIXTURE FOR REPAIR,FP</t>
  </si>
  <si>
    <t>1200507-01</t>
  </si>
  <si>
    <t>FXT,FXT,J510,WF5B FLIP ALIGN FIXTURE FOR REPAIR,FP</t>
  </si>
  <si>
    <t>1200506-01</t>
  </si>
  <si>
    <t>FXT,FXT,J510,WF5B AND 5T ANGLE NEST,FP</t>
  </si>
  <si>
    <t>1200502-01</t>
  </si>
  <si>
    <t>FXT,FXT,J510,VB FEELING ADJUST TOOL-WF FOR REPAIR,FP</t>
  </si>
  <si>
    <t>1200494-01</t>
  </si>
  <si>
    <t>FXT,FXT,J510,VB BKT ASSY AND PRESS FIXTURE-WF,FP</t>
  </si>
  <si>
    <t>1200489-01</t>
  </si>
  <si>
    <t>TOAD-TM CLEANING STICK FOR REPAIR</t>
  </si>
  <si>
    <t>1200488-01</t>
  </si>
  <si>
    <t>FXT,FXT,J510,TM CLEANING PROTECT COVER FOR REPAIR,FP</t>
  </si>
  <si>
    <t>1200485-01</t>
  </si>
  <si>
    <t>FXT,FXT,J510,PISCO VACUUM PEN,FP</t>
  </si>
  <si>
    <t>1200481-01</t>
  </si>
  <si>
    <t>FXT,FXT,J510,PB FLEX TO BKT ASSY FIXTURE,FP</t>
  </si>
  <si>
    <t>1200478-01</t>
  </si>
  <si>
    <t>FXT,FXT,J510,PB BUTTON CLIP ANGLE NEST,FP</t>
  </si>
  <si>
    <t>1200476-01</t>
  </si>
  <si>
    <t>FXT,FXT,J510,PB BKT ASSY AND PRESS FIXTURE,FP</t>
  </si>
  <si>
    <t>1200475-01</t>
  </si>
  <si>
    <t>FXT,FXT,J510,PB BKT ASSY AND PRESS FIXTURE STEP2,FP</t>
  </si>
  <si>
    <t>1200466-01</t>
  </si>
  <si>
    <t>FXT,FXT,J510,HARDPAD-WF,FP</t>
  </si>
  <si>
    <t>1200465-01</t>
  </si>
  <si>
    <t>FXT,FXT,J510,HARDPAD-CELL,FP</t>
  </si>
  <si>
    <t>1200463-01</t>
  </si>
  <si>
    <t>FXT,FXT,J510,FH WOOFER FOAM ALIGN FIXTURE-CELL,FP</t>
  </si>
  <si>
    <t>1200456-01</t>
  </si>
  <si>
    <t>FXT,FXT,J510,CH SPK CABLE GNG TOOL,FP</t>
  </si>
  <si>
    <t>1200454-01</t>
  </si>
  <si>
    <t>FXT,FXT,J510,CG PSA INSTALL FIXTURE FOR REPAIR,FP</t>
  </si>
  <si>
    <t>1200415-01</t>
  </si>
  <si>
    <t>FXT,FXT,J510,BATTERY PROTECTIVE COVER 2 IN 1 FOR REPAIR,FP</t>
  </si>
  <si>
    <t>1200414-01</t>
  </si>
  <si>
    <t>FXT,FXT,J510,BATTERY PROTECTIVE COVER FOR REPAIR,FP</t>
  </si>
  <si>
    <t>1200413-01</t>
  </si>
  <si>
    <t>FXT,FXT,J510,BATTERY ALIGN FIXTURE,FP</t>
  </si>
  <si>
    <t>1200405-01</t>
  </si>
  <si>
    <t>FXT,FXT,J510,ANT2 CABLE CLIP PRESS FIXTURE,FP</t>
  </si>
  <si>
    <t>1200404-01</t>
  </si>
  <si>
    <t>FXT,FXT,J510,ANT2 CABLE CLIP ALIGN FIXTURE,FP</t>
  </si>
  <si>
    <t>1200402-01</t>
  </si>
  <si>
    <t>FXT,FXT,J510,ANT1 GNG OPT1,FP</t>
  </si>
  <si>
    <t>1200401-01</t>
  </si>
  <si>
    <t>FXT,FXT,J510,ANT1 GNG OPT2,FP</t>
  </si>
  <si>
    <t>1156418-01-R</t>
  </si>
  <si>
    <t>FXT,ME KIT,J481-J581,LCM SCREW FLIP PROTECTIVE COVER,V01,FP</t>
  </si>
  <si>
    <t>1156417-01-R</t>
  </si>
  <si>
    <t>FXT,ME KIT,J481-J581,MLB FLIP ALIGN FIXTURE,V03,FP</t>
  </si>
  <si>
    <t>1156411-01-R</t>
  </si>
  <si>
    <t>FXT,ME KIT,J381-J581,CG PSA INSTALL FIXTURE FOR REPAIR,FP</t>
  </si>
  <si>
    <t>1156410-01-R</t>
  </si>
  <si>
    <t>FXT,ME KIT,J481-J581,MLB TAKE APART WITH HEAT FIXTURE,V01,FP</t>
  </si>
  <si>
    <t>1156408-01-R</t>
  </si>
  <si>
    <t>FXT,ME KIT,J581-J581,GRAPE PSA CLEANING FIXTURE,FP</t>
  </si>
  <si>
    <t>1148352-01</t>
  </si>
  <si>
    <t>FXT,ME,J581,GB-C3 ALS FLIP ALIGN FIXTURE,FP</t>
  </si>
  <si>
    <t>1148343-01</t>
  </si>
  <si>
    <t>FXT,ME,J581,MLB TAKE APART WITH HEAT FIXTURE,FP</t>
  </si>
  <si>
    <t>1148336-02</t>
  </si>
  <si>
    <t>FXT,ME,J581,GB-MLB FLIP ALIGN FIXTURE,V02,FP</t>
  </si>
  <si>
    <t>1148335-02</t>
  </si>
  <si>
    <t>FXT,ME,J581,MLB FLIP ALIGN FIXTURE,V03,FP</t>
  </si>
  <si>
    <t>1148334-01</t>
  </si>
  <si>
    <t>FXT,ME,J581,MIC ALS FLEX HOLDING BLOCK ALIGN FIXTURE,FP</t>
  </si>
  <si>
    <t>1148332-01</t>
  </si>
  <si>
    <t>FXT,ME,J581,MAHI FLEX PROTECTIVE COVER,FP</t>
  </si>
  <si>
    <t>1148322-01</t>
  </si>
  <si>
    <t>FXT,ME,J581,GRAPE PSA CLEANING FIXTURE,FP</t>
  </si>
  <si>
    <t>1148319-01</t>
  </si>
  <si>
    <t>FXT,ME,J581,GB-DUST SEAL FOAM INSTALL FIXTURE,FP</t>
  </si>
  <si>
    <t>1148318-01</t>
  </si>
  <si>
    <t>FXT,ME,J581,DUST SEAL FOAM INSTALL FIXTURE,FP</t>
  </si>
  <si>
    <t>1148315-01</t>
  </si>
  <si>
    <t>FXT,ME,J581,CG SPACER TOOL,FP</t>
  </si>
  <si>
    <t>1148311-01</t>
  </si>
  <si>
    <t>FXT,ME,J581,CG PSA INSTALL FIXTURE FOR REPAIR,FP</t>
  </si>
  <si>
    <t>1148309-02</t>
  </si>
  <si>
    <t>FXT,ME,J581,BATTERY PROTECTIVE COVER FOR MLB,V05,FP</t>
  </si>
  <si>
    <t>1148308-02</t>
  </si>
  <si>
    <t>FXT,ME,J581,BATTERY PROTECTIVE COVER FOR 3 IN 1,V03,FP</t>
  </si>
  <si>
    <t>1148301-01</t>
  </si>
  <si>
    <t>FXT,ME,J581,ANT3B REBEND FIXTURE 2 IN 1,FP</t>
  </si>
  <si>
    <t>1148298-02</t>
  </si>
  <si>
    <t>FXT,ME,J581,ANT3A SCREW FLIP PROTECTIVE COVER,V04,FP</t>
  </si>
  <si>
    <t>1148294-02</t>
  </si>
  <si>
    <t>FXT,ME,J581,GB-ANT CABLE PRESS FIXTURE WITH CLAMP,V03,FP</t>
  </si>
  <si>
    <t>1148293-02</t>
  </si>
  <si>
    <t>FXT,ME,J581,ANT CABLE PRESS FIXTURE WITH CLAMP,V03,FP</t>
  </si>
  <si>
    <t>1067968-01</t>
  </si>
  <si>
    <t>FXT,FXT,J481,VB BUTTOM TO HSG ASSY NEST,REV02,FP</t>
  </si>
  <si>
    <t>NC-HARD PAD-WF</t>
  </si>
  <si>
    <t>NC-HARD PAD-CELL</t>
  </si>
  <si>
    <t>FXT,ME,J581,HARD PAD-WF,V01,FP</t>
  </si>
  <si>
    <t>FXT,ME,J581,HARD PAD-CELL,V01,FP</t>
  </si>
  <si>
    <t>SECOTE</t>
  </si>
  <si>
    <t>218913-01</t>
  </si>
  <si>
    <t>FXT,FXT,MICROSCOPE,PWZD,MICROSCOPE FOR UF INSPECTION</t>
  </si>
  <si>
    <t>1202170-01</t>
  </si>
  <si>
    <t>1202167-01</t>
  </si>
  <si>
    <t>1202166-01</t>
  </si>
  <si>
    <t>1202161-01</t>
  </si>
  <si>
    <t>1202158-01</t>
  </si>
  <si>
    <t>1202156-01</t>
  </si>
  <si>
    <t>1202153-01</t>
  </si>
  <si>
    <t>1202150-01</t>
  </si>
  <si>
    <t>1202147-01</t>
  </si>
  <si>
    <t>1202143-01</t>
  </si>
  <si>
    <t>1202141-01</t>
  </si>
  <si>
    <t>1202137-01</t>
  </si>
  <si>
    <t>1202135-01</t>
  </si>
  <si>
    <t>1202131-01</t>
  </si>
  <si>
    <t>1202129-01</t>
  </si>
  <si>
    <t>1202125-01</t>
  </si>
  <si>
    <t>1202112-01</t>
  </si>
  <si>
    <t>1202107-01</t>
  </si>
  <si>
    <t>1202103-01</t>
  </si>
  <si>
    <t>1202101-01</t>
  </si>
  <si>
    <t>1202098-01</t>
  </si>
  <si>
    <t>1202094-01</t>
  </si>
  <si>
    <t>1202093-01</t>
  </si>
  <si>
    <t>1202088-01</t>
  </si>
  <si>
    <t>1202063-01</t>
  </si>
  <si>
    <t>1202060-01</t>
  </si>
  <si>
    <t>1202057-01</t>
  </si>
  <si>
    <t>1202052-01</t>
  </si>
  <si>
    <t>1202049-01</t>
  </si>
  <si>
    <t>1202046-01</t>
  </si>
  <si>
    <t>1202041-01</t>
  </si>
  <si>
    <t>1202039-01</t>
  </si>
  <si>
    <t>1202036-01</t>
  </si>
  <si>
    <t>1202033-01</t>
  </si>
  <si>
    <t>1202029-01</t>
  </si>
  <si>
    <t>1202027-01</t>
  </si>
  <si>
    <t>1197484-01</t>
  </si>
  <si>
    <t>FXT,CAR,J581,SHEILD PRESS SEMI AUTO TOUCH UP FIXTURE MLB A+B,SECOTE</t>
  </si>
  <si>
    <t>1191259-01</t>
  </si>
  <si>
    <t>FXT,CAR,J510,AUTO ROUTER COVER,LIFT FEM+BB FOR DE-PANEL,SECOTE</t>
  </si>
  <si>
    <t>1191258-01</t>
  </si>
  <si>
    <t>FXT,CAR,J510,AUTO ROUTER CARRIER,LIFT FEM+BB FOR DE-PANEL,SECOTE</t>
  </si>
  <si>
    <t>1191087-01-R</t>
  </si>
  <si>
    <t>FXT,FXT KIT,J481-J581,ROUTER FIXTURE NC MLB B,ST</t>
  </si>
  <si>
    <t>1191085-01-R</t>
  </si>
  <si>
    <t>FXT,FXT KIT,J481-J581,ROUTER FIXTURE NC MLB A,ST</t>
  </si>
  <si>
    <t>1190056-01</t>
  </si>
  <si>
    <t>FXT,CAR,J510,TOP SMT PANEL OMM FIXTURE,TOAD LIFT FEM+BB,SECOTE</t>
  </si>
  <si>
    <t>1190055-01</t>
  </si>
  <si>
    <t>FXT,CAR,J510,TOP ASSY SINGLE BOARD OMM FIXTURE,TOAD LIFT FEM+BB,SECOTE</t>
  </si>
  <si>
    <t>1190049-01</t>
  </si>
  <si>
    <t>FXT,CAR,J510,SINGLE BOARD X-RAY FIXTURE,TOAD LIFT FEM+BB,SECOTE</t>
  </si>
  <si>
    <t>1190048-01</t>
  </si>
  <si>
    <t>FXT,CAR,J510,PRINTING SUPPORT BLOCK FIXTURE 2ND,TOAD LIFT FEM+BB,SECOTE</t>
  </si>
  <si>
    <t>1190047-01</t>
  </si>
  <si>
    <t>FXT,CAR,J510,PRINTING SUPPORT BLOCK FIXTURE 1ST,TOAD LIFT FEM+BB,SECOTE</t>
  </si>
  <si>
    <t>1190046-01</t>
  </si>
  <si>
    <t>FXT,CAR,J510,PRINTING AND REFLOW CARRIER 2ND,TOAD LIFT FEM+BB,SECOTE</t>
  </si>
  <si>
    <t>1190045-01</t>
  </si>
  <si>
    <t>FXT,CAR,J510,PRINTING AND REFLOW CARRIER 1ST,TOAD LIFT FEM+BB,SECOTE</t>
  </si>
  <si>
    <t>1190044-01</t>
  </si>
  <si>
    <t>FXT,CAR,J510,PANEL BOARD X-RAY FIXTURE,TOAD LIFT FEM+BB,SECOTE</t>
  </si>
  <si>
    <t>1190040-01</t>
  </si>
  <si>
    <t>FXT,CAR,J510,FLIP FIXTURE,TOAD LIFT FEM+BB,SECOTE</t>
  </si>
  <si>
    <t>1190039-01</t>
  </si>
  <si>
    <t>FXT,CAR,J510,CLEAN FIXTURE, TOAD LIFT FEM+BB,SECOTE</t>
  </si>
  <si>
    <t>1190038-01</t>
  </si>
  <si>
    <t>FXT,CAR,J510,BOT SMT PANEL OMM FIXTURE,TOAD LIFT FEM+BB,SECOTE</t>
  </si>
  <si>
    <t>1190037-01</t>
  </si>
  <si>
    <t>FXT,CAR,J510,BOT ASSY SINGLE BOARD OMM FIXTURE,TOAD LIFT FEM+BB,SECOTE</t>
  </si>
  <si>
    <t>1190035-01</t>
  </si>
  <si>
    <t>FXT,CAR,J510,AUTO ROUTER CARRIER,TOAD LIFT FEM+BB,SECOTE</t>
  </si>
  <si>
    <t>1190033-01</t>
  </si>
  <si>
    <t>FXT,CAR,J510,AUTO ROUTER BLOCK,TOAD LIFT FEM+BB,SECOTE</t>
  </si>
  <si>
    <t>1187542-01</t>
  </si>
  <si>
    <t>FXT,CAR,J581,UNDERFILL CARRIER,MLB B</t>
  </si>
  <si>
    <t>1187541-01</t>
  </si>
  <si>
    <t>FXT,CAR,J581,UNDERFILL CARRIER,MLB A</t>
  </si>
  <si>
    <t>1187540-01</t>
  </si>
  <si>
    <t>FXT,CAR,J581,TOP SIDE SMT CARRIER,MLB A,SECOTE</t>
  </si>
  <si>
    <t>1187539-01</t>
  </si>
  <si>
    <t>FXT,CAR,J581,TOP SIDE SMT CARRIER,MLB B,SECOTE</t>
  </si>
  <si>
    <t>1187525-01</t>
  </si>
  <si>
    <t>FXT,CAR,J581,TOP MYLAR TOUCHUP FIXTURE MLB A+B,SECOTE</t>
  </si>
  <si>
    <t>FXT,CAR,J581,TOP MYLAR TOUCHUP FIXTURE MLB A+B,,SECOTE</t>
  </si>
  <si>
    <t>1187410-01</t>
  </si>
  <si>
    <t>FXT,FXT,J581,KIC UF FIXTURE,MLB A+B,SECOTE</t>
  </si>
  <si>
    <t>1187407-01</t>
  </si>
  <si>
    <t>FXT,FXT,J581,KIC REFLOW FIXTURE,MLB A+B,SECOTE</t>
  </si>
  <si>
    <t>1187404-01</t>
  </si>
  <si>
    <t>FXT,FXT,J581,CUSTOMIZED ROLLERS MLB A+B,SECOTE</t>
  </si>
  <si>
    <t>1187401-01</t>
  </si>
  <si>
    <t>FXT,CAR,J581,BOT MYLAR TOUCHUP FIXTURE MLB A+B,SECOTE</t>
  </si>
  <si>
    <t>1187351-01</t>
  </si>
  <si>
    <t>FXT,ME,J581,2D BARCODE CHECK FIXTURE,MLB B,SECOTE</t>
  </si>
  <si>
    <t>1187348-01</t>
  </si>
  <si>
    <t>FXT,ME,J581,2D BARCODE CHECK FIXTURE,MLB A,SECOTE</t>
  </si>
  <si>
    <t>1183686-01-R</t>
  </si>
  <si>
    <t>FXT,FXT,J581,SEMI AUTO PRESS PSA FIXTURE,MLB B</t>
  </si>
  <si>
    <t>FXT,FXT KIT,J481-J581,SEMI AUTO PRESS PSA FIXTURE,MLB B,SECOTE</t>
  </si>
  <si>
    <t>1183685-01-R</t>
  </si>
  <si>
    <t>FXT,FXT,J581,SEMI AUTO PRESS SOFT SHIELD FIXTURE,MLB B</t>
  </si>
  <si>
    <t>FXT,FXT KIT,J481-J581,SEMI AUTO PRESS SOFT SHIELD FIXTURE,MLB B,SECOTE</t>
  </si>
  <si>
    <t>1183622-01-R</t>
  </si>
  <si>
    <t>FXT,CAR KIT,J481-J581,UNDERFILL CARRIER,MLB B,SECOTE</t>
  </si>
  <si>
    <t>1183621-01-R</t>
  </si>
  <si>
    <t>FXT,CAR KIT,J481-J581,TOP SIDE SMT CARRIER,MLB B,SECOTE</t>
  </si>
  <si>
    <t>1183620-01-R</t>
  </si>
  <si>
    <t>FXT,FXT KIT,J481-J581,SEMI AUTO PRESS SOFT SHIELD FIXTURE,MLB A,SECOTE</t>
  </si>
  <si>
    <t>1183618-01-R</t>
  </si>
  <si>
    <t>FXT,FXT KIT,J481-J581,SEMI AUTO PRESS PSA FIXTURE,MLB A,SECOTE</t>
  </si>
  <si>
    <t>1183604-01-R</t>
  </si>
  <si>
    <t>FXT,CAR KIT,J481-J581,UNDERFILL CARRIER,MLB A,SECOTE</t>
  </si>
  <si>
    <t>1183600-01-R</t>
  </si>
  <si>
    <t>FXT,CAR KIT,J481-J581,TOP SIDE SMT CARRIER,MLB A,SECOTE</t>
  </si>
  <si>
    <t>1156394-01-R</t>
  </si>
  <si>
    <t>FXT,ME KIT,J581-J581,ITO TAPE PRESS FIXTURE,CWN</t>
  </si>
  <si>
    <t>1203690-01</t>
  </si>
  <si>
    <t>TD-SPRING FINGER PROTECTIVE COVER WITH HOLDER</t>
  </si>
  <si>
    <t>1203689-01</t>
  </si>
  <si>
    <t>TD-SPRING FINGER PROTECTIVE COVER WITH HOLDER FOR ANT4</t>
  </si>
  <si>
    <t>1203688-01</t>
  </si>
  <si>
    <t>TD-PB SHIM PRESS FIXTURE</t>
  </si>
  <si>
    <t>1203687-01</t>
  </si>
  <si>
    <t>TD-PB SHIM ALIGN FIXTURE</t>
  </si>
  <si>
    <t>1203686-01</t>
  </si>
  <si>
    <t>TD-ANT3A FLEX REBEND FIXTURE</t>
  </si>
  <si>
    <t>1203678-01</t>
  </si>
  <si>
    <t>TD-ANT4 TAB REBEND FIXTURE WITH HEAT</t>
  </si>
  <si>
    <t>1200511-01</t>
  </si>
  <si>
    <t>TOAD-WOOFER TAKE APART TOOL FOR REPAIR</t>
  </si>
  <si>
    <t>1200487-01</t>
  </si>
  <si>
    <t>FXT,FXT,J510,STROBE O-RING CHECK FIXTURE,WD</t>
  </si>
  <si>
    <t>1200479-01</t>
  </si>
  <si>
    <t>FXT,FXT,J510,PB FLEX ALIGN FIXTURE,WD</t>
  </si>
  <si>
    <t>1200370-01</t>
  </si>
  <si>
    <t>FXT,FXT,J510,UNIVERSAL POKE PEN,WD</t>
  </si>
  <si>
    <t>1200361-01</t>
  </si>
  <si>
    <t>FXT,FXT,J510,RC PF PASTE FIXTURE,WD</t>
  </si>
  <si>
    <t>1200356-01</t>
  </si>
  <si>
    <t>FXT,FXT,J510,PB FLEX REBEND FIXTURE STEP2,WD</t>
  </si>
  <si>
    <t>1200355-01</t>
  </si>
  <si>
    <t>FXT,FXT,J510,PB FLEX REBEND FIXTURE STEP1 OPT2,WD</t>
  </si>
  <si>
    <t>1200353-01</t>
  </si>
  <si>
    <t>FXT,FXT,J510,PB FLEX REBEND FIXTURE STEP1,WD</t>
  </si>
  <si>
    <t>1200351-01</t>
  </si>
  <si>
    <t>FXT,FXT,J510,PB AND VB INSTALL ANGLE NEST,WD</t>
  </si>
  <si>
    <t>1200339-01</t>
  </si>
  <si>
    <t>FXT,FXT,J510,IO ALG PRESS PEN,WD</t>
  </si>
  <si>
    <t>1200338-01</t>
  </si>
  <si>
    <t>FXT,FXT,J510,IO ALG ALIGN FIXTURE,WD</t>
  </si>
  <si>
    <t>1200303-01</t>
  </si>
  <si>
    <t>FXT,FXT,J510,BVENT COWLING INSTALL FIXTURE,WD</t>
  </si>
  <si>
    <t>1200297-01</t>
  </si>
  <si>
    <t>FXT,FXT,J510,BATTERY DISCHARGE SHELF,WD</t>
  </si>
  <si>
    <t>248490-02</t>
  </si>
  <si>
    <t>FIXT,ME,SEPARATE CGS AND LCM FROM HSG FOR REPAIR,LR,CWN</t>
  </si>
  <si>
    <t>1205230-01</t>
  </si>
  <si>
    <t>FXT,ME,J481,GRAPE DRIVE FLEX REBEND FIXTURE,V02,CWN</t>
  </si>
  <si>
    <t>1204158-01</t>
  </si>
  <si>
    <t>FXT,ME,J581,MIC ALS FLEX PRESS FIXTURE,V04,CWN</t>
  </si>
  <si>
    <t>1204149-01</t>
  </si>
  <si>
    <t>FXT,ME,J581,GB-MIC ALS FLEX PRESS FIXTURE,V01,CWN</t>
  </si>
  <si>
    <t>1203704-01</t>
  </si>
  <si>
    <t>TD-VB FEELING ADJUST TOOL-WF</t>
  </si>
  <si>
    <t>1203703-01</t>
  </si>
  <si>
    <t>TD-TM PF LINER RELEASE HOLDER</t>
  </si>
  <si>
    <t>1203702-01</t>
  </si>
  <si>
    <t>TD-WF5T FLIP ALIGN FIXTURE</t>
  </si>
  <si>
    <t>1203701-01</t>
  </si>
  <si>
    <t>TD-WF5T CARRIER SHEET FLIP ALIGN FIXTURE</t>
  </si>
  <si>
    <t>1203700-01</t>
  </si>
  <si>
    <t>TD-WF5B FLIP ALIGN FIXTURE</t>
  </si>
  <si>
    <t>1203699-01</t>
  </si>
  <si>
    <t>TD-WF5B CARRIER SHEET FLIP ALIGN FIXTURE</t>
  </si>
  <si>
    <t>1203675-01-R</t>
  </si>
  <si>
    <t>TD-C3 REAR MIC FLEX PSA PRESS FIXTURE RETROFIT FROM J410 TO J510</t>
  </si>
  <si>
    <t>1203674-01-R</t>
  </si>
  <si>
    <t>TD-C3 REAR MIC STROBE AND BVENT PRESS FIXTURE 2 RETROFIT FROM J410 TO J510</t>
  </si>
  <si>
    <t>1203673-01-R</t>
  </si>
  <si>
    <t>TD-C3 REAR MIC STROBE AND BVENT PRESS FIXTURE 1 RETROFIT FROM J410 TO J510</t>
  </si>
  <si>
    <t>1203670-01-R</t>
  </si>
  <si>
    <t>TD-BVENT COWLING PSA PRESS FIXTURE RETROFIT FROM J410 TO J510</t>
  </si>
  <si>
    <t>1203669-01-R</t>
  </si>
  <si>
    <t>TD-ANT4 PRESS FIXTURE RETROFIT FROM J410 TO J510</t>
  </si>
  <si>
    <t>1203668-01-R</t>
  </si>
  <si>
    <t>TD-FH SPK CABLE PRESS FIXTURE-CELL RETROFIT FROM J410 TO J510</t>
  </si>
  <si>
    <t>1203667-01-R</t>
  </si>
  <si>
    <t>TD-FH SPK CABLE PRESS FIXTURE-WF RETROFIT FROM J410 TO J510</t>
  </si>
  <si>
    <t>1203666-01-R</t>
  </si>
  <si>
    <t>TD-C4 ALS PRESS FIXTURE RETROFIT FROM J410 TO J510</t>
  </si>
  <si>
    <t>1203665-01-R</t>
  </si>
  <si>
    <t>TD-VB FLEX PRESS FIXTURE-WF RETROFIT FROM J410 TO J510</t>
  </si>
  <si>
    <t>1200510-01</t>
  </si>
  <si>
    <t>FXT,FXT,J510,WF8 TAPE OILPAPER,CW</t>
  </si>
  <si>
    <t>1200498-01</t>
  </si>
  <si>
    <t>FXT,FXT,J510,VB FEELING ADJUST TOOL-CELL,CW</t>
  </si>
  <si>
    <t>1200493-01</t>
  </si>
  <si>
    <t>FXT,FXT,J510,UV CURING FIXTURE FOR CG MIC BKT,CW</t>
  </si>
  <si>
    <t>1200483-01</t>
  </si>
  <si>
    <t>FXT,FXT,J510,PB O-RING INSTALL FIXTURE,CW</t>
  </si>
  <si>
    <t>1200482-01</t>
  </si>
  <si>
    <t>FXT,FXT,J510,PB O-RING CHECK FIXTURE,CW</t>
  </si>
  <si>
    <t>1200472-01</t>
  </si>
  <si>
    <t>FXT,FXT,J510,MAHI CONNECT NEST,CW</t>
  </si>
  <si>
    <t>1200471-01</t>
  </si>
  <si>
    <t>FXT,FXT,J510,IO FLEX OILPAPER,CW</t>
  </si>
  <si>
    <t>1200470-01</t>
  </si>
  <si>
    <t>FXT,FXT,J510,HSG CLEANING HOLDER FOR REPAIR,CW</t>
  </si>
  <si>
    <t>1200469-01</t>
  </si>
  <si>
    <t>FXT,FXT,J510,HSG CLEAN GLUE PROTECTIVE COVER FOR REPAIR-WF,CW</t>
  </si>
  <si>
    <t>1200468-01</t>
  </si>
  <si>
    <t>FXT,FXT,J510,HSG CLEAN GLUE PROTECTIVE COVER FOR REPAIR-CELL,CW</t>
  </si>
  <si>
    <t>1200467-01</t>
  </si>
  <si>
    <t>FXT,FXT,J510,HSG BARCODE FLIP ALIGN FIXTURE,CW</t>
  </si>
  <si>
    <t>1200458-01</t>
  </si>
  <si>
    <t>FXT,FXT,J510,FH AND CH MESH PRESS PEN,CW</t>
  </si>
  <si>
    <t>1200457-01</t>
  </si>
  <si>
    <t>FXT,FXT,J510,FH AND CH MESH ALIGN FIXTURE,CW</t>
  </si>
  <si>
    <t>1200455-01</t>
  </si>
  <si>
    <t>FXT,FXT,J510,CG TAKE APART TOOL 1,CW</t>
  </si>
  <si>
    <t>1200453-01</t>
  </si>
  <si>
    <t>FXT,FXT,J510,CG PSA CLEANING BLOCK,CW</t>
  </si>
  <si>
    <t>1200452-01</t>
  </si>
  <si>
    <t>FXT,FXT,J510,CG PF TAB ARRANGE FIXTURE,CW</t>
  </si>
  <si>
    <t>1200435-01</t>
  </si>
  <si>
    <t>FXT,FXT,J510,C3 REAR MIC STROBE PRESS PEN,WD</t>
  </si>
  <si>
    <t>1200398-01</t>
  </si>
  <si>
    <t>FXT,FXT,J510,ANT1 BLOCK,CW</t>
  </si>
  <si>
    <t>1156405-01-R</t>
  </si>
  <si>
    <t>FXT,ME KIT,J481-J581,MIC ALS FLEX PRESS FIXTURE,V04,CWN</t>
  </si>
  <si>
    <t>1156403-01-R</t>
  </si>
  <si>
    <t>FXT,ME KIT,J481-J581,ANT CABLE PRESS FIXTURE,V03,CWN</t>
  </si>
  <si>
    <t>1156402-01-R</t>
  </si>
  <si>
    <t>FXT,ME KIT,J381-J581,ANT3B AND ANT4 FLEX PRESS FIXTURE,V02,CWN</t>
  </si>
  <si>
    <t>1156397-01-R</t>
  </si>
  <si>
    <t>FXT,ME KIT,J481-J581,ANT4 SCREW FLIP PROTECTIVE COVER,CWN</t>
  </si>
  <si>
    <t>1148347-01</t>
  </si>
  <si>
    <t>FXT,ME,J581,RC FLEX REBEND FIXTURE WITH HEAT,CWN</t>
  </si>
  <si>
    <t>1148327-01</t>
  </si>
  <si>
    <t>FXT,ME,J581,GB-ITO TAPE PRESS FIXTURE,CWN</t>
  </si>
  <si>
    <t>1148326-01</t>
  </si>
  <si>
    <t>FXT,ME,J581,ITO TAPE PRESS FIXTURE,CWN</t>
  </si>
  <si>
    <t>1148302-01</t>
  </si>
  <si>
    <t>FXT,ME,J581,ANT4 SCREW FLIP PROTECTIVE COVER,CWN</t>
  </si>
  <si>
    <t>1148300-02</t>
  </si>
  <si>
    <t>FXT,ME,J581,GB-ANT3B AND ANT4 FLEX PRESS FIXTURE,V02,CWN</t>
  </si>
  <si>
    <t>1148299-02</t>
  </si>
  <si>
    <t>FXT,ME,J581,ANT3B AND ANT4 FLEX PRESS FIXTURE,V02,CWN</t>
  </si>
  <si>
    <t>1148296-02</t>
  </si>
  <si>
    <t>FXT,ME,J581,GB-ANT CABLE PRESS FIXTURE,V03,CWN</t>
  </si>
  <si>
    <t>1148295-02</t>
  </si>
  <si>
    <t>FXT,ME,J581,ANT CABLE PRESS FIXTURE,V03,CWN</t>
  </si>
  <si>
    <t>1026199-01</t>
  </si>
  <si>
    <t>FXT,FXT,J410,REMOVE CONNECTOR FIXTURE,REV01,CW</t>
  </si>
  <si>
    <t>1026192-01</t>
  </si>
  <si>
    <t>FXT,FXT,J410,RC TAKE APART TOOL,REV01,CW</t>
  </si>
  <si>
    <t>1026188-01</t>
  </si>
  <si>
    <t>FXT,FXT,J410,PB AND VB TAKE APART TOOL,V01,CW</t>
  </si>
  <si>
    <t>1026183-01</t>
  </si>
  <si>
    <t>FXT,FXT,J410,HSG PSA CLEANING TOOL,REV01,CW</t>
  </si>
  <si>
    <t>1026149-01</t>
  </si>
  <si>
    <t>FXT,FXT,J410,BATTERY TAKE APART TOOL,V01,CW</t>
  </si>
  <si>
    <t>FXT,ME,J481-J581,ANT3B REBEND FIXTURE 2 IN 1,FP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</si>
</sst>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name val="Calibri"/>
      <family val="2"/>
      <charset val="1"/>
    </font>
    <font>
      <sz val="8"/>
      <color rgb="FF000000"/>
      <name val="Arial"/>
      <family val="2"/>
      <charset val="1"/>
    </font>
    <font>
      <sz val="12"/>
      <color rgb="FF000000"/>
      <name val="Aptos Narrow"/>
    </font>
    <font>
      <sz val="10"/>
      <color rgb="FF000000"/>
      <name val="Arial"/>
      <family val="2"/>
      <charset val="1"/>
    </font>
    <font>
      <sz val="11"/>
      <color rgb="FF000000"/>
      <name val="Aptos Narrow"/>
    </font>
    <font>
      <sz val="12"/>
      <color rgb="FF00000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/>
    <xf numFmtId="0" fontId="0" fillId="2" borderId="0" xfId="0" applyFill="1"/>
    <xf numFmtId="0" fontId="0" fillId="0" borderId="0" xfId="0" applyAlignment="1">
      <alignment horizontal="center"/>
    </xf>
    <xf numFmtId="44" fontId="2" fillId="3" borderId="0" xfId="1" applyFont="1" applyFill="1"/>
    <xf numFmtId="44" fontId="2" fillId="0" borderId="0" xfId="1" applyFont="1"/>
    <xf numFmtId="44" fontId="2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4" fontId="2" fillId="4" borderId="1" xfId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44" fontId="2" fillId="2" borderId="2" xfId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44" fontId="2" fillId="5" borderId="1" xfId="1" applyFont="1" applyFill="1" applyBorder="1" applyAlignment="1">
      <alignment horizontal="center" vertical="center" wrapText="1"/>
    </xf>
    <xf numFmtId="2" fontId="2" fillId="5" borderId="1" xfId="1" applyNumberFormat="1" applyFont="1" applyFill="1" applyBorder="1" applyAlignment="1">
      <alignment horizontal="center" vertical="center" wrapText="1"/>
    </xf>
    <xf numFmtId="0" fontId="0" fillId="6" borderId="0" xfId="0" applyFill="1"/>
    <xf numFmtId="44" fontId="0" fillId="0" borderId="0" xfId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0" borderId="0" xfId="0" applyFont="1"/>
    <xf numFmtId="8" fontId="2" fillId="3" borderId="0" xfId="1" applyNumberFormat="1" applyFont="1" applyFill="1"/>
    <xf numFmtId="8" fontId="0" fillId="0" borderId="0" xfId="1" applyNumberFormat="1" applyFont="1" applyFill="1"/>
    <xf numFmtId="0" fontId="3" fillId="0" borderId="0" xfId="0" applyFont="1" applyAlignment="1">
      <alignment wrapText="1"/>
    </xf>
    <xf numFmtId="0" fontId="8" fillId="0" borderId="0" xfId="0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B3A5-983A-A54F-B985-91EA13E943E4}">
  <sheetPr>
    <tabColor theme="1"/>
  </sheetPr>
  <dimension ref="A1:M40"/>
  <sheetViews>
    <sheetView topLeftCell="A13" zoomScale="150" workbookViewId="0">
      <selection activeCell="F17" sqref="F17"/>
    </sheetView>
  </sheetViews>
  <sheetFormatPr baseColWidth="10" defaultColWidth="11" defaultRowHeight="16" x14ac:dyDescent="0.2"/>
  <cols>
    <col min="9" max="9" width="18.83203125" bestFit="1" customWidth="1"/>
  </cols>
  <sheetData>
    <row r="1" spans="1:13" x14ac:dyDescent="0.2">
      <c r="A1" s="2" t="s">
        <v>0</v>
      </c>
      <c r="B1" s="17" t="s">
        <v>1</v>
      </c>
      <c r="D1" s="2" t="s">
        <v>2</v>
      </c>
      <c r="F1" s="2" t="s">
        <v>3</v>
      </c>
      <c r="G1" s="17" t="s">
        <v>4</v>
      </c>
      <c r="I1" s="2" t="s">
        <v>5</v>
      </c>
      <c r="J1" s="17" t="s">
        <v>6</v>
      </c>
      <c r="L1" s="2" t="s">
        <v>7</v>
      </c>
      <c r="M1" s="17" t="s">
        <v>8</v>
      </c>
    </row>
    <row r="2" spans="1:13" x14ac:dyDescent="0.2">
      <c r="A2" t="s">
        <v>9</v>
      </c>
      <c r="B2" t="s">
        <v>10</v>
      </c>
      <c r="D2" t="s">
        <v>11</v>
      </c>
      <c r="F2" t="s">
        <v>12</v>
      </c>
      <c r="G2" t="s">
        <v>12</v>
      </c>
      <c r="I2" t="s">
        <v>13</v>
      </c>
      <c r="J2" t="s">
        <v>14</v>
      </c>
      <c r="L2" t="s">
        <v>15</v>
      </c>
      <c r="M2" t="s">
        <v>16</v>
      </c>
    </row>
    <row r="3" spans="1:13" x14ac:dyDescent="0.2">
      <c r="A3" t="s">
        <v>17</v>
      </c>
      <c r="B3" t="s">
        <v>10</v>
      </c>
      <c r="D3" t="s">
        <v>18</v>
      </c>
      <c r="F3" t="s">
        <v>19</v>
      </c>
      <c r="G3" t="s">
        <v>20</v>
      </c>
      <c r="I3" t="s">
        <v>21</v>
      </c>
      <c r="J3" t="s">
        <v>14</v>
      </c>
      <c r="L3" t="s">
        <v>22</v>
      </c>
      <c r="M3" t="s">
        <v>16</v>
      </c>
    </row>
    <row r="4" spans="1:13" x14ac:dyDescent="0.2">
      <c r="A4" t="s">
        <v>23</v>
      </c>
      <c r="B4" t="s">
        <v>10</v>
      </c>
      <c r="D4" t="s">
        <v>24</v>
      </c>
      <c r="F4" t="s">
        <v>25</v>
      </c>
      <c r="G4" t="s">
        <v>20</v>
      </c>
      <c r="I4" t="s">
        <v>26</v>
      </c>
      <c r="J4" t="s">
        <v>14</v>
      </c>
      <c r="L4" t="s">
        <v>27</v>
      </c>
      <c r="M4" t="s">
        <v>16</v>
      </c>
    </row>
    <row r="5" spans="1:13" x14ac:dyDescent="0.2">
      <c r="A5" t="s">
        <v>28</v>
      </c>
      <c r="B5" t="s">
        <v>29</v>
      </c>
      <c r="D5" t="s">
        <v>30</v>
      </c>
      <c r="F5" t="s">
        <v>31</v>
      </c>
      <c r="G5" t="s">
        <v>20</v>
      </c>
      <c r="I5" t="s">
        <v>32</v>
      </c>
      <c r="J5" t="s">
        <v>14</v>
      </c>
      <c r="L5" t="s">
        <v>33</v>
      </c>
      <c r="M5" t="s">
        <v>33</v>
      </c>
    </row>
    <row r="6" spans="1:13" x14ac:dyDescent="0.2">
      <c r="A6" t="s">
        <v>34</v>
      </c>
      <c r="B6" t="s">
        <v>29</v>
      </c>
      <c r="D6" t="s">
        <v>35</v>
      </c>
      <c r="F6" t="s">
        <v>36</v>
      </c>
      <c r="G6" t="s">
        <v>37</v>
      </c>
      <c r="I6" t="s">
        <v>38</v>
      </c>
      <c r="J6" t="s">
        <v>14</v>
      </c>
      <c r="L6" t="s">
        <v>39</v>
      </c>
      <c r="M6" t="s">
        <v>40</v>
      </c>
    </row>
    <row r="7" spans="1:13" x14ac:dyDescent="0.2">
      <c r="A7" t="s">
        <v>41</v>
      </c>
      <c r="B7" t="s">
        <v>10</v>
      </c>
      <c r="D7" t="s">
        <v>42</v>
      </c>
      <c r="F7" t="s">
        <v>43</v>
      </c>
      <c r="G7" t="s">
        <v>37</v>
      </c>
      <c r="I7" t="s">
        <v>44</v>
      </c>
      <c r="J7" t="s">
        <v>14</v>
      </c>
      <c r="L7" t="s">
        <v>45</v>
      </c>
      <c r="M7" t="s">
        <v>40</v>
      </c>
    </row>
    <row r="8" spans="1:13" x14ac:dyDescent="0.2">
      <c r="A8" t="s">
        <v>46</v>
      </c>
      <c r="B8" t="s">
        <v>29</v>
      </c>
      <c r="D8" t="s">
        <v>47</v>
      </c>
      <c r="F8" t="s">
        <v>48</v>
      </c>
      <c r="G8" t="s">
        <v>37</v>
      </c>
      <c r="I8" t="s">
        <v>49</v>
      </c>
      <c r="J8" t="s">
        <v>50</v>
      </c>
      <c r="L8" t="s">
        <v>51</v>
      </c>
      <c r="M8" t="s">
        <v>16</v>
      </c>
    </row>
    <row r="9" spans="1:13" x14ac:dyDescent="0.2">
      <c r="A9" t="s">
        <v>52</v>
      </c>
      <c r="B9" t="s">
        <v>10</v>
      </c>
      <c r="D9" t="s">
        <v>53</v>
      </c>
      <c r="F9">
        <v>0</v>
      </c>
      <c r="G9" t="s">
        <v>12</v>
      </c>
      <c r="I9" t="s">
        <v>54</v>
      </c>
      <c r="J9" t="s">
        <v>50</v>
      </c>
      <c r="L9" t="s">
        <v>55</v>
      </c>
      <c r="M9" t="s">
        <v>33</v>
      </c>
    </row>
    <row r="10" spans="1:13" x14ac:dyDescent="0.2">
      <c r="A10" t="s">
        <v>56</v>
      </c>
      <c r="B10" t="s">
        <v>29</v>
      </c>
      <c r="D10" t="s">
        <v>57</v>
      </c>
      <c r="F10" t="s">
        <v>58</v>
      </c>
      <c r="G10" t="s">
        <v>20</v>
      </c>
      <c r="I10" t="s">
        <v>59</v>
      </c>
      <c r="J10" t="s">
        <v>50</v>
      </c>
      <c r="L10" t="s">
        <v>60</v>
      </c>
      <c r="M10" t="s">
        <v>16</v>
      </c>
    </row>
    <row r="11" spans="1:13" x14ac:dyDescent="0.2">
      <c r="A11" t="s">
        <v>61</v>
      </c>
      <c r="B11" t="s">
        <v>62</v>
      </c>
      <c r="D11" t="s">
        <v>63</v>
      </c>
      <c r="F11" t="s">
        <v>64</v>
      </c>
      <c r="G11" t="s">
        <v>37</v>
      </c>
      <c r="I11" t="s">
        <v>65</v>
      </c>
      <c r="J11" t="s">
        <v>14</v>
      </c>
      <c r="L11" t="s">
        <v>66</v>
      </c>
      <c r="M11" t="s">
        <v>16</v>
      </c>
    </row>
    <row r="12" spans="1:13" x14ac:dyDescent="0.2">
      <c r="A12" t="s">
        <v>67</v>
      </c>
      <c r="B12" t="s">
        <v>29</v>
      </c>
      <c r="D12" t="s">
        <v>68</v>
      </c>
      <c r="F12" t="s">
        <v>69</v>
      </c>
      <c r="G12" t="s">
        <v>20</v>
      </c>
      <c r="I12" t="s">
        <v>70</v>
      </c>
      <c r="J12" t="s">
        <v>14</v>
      </c>
      <c r="L12" t="s">
        <v>10</v>
      </c>
      <c r="M12" t="s">
        <v>16</v>
      </c>
    </row>
    <row r="13" spans="1:13" x14ac:dyDescent="0.2">
      <c r="A13" t="s">
        <v>71</v>
      </c>
      <c r="B13" t="s">
        <v>10</v>
      </c>
      <c r="D13" t="s">
        <v>72</v>
      </c>
      <c r="F13" t="s">
        <v>73</v>
      </c>
      <c r="G13" t="s">
        <v>37</v>
      </c>
      <c r="I13" t="s">
        <v>74</v>
      </c>
      <c r="J13" t="s">
        <v>50</v>
      </c>
      <c r="L13" t="s">
        <v>75</v>
      </c>
      <c r="M13" t="s">
        <v>33</v>
      </c>
    </row>
    <row r="14" spans="1:13" x14ac:dyDescent="0.2">
      <c r="A14" t="s">
        <v>76</v>
      </c>
      <c r="B14" t="s">
        <v>10</v>
      </c>
      <c r="D14" t="s">
        <v>77</v>
      </c>
      <c r="F14" t="s">
        <v>78</v>
      </c>
      <c r="G14" t="s">
        <v>20</v>
      </c>
      <c r="I14" t="s">
        <v>79</v>
      </c>
      <c r="J14" t="s">
        <v>50</v>
      </c>
      <c r="L14" t="s">
        <v>80</v>
      </c>
      <c r="M14" t="s">
        <v>16</v>
      </c>
    </row>
    <row r="15" spans="1:13" x14ac:dyDescent="0.2">
      <c r="A15" t="s">
        <v>81</v>
      </c>
      <c r="B15" t="s">
        <v>62</v>
      </c>
      <c r="D15" t="s">
        <v>82</v>
      </c>
      <c r="F15" t="s">
        <v>83</v>
      </c>
      <c r="G15" t="s">
        <v>20</v>
      </c>
      <c r="I15" t="s">
        <v>84</v>
      </c>
      <c r="J15" t="s">
        <v>50</v>
      </c>
      <c r="L15" t="s">
        <v>85</v>
      </c>
      <c r="M15" t="s">
        <v>16</v>
      </c>
    </row>
    <row r="16" spans="1:13" x14ac:dyDescent="0.2">
      <c r="A16" t="s">
        <v>86</v>
      </c>
      <c r="B16" t="s">
        <v>10</v>
      </c>
      <c r="D16">
        <v>0</v>
      </c>
      <c r="F16" t="s">
        <v>87</v>
      </c>
      <c r="G16" t="s">
        <v>20</v>
      </c>
      <c r="I16" t="s">
        <v>88</v>
      </c>
      <c r="J16" t="s">
        <v>14</v>
      </c>
      <c r="L16" t="s">
        <v>89</v>
      </c>
      <c r="M16" t="s">
        <v>16</v>
      </c>
    </row>
    <row r="17" spans="1:13" x14ac:dyDescent="0.2">
      <c r="A17" t="s">
        <v>90</v>
      </c>
      <c r="B17" t="s">
        <v>62</v>
      </c>
      <c r="F17" t="s">
        <v>91</v>
      </c>
      <c r="G17" t="s">
        <v>92</v>
      </c>
      <c r="I17">
        <v>0</v>
      </c>
      <c r="J17" t="s">
        <v>14</v>
      </c>
      <c r="L17" t="s">
        <v>93</v>
      </c>
      <c r="M17" t="s">
        <v>16</v>
      </c>
    </row>
    <row r="18" spans="1:13" x14ac:dyDescent="0.2">
      <c r="A18" t="s">
        <v>94</v>
      </c>
      <c r="B18" t="s">
        <v>62</v>
      </c>
      <c r="F18" t="s">
        <v>95</v>
      </c>
      <c r="G18" t="s">
        <v>92</v>
      </c>
      <c r="L18" t="s">
        <v>96</v>
      </c>
      <c r="M18" t="s">
        <v>33</v>
      </c>
    </row>
    <row r="19" spans="1:13" x14ac:dyDescent="0.2">
      <c r="A19" t="s">
        <v>97</v>
      </c>
      <c r="B19" t="s">
        <v>10</v>
      </c>
      <c r="F19" t="s">
        <v>98</v>
      </c>
      <c r="G19" t="s">
        <v>20</v>
      </c>
      <c r="L19" t="s">
        <v>99</v>
      </c>
      <c r="M19" t="s">
        <v>16</v>
      </c>
    </row>
    <row r="20" spans="1:13" x14ac:dyDescent="0.2">
      <c r="A20" t="s">
        <v>100</v>
      </c>
      <c r="B20" t="s">
        <v>10</v>
      </c>
      <c r="F20" t="s">
        <v>101</v>
      </c>
      <c r="G20" t="s">
        <v>92</v>
      </c>
      <c r="L20" t="s">
        <v>62</v>
      </c>
      <c r="M20" t="s">
        <v>40</v>
      </c>
    </row>
    <row r="21" spans="1:13" x14ac:dyDescent="0.2">
      <c r="A21" t="s">
        <v>102</v>
      </c>
      <c r="B21" t="s">
        <v>10</v>
      </c>
      <c r="F21" t="s">
        <v>103</v>
      </c>
      <c r="G21" t="s">
        <v>37</v>
      </c>
      <c r="L21" t="s">
        <v>104</v>
      </c>
      <c r="M21" t="s">
        <v>16</v>
      </c>
    </row>
    <row r="22" spans="1:13" x14ac:dyDescent="0.2">
      <c r="A22" t="s">
        <v>105</v>
      </c>
      <c r="B22" t="s">
        <v>10</v>
      </c>
      <c r="F22" t="s">
        <v>106</v>
      </c>
      <c r="G22" t="s">
        <v>92</v>
      </c>
      <c r="L22" t="s">
        <v>107</v>
      </c>
      <c r="M22" t="s">
        <v>40</v>
      </c>
    </row>
    <row r="23" spans="1:13" x14ac:dyDescent="0.2">
      <c r="A23" t="s">
        <v>108</v>
      </c>
      <c r="B23" t="s">
        <v>29</v>
      </c>
      <c r="F23" t="s">
        <v>109</v>
      </c>
      <c r="G23" t="s">
        <v>20</v>
      </c>
      <c r="L23" t="s">
        <v>110</v>
      </c>
      <c r="M23" t="s">
        <v>16</v>
      </c>
    </row>
    <row r="24" spans="1:13" x14ac:dyDescent="0.2">
      <c r="A24" t="s">
        <v>111</v>
      </c>
      <c r="B24" t="s">
        <v>29</v>
      </c>
      <c r="F24" t="s">
        <v>112</v>
      </c>
      <c r="G24" t="s">
        <v>20</v>
      </c>
      <c r="L24" t="s">
        <v>113</v>
      </c>
      <c r="M24" t="s">
        <v>40</v>
      </c>
    </row>
    <row r="25" spans="1:13" x14ac:dyDescent="0.2">
      <c r="A25" t="s">
        <v>114</v>
      </c>
      <c r="B25" t="s">
        <v>10</v>
      </c>
      <c r="F25" t="s">
        <v>115</v>
      </c>
      <c r="G25" t="s">
        <v>37</v>
      </c>
      <c r="L25" t="s">
        <v>116</v>
      </c>
      <c r="M25" t="s">
        <v>33</v>
      </c>
    </row>
    <row r="26" spans="1:13" x14ac:dyDescent="0.2">
      <c r="A26" t="s">
        <v>117</v>
      </c>
      <c r="B26" t="s">
        <v>10</v>
      </c>
      <c r="F26" t="s">
        <v>118</v>
      </c>
      <c r="G26" t="s">
        <v>92</v>
      </c>
      <c r="L26" t="s">
        <v>40</v>
      </c>
      <c r="M26" t="s">
        <v>40</v>
      </c>
    </row>
    <row r="27" spans="1:13" x14ac:dyDescent="0.2">
      <c r="A27" t="s">
        <v>119</v>
      </c>
      <c r="B27" t="s">
        <v>10</v>
      </c>
      <c r="F27" t="s">
        <v>120</v>
      </c>
      <c r="G27" t="s">
        <v>92</v>
      </c>
      <c r="L27">
        <v>0</v>
      </c>
      <c r="M27" t="s">
        <v>12</v>
      </c>
    </row>
    <row r="28" spans="1:13" x14ac:dyDescent="0.2">
      <c r="A28">
        <v>0</v>
      </c>
      <c r="F28" t="s">
        <v>121</v>
      </c>
      <c r="G28" t="s">
        <v>92</v>
      </c>
    </row>
    <row r="29" spans="1:13" x14ac:dyDescent="0.2">
      <c r="F29" t="s">
        <v>122</v>
      </c>
      <c r="G29" t="s">
        <v>92</v>
      </c>
    </row>
    <row r="30" spans="1:13" x14ac:dyDescent="0.2">
      <c r="F30" t="s">
        <v>123</v>
      </c>
      <c r="G30" t="s">
        <v>37</v>
      </c>
    </row>
    <row r="31" spans="1:13" x14ac:dyDescent="0.2">
      <c r="F31" t="s">
        <v>124</v>
      </c>
      <c r="G31" t="s">
        <v>20</v>
      </c>
    </row>
    <row r="32" spans="1:13" x14ac:dyDescent="0.2">
      <c r="F32" t="s">
        <v>125</v>
      </c>
      <c r="G32" t="s">
        <v>20</v>
      </c>
    </row>
    <row r="33" spans="6:7" x14ac:dyDescent="0.2">
      <c r="F33" t="s">
        <v>126</v>
      </c>
      <c r="G33" t="s">
        <v>92</v>
      </c>
    </row>
    <row r="34" spans="6:7" x14ac:dyDescent="0.2">
      <c r="F34" t="s">
        <v>127</v>
      </c>
      <c r="G34" t="s">
        <v>92</v>
      </c>
    </row>
    <row r="35" spans="6:7" x14ac:dyDescent="0.2">
      <c r="F35" t="s">
        <v>128</v>
      </c>
      <c r="G35" t="s">
        <v>92</v>
      </c>
    </row>
    <row r="36" spans="6:7" x14ac:dyDescent="0.2">
      <c r="F36" t="s">
        <v>129</v>
      </c>
      <c r="G36" t="s">
        <v>92</v>
      </c>
    </row>
    <row r="37" spans="6:7" x14ac:dyDescent="0.2">
      <c r="F37" t="s">
        <v>130</v>
      </c>
      <c r="G37" t="s">
        <v>92</v>
      </c>
    </row>
    <row r="38" spans="6:7" x14ac:dyDescent="0.2">
      <c r="F38" t="s">
        <v>131</v>
      </c>
      <c r="G38" t="s">
        <v>37</v>
      </c>
    </row>
    <row r="39" spans="6:7" x14ac:dyDescent="0.2">
      <c r="F39" t="s">
        <v>132</v>
      </c>
      <c r="G39" t="s">
        <v>92</v>
      </c>
    </row>
    <row r="40" spans="6:7" x14ac:dyDescent="0.2">
      <c r="F40" t="s">
        <v>133</v>
      </c>
      <c r="G4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FB0E-25D0-E74E-BC04-1CB189CF9CED}">
  <sheetPr>
    <tabColor rgb="FFFFFF00"/>
  </sheetPr>
  <dimension ref="A1:AM1067"/>
  <sheetViews>
    <sheetView tabSelected="1" zoomScale="67" zoomScaleNormal="120" workbookViewId="0">
      <pane ySplit="1" topLeftCell="A2" activePane="bottomLeft" state="frozen"/>
      <selection pane="bottomLeft" activeCell="D16" sqref="D16"/>
    </sheetView>
  </sheetViews>
  <sheetFormatPr baseColWidth="10" defaultColWidth="9" defaultRowHeight="15.75" customHeight="1" x14ac:dyDescent="0.2"/>
  <cols>
    <col min="1" max="1" width="67.1640625" customWidth="1"/>
    <col min="2" max="2" width="32.5" customWidth="1"/>
    <col min="3" max="3" width="8.6640625" customWidth="1"/>
    <col min="4" max="4" width="53.1640625" customWidth="1"/>
    <col min="5" max="5" width="16.33203125" customWidth="1"/>
    <col min="8" max="8" width="15.6640625" customWidth="1"/>
    <col min="10" max="10" width="16.83203125" customWidth="1"/>
    <col min="11" max="11" width="39.83203125" customWidth="1"/>
    <col min="12" max="12" width="71" customWidth="1"/>
    <col min="13" max="13" width="29.5" style="4" customWidth="1"/>
    <col min="14" max="14" width="31.33203125" style="4" customWidth="1"/>
    <col min="15" max="15" width="14" bestFit="1" customWidth="1"/>
    <col min="16" max="16" width="10.83203125" customWidth="1"/>
    <col min="17" max="17" width="12.5" customWidth="1"/>
    <col min="18" max="19" width="10.83203125" customWidth="1"/>
    <col min="20" max="20" width="19" bestFit="1" customWidth="1"/>
    <col min="21" max="21" width="11"/>
    <col min="22" max="22" width="20.33203125" style="4" bestFit="1" customWidth="1"/>
    <col min="23" max="23" width="29.33203125" style="18" bestFit="1" customWidth="1"/>
    <col min="24" max="24" width="12.5" style="18" customWidth="1"/>
    <col min="25" max="25" width="26.5" style="5" customWidth="1"/>
    <col min="26" max="28" width="26.5" style="4" customWidth="1"/>
    <col min="29" max="29" width="15" customWidth="1"/>
    <col min="30" max="30" width="16.83203125" style="3" bestFit="1" customWidth="1"/>
    <col min="31" max="31" width="14.1640625" customWidth="1"/>
    <col min="32" max="32" width="15.6640625" bestFit="1" customWidth="1"/>
    <col min="33" max="33" width="15.6640625" customWidth="1"/>
    <col min="34" max="34" width="21.5" customWidth="1"/>
    <col min="35" max="35" width="20" customWidth="1"/>
    <col min="36" max="36" width="22.33203125" bestFit="1" customWidth="1"/>
    <col min="37" max="37" width="24.33203125" bestFit="1" customWidth="1"/>
    <col min="38" max="38" width="18.6640625" bestFit="1" customWidth="1"/>
    <col min="39" max="39" width="21.83203125" style="1" bestFit="1" customWidth="1"/>
  </cols>
  <sheetData>
    <row r="1" spans="1:39" s="11" customFormat="1" ht="43" customHeight="1" x14ac:dyDescent="0.2">
      <c r="A1" s="8" t="s">
        <v>134</v>
      </c>
      <c r="B1" s="8" t="s">
        <v>135</v>
      </c>
      <c r="C1" s="9" t="s">
        <v>136</v>
      </c>
      <c r="D1" s="9" t="s">
        <v>0</v>
      </c>
      <c r="E1" s="9" t="s">
        <v>137</v>
      </c>
      <c r="F1" s="9" t="s">
        <v>138</v>
      </c>
      <c r="G1" s="9" t="s">
        <v>2</v>
      </c>
      <c r="H1" s="9" t="s">
        <v>139</v>
      </c>
      <c r="I1" s="9" t="s">
        <v>3</v>
      </c>
      <c r="J1" s="9" t="s">
        <v>140</v>
      </c>
      <c r="K1" s="9" t="s">
        <v>141</v>
      </c>
      <c r="L1" s="9" t="s">
        <v>142</v>
      </c>
      <c r="M1" s="9" t="s">
        <v>143</v>
      </c>
      <c r="N1" s="9" t="s">
        <v>144</v>
      </c>
      <c r="O1" s="9" t="s">
        <v>145</v>
      </c>
      <c r="P1" s="9" t="s">
        <v>146</v>
      </c>
      <c r="Q1" s="9" t="s">
        <v>147</v>
      </c>
      <c r="R1" s="9" t="s">
        <v>148</v>
      </c>
      <c r="S1" s="9" t="s">
        <v>149</v>
      </c>
      <c r="T1" s="9" t="s">
        <v>5</v>
      </c>
      <c r="U1" s="9" t="s">
        <v>7</v>
      </c>
      <c r="V1" s="10" t="s">
        <v>150</v>
      </c>
      <c r="W1" s="10" t="s">
        <v>151</v>
      </c>
      <c r="X1" s="10" t="s">
        <v>152</v>
      </c>
      <c r="Y1" s="13" t="s">
        <v>153</v>
      </c>
      <c r="Z1" s="13" t="s">
        <v>154</v>
      </c>
      <c r="AA1" s="13" t="s">
        <v>155</v>
      </c>
      <c r="AB1" s="13" t="s">
        <v>156</v>
      </c>
      <c r="AC1" s="8" t="s">
        <v>8</v>
      </c>
      <c r="AD1" s="14" t="s">
        <v>157</v>
      </c>
      <c r="AE1" s="8" t="s">
        <v>158</v>
      </c>
      <c r="AF1" s="8" t="s">
        <v>159</v>
      </c>
      <c r="AG1" s="8" t="s">
        <v>4</v>
      </c>
      <c r="AH1" s="15" t="s">
        <v>160</v>
      </c>
      <c r="AI1" s="16" t="s">
        <v>161</v>
      </c>
      <c r="AJ1" s="16" t="s">
        <v>162</v>
      </c>
      <c r="AK1" s="15" t="s">
        <v>163</v>
      </c>
      <c r="AL1" s="15" t="s">
        <v>164</v>
      </c>
      <c r="AM1" s="12" t="s">
        <v>165</v>
      </c>
    </row>
    <row r="2" spans="1:39" ht="15.75" customHeight="1" x14ac:dyDescent="0.2">
      <c r="A2" s="7" t="str">
        <f t="shared" ref="A2:A7" si="0">CONCATENATE(D2,G2,H2,K2)</f>
        <v>CYJ581New Buy</v>
      </c>
      <c r="B2" s="7" t="str">
        <f t="shared" ref="B2:B7" si="1">_xlfn.CONCAT(F2,K2,"New Buy")</f>
        <v>iPadNew Buy</v>
      </c>
      <c r="C2">
        <v>407782</v>
      </c>
      <c r="D2" s="19" t="s">
        <v>172</v>
      </c>
      <c r="E2" s="20" t="s">
        <v>166</v>
      </c>
      <c r="F2" s="20" t="s">
        <v>173</v>
      </c>
      <c r="G2" t="s">
        <v>174</v>
      </c>
      <c r="H2" t="s">
        <v>167</v>
      </c>
      <c r="I2" t="s">
        <v>175</v>
      </c>
      <c r="J2" t="s">
        <v>176</v>
      </c>
      <c r="L2" t="s">
        <v>177</v>
      </c>
      <c r="M2" s="25">
        <v>180</v>
      </c>
      <c r="N2" s="4">
        <v>108</v>
      </c>
      <c r="O2" s="24">
        <v>2</v>
      </c>
      <c r="Q2" s="20">
        <v>4</v>
      </c>
      <c r="T2" s="20" t="s">
        <v>178</v>
      </c>
      <c r="U2" s="21" t="s">
        <v>104</v>
      </c>
      <c r="V2" s="4">
        <v>108</v>
      </c>
      <c r="Y2" s="6">
        <f t="shared" ref="Y2:Y7" si="2">IFERROR(O2*M2,0)</f>
        <v>360</v>
      </c>
      <c r="Z2" s="6">
        <f t="shared" ref="Z2:Z7" si="3">IFERROR(O2*V2,0)</f>
        <v>216</v>
      </c>
      <c r="AA2" s="6">
        <f t="shared" ref="AA2:AA7" si="4">IFERROR(N2*O2,0)</f>
        <v>216</v>
      </c>
      <c r="AB2" s="6">
        <f t="shared" ref="AB2:AB7" si="5">IF(AA2=0,0,Y2-AA2)</f>
        <v>144</v>
      </c>
      <c r="AC2" t="s">
        <v>16</v>
      </c>
      <c r="AD2" s="3" t="s">
        <v>168</v>
      </c>
    </row>
    <row r="3" spans="1:39" ht="15.75" customHeight="1" x14ac:dyDescent="0.2">
      <c r="A3" s="7" t="str">
        <f t="shared" si="0"/>
        <v>CYJ581New Buy</v>
      </c>
      <c r="B3" s="7" t="str">
        <f t="shared" si="1"/>
        <v>iPadNew Buy</v>
      </c>
      <c r="C3">
        <v>407781</v>
      </c>
      <c r="D3" s="19" t="s">
        <v>172</v>
      </c>
      <c r="E3" s="20" t="s">
        <v>166</v>
      </c>
      <c r="F3" s="20" t="s">
        <v>173</v>
      </c>
      <c r="G3" t="s">
        <v>174</v>
      </c>
      <c r="H3" t="s">
        <v>167</v>
      </c>
      <c r="I3" t="s">
        <v>175</v>
      </c>
      <c r="J3" t="s">
        <v>176</v>
      </c>
      <c r="L3" t="s">
        <v>177</v>
      </c>
      <c r="M3" s="25">
        <v>180</v>
      </c>
      <c r="N3" s="4">
        <v>108</v>
      </c>
      <c r="O3" s="24">
        <v>1</v>
      </c>
      <c r="Q3" s="20">
        <v>4</v>
      </c>
      <c r="T3" s="20" t="s">
        <v>178</v>
      </c>
      <c r="U3" s="21" t="s">
        <v>66</v>
      </c>
      <c r="V3" s="4">
        <v>108</v>
      </c>
      <c r="Y3" s="6">
        <f t="shared" si="2"/>
        <v>180</v>
      </c>
      <c r="Z3" s="6">
        <f t="shared" si="3"/>
        <v>108</v>
      </c>
      <c r="AA3" s="6">
        <f t="shared" si="4"/>
        <v>108</v>
      </c>
      <c r="AB3" s="6">
        <f t="shared" si="5"/>
        <v>72</v>
      </c>
      <c r="AC3" t="s">
        <v>16</v>
      </c>
      <c r="AD3" s="3" t="s">
        <v>168</v>
      </c>
    </row>
    <row r="4" spans="1:39" ht="15.75" customHeight="1" x14ac:dyDescent="0.2">
      <c r="A4" s="7" t="str">
        <f t="shared" si="0"/>
        <v>CYJ581New Buy</v>
      </c>
      <c r="B4" s="7" t="str">
        <f t="shared" si="1"/>
        <v>iPadNew Buy</v>
      </c>
      <c r="C4">
        <v>407780</v>
      </c>
      <c r="D4" s="19" t="s">
        <v>172</v>
      </c>
      <c r="E4" s="20" t="s">
        <v>166</v>
      </c>
      <c r="F4" s="20" t="s">
        <v>173</v>
      </c>
      <c r="G4" t="s">
        <v>174</v>
      </c>
      <c r="H4" t="s">
        <v>167</v>
      </c>
      <c r="I4" t="s">
        <v>175</v>
      </c>
      <c r="J4" t="s">
        <v>176</v>
      </c>
      <c r="L4" t="s">
        <v>179</v>
      </c>
      <c r="M4" s="25">
        <v>270</v>
      </c>
      <c r="N4" s="4">
        <v>108</v>
      </c>
      <c r="O4" s="24">
        <v>2</v>
      </c>
      <c r="Q4" s="20">
        <v>4</v>
      </c>
      <c r="T4" s="20" t="s">
        <v>178</v>
      </c>
      <c r="U4" s="21" t="s">
        <v>116</v>
      </c>
      <c r="V4" s="4">
        <v>108</v>
      </c>
      <c r="Y4" s="6">
        <f t="shared" si="2"/>
        <v>540</v>
      </c>
      <c r="Z4" s="6">
        <f t="shared" si="3"/>
        <v>216</v>
      </c>
      <c r="AA4" s="6">
        <f t="shared" si="4"/>
        <v>216</v>
      </c>
      <c r="AB4" s="6">
        <f t="shared" si="5"/>
        <v>324</v>
      </c>
      <c r="AC4" t="s">
        <v>33</v>
      </c>
      <c r="AD4" s="3" t="s">
        <v>168</v>
      </c>
    </row>
    <row r="5" spans="1:39" ht="15.75" customHeight="1" x14ac:dyDescent="0.2">
      <c r="A5" s="7" t="str">
        <f t="shared" si="0"/>
        <v>CYJ581New Buy</v>
      </c>
      <c r="B5" s="7" t="str">
        <f t="shared" si="1"/>
        <v>iPadNew Buy</v>
      </c>
      <c r="C5">
        <v>407779</v>
      </c>
      <c r="D5" s="19" t="s">
        <v>172</v>
      </c>
      <c r="E5" s="20" t="s">
        <v>166</v>
      </c>
      <c r="F5" s="20" t="s">
        <v>173</v>
      </c>
      <c r="G5" t="s">
        <v>174</v>
      </c>
      <c r="H5" t="s">
        <v>167</v>
      </c>
      <c r="I5" t="s">
        <v>175</v>
      </c>
      <c r="J5" t="s">
        <v>180</v>
      </c>
      <c r="L5" t="s">
        <v>181</v>
      </c>
      <c r="M5" s="25">
        <v>270</v>
      </c>
      <c r="N5" s="4">
        <v>108</v>
      </c>
      <c r="O5" s="24">
        <v>2</v>
      </c>
      <c r="Q5" s="20">
        <v>4</v>
      </c>
      <c r="T5" s="20" t="s">
        <v>178</v>
      </c>
      <c r="U5" s="21" t="s">
        <v>116</v>
      </c>
      <c r="V5" s="4">
        <v>108</v>
      </c>
      <c r="Y5" s="6">
        <f t="shared" si="2"/>
        <v>540</v>
      </c>
      <c r="Z5" s="6">
        <f t="shared" si="3"/>
        <v>216</v>
      </c>
      <c r="AA5" s="6">
        <f t="shared" si="4"/>
        <v>216</v>
      </c>
      <c r="AB5" s="6">
        <f t="shared" si="5"/>
        <v>324</v>
      </c>
      <c r="AC5" t="s">
        <v>33</v>
      </c>
      <c r="AD5" s="3" t="s">
        <v>168</v>
      </c>
    </row>
    <row r="6" spans="1:39" ht="15.75" customHeight="1" x14ac:dyDescent="0.2">
      <c r="A6" s="7" t="str">
        <f t="shared" si="0"/>
        <v>CYJ581New Buy</v>
      </c>
      <c r="B6" s="7" t="str">
        <f t="shared" si="1"/>
        <v>iPadNew Buy</v>
      </c>
      <c r="C6">
        <v>407778</v>
      </c>
      <c r="D6" s="19" t="s">
        <v>172</v>
      </c>
      <c r="E6" s="20" t="s">
        <v>166</v>
      </c>
      <c r="F6" s="20" t="s">
        <v>173</v>
      </c>
      <c r="G6" t="s">
        <v>174</v>
      </c>
      <c r="H6" t="s">
        <v>167</v>
      </c>
      <c r="I6" t="s">
        <v>175</v>
      </c>
      <c r="J6" t="s">
        <v>180</v>
      </c>
      <c r="L6" t="s">
        <v>182</v>
      </c>
      <c r="M6" s="25">
        <v>180</v>
      </c>
      <c r="N6" s="4">
        <v>108</v>
      </c>
      <c r="O6" s="24">
        <v>3</v>
      </c>
      <c r="Q6" s="20">
        <v>4</v>
      </c>
      <c r="T6" s="20" t="s">
        <v>178</v>
      </c>
      <c r="U6" s="21" t="s">
        <v>104</v>
      </c>
      <c r="V6" s="4">
        <v>108</v>
      </c>
      <c r="Y6" s="6">
        <f t="shared" si="2"/>
        <v>540</v>
      </c>
      <c r="Z6" s="6">
        <f t="shared" si="3"/>
        <v>324</v>
      </c>
      <c r="AA6" s="6">
        <f t="shared" si="4"/>
        <v>324</v>
      </c>
      <c r="AB6" s="6">
        <f t="shared" si="5"/>
        <v>216</v>
      </c>
      <c r="AC6" t="s">
        <v>16</v>
      </c>
      <c r="AD6" s="3" t="s">
        <v>168</v>
      </c>
    </row>
    <row r="7" spans="1:39" ht="15.75" customHeight="1" x14ac:dyDescent="0.2">
      <c r="A7" s="7" t="str">
        <f t="shared" si="0"/>
        <v>CYJ581New Buy</v>
      </c>
      <c r="B7" s="7" t="str">
        <f t="shared" si="1"/>
        <v>iPadNew Buy</v>
      </c>
      <c r="C7">
        <v>407777</v>
      </c>
      <c r="D7" s="19" t="s">
        <v>172</v>
      </c>
      <c r="E7" s="20" t="s">
        <v>166</v>
      </c>
      <c r="F7" s="20" t="s">
        <v>173</v>
      </c>
      <c r="G7" t="s">
        <v>174</v>
      </c>
      <c r="H7" t="s">
        <v>167</v>
      </c>
      <c r="I7" t="s">
        <v>175</v>
      </c>
      <c r="J7" t="s">
        <v>180</v>
      </c>
      <c r="L7" t="s">
        <v>182</v>
      </c>
      <c r="M7" s="25">
        <v>180</v>
      </c>
      <c r="N7" s="4">
        <v>108</v>
      </c>
      <c r="O7" s="24">
        <v>1</v>
      </c>
      <c r="Q7" s="20">
        <v>4</v>
      </c>
      <c r="T7" s="20" t="s">
        <v>178</v>
      </c>
      <c r="U7" s="21" t="s">
        <v>66</v>
      </c>
      <c r="V7" s="4">
        <v>108</v>
      </c>
      <c r="Y7" s="6">
        <f t="shared" si="2"/>
        <v>180</v>
      </c>
      <c r="Z7" s="6">
        <f t="shared" si="3"/>
        <v>108</v>
      </c>
      <c r="AA7" s="6">
        <f t="shared" si="4"/>
        <v>108</v>
      </c>
      <c r="AB7" s="6">
        <f t="shared" si="5"/>
        <v>72</v>
      </c>
      <c r="AC7" t="s">
        <v>16</v>
      </c>
      <c r="AD7" s="3" t="s">
        <v>168</v>
      </c>
    </row>
    <row r="8" spans="1:39" ht="15.75" customHeight="1" x14ac:dyDescent="0.2">
      <c r="A8" s="7" t="str">
        <f t="shared" ref="A8:A71" si="6">CONCATENATE(D8,G8,H8,K8)</f>
        <v>CYJ581New Buy</v>
      </c>
      <c r="B8" s="7" t="str">
        <f t="shared" ref="B8:B71" si="7">_xlfn.CONCAT(F8,K8,"New Buy")</f>
        <v>iPadNew Buy</v>
      </c>
      <c r="C8">
        <v>407776</v>
      </c>
      <c r="D8" s="19" t="s">
        <v>172</v>
      </c>
      <c r="E8" s="20" t="s">
        <v>166</v>
      </c>
      <c r="F8" s="20" t="s">
        <v>173</v>
      </c>
      <c r="G8" t="s">
        <v>174</v>
      </c>
      <c r="H8" t="s">
        <v>167</v>
      </c>
      <c r="I8" t="s">
        <v>175</v>
      </c>
      <c r="J8" t="s">
        <v>183</v>
      </c>
      <c r="L8" t="s">
        <v>184</v>
      </c>
      <c r="M8" s="25">
        <v>180</v>
      </c>
      <c r="N8" s="4">
        <v>108</v>
      </c>
      <c r="O8" s="24">
        <v>2</v>
      </c>
      <c r="Q8" s="20">
        <v>4</v>
      </c>
      <c r="T8" s="20" t="s">
        <v>178</v>
      </c>
      <c r="U8" s="21" t="s">
        <v>104</v>
      </c>
      <c r="V8" s="4">
        <v>108</v>
      </c>
      <c r="Y8" s="6">
        <f t="shared" ref="Y8:Y71" si="8">IFERROR(O8*M8,0)</f>
        <v>360</v>
      </c>
      <c r="Z8" s="6">
        <f t="shared" ref="Z8:Z71" si="9">IFERROR(O8*V8,0)</f>
        <v>216</v>
      </c>
      <c r="AA8" s="6">
        <f t="shared" ref="AA8:AA71" si="10">IFERROR(N8*O8,0)</f>
        <v>216</v>
      </c>
      <c r="AB8" s="6">
        <f t="shared" ref="AB8:AB71" si="11">IF(AA8=0,0,Y8-AA8)</f>
        <v>144</v>
      </c>
      <c r="AC8" t="s">
        <v>16</v>
      </c>
      <c r="AD8" s="3" t="s">
        <v>168</v>
      </c>
    </row>
    <row r="9" spans="1:39" ht="15.75" customHeight="1" x14ac:dyDescent="0.2">
      <c r="A9" s="7" t="str">
        <f t="shared" si="6"/>
        <v>CYJ581New Buy</v>
      </c>
      <c r="B9" s="7" t="str">
        <f t="shared" si="7"/>
        <v>iPadNew Buy</v>
      </c>
      <c r="C9">
        <v>407775</v>
      </c>
      <c r="D9" s="19" t="s">
        <v>172</v>
      </c>
      <c r="E9" s="20" t="s">
        <v>166</v>
      </c>
      <c r="F9" s="20" t="s">
        <v>173</v>
      </c>
      <c r="G9" t="s">
        <v>174</v>
      </c>
      <c r="H9" t="s">
        <v>167</v>
      </c>
      <c r="I9" t="s">
        <v>175</v>
      </c>
      <c r="J9" t="s">
        <v>183</v>
      </c>
      <c r="L9" t="s">
        <v>184</v>
      </c>
      <c r="M9" s="25">
        <v>270</v>
      </c>
      <c r="N9" s="4">
        <v>108</v>
      </c>
      <c r="O9" s="24">
        <v>2</v>
      </c>
      <c r="Q9" s="20">
        <v>4</v>
      </c>
      <c r="T9" s="20" t="s">
        <v>178</v>
      </c>
      <c r="U9" s="21" t="s">
        <v>116</v>
      </c>
      <c r="V9" s="4">
        <v>108</v>
      </c>
      <c r="Y9" s="6">
        <f t="shared" si="8"/>
        <v>540</v>
      </c>
      <c r="Z9" s="6">
        <f t="shared" si="9"/>
        <v>216</v>
      </c>
      <c r="AA9" s="6">
        <f t="shared" si="10"/>
        <v>216</v>
      </c>
      <c r="AB9" s="6">
        <f t="shared" si="11"/>
        <v>324</v>
      </c>
      <c r="AC9" t="s">
        <v>33</v>
      </c>
      <c r="AD9" s="3" t="s">
        <v>168</v>
      </c>
    </row>
    <row r="10" spans="1:39" ht="15.75" customHeight="1" x14ac:dyDescent="0.2">
      <c r="A10" s="7" t="str">
        <f t="shared" si="6"/>
        <v>CYJ581New Buy</v>
      </c>
      <c r="B10" s="7" t="str">
        <f t="shared" si="7"/>
        <v>iPadNew Buy</v>
      </c>
      <c r="C10">
        <v>407774</v>
      </c>
      <c r="D10" s="19" t="s">
        <v>172</v>
      </c>
      <c r="E10" s="20" t="s">
        <v>166</v>
      </c>
      <c r="F10" s="20" t="s">
        <v>173</v>
      </c>
      <c r="G10" t="s">
        <v>174</v>
      </c>
      <c r="H10" t="s">
        <v>167</v>
      </c>
      <c r="I10" t="s">
        <v>175</v>
      </c>
      <c r="J10" t="s">
        <v>183</v>
      </c>
      <c r="L10" t="s">
        <v>184</v>
      </c>
      <c r="M10" s="25">
        <v>180</v>
      </c>
      <c r="N10" s="4">
        <v>108</v>
      </c>
      <c r="O10" s="24">
        <v>1</v>
      </c>
      <c r="Q10" s="20">
        <v>4</v>
      </c>
      <c r="T10" s="20" t="s">
        <v>178</v>
      </c>
      <c r="U10" s="21" t="s">
        <v>66</v>
      </c>
      <c r="V10" s="4">
        <v>108</v>
      </c>
      <c r="Y10" s="6">
        <f t="shared" si="8"/>
        <v>180</v>
      </c>
      <c r="Z10" s="6">
        <f t="shared" si="9"/>
        <v>108</v>
      </c>
      <c r="AA10" s="6">
        <f t="shared" si="10"/>
        <v>108</v>
      </c>
      <c r="AB10" s="6">
        <f t="shared" si="11"/>
        <v>72</v>
      </c>
      <c r="AC10" t="s">
        <v>16</v>
      </c>
      <c r="AD10" s="3" t="s">
        <v>168</v>
      </c>
    </row>
    <row r="11" spans="1:39" ht="15.75" customHeight="1" x14ac:dyDescent="0.2">
      <c r="A11" s="7" t="str">
        <f t="shared" si="6"/>
        <v>CYJ581Retrofit</v>
      </c>
      <c r="B11" s="7" t="str">
        <f t="shared" si="7"/>
        <v>iPadNew Buy</v>
      </c>
      <c r="C11">
        <v>407764</v>
      </c>
      <c r="D11" s="19" t="s">
        <v>172</v>
      </c>
      <c r="E11" s="20" t="s">
        <v>166</v>
      </c>
      <c r="F11" s="20" t="s">
        <v>173</v>
      </c>
      <c r="G11" t="s">
        <v>174</v>
      </c>
      <c r="H11" t="s">
        <v>170</v>
      </c>
      <c r="I11" t="s">
        <v>131</v>
      </c>
      <c r="J11" t="s">
        <v>185</v>
      </c>
      <c r="L11" t="s">
        <v>186</v>
      </c>
      <c r="M11" s="25">
        <v>50</v>
      </c>
      <c r="N11" s="4">
        <v>45</v>
      </c>
      <c r="O11" s="24">
        <v>850</v>
      </c>
      <c r="Q11" s="20">
        <v>4</v>
      </c>
      <c r="T11" s="20" t="s">
        <v>178</v>
      </c>
      <c r="U11" s="21" t="s">
        <v>104</v>
      </c>
      <c r="V11" s="4">
        <v>30</v>
      </c>
      <c r="W11" s="26">
        <v>100</v>
      </c>
      <c r="Y11" s="6">
        <f t="shared" si="8"/>
        <v>42500</v>
      </c>
      <c r="Z11" s="6">
        <f t="shared" si="9"/>
        <v>25500</v>
      </c>
      <c r="AA11" s="6">
        <f t="shared" si="10"/>
        <v>38250</v>
      </c>
      <c r="AB11" s="6">
        <f t="shared" si="11"/>
        <v>4250</v>
      </c>
      <c r="AC11" t="s">
        <v>16</v>
      </c>
      <c r="AD11" s="3" t="s">
        <v>171</v>
      </c>
      <c r="AM11" s="1">
        <f t="shared" ref="AM11:AM53" si="12">MAX(0, (W11*O11)-AA11)</f>
        <v>46750</v>
      </c>
    </row>
    <row r="12" spans="1:39" ht="15.75" customHeight="1" x14ac:dyDescent="0.2">
      <c r="A12" s="7" t="str">
        <f t="shared" si="6"/>
        <v>CYJ581Retrofit</v>
      </c>
      <c r="B12" s="7" t="str">
        <f t="shared" si="7"/>
        <v>iPadNew Buy</v>
      </c>
      <c r="C12">
        <v>407762</v>
      </c>
      <c r="D12" s="19" t="s">
        <v>172</v>
      </c>
      <c r="E12" s="20" t="s">
        <v>166</v>
      </c>
      <c r="F12" s="20" t="s">
        <v>173</v>
      </c>
      <c r="G12" t="s">
        <v>174</v>
      </c>
      <c r="H12" t="s">
        <v>170</v>
      </c>
      <c r="I12" t="s">
        <v>131</v>
      </c>
      <c r="J12" t="s">
        <v>187</v>
      </c>
      <c r="L12" t="s">
        <v>188</v>
      </c>
      <c r="M12" s="25">
        <v>60</v>
      </c>
      <c r="N12" s="4">
        <v>24</v>
      </c>
      <c r="O12" s="24">
        <v>3</v>
      </c>
      <c r="Q12" s="20">
        <v>4</v>
      </c>
      <c r="T12" s="20" t="s">
        <v>178</v>
      </c>
      <c r="U12" s="21" t="s">
        <v>116</v>
      </c>
      <c r="V12" s="4">
        <v>24</v>
      </c>
      <c r="W12" s="26">
        <v>80</v>
      </c>
      <c r="Y12" s="6">
        <f t="shared" si="8"/>
        <v>180</v>
      </c>
      <c r="Z12" s="6">
        <f t="shared" si="9"/>
        <v>72</v>
      </c>
      <c r="AA12" s="6">
        <f t="shared" si="10"/>
        <v>72</v>
      </c>
      <c r="AB12" s="6">
        <f t="shared" si="11"/>
        <v>108</v>
      </c>
      <c r="AC12" t="s">
        <v>33</v>
      </c>
      <c r="AD12" s="3" t="s">
        <v>171</v>
      </c>
      <c r="AM12" s="1">
        <f t="shared" si="12"/>
        <v>168</v>
      </c>
    </row>
    <row r="13" spans="1:39" ht="15.75" customHeight="1" x14ac:dyDescent="0.2">
      <c r="A13" s="7" t="str">
        <f t="shared" si="6"/>
        <v>CYJ581Retrofit</v>
      </c>
      <c r="B13" s="7" t="str">
        <f t="shared" si="7"/>
        <v>iPadNew Buy</v>
      </c>
      <c r="C13">
        <v>407761</v>
      </c>
      <c r="D13" s="19" t="s">
        <v>172</v>
      </c>
      <c r="E13" s="20" t="s">
        <v>166</v>
      </c>
      <c r="F13" s="20" t="s">
        <v>173</v>
      </c>
      <c r="G13" t="s">
        <v>174</v>
      </c>
      <c r="H13" t="s">
        <v>170</v>
      </c>
      <c r="I13" t="s">
        <v>131</v>
      </c>
      <c r="J13" t="s">
        <v>187</v>
      </c>
      <c r="L13" t="s">
        <v>189</v>
      </c>
      <c r="M13" s="25">
        <v>40</v>
      </c>
      <c r="N13" s="4">
        <v>24</v>
      </c>
      <c r="O13" s="24">
        <v>2</v>
      </c>
      <c r="Q13" s="20">
        <v>4</v>
      </c>
      <c r="T13" s="20" t="s">
        <v>178</v>
      </c>
      <c r="U13" s="21" t="s">
        <v>66</v>
      </c>
      <c r="V13" s="4">
        <v>24</v>
      </c>
      <c r="W13" s="26">
        <v>80</v>
      </c>
      <c r="Y13" s="6">
        <f t="shared" si="8"/>
        <v>80</v>
      </c>
      <c r="Z13" s="6">
        <f t="shared" si="9"/>
        <v>48</v>
      </c>
      <c r="AA13" s="6">
        <f t="shared" si="10"/>
        <v>48</v>
      </c>
      <c r="AB13" s="6">
        <f t="shared" si="11"/>
        <v>32</v>
      </c>
      <c r="AC13" t="s">
        <v>16</v>
      </c>
      <c r="AD13" s="3" t="s">
        <v>171</v>
      </c>
      <c r="AM13" s="1">
        <f t="shared" si="12"/>
        <v>112</v>
      </c>
    </row>
    <row r="14" spans="1:39" ht="15.75" customHeight="1" x14ac:dyDescent="0.2">
      <c r="A14" s="7" t="str">
        <f t="shared" si="6"/>
        <v>CYJ581Retrofit</v>
      </c>
      <c r="B14" s="7" t="str">
        <f t="shared" si="7"/>
        <v>iPadNew Buy</v>
      </c>
      <c r="C14">
        <v>407760</v>
      </c>
      <c r="D14" s="19" t="s">
        <v>172</v>
      </c>
      <c r="E14" s="20" t="s">
        <v>166</v>
      </c>
      <c r="F14" s="20" t="s">
        <v>173</v>
      </c>
      <c r="G14" t="s">
        <v>174</v>
      </c>
      <c r="H14" t="s">
        <v>170</v>
      </c>
      <c r="I14" t="s">
        <v>131</v>
      </c>
      <c r="J14" t="s">
        <v>190</v>
      </c>
      <c r="L14" t="s">
        <v>191</v>
      </c>
      <c r="M14" s="25">
        <v>40</v>
      </c>
      <c r="N14" s="4">
        <v>24</v>
      </c>
      <c r="O14" s="24">
        <v>2</v>
      </c>
      <c r="Q14" s="20">
        <v>4</v>
      </c>
      <c r="T14" s="20" t="s">
        <v>178</v>
      </c>
      <c r="U14" s="21" t="s">
        <v>66</v>
      </c>
      <c r="V14" s="4">
        <v>24</v>
      </c>
      <c r="W14" s="26">
        <v>80</v>
      </c>
      <c r="Y14" s="6">
        <f t="shared" si="8"/>
        <v>80</v>
      </c>
      <c r="Z14" s="6">
        <f t="shared" si="9"/>
        <v>48</v>
      </c>
      <c r="AA14" s="6">
        <f t="shared" si="10"/>
        <v>48</v>
      </c>
      <c r="AB14" s="6">
        <f t="shared" si="11"/>
        <v>32</v>
      </c>
      <c r="AC14" t="s">
        <v>16</v>
      </c>
      <c r="AD14" s="3" t="s">
        <v>171</v>
      </c>
      <c r="AM14" s="1">
        <f t="shared" si="12"/>
        <v>112</v>
      </c>
    </row>
    <row r="15" spans="1:39" ht="15.75" customHeight="1" x14ac:dyDescent="0.2">
      <c r="A15" s="7" t="str">
        <f t="shared" si="6"/>
        <v>CYJ581Retrofit</v>
      </c>
      <c r="B15" s="7" t="str">
        <f t="shared" si="7"/>
        <v>iPadNew Buy</v>
      </c>
      <c r="C15">
        <v>407759</v>
      </c>
      <c r="D15" s="19" t="s">
        <v>172</v>
      </c>
      <c r="E15" s="20" t="s">
        <v>166</v>
      </c>
      <c r="F15" s="20" t="s">
        <v>173</v>
      </c>
      <c r="G15" t="s">
        <v>174</v>
      </c>
      <c r="H15" t="s">
        <v>170</v>
      </c>
      <c r="I15" t="s">
        <v>131</v>
      </c>
      <c r="J15" t="s">
        <v>190</v>
      </c>
      <c r="L15" t="s">
        <v>192</v>
      </c>
      <c r="M15" s="25">
        <v>60</v>
      </c>
      <c r="N15" s="4">
        <v>24</v>
      </c>
      <c r="O15" s="24">
        <v>2</v>
      </c>
      <c r="Q15" s="20">
        <v>4</v>
      </c>
      <c r="T15" s="20" t="s">
        <v>178</v>
      </c>
      <c r="U15" s="21" t="s">
        <v>116</v>
      </c>
      <c r="V15" s="4">
        <v>24</v>
      </c>
      <c r="W15" s="26">
        <v>80</v>
      </c>
      <c r="Y15" s="6">
        <f t="shared" si="8"/>
        <v>120</v>
      </c>
      <c r="Z15" s="6">
        <f t="shared" si="9"/>
        <v>48</v>
      </c>
      <c r="AA15" s="6">
        <f t="shared" si="10"/>
        <v>48</v>
      </c>
      <c r="AB15" s="6">
        <f t="shared" si="11"/>
        <v>72</v>
      </c>
      <c r="AC15" t="s">
        <v>33</v>
      </c>
      <c r="AD15" s="3" t="s">
        <v>171</v>
      </c>
      <c r="AM15" s="1">
        <f t="shared" si="12"/>
        <v>112</v>
      </c>
    </row>
    <row r="16" spans="1:39" ht="15.75" customHeight="1" x14ac:dyDescent="0.2">
      <c r="A16" s="7" t="str">
        <f t="shared" si="6"/>
        <v>CYJ581New Buy</v>
      </c>
      <c r="B16" s="7" t="str">
        <f t="shared" si="7"/>
        <v>iPadNew Buy</v>
      </c>
      <c r="C16">
        <v>407749</v>
      </c>
      <c r="D16" s="19" t="s">
        <v>172</v>
      </c>
      <c r="E16" s="20" t="s">
        <v>166</v>
      </c>
      <c r="F16" s="20" t="s">
        <v>173</v>
      </c>
      <c r="G16" t="s">
        <v>174</v>
      </c>
      <c r="H16" t="s">
        <v>167</v>
      </c>
      <c r="I16" t="s">
        <v>175</v>
      </c>
      <c r="J16" t="s">
        <v>193</v>
      </c>
      <c r="L16" t="s">
        <v>194</v>
      </c>
      <c r="M16" s="25">
        <v>225</v>
      </c>
      <c r="N16" s="4">
        <v>110</v>
      </c>
      <c r="O16" s="24">
        <v>5.3333333300000003</v>
      </c>
      <c r="Q16" s="20">
        <v>4</v>
      </c>
      <c r="T16" s="20" t="s">
        <v>178</v>
      </c>
      <c r="U16" s="21" t="s">
        <v>116</v>
      </c>
      <c r="V16" s="4">
        <v>73.5</v>
      </c>
      <c r="Y16" s="6">
        <f t="shared" si="8"/>
        <v>1199.99999925</v>
      </c>
      <c r="Z16" s="6">
        <f t="shared" si="9"/>
        <v>391.99999975500003</v>
      </c>
      <c r="AA16" s="6">
        <f t="shared" si="10"/>
        <v>586.66666630000009</v>
      </c>
      <c r="AB16" s="6">
        <f t="shared" si="11"/>
        <v>613.33333294999989</v>
      </c>
      <c r="AC16" t="s">
        <v>33</v>
      </c>
      <c r="AD16" s="3" t="s">
        <v>168</v>
      </c>
    </row>
    <row r="17" spans="1:39" ht="15.75" customHeight="1" x14ac:dyDescent="0.2">
      <c r="A17" s="7" t="str">
        <f t="shared" si="6"/>
        <v>CYJ581New Buy</v>
      </c>
      <c r="B17" s="7" t="str">
        <f t="shared" si="7"/>
        <v>iPadNew Buy</v>
      </c>
      <c r="C17">
        <v>407748</v>
      </c>
      <c r="D17" s="19" t="s">
        <v>172</v>
      </c>
      <c r="E17" s="20" t="s">
        <v>166</v>
      </c>
      <c r="F17" s="20" t="s">
        <v>173</v>
      </c>
      <c r="G17" t="s">
        <v>174</v>
      </c>
      <c r="H17" t="s">
        <v>167</v>
      </c>
      <c r="I17" t="s">
        <v>175</v>
      </c>
      <c r="J17" t="s">
        <v>193</v>
      </c>
      <c r="L17" t="s">
        <v>194</v>
      </c>
      <c r="M17" s="25">
        <v>150</v>
      </c>
      <c r="N17" s="4">
        <v>110</v>
      </c>
      <c r="O17" s="24">
        <v>1.3333333300000001</v>
      </c>
      <c r="Q17" s="20">
        <v>4</v>
      </c>
      <c r="T17" s="20" t="s">
        <v>178</v>
      </c>
      <c r="U17" s="21" t="s">
        <v>66</v>
      </c>
      <c r="V17" s="4">
        <v>73.5</v>
      </c>
      <c r="Y17" s="6">
        <f t="shared" si="8"/>
        <v>199.9999995</v>
      </c>
      <c r="Z17" s="6">
        <f t="shared" si="9"/>
        <v>97.999999755000005</v>
      </c>
      <c r="AA17" s="6">
        <f t="shared" si="10"/>
        <v>146.6666663</v>
      </c>
      <c r="AB17" s="6">
        <f t="shared" si="11"/>
        <v>53.333333199999998</v>
      </c>
      <c r="AC17" t="s">
        <v>16</v>
      </c>
      <c r="AD17" s="3" t="s">
        <v>168</v>
      </c>
    </row>
    <row r="18" spans="1:39" ht="15.75" customHeight="1" x14ac:dyDescent="0.2">
      <c r="A18" s="7" t="str">
        <f t="shared" si="6"/>
        <v>CYJ581New Buy</v>
      </c>
      <c r="B18" s="7" t="str">
        <f t="shared" si="7"/>
        <v>iPadNew Buy</v>
      </c>
      <c r="C18">
        <v>407743</v>
      </c>
      <c r="D18" s="19" t="s">
        <v>172</v>
      </c>
      <c r="E18" s="20" t="s">
        <v>166</v>
      </c>
      <c r="F18" s="20" t="s">
        <v>173</v>
      </c>
      <c r="G18" t="s">
        <v>174</v>
      </c>
      <c r="H18" t="s">
        <v>167</v>
      </c>
      <c r="I18" t="s">
        <v>175</v>
      </c>
      <c r="J18" t="s">
        <v>195</v>
      </c>
      <c r="L18" t="s">
        <v>196</v>
      </c>
      <c r="M18" s="25">
        <v>165</v>
      </c>
      <c r="N18" s="4">
        <v>66</v>
      </c>
      <c r="O18" s="24">
        <v>1.3333333300000001</v>
      </c>
      <c r="Q18" s="20">
        <v>4</v>
      </c>
      <c r="T18" s="20" t="s">
        <v>178</v>
      </c>
      <c r="U18" s="21" t="s">
        <v>116</v>
      </c>
      <c r="V18" s="4">
        <v>66</v>
      </c>
      <c r="Y18" s="6">
        <f t="shared" si="8"/>
        <v>219.99999945000002</v>
      </c>
      <c r="Z18" s="6">
        <f t="shared" si="9"/>
        <v>87.99999978000001</v>
      </c>
      <c r="AA18" s="6">
        <f t="shared" si="10"/>
        <v>87.99999978000001</v>
      </c>
      <c r="AB18" s="6">
        <f t="shared" si="11"/>
        <v>131.99999967000002</v>
      </c>
      <c r="AC18" t="s">
        <v>33</v>
      </c>
      <c r="AD18" s="3" t="s">
        <v>168</v>
      </c>
    </row>
    <row r="19" spans="1:39" ht="15.75" customHeight="1" x14ac:dyDescent="0.2">
      <c r="A19" s="7" t="str">
        <f t="shared" si="6"/>
        <v>CYJ581New Buy</v>
      </c>
      <c r="B19" s="7" t="str">
        <f t="shared" si="7"/>
        <v>iPadNew Buy</v>
      </c>
      <c r="C19">
        <v>407742</v>
      </c>
      <c r="D19" s="19" t="s">
        <v>172</v>
      </c>
      <c r="E19" s="20" t="s">
        <v>166</v>
      </c>
      <c r="F19" s="20" t="s">
        <v>173</v>
      </c>
      <c r="G19" t="s">
        <v>174</v>
      </c>
      <c r="H19" t="s">
        <v>167</v>
      </c>
      <c r="I19" t="s">
        <v>175</v>
      </c>
      <c r="J19" t="s">
        <v>195</v>
      </c>
      <c r="L19" t="s">
        <v>196</v>
      </c>
      <c r="M19" s="25">
        <v>110</v>
      </c>
      <c r="N19" s="4">
        <v>66</v>
      </c>
      <c r="O19" s="24">
        <v>0.66666667000000002</v>
      </c>
      <c r="Q19" s="20">
        <v>4</v>
      </c>
      <c r="T19" s="20" t="s">
        <v>178</v>
      </c>
      <c r="U19" s="21" t="s">
        <v>66</v>
      </c>
      <c r="V19" s="4">
        <v>66</v>
      </c>
      <c r="Y19" s="6">
        <f t="shared" si="8"/>
        <v>73.333333699999997</v>
      </c>
      <c r="Z19" s="6">
        <f t="shared" si="9"/>
        <v>44.000000220000004</v>
      </c>
      <c r="AA19" s="6">
        <f t="shared" si="10"/>
        <v>44.000000220000004</v>
      </c>
      <c r="AB19" s="6">
        <f t="shared" si="11"/>
        <v>29.333333479999993</v>
      </c>
      <c r="AC19" t="s">
        <v>16</v>
      </c>
      <c r="AD19" s="3" t="s">
        <v>168</v>
      </c>
    </row>
    <row r="20" spans="1:39" ht="15.75" customHeight="1" x14ac:dyDescent="0.2">
      <c r="A20" s="7" t="str">
        <f t="shared" si="6"/>
        <v>CYJ581New Buy</v>
      </c>
      <c r="B20" s="7" t="str">
        <f t="shared" si="7"/>
        <v>iPadNew Buy</v>
      </c>
      <c r="C20">
        <v>407737</v>
      </c>
      <c r="D20" s="19" t="s">
        <v>172</v>
      </c>
      <c r="E20" s="20" t="s">
        <v>166</v>
      </c>
      <c r="F20" s="20" t="s">
        <v>173</v>
      </c>
      <c r="G20" t="s">
        <v>174</v>
      </c>
      <c r="H20" t="s">
        <v>167</v>
      </c>
      <c r="I20" t="s">
        <v>175</v>
      </c>
      <c r="J20" t="s">
        <v>197</v>
      </c>
      <c r="L20" t="s">
        <v>198</v>
      </c>
      <c r="M20" s="25">
        <v>165</v>
      </c>
      <c r="N20" s="4">
        <v>60.4</v>
      </c>
      <c r="O20" s="24">
        <v>1.3333333300000001</v>
      </c>
      <c r="Q20" s="20">
        <v>4</v>
      </c>
      <c r="T20" s="20" t="s">
        <v>178</v>
      </c>
      <c r="U20" s="21" t="s">
        <v>116</v>
      </c>
      <c r="V20" s="4">
        <v>60.04</v>
      </c>
      <c r="Y20" s="6">
        <f t="shared" si="8"/>
        <v>219.99999945000002</v>
      </c>
      <c r="Z20" s="6">
        <f t="shared" si="9"/>
        <v>80.053333133199999</v>
      </c>
      <c r="AA20" s="6">
        <f t="shared" si="10"/>
        <v>80.53333313200001</v>
      </c>
      <c r="AB20" s="6">
        <f t="shared" si="11"/>
        <v>139.46666631800002</v>
      </c>
      <c r="AC20" t="s">
        <v>33</v>
      </c>
      <c r="AD20" s="3" t="s">
        <v>168</v>
      </c>
    </row>
    <row r="21" spans="1:39" ht="15.75" customHeight="1" x14ac:dyDescent="0.2">
      <c r="A21" s="7" t="str">
        <f t="shared" si="6"/>
        <v>CYJ581New Buy</v>
      </c>
      <c r="B21" s="7" t="str">
        <f t="shared" si="7"/>
        <v>iPadNew Buy</v>
      </c>
      <c r="C21">
        <v>407736</v>
      </c>
      <c r="D21" s="19" t="s">
        <v>172</v>
      </c>
      <c r="E21" s="20" t="s">
        <v>166</v>
      </c>
      <c r="F21" s="20" t="s">
        <v>173</v>
      </c>
      <c r="G21" t="s">
        <v>174</v>
      </c>
      <c r="H21" t="s">
        <v>167</v>
      </c>
      <c r="I21" t="s">
        <v>175</v>
      </c>
      <c r="J21" t="s">
        <v>197</v>
      </c>
      <c r="L21" t="s">
        <v>198</v>
      </c>
      <c r="M21" s="25">
        <v>110</v>
      </c>
      <c r="N21" s="4">
        <v>60.4</v>
      </c>
      <c r="O21" s="24">
        <v>0.66666667000000002</v>
      </c>
      <c r="Q21" s="20">
        <v>4</v>
      </c>
      <c r="T21" s="20" t="s">
        <v>178</v>
      </c>
      <c r="U21" s="21" t="s">
        <v>66</v>
      </c>
      <c r="V21" s="4">
        <v>60.04</v>
      </c>
      <c r="Y21" s="6">
        <f t="shared" si="8"/>
        <v>73.333333699999997</v>
      </c>
      <c r="Z21" s="6">
        <f t="shared" si="9"/>
        <v>40.026666866799999</v>
      </c>
      <c r="AA21" s="6">
        <f t="shared" si="10"/>
        <v>40.266666868000002</v>
      </c>
      <c r="AB21" s="6">
        <f t="shared" si="11"/>
        <v>33.066666831999996</v>
      </c>
      <c r="AC21" t="s">
        <v>16</v>
      </c>
      <c r="AD21" s="3" t="s">
        <v>168</v>
      </c>
    </row>
    <row r="22" spans="1:39" ht="15.75" customHeight="1" x14ac:dyDescent="0.2">
      <c r="A22" s="7" t="str">
        <f t="shared" si="6"/>
        <v>CYJ581New Buy</v>
      </c>
      <c r="B22" s="7" t="str">
        <f t="shared" si="7"/>
        <v>iPadNew Buy</v>
      </c>
      <c r="C22">
        <v>407730</v>
      </c>
      <c r="D22" s="19" t="s">
        <v>172</v>
      </c>
      <c r="E22" s="20" t="s">
        <v>166</v>
      </c>
      <c r="F22" s="20" t="s">
        <v>173</v>
      </c>
      <c r="G22" t="s">
        <v>174</v>
      </c>
      <c r="H22" t="s">
        <v>167</v>
      </c>
      <c r="I22" t="s">
        <v>175</v>
      </c>
      <c r="J22" t="s">
        <v>199</v>
      </c>
      <c r="L22" t="s">
        <v>200</v>
      </c>
      <c r="M22" s="25">
        <v>300</v>
      </c>
      <c r="N22" s="4">
        <v>120</v>
      </c>
      <c r="O22" s="24">
        <v>10.6666667</v>
      </c>
      <c r="Q22" s="20">
        <v>4</v>
      </c>
      <c r="T22" s="20" t="s">
        <v>178</v>
      </c>
      <c r="U22" s="21" t="s">
        <v>116</v>
      </c>
      <c r="V22" s="4">
        <v>120</v>
      </c>
      <c r="Y22" s="6">
        <f t="shared" si="8"/>
        <v>3200.0000100000002</v>
      </c>
      <c r="Z22" s="6">
        <f t="shared" si="9"/>
        <v>1280.000004</v>
      </c>
      <c r="AA22" s="6">
        <f t="shared" si="10"/>
        <v>1280.000004</v>
      </c>
      <c r="AB22" s="6">
        <f t="shared" si="11"/>
        <v>1920.0000060000002</v>
      </c>
      <c r="AC22" t="s">
        <v>33</v>
      </c>
      <c r="AD22" s="3" t="s">
        <v>168</v>
      </c>
    </row>
    <row r="23" spans="1:39" ht="15.75" customHeight="1" x14ac:dyDescent="0.2">
      <c r="A23" s="7" t="str">
        <f t="shared" si="6"/>
        <v>CYJ581New Buy</v>
      </c>
      <c r="B23" s="7" t="str">
        <f t="shared" si="7"/>
        <v>iPadNew Buy</v>
      </c>
      <c r="C23">
        <v>407729</v>
      </c>
      <c r="D23" s="19" t="s">
        <v>172</v>
      </c>
      <c r="E23" s="20" t="s">
        <v>166</v>
      </c>
      <c r="F23" s="20" t="s">
        <v>173</v>
      </c>
      <c r="G23" t="s">
        <v>174</v>
      </c>
      <c r="H23" t="s">
        <v>167</v>
      </c>
      <c r="I23" t="s">
        <v>175</v>
      </c>
      <c r="J23" t="s">
        <v>199</v>
      </c>
      <c r="L23" t="s">
        <v>200</v>
      </c>
      <c r="M23" s="25">
        <v>200</v>
      </c>
      <c r="N23" s="4">
        <v>120</v>
      </c>
      <c r="O23" s="24">
        <v>1.3333333300000001</v>
      </c>
      <c r="Q23" s="20">
        <v>4</v>
      </c>
      <c r="T23" s="20" t="s">
        <v>178</v>
      </c>
      <c r="U23" s="21" t="s">
        <v>66</v>
      </c>
      <c r="V23" s="4">
        <v>120</v>
      </c>
      <c r="Y23" s="6">
        <f t="shared" si="8"/>
        <v>266.66666600000002</v>
      </c>
      <c r="Z23" s="6">
        <f t="shared" si="9"/>
        <v>159.99999960000002</v>
      </c>
      <c r="AA23" s="6">
        <f t="shared" si="10"/>
        <v>159.99999960000002</v>
      </c>
      <c r="AB23" s="6">
        <f t="shared" si="11"/>
        <v>106.6666664</v>
      </c>
      <c r="AC23" t="s">
        <v>16</v>
      </c>
      <c r="AD23" s="3" t="s">
        <v>168</v>
      </c>
    </row>
    <row r="24" spans="1:39" ht="15.75" customHeight="1" x14ac:dyDescent="0.2">
      <c r="A24" s="7" t="str">
        <f t="shared" si="6"/>
        <v>CYJ581New Buy</v>
      </c>
      <c r="B24" s="7" t="str">
        <f t="shared" si="7"/>
        <v>iPadNew Buy</v>
      </c>
      <c r="C24">
        <v>407724</v>
      </c>
      <c r="D24" s="19" t="s">
        <v>172</v>
      </c>
      <c r="E24" s="20" t="s">
        <v>166</v>
      </c>
      <c r="F24" s="20" t="s">
        <v>173</v>
      </c>
      <c r="G24" t="s">
        <v>174</v>
      </c>
      <c r="H24" t="s">
        <v>167</v>
      </c>
      <c r="I24" t="s">
        <v>175</v>
      </c>
      <c r="J24" t="s">
        <v>201</v>
      </c>
      <c r="L24" t="s">
        <v>202</v>
      </c>
      <c r="M24" s="25">
        <v>225</v>
      </c>
      <c r="N24" s="4">
        <v>110</v>
      </c>
      <c r="O24" s="24">
        <v>5.3333333300000003</v>
      </c>
      <c r="Q24" s="20">
        <v>4</v>
      </c>
      <c r="T24" s="20" t="s">
        <v>178</v>
      </c>
      <c r="U24" s="21" t="s">
        <v>116</v>
      </c>
      <c r="V24" s="4">
        <v>73.5</v>
      </c>
      <c r="Y24" s="6">
        <f t="shared" si="8"/>
        <v>1199.99999925</v>
      </c>
      <c r="Z24" s="6">
        <f t="shared" si="9"/>
        <v>391.99999975500003</v>
      </c>
      <c r="AA24" s="6">
        <f t="shared" si="10"/>
        <v>586.66666630000009</v>
      </c>
      <c r="AB24" s="6">
        <f t="shared" si="11"/>
        <v>613.33333294999989</v>
      </c>
      <c r="AC24" t="s">
        <v>33</v>
      </c>
      <c r="AD24" s="3" t="s">
        <v>168</v>
      </c>
    </row>
    <row r="25" spans="1:39" ht="15.75" customHeight="1" x14ac:dyDescent="0.2">
      <c r="A25" s="7" t="str">
        <f t="shared" si="6"/>
        <v>CYJ581New Buy</v>
      </c>
      <c r="B25" s="7" t="str">
        <f t="shared" si="7"/>
        <v>iPadNew Buy</v>
      </c>
      <c r="C25">
        <v>407723</v>
      </c>
      <c r="D25" s="19" t="s">
        <v>172</v>
      </c>
      <c r="E25" s="20" t="s">
        <v>166</v>
      </c>
      <c r="F25" s="20" t="s">
        <v>173</v>
      </c>
      <c r="G25" t="s">
        <v>174</v>
      </c>
      <c r="H25" t="s">
        <v>167</v>
      </c>
      <c r="I25" t="s">
        <v>175</v>
      </c>
      <c r="J25" t="s">
        <v>201</v>
      </c>
      <c r="L25" t="s">
        <v>202</v>
      </c>
      <c r="M25" s="25">
        <v>150</v>
      </c>
      <c r="N25" s="4">
        <v>110</v>
      </c>
      <c r="O25" s="24">
        <v>1.3333333300000001</v>
      </c>
      <c r="Q25" s="20">
        <v>4</v>
      </c>
      <c r="T25" s="20" t="s">
        <v>178</v>
      </c>
      <c r="U25" s="21" t="s">
        <v>66</v>
      </c>
      <c r="V25" s="4">
        <v>73.5</v>
      </c>
      <c r="Y25" s="6">
        <f t="shared" si="8"/>
        <v>199.9999995</v>
      </c>
      <c r="Z25" s="6">
        <f t="shared" si="9"/>
        <v>97.999999755000005</v>
      </c>
      <c r="AA25" s="6">
        <f t="shared" si="10"/>
        <v>146.6666663</v>
      </c>
      <c r="AB25" s="6">
        <f t="shared" si="11"/>
        <v>53.333333199999998</v>
      </c>
      <c r="AC25" t="s">
        <v>16</v>
      </c>
      <c r="AD25" s="3" t="s">
        <v>168</v>
      </c>
    </row>
    <row r="26" spans="1:39" ht="15.75" customHeight="1" x14ac:dyDescent="0.2">
      <c r="A26" s="7" t="str">
        <f t="shared" si="6"/>
        <v>CYJ581New Buy</v>
      </c>
      <c r="B26" s="7" t="str">
        <f t="shared" si="7"/>
        <v>iPadNew Buy</v>
      </c>
      <c r="C26">
        <v>407718</v>
      </c>
      <c r="D26" s="19" t="s">
        <v>172</v>
      </c>
      <c r="E26" s="20" t="s">
        <v>166</v>
      </c>
      <c r="F26" s="20" t="s">
        <v>173</v>
      </c>
      <c r="G26" t="s">
        <v>174</v>
      </c>
      <c r="H26" t="s">
        <v>167</v>
      </c>
      <c r="I26" t="s">
        <v>175</v>
      </c>
      <c r="J26" t="s">
        <v>203</v>
      </c>
      <c r="L26" t="s">
        <v>204</v>
      </c>
      <c r="M26" s="25">
        <v>300</v>
      </c>
      <c r="N26" s="4">
        <v>120</v>
      </c>
      <c r="O26" s="24">
        <v>1</v>
      </c>
      <c r="Q26" s="20">
        <v>4</v>
      </c>
      <c r="T26" s="20" t="s">
        <v>178</v>
      </c>
      <c r="U26" s="21" t="s">
        <v>116</v>
      </c>
      <c r="V26" s="4">
        <v>120</v>
      </c>
      <c r="Y26" s="6">
        <f t="shared" si="8"/>
        <v>300</v>
      </c>
      <c r="Z26" s="6">
        <f t="shared" si="9"/>
        <v>120</v>
      </c>
      <c r="AA26" s="6">
        <f t="shared" si="10"/>
        <v>120</v>
      </c>
      <c r="AB26" s="6">
        <f t="shared" si="11"/>
        <v>180</v>
      </c>
      <c r="AC26" t="s">
        <v>33</v>
      </c>
      <c r="AD26" s="3" t="s">
        <v>168</v>
      </c>
    </row>
    <row r="27" spans="1:39" ht="15.75" customHeight="1" x14ac:dyDescent="0.2">
      <c r="A27" s="7" t="str">
        <f t="shared" si="6"/>
        <v>CYJ581New Buy</v>
      </c>
      <c r="B27" s="7" t="str">
        <f t="shared" si="7"/>
        <v>iPadNew Buy</v>
      </c>
      <c r="C27">
        <v>407717</v>
      </c>
      <c r="D27" s="19" t="s">
        <v>172</v>
      </c>
      <c r="E27" s="20" t="s">
        <v>166</v>
      </c>
      <c r="F27" s="20" t="s">
        <v>173</v>
      </c>
      <c r="G27" t="s">
        <v>174</v>
      </c>
      <c r="H27" t="s">
        <v>167</v>
      </c>
      <c r="I27" t="s">
        <v>175</v>
      </c>
      <c r="J27" t="s">
        <v>203</v>
      </c>
      <c r="L27" t="s">
        <v>204</v>
      </c>
      <c r="M27" s="25">
        <v>200</v>
      </c>
      <c r="N27" s="4">
        <v>120</v>
      </c>
      <c r="O27" s="24">
        <v>1.3333333300000001</v>
      </c>
      <c r="Q27" s="20">
        <v>4</v>
      </c>
      <c r="T27" s="20" t="s">
        <v>178</v>
      </c>
      <c r="U27" s="21" t="s">
        <v>66</v>
      </c>
      <c r="V27" s="4">
        <v>120</v>
      </c>
      <c r="Y27" s="6">
        <f t="shared" si="8"/>
        <v>266.66666600000002</v>
      </c>
      <c r="Z27" s="6">
        <f t="shared" si="9"/>
        <v>159.99999960000002</v>
      </c>
      <c r="AA27" s="6">
        <f t="shared" si="10"/>
        <v>159.99999960000002</v>
      </c>
      <c r="AB27" s="6">
        <f t="shared" si="11"/>
        <v>106.6666664</v>
      </c>
      <c r="AC27" t="s">
        <v>16</v>
      </c>
      <c r="AD27" s="3" t="s">
        <v>168</v>
      </c>
    </row>
    <row r="28" spans="1:39" ht="15.75" customHeight="1" x14ac:dyDescent="0.2">
      <c r="A28" s="7" t="str">
        <f t="shared" si="6"/>
        <v>CYJ581New Buy</v>
      </c>
      <c r="B28" s="7" t="str">
        <f t="shared" si="7"/>
        <v>iPadNew Buy</v>
      </c>
      <c r="C28">
        <v>407712</v>
      </c>
      <c r="D28" s="19" t="s">
        <v>172</v>
      </c>
      <c r="E28" s="20" t="s">
        <v>166</v>
      </c>
      <c r="F28" s="20" t="s">
        <v>173</v>
      </c>
      <c r="G28" t="s">
        <v>174</v>
      </c>
      <c r="H28" t="s">
        <v>167</v>
      </c>
      <c r="I28" t="s">
        <v>175</v>
      </c>
      <c r="J28" t="s">
        <v>205</v>
      </c>
      <c r="L28" t="s">
        <v>206</v>
      </c>
      <c r="M28" s="25">
        <v>300</v>
      </c>
      <c r="N28" s="4">
        <v>120</v>
      </c>
      <c r="O28" s="24">
        <v>2.6666666700000001</v>
      </c>
      <c r="Q28" s="20">
        <v>4</v>
      </c>
      <c r="T28" s="20" t="s">
        <v>178</v>
      </c>
      <c r="U28" s="21" t="s">
        <v>116</v>
      </c>
      <c r="V28" s="4">
        <v>120</v>
      </c>
      <c r="Y28" s="6">
        <f t="shared" si="8"/>
        <v>800.000001</v>
      </c>
      <c r="Z28" s="6">
        <f t="shared" si="9"/>
        <v>320.00000040000003</v>
      </c>
      <c r="AA28" s="6">
        <f t="shared" si="10"/>
        <v>320.00000040000003</v>
      </c>
      <c r="AB28" s="6">
        <f t="shared" si="11"/>
        <v>480.00000059999996</v>
      </c>
      <c r="AC28" t="s">
        <v>33</v>
      </c>
      <c r="AD28" s="3" t="s">
        <v>168</v>
      </c>
    </row>
    <row r="29" spans="1:39" ht="15.75" customHeight="1" x14ac:dyDescent="0.2">
      <c r="A29" s="7" t="str">
        <f t="shared" si="6"/>
        <v>CYJ581New Buy</v>
      </c>
      <c r="B29" s="7" t="str">
        <f t="shared" si="7"/>
        <v>iPadNew Buy</v>
      </c>
      <c r="C29">
        <v>407711</v>
      </c>
      <c r="D29" s="19" t="s">
        <v>172</v>
      </c>
      <c r="E29" s="20" t="s">
        <v>166</v>
      </c>
      <c r="F29" s="20" t="s">
        <v>173</v>
      </c>
      <c r="G29" t="s">
        <v>174</v>
      </c>
      <c r="H29" t="s">
        <v>167</v>
      </c>
      <c r="I29" t="s">
        <v>175</v>
      </c>
      <c r="J29" t="s">
        <v>205</v>
      </c>
      <c r="L29" t="s">
        <v>206</v>
      </c>
      <c r="M29" s="25">
        <v>200</v>
      </c>
      <c r="N29" s="4">
        <v>120</v>
      </c>
      <c r="O29" s="24">
        <v>2.6666666700000001</v>
      </c>
      <c r="Q29" s="20">
        <v>4</v>
      </c>
      <c r="T29" s="20" t="s">
        <v>178</v>
      </c>
      <c r="U29" s="21" t="s">
        <v>66</v>
      </c>
      <c r="V29" s="4">
        <v>120</v>
      </c>
      <c r="Y29" s="6">
        <f t="shared" si="8"/>
        <v>533.33333400000004</v>
      </c>
      <c r="Z29" s="6">
        <f t="shared" si="9"/>
        <v>320.00000040000003</v>
      </c>
      <c r="AA29" s="6">
        <f t="shared" si="10"/>
        <v>320.00000040000003</v>
      </c>
      <c r="AB29" s="6">
        <f t="shared" si="11"/>
        <v>213.3333336</v>
      </c>
      <c r="AC29" t="s">
        <v>16</v>
      </c>
      <c r="AD29" s="3" t="s">
        <v>168</v>
      </c>
    </row>
    <row r="30" spans="1:39" ht="15.75" customHeight="1" x14ac:dyDescent="0.2">
      <c r="A30" s="7" t="str">
        <f t="shared" si="6"/>
        <v>CYJ581Retrofit</v>
      </c>
      <c r="B30" s="7" t="str">
        <f t="shared" si="7"/>
        <v>iPadNew Buy</v>
      </c>
      <c r="C30">
        <v>407702</v>
      </c>
      <c r="D30" s="19" t="s">
        <v>172</v>
      </c>
      <c r="E30" s="20" t="s">
        <v>166</v>
      </c>
      <c r="F30" s="20" t="s">
        <v>173</v>
      </c>
      <c r="G30" t="s">
        <v>174</v>
      </c>
      <c r="H30" t="s">
        <v>170</v>
      </c>
      <c r="I30" t="s">
        <v>131</v>
      </c>
      <c r="J30" t="s">
        <v>207</v>
      </c>
      <c r="L30" t="s">
        <v>208</v>
      </c>
      <c r="M30" s="25">
        <v>1050</v>
      </c>
      <c r="N30" s="4">
        <v>420</v>
      </c>
      <c r="O30" s="24">
        <v>3</v>
      </c>
      <c r="Q30" s="20">
        <v>4</v>
      </c>
      <c r="T30" s="20" t="s">
        <v>178</v>
      </c>
      <c r="U30" s="21" t="s">
        <v>116</v>
      </c>
      <c r="V30" s="4">
        <v>420</v>
      </c>
      <c r="W30" s="26">
        <v>1750</v>
      </c>
      <c r="Y30" s="6">
        <f t="shared" si="8"/>
        <v>3150</v>
      </c>
      <c r="Z30" s="6">
        <f t="shared" si="9"/>
        <v>1260</v>
      </c>
      <c r="AA30" s="6">
        <f t="shared" si="10"/>
        <v>1260</v>
      </c>
      <c r="AB30" s="6">
        <f t="shared" si="11"/>
        <v>1890</v>
      </c>
      <c r="AC30" t="s">
        <v>33</v>
      </c>
      <c r="AD30" s="3" t="s">
        <v>171</v>
      </c>
      <c r="AM30" s="1">
        <f t="shared" si="12"/>
        <v>3990</v>
      </c>
    </row>
    <row r="31" spans="1:39" ht="15.75" customHeight="1" x14ac:dyDescent="0.2">
      <c r="A31" s="7" t="str">
        <f t="shared" si="6"/>
        <v>CYJ581Retrofit</v>
      </c>
      <c r="B31" s="7" t="str">
        <f t="shared" si="7"/>
        <v>iPadNew Buy</v>
      </c>
      <c r="C31">
        <v>407701</v>
      </c>
      <c r="D31" s="19" t="s">
        <v>172</v>
      </c>
      <c r="E31" s="20" t="s">
        <v>166</v>
      </c>
      <c r="F31" s="20" t="s">
        <v>173</v>
      </c>
      <c r="G31" t="s">
        <v>174</v>
      </c>
      <c r="H31" t="s">
        <v>170</v>
      </c>
      <c r="I31" t="s">
        <v>131</v>
      </c>
      <c r="J31" t="s">
        <v>207</v>
      </c>
      <c r="L31" t="s">
        <v>208</v>
      </c>
      <c r="M31" s="25">
        <v>700</v>
      </c>
      <c r="N31" s="4">
        <v>420</v>
      </c>
      <c r="O31" s="24">
        <v>2</v>
      </c>
      <c r="Q31" s="20">
        <v>4</v>
      </c>
      <c r="T31" s="20" t="s">
        <v>178</v>
      </c>
      <c r="U31" s="21" t="s">
        <v>66</v>
      </c>
      <c r="V31" s="4">
        <v>420</v>
      </c>
      <c r="W31" s="26">
        <v>1750</v>
      </c>
      <c r="Y31" s="6">
        <f t="shared" si="8"/>
        <v>1400</v>
      </c>
      <c r="Z31" s="6">
        <f t="shared" si="9"/>
        <v>840</v>
      </c>
      <c r="AA31" s="6">
        <f t="shared" si="10"/>
        <v>840</v>
      </c>
      <c r="AB31" s="6">
        <f t="shared" si="11"/>
        <v>560</v>
      </c>
      <c r="AC31" t="s">
        <v>16</v>
      </c>
      <c r="AD31" s="3" t="s">
        <v>171</v>
      </c>
      <c r="AM31" s="1">
        <f t="shared" si="12"/>
        <v>2660</v>
      </c>
    </row>
    <row r="32" spans="1:39" ht="15.75" customHeight="1" x14ac:dyDescent="0.2">
      <c r="A32" s="7" t="str">
        <f t="shared" si="6"/>
        <v>CYJ581Retrofit</v>
      </c>
      <c r="B32" s="7" t="str">
        <f t="shared" si="7"/>
        <v>iPadNew Buy</v>
      </c>
      <c r="C32">
        <v>407700</v>
      </c>
      <c r="D32" s="19" t="s">
        <v>172</v>
      </c>
      <c r="E32" s="20" t="s">
        <v>166</v>
      </c>
      <c r="F32" s="20" t="s">
        <v>173</v>
      </c>
      <c r="G32" t="s">
        <v>174</v>
      </c>
      <c r="H32" t="s">
        <v>170</v>
      </c>
      <c r="I32" t="s">
        <v>131</v>
      </c>
      <c r="J32" t="s">
        <v>209</v>
      </c>
      <c r="L32" t="s">
        <v>210</v>
      </c>
      <c r="M32" s="25">
        <v>1050</v>
      </c>
      <c r="N32" s="4">
        <v>420</v>
      </c>
      <c r="O32" s="24">
        <v>3</v>
      </c>
      <c r="Q32" s="20">
        <v>4</v>
      </c>
      <c r="T32" s="20" t="s">
        <v>178</v>
      </c>
      <c r="U32" s="21" t="s">
        <v>116</v>
      </c>
      <c r="V32" s="4">
        <v>420</v>
      </c>
      <c r="W32" s="26">
        <v>1750</v>
      </c>
      <c r="Y32" s="6">
        <f t="shared" si="8"/>
        <v>3150</v>
      </c>
      <c r="Z32" s="6">
        <f t="shared" si="9"/>
        <v>1260</v>
      </c>
      <c r="AA32" s="6">
        <f t="shared" si="10"/>
        <v>1260</v>
      </c>
      <c r="AB32" s="6">
        <f t="shared" si="11"/>
        <v>1890</v>
      </c>
      <c r="AC32" t="s">
        <v>33</v>
      </c>
      <c r="AD32" s="3" t="s">
        <v>171</v>
      </c>
      <c r="AM32" s="1">
        <f t="shared" si="12"/>
        <v>3990</v>
      </c>
    </row>
    <row r="33" spans="1:39" ht="15.75" customHeight="1" x14ac:dyDescent="0.2">
      <c r="A33" s="7" t="str">
        <f t="shared" si="6"/>
        <v>CYJ581Retrofit</v>
      </c>
      <c r="B33" s="7" t="str">
        <f t="shared" si="7"/>
        <v>iPadNew Buy</v>
      </c>
      <c r="C33">
        <v>407699</v>
      </c>
      <c r="D33" s="19" t="s">
        <v>172</v>
      </c>
      <c r="E33" s="20" t="s">
        <v>166</v>
      </c>
      <c r="F33" s="20" t="s">
        <v>173</v>
      </c>
      <c r="G33" t="s">
        <v>174</v>
      </c>
      <c r="H33" t="s">
        <v>170</v>
      </c>
      <c r="I33" t="s">
        <v>131</v>
      </c>
      <c r="J33" t="s">
        <v>209</v>
      </c>
      <c r="L33" t="s">
        <v>211</v>
      </c>
      <c r="M33" s="25">
        <v>700</v>
      </c>
      <c r="N33" s="4">
        <v>420</v>
      </c>
      <c r="O33" s="24">
        <v>2</v>
      </c>
      <c r="Q33" s="20">
        <v>4</v>
      </c>
      <c r="T33" s="20" t="s">
        <v>178</v>
      </c>
      <c r="U33" s="21" t="s">
        <v>104</v>
      </c>
      <c r="V33" s="4">
        <v>420</v>
      </c>
      <c r="W33" s="26">
        <v>1750</v>
      </c>
      <c r="Y33" s="6">
        <f t="shared" si="8"/>
        <v>1400</v>
      </c>
      <c r="Z33" s="6">
        <f t="shared" si="9"/>
        <v>840</v>
      </c>
      <c r="AA33" s="6">
        <f t="shared" si="10"/>
        <v>840</v>
      </c>
      <c r="AB33" s="6">
        <f t="shared" si="11"/>
        <v>560</v>
      </c>
      <c r="AC33" t="s">
        <v>16</v>
      </c>
      <c r="AD33" s="3" t="s">
        <v>171</v>
      </c>
      <c r="AM33" s="1">
        <f t="shared" si="12"/>
        <v>2660</v>
      </c>
    </row>
    <row r="34" spans="1:39" ht="15.75" customHeight="1" x14ac:dyDescent="0.2">
      <c r="A34" s="7" t="str">
        <f t="shared" si="6"/>
        <v>CYJ581Retrofit</v>
      </c>
      <c r="B34" s="7" t="str">
        <f t="shared" si="7"/>
        <v>iPadNew Buy</v>
      </c>
      <c r="C34">
        <v>407698</v>
      </c>
      <c r="D34" s="19" t="s">
        <v>172</v>
      </c>
      <c r="E34" s="20" t="s">
        <v>166</v>
      </c>
      <c r="F34" s="20" t="s">
        <v>173</v>
      </c>
      <c r="G34" t="s">
        <v>174</v>
      </c>
      <c r="H34" t="s">
        <v>170</v>
      </c>
      <c r="I34" t="s">
        <v>131</v>
      </c>
      <c r="J34" t="s">
        <v>209</v>
      </c>
      <c r="L34" t="s">
        <v>211</v>
      </c>
      <c r="M34" s="25">
        <v>700</v>
      </c>
      <c r="N34" s="4">
        <v>420</v>
      </c>
      <c r="O34" s="24">
        <v>2</v>
      </c>
      <c r="Q34" s="20">
        <v>4</v>
      </c>
      <c r="T34" s="20" t="s">
        <v>178</v>
      </c>
      <c r="U34" s="21" t="s">
        <v>66</v>
      </c>
      <c r="V34" s="4">
        <v>420</v>
      </c>
      <c r="W34" s="26">
        <v>1750</v>
      </c>
      <c r="Y34" s="6">
        <f t="shared" si="8"/>
        <v>1400</v>
      </c>
      <c r="Z34" s="6">
        <f t="shared" si="9"/>
        <v>840</v>
      </c>
      <c r="AA34" s="6">
        <f t="shared" si="10"/>
        <v>840</v>
      </c>
      <c r="AB34" s="6">
        <f t="shared" si="11"/>
        <v>560</v>
      </c>
      <c r="AC34" t="s">
        <v>16</v>
      </c>
      <c r="AD34" s="3" t="s">
        <v>171</v>
      </c>
      <c r="AM34" s="1">
        <f t="shared" si="12"/>
        <v>2660</v>
      </c>
    </row>
    <row r="35" spans="1:39" ht="15.75" customHeight="1" x14ac:dyDescent="0.2">
      <c r="A35" s="7" t="str">
        <f t="shared" si="6"/>
        <v>CYJ581Retrofit</v>
      </c>
      <c r="B35" s="7" t="str">
        <f t="shared" si="7"/>
        <v>iPadNew Buy</v>
      </c>
      <c r="C35">
        <v>407697</v>
      </c>
      <c r="D35" s="19" t="s">
        <v>172</v>
      </c>
      <c r="E35" s="20" t="s">
        <v>166</v>
      </c>
      <c r="F35" s="20" t="s">
        <v>173</v>
      </c>
      <c r="G35" t="s">
        <v>174</v>
      </c>
      <c r="H35" t="s">
        <v>170</v>
      </c>
      <c r="I35" t="s">
        <v>131</v>
      </c>
      <c r="J35" t="s">
        <v>212</v>
      </c>
      <c r="L35" t="s">
        <v>213</v>
      </c>
      <c r="M35" s="25">
        <v>75</v>
      </c>
      <c r="N35" s="4">
        <v>29.4</v>
      </c>
      <c r="O35" s="24">
        <v>6</v>
      </c>
      <c r="Q35" s="20">
        <v>4</v>
      </c>
      <c r="T35" s="20" t="s">
        <v>178</v>
      </c>
      <c r="U35" s="21" t="s">
        <v>116</v>
      </c>
      <c r="V35" s="4">
        <v>29.4</v>
      </c>
      <c r="W35" s="26">
        <v>90</v>
      </c>
      <c r="Y35" s="6">
        <f t="shared" si="8"/>
        <v>450</v>
      </c>
      <c r="Z35" s="6">
        <f t="shared" si="9"/>
        <v>176.39999999999998</v>
      </c>
      <c r="AA35" s="6">
        <f t="shared" si="10"/>
        <v>176.39999999999998</v>
      </c>
      <c r="AB35" s="6">
        <f t="shared" si="11"/>
        <v>273.60000000000002</v>
      </c>
      <c r="AC35" t="s">
        <v>33</v>
      </c>
      <c r="AD35" s="3" t="s">
        <v>171</v>
      </c>
      <c r="AM35" s="1">
        <f t="shared" si="12"/>
        <v>363.6</v>
      </c>
    </row>
    <row r="36" spans="1:39" ht="15.75" customHeight="1" x14ac:dyDescent="0.2">
      <c r="A36" s="7" t="str">
        <f t="shared" si="6"/>
        <v>CYJ581Retrofit</v>
      </c>
      <c r="B36" s="7" t="str">
        <f t="shared" si="7"/>
        <v>iPadNew Buy</v>
      </c>
      <c r="C36">
        <v>407696</v>
      </c>
      <c r="D36" s="19" t="s">
        <v>172</v>
      </c>
      <c r="E36" s="20" t="s">
        <v>166</v>
      </c>
      <c r="F36" s="20" t="s">
        <v>173</v>
      </c>
      <c r="G36" t="s">
        <v>174</v>
      </c>
      <c r="H36" t="s">
        <v>170</v>
      </c>
      <c r="I36" t="s">
        <v>131</v>
      </c>
      <c r="J36" t="s">
        <v>212</v>
      </c>
      <c r="L36" t="s">
        <v>214</v>
      </c>
      <c r="M36" s="25">
        <v>49</v>
      </c>
      <c r="N36" s="4">
        <v>29.4</v>
      </c>
      <c r="O36" s="24">
        <v>4</v>
      </c>
      <c r="Q36" s="20">
        <v>4</v>
      </c>
      <c r="T36" s="20" t="s">
        <v>178</v>
      </c>
      <c r="U36" s="21" t="s">
        <v>66</v>
      </c>
      <c r="V36" s="4">
        <v>29.4</v>
      </c>
      <c r="W36" s="26">
        <v>90</v>
      </c>
      <c r="Y36" s="6">
        <f t="shared" si="8"/>
        <v>196</v>
      </c>
      <c r="Z36" s="6">
        <f t="shared" si="9"/>
        <v>117.6</v>
      </c>
      <c r="AA36" s="6">
        <f t="shared" si="10"/>
        <v>117.6</v>
      </c>
      <c r="AB36" s="6">
        <f t="shared" si="11"/>
        <v>78.400000000000006</v>
      </c>
      <c r="AC36" t="s">
        <v>16</v>
      </c>
      <c r="AD36" s="3" t="s">
        <v>171</v>
      </c>
      <c r="AM36" s="1">
        <f t="shared" si="12"/>
        <v>242.4</v>
      </c>
    </row>
    <row r="37" spans="1:39" ht="15.75" customHeight="1" x14ac:dyDescent="0.2">
      <c r="A37" s="7" t="str">
        <f t="shared" si="6"/>
        <v>CYJ581Retrofit</v>
      </c>
      <c r="B37" s="7" t="str">
        <f t="shared" si="7"/>
        <v>iPadNew Buy</v>
      </c>
      <c r="C37">
        <v>407695</v>
      </c>
      <c r="D37" s="19" t="s">
        <v>172</v>
      </c>
      <c r="E37" s="20" t="s">
        <v>166</v>
      </c>
      <c r="F37" s="20" t="s">
        <v>173</v>
      </c>
      <c r="G37" t="s">
        <v>174</v>
      </c>
      <c r="H37" t="s">
        <v>170</v>
      </c>
      <c r="I37" t="s">
        <v>131</v>
      </c>
      <c r="J37" t="s">
        <v>215</v>
      </c>
      <c r="L37" t="s">
        <v>216</v>
      </c>
      <c r="M37" s="25">
        <v>66</v>
      </c>
      <c r="N37" s="4">
        <v>26.4</v>
      </c>
      <c r="O37" s="24">
        <v>6</v>
      </c>
      <c r="Q37" s="20">
        <v>4</v>
      </c>
      <c r="T37" s="20" t="s">
        <v>178</v>
      </c>
      <c r="U37" s="21" t="s">
        <v>116</v>
      </c>
      <c r="V37" s="4">
        <v>26.4</v>
      </c>
      <c r="W37" s="26">
        <v>90</v>
      </c>
      <c r="Y37" s="6">
        <f t="shared" si="8"/>
        <v>396</v>
      </c>
      <c r="Z37" s="6">
        <f t="shared" si="9"/>
        <v>158.39999999999998</v>
      </c>
      <c r="AA37" s="6">
        <f t="shared" si="10"/>
        <v>158.39999999999998</v>
      </c>
      <c r="AB37" s="6">
        <f t="shared" si="11"/>
        <v>237.60000000000002</v>
      </c>
      <c r="AC37" t="s">
        <v>33</v>
      </c>
      <c r="AD37" s="3" t="s">
        <v>171</v>
      </c>
      <c r="AM37" s="1">
        <f t="shared" si="12"/>
        <v>381.6</v>
      </c>
    </row>
    <row r="38" spans="1:39" ht="15.75" customHeight="1" x14ac:dyDescent="0.2">
      <c r="A38" s="7" t="str">
        <f t="shared" si="6"/>
        <v>CYJ581Retrofit</v>
      </c>
      <c r="B38" s="7" t="str">
        <f t="shared" si="7"/>
        <v>iPadNew Buy</v>
      </c>
      <c r="C38">
        <v>407694</v>
      </c>
      <c r="D38" s="19" t="s">
        <v>172</v>
      </c>
      <c r="E38" s="20" t="s">
        <v>166</v>
      </c>
      <c r="F38" s="20" t="s">
        <v>173</v>
      </c>
      <c r="G38" t="s">
        <v>174</v>
      </c>
      <c r="H38" t="s">
        <v>170</v>
      </c>
      <c r="I38" t="s">
        <v>131</v>
      </c>
      <c r="J38" t="s">
        <v>215</v>
      </c>
      <c r="L38" t="s">
        <v>217</v>
      </c>
      <c r="M38" s="25">
        <v>44</v>
      </c>
      <c r="N38" s="4">
        <v>26.4</v>
      </c>
      <c r="O38" s="24">
        <v>4</v>
      </c>
      <c r="Q38" s="20">
        <v>4</v>
      </c>
      <c r="T38" s="20" t="s">
        <v>178</v>
      </c>
      <c r="U38" s="21" t="s">
        <v>66</v>
      </c>
      <c r="V38" s="4">
        <v>26.4</v>
      </c>
      <c r="W38" s="26">
        <v>90</v>
      </c>
      <c r="Y38" s="6">
        <f t="shared" si="8"/>
        <v>176</v>
      </c>
      <c r="Z38" s="6">
        <f t="shared" si="9"/>
        <v>105.6</v>
      </c>
      <c r="AA38" s="6">
        <f t="shared" si="10"/>
        <v>105.6</v>
      </c>
      <c r="AB38" s="6">
        <f t="shared" si="11"/>
        <v>70.400000000000006</v>
      </c>
      <c r="AC38" t="s">
        <v>16</v>
      </c>
      <c r="AD38" s="3" t="s">
        <v>171</v>
      </c>
      <c r="AM38" s="1">
        <f t="shared" si="12"/>
        <v>254.4</v>
      </c>
    </row>
    <row r="39" spans="1:39" ht="15.75" customHeight="1" x14ac:dyDescent="0.2">
      <c r="A39" s="7" t="str">
        <f t="shared" si="6"/>
        <v>CYJ581Retrofit</v>
      </c>
      <c r="B39" s="7" t="str">
        <f t="shared" si="7"/>
        <v>iPadNew Buy</v>
      </c>
      <c r="C39">
        <v>407693</v>
      </c>
      <c r="D39" s="19" t="s">
        <v>172</v>
      </c>
      <c r="E39" s="20" t="s">
        <v>166</v>
      </c>
      <c r="F39" s="20" t="s">
        <v>173</v>
      </c>
      <c r="G39" t="s">
        <v>174</v>
      </c>
      <c r="H39" t="s">
        <v>170</v>
      </c>
      <c r="I39" t="s">
        <v>131</v>
      </c>
      <c r="J39" t="s">
        <v>218</v>
      </c>
      <c r="L39" t="s">
        <v>219</v>
      </c>
      <c r="M39" s="25">
        <v>75</v>
      </c>
      <c r="N39" s="4">
        <v>29.4</v>
      </c>
      <c r="O39" s="24">
        <v>6</v>
      </c>
      <c r="Q39" s="20">
        <v>4</v>
      </c>
      <c r="T39" s="20" t="s">
        <v>178</v>
      </c>
      <c r="U39" s="21" t="s">
        <v>116</v>
      </c>
      <c r="V39" s="4">
        <v>29.4</v>
      </c>
      <c r="W39" s="26">
        <v>90</v>
      </c>
      <c r="Y39" s="6">
        <f t="shared" si="8"/>
        <v>450</v>
      </c>
      <c r="Z39" s="6">
        <f t="shared" si="9"/>
        <v>176.39999999999998</v>
      </c>
      <c r="AA39" s="6">
        <f t="shared" si="10"/>
        <v>176.39999999999998</v>
      </c>
      <c r="AB39" s="6">
        <f t="shared" si="11"/>
        <v>273.60000000000002</v>
      </c>
      <c r="AC39" t="s">
        <v>33</v>
      </c>
      <c r="AD39" s="3" t="s">
        <v>171</v>
      </c>
      <c r="AM39" s="1">
        <f t="shared" si="12"/>
        <v>363.6</v>
      </c>
    </row>
    <row r="40" spans="1:39" ht="15.75" customHeight="1" x14ac:dyDescent="0.2">
      <c r="A40" s="7" t="str">
        <f t="shared" si="6"/>
        <v>CYJ581Retrofit</v>
      </c>
      <c r="B40" s="7" t="str">
        <f t="shared" si="7"/>
        <v>iPadNew Buy</v>
      </c>
      <c r="C40">
        <v>407692</v>
      </c>
      <c r="D40" s="19" t="s">
        <v>172</v>
      </c>
      <c r="E40" s="20" t="s">
        <v>166</v>
      </c>
      <c r="F40" s="20" t="s">
        <v>173</v>
      </c>
      <c r="G40" t="s">
        <v>174</v>
      </c>
      <c r="H40" t="s">
        <v>170</v>
      </c>
      <c r="I40" t="s">
        <v>131</v>
      </c>
      <c r="J40" t="s">
        <v>218</v>
      </c>
      <c r="L40" t="s">
        <v>220</v>
      </c>
      <c r="M40" s="25">
        <v>49</v>
      </c>
      <c r="N40" s="4">
        <v>29.4</v>
      </c>
      <c r="O40" s="24">
        <v>4</v>
      </c>
      <c r="Q40" s="20">
        <v>4</v>
      </c>
      <c r="T40" s="20" t="s">
        <v>178</v>
      </c>
      <c r="U40" s="21" t="s">
        <v>66</v>
      </c>
      <c r="V40" s="4">
        <v>29.4</v>
      </c>
      <c r="W40" s="26">
        <v>90</v>
      </c>
      <c r="Y40" s="6">
        <f t="shared" si="8"/>
        <v>196</v>
      </c>
      <c r="Z40" s="6">
        <f t="shared" si="9"/>
        <v>117.6</v>
      </c>
      <c r="AA40" s="6">
        <f t="shared" si="10"/>
        <v>117.6</v>
      </c>
      <c r="AB40" s="6">
        <f t="shared" si="11"/>
        <v>78.400000000000006</v>
      </c>
      <c r="AC40" t="s">
        <v>16</v>
      </c>
      <c r="AD40" s="3" t="s">
        <v>171</v>
      </c>
      <c r="AM40" s="1">
        <f t="shared" si="12"/>
        <v>242.4</v>
      </c>
    </row>
    <row r="41" spans="1:39" ht="15.75" customHeight="1" x14ac:dyDescent="0.2">
      <c r="A41" s="7" t="str">
        <f t="shared" si="6"/>
        <v>CYJ581Retrofit</v>
      </c>
      <c r="B41" s="7" t="str">
        <f t="shared" si="7"/>
        <v>iPadNew Buy</v>
      </c>
      <c r="C41">
        <v>407691</v>
      </c>
      <c r="D41" s="19" t="s">
        <v>172</v>
      </c>
      <c r="E41" s="20" t="s">
        <v>166</v>
      </c>
      <c r="F41" s="20" t="s">
        <v>173</v>
      </c>
      <c r="G41" t="s">
        <v>174</v>
      </c>
      <c r="H41" t="s">
        <v>170</v>
      </c>
      <c r="I41" t="s">
        <v>131</v>
      </c>
      <c r="J41" t="s">
        <v>221</v>
      </c>
      <c r="L41" t="s">
        <v>222</v>
      </c>
      <c r="M41" s="25">
        <v>75</v>
      </c>
      <c r="N41" s="4">
        <v>29.4</v>
      </c>
      <c r="O41" s="24">
        <v>16</v>
      </c>
      <c r="Q41" s="20">
        <v>4</v>
      </c>
      <c r="T41" s="20" t="s">
        <v>178</v>
      </c>
      <c r="U41" s="21" t="s">
        <v>116</v>
      </c>
      <c r="V41" s="4">
        <v>29.4</v>
      </c>
      <c r="W41" s="26">
        <v>90</v>
      </c>
      <c r="Y41" s="6">
        <f t="shared" si="8"/>
        <v>1200</v>
      </c>
      <c r="Z41" s="6">
        <f t="shared" si="9"/>
        <v>470.4</v>
      </c>
      <c r="AA41" s="6">
        <f t="shared" si="10"/>
        <v>470.4</v>
      </c>
      <c r="AB41" s="6">
        <f t="shared" si="11"/>
        <v>729.6</v>
      </c>
      <c r="AC41" t="s">
        <v>33</v>
      </c>
      <c r="AD41" s="3" t="s">
        <v>171</v>
      </c>
      <c r="AM41" s="1">
        <f t="shared" si="12"/>
        <v>969.6</v>
      </c>
    </row>
    <row r="42" spans="1:39" ht="15.75" customHeight="1" x14ac:dyDescent="0.2">
      <c r="A42" s="7" t="str">
        <f t="shared" si="6"/>
        <v>CYJ581Retrofit</v>
      </c>
      <c r="B42" s="7" t="str">
        <f t="shared" si="7"/>
        <v>iPadNew Buy</v>
      </c>
      <c r="C42">
        <v>407690</v>
      </c>
      <c r="D42" s="19" t="s">
        <v>172</v>
      </c>
      <c r="E42" s="20" t="s">
        <v>166</v>
      </c>
      <c r="F42" s="20" t="s">
        <v>173</v>
      </c>
      <c r="G42" t="s">
        <v>174</v>
      </c>
      <c r="H42" t="s">
        <v>170</v>
      </c>
      <c r="I42" t="s">
        <v>131</v>
      </c>
      <c r="J42" t="s">
        <v>221</v>
      </c>
      <c r="L42" t="s">
        <v>223</v>
      </c>
      <c r="M42" s="25">
        <v>49</v>
      </c>
      <c r="N42" s="4">
        <v>29.4</v>
      </c>
      <c r="O42" s="24">
        <v>8</v>
      </c>
      <c r="Q42" s="20">
        <v>4</v>
      </c>
      <c r="T42" s="20" t="s">
        <v>178</v>
      </c>
      <c r="U42" s="21" t="s">
        <v>66</v>
      </c>
      <c r="V42" s="4">
        <v>29.4</v>
      </c>
      <c r="W42" s="26">
        <v>90</v>
      </c>
      <c r="Y42" s="6">
        <f t="shared" si="8"/>
        <v>392</v>
      </c>
      <c r="Z42" s="6">
        <f t="shared" si="9"/>
        <v>235.2</v>
      </c>
      <c r="AA42" s="6">
        <f t="shared" si="10"/>
        <v>235.2</v>
      </c>
      <c r="AB42" s="6">
        <f t="shared" si="11"/>
        <v>156.80000000000001</v>
      </c>
      <c r="AC42" t="s">
        <v>16</v>
      </c>
      <c r="AD42" s="3" t="s">
        <v>171</v>
      </c>
      <c r="AM42" s="1">
        <f t="shared" si="12"/>
        <v>484.8</v>
      </c>
    </row>
    <row r="43" spans="1:39" ht="15.75" customHeight="1" x14ac:dyDescent="0.2">
      <c r="A43" s="7" t="str">
        <f t="shared" si="6"/>
        <v>CYJ581Retrofit</v>
      </c>
      <c r="B43" s="7" t="str">
        <f t="shared" si="7"/>
        <v>iPadNew Buy</v>
      </c>
      <c r="C43">
        <v>407689</v>
      </c>
      <c r="D43" s="19" t="s">
        <v>172</v>
      </c>
      <c r="E43" s="20" t="s">
        <v>166</v>
      </c>
      <c r="F43" s="20" t="s">
        <v>173</v>
      </c>
      <c r="G43" t="s">
        <v>174</v>
      </c>
      <c r="H43" t="s">
        <v>170</v>
      </c>
      <c r="I43" t="s">
        <v>131</v>
      </c>
      <c r="J43" t="s">
        <v>224</v>
      </c>
      <c r="L43" t="s">
        <v>225</v>
      </c>
      <c r="M43" s="25">
        <v>75</v>
      </c>
      <c r="N43" s="4">
        <v>29.4</v>
      </c>
      <c r="O43" s="24">
        <v>16</v>
      </c>
      <c r="Q43" s="20">
        <v>4</v>
      </c>
      <c r="T43" s="20" t="s">
        <v>178</v>
      </c>
      <c r="U43" s="21" t="s">
        <v>116</v>
      </c>
      <c r="V43" s="4">
        <v>29.4</v>
      </c>
      <c r="W43" s="26">
        <v>90</v>
      </c>
      <c r="Y43" s="6">
        <f t="shared" si="8"/>
        <v>1200</v>
      </c>
      <c r="Z43" s="6">
        <f t="shared" si="9"/>
        <v>470.4</v>
      </c>
      <c r="AA43" s="6">
        <f t="shared" si="10"/>
        <v>470.4</v>
      </c>
      <c r="AB43" s="6">
        <f t="shared" si="11"/>
        <v>729.6</v>
      </c>
      <c r="AC43" t="s">
        <v>33</v>
      </c>
      <c r="AD43" s="3" t="s">
        <v>171</v>
      </c>
      <c r="AM43" s="1">
        <f t="shared" si="12"/>
        <v>969.6</v>
      </c>
    </row>
    <row r="44" spans="1:39" ht="15.75" customHeight="1" x14ac:dyDescent="0.2">
      <c r="A44" s="7" t="str">
        <f t="shared" si="6"/>
        <v>CYJ581Retrofit</v>
      </c>
      <c r="B44" s="7" t="str">
        <f t="shared" si="7"/>
        <v>iPadNew Buy</v>
      </c>
      <c r="C44">
        <v>407688</v>
      </c>
      <c r="D44" s="19" t="s">
        <v>172</v>
      </c>
      <c r="E44" s="20" t="s">
        <v>166</v>
      </c>
      <c r="F44" s="20" t="s">
        <v>173</v>
      </c>
      <c r="G44" t="s">
        <v>174</v>
      </c>
      <c r="H44" t="s">
        <v>170</v>
      </c>
      <c r="I44" t="s">
        <v>131</v>
      </c>
      <c r="J44" t="s">
        <v>224</v>
      </c>
      <c r="L44" t="s">
        <v>226</v>
      </c>
      <c r="M44" s="25">
        <v>49</v>
      </c>
      <c r="N44" s="4">
        <v>29.4</v>
      </c>
      <c r="O44" s="24">
        <v>8</v>
      </c>
      <c r="Q44" s="20">
        <v>4</v>
      </c>
      <c r="T44" s="20" t="s">
        <v>178</v>
      </c>
      <c r="U44" s="21" t="s">
        <v>66</v>
      </c>
      <c r="V44" s="4">
        <v>29.4</v>
      </c>
      <c r="W44" s="26">
        <v>90</v>
      </c>
      <c r="Y44" s="6">
        <f t="shared" si="8"/>
        <v>392</v>
      </c>
      <c r="Z44" s="6">
        <f t="shared" si="9"/>
        <v>235.2</v>
      </c>
      <c r="AA44" s="6">
        <f t="shared" si="10"/>
        <v>235.2</v>
      </c>
      <c r="AB44" s="6">
        <f t="shared" si="11"/>
        <v>156.80000000000001</v>
      </c>
      <c r="AC44" t="s">
        <v>16</v>
      </c>
      <c r="AD44" s="3" t="s">
        <v>171</v>
      </c>
      <c r="AM44" s="1">
        <f t="shared" si="12"/>
        <v>484.8</v>
      </c>
    </row>
    <row r="45" spans="1:39" ht="15.75" customHeight="1" x14ac:dyDescent="0.2">
      <c r="A45" s="7" t="str">
        <f t="shared" si="6"/>
        <v>CYJ581Retrofit</v>
      </c>
      <c r="B45" s="7" t="str">
        <f t="shared" si="7"/>
        <v>iPadNew Buy</v>
      </c>
      <c r="C45">
        <v>407687</v>
      </c>
      <c r="D45" s="19" t="s">
        <v>172</v>
      </c>
      <c r="E45" s="20" t="s">
        <v>166</v>
      </c>
      <c r="F45" s="20" t="s">
        <v>173</v>
      </c>
      <c r="G45" t="s">
        <v>174</v>
      </c>
      <c r="H45" t="s">
        <v>170</v>
      </c>
      <c r="I45" t="s">
        <v>131</v>
      </c>
      <c r="J45" t="s">
        <v>227</v>
      </c>
      <c r="L45" t="s">
        <v>228</v>
      </c>
      <c r="M45" s="25">
        <v>66</v>
      </c>
      <c r="N45" s="4">
        <v>26.4</v>
      </c>
      <c r="O45" s="24">
        <v>16</v>
      </c>
      <c r="Q45" s="20">
        <v>4</v>
      </c>
      <c r="T45" s="20" t="s">
        <v>178</v>
      </c>
      <c r="U45" s="21" t="s">
        <v>116</v>
      </c>
      <c r="V45" s="4">
        <v>26.4</v>
      </c>
      <c r="W45" s="26">
        <v>90</v>
      </c>
      <c r="Y45" s="6">
        <f t="shared" si="8"/>
        <v>1056</v>
      </c>
      <c r="Z45" s="6">
        <f t="shared" si="9"/>
        <v>422.4</v>
      </c>
      <c r="AA45" s="6">
        <f t="shared" si="10"/>
        <v>422.4</v>
      </c>
      <c r="AB45" s="6">
        <f t="shared" si="11"/>
        <v>633.6</v>
      </c>
      <c r="AC45" t="s">
        <v>33</v>
      </c>
      <c r="AD45" s="3" t="s">
        <v>171</v>
      </c>
      <c r="AM45" s="1">
        <f t="shared" si="12"/>
        <v>1017.6</v>
      </c>
    </row>
    <row r="46" spans="1:39" ht="15.75" customHeight="1" x14ac:dyDescent="0.2">
      <c r="A46" s="7" t="str">
        <f t="shared" si="6"/>
        <v>CYJ581Retrofit</v>
      </c>
      <c r="B46" s="7" t="str">
        <f t="shared" si="7"/>
        <v>iPadNew Buy</v>
      </c>
      <c r="C46">
        <v>407686</v>
      </c>
      <c r="D46" s="19" t="s">
        <v>172</v>
      </c>
      <c r="E46" s="20" t="s">
        <v>166</v>
      </c>
      <c r="F46" s="20" t="s">
        <v>173</v>
      </c>
      <c r="G46" t="s">
        <v>174</v>
      </c>
      <c r="H46" t="s">
        <v>170</v>
      </c>
      <c r="I46" t="s">
        <v>131</v>
      </c>
      <c r="J46" t="s">
        <v>227</v>
      </c>
      <c r="L46" t="s">
        <v>229</v>
      </c>
      <c r="M46" s="25">
        <v>44</v>
      </c>
      <c r="N46" s="4">
        <v>26.4</v>
      </c>
      <c r="O46" s="24">
        <v>8</v>
      </c>
      <c r="Q46" s="20">
        <v>4</v>
      </c>
      <c r="T46" s="20" t="s">
        <v>178</v>
      </c>
      <c r="U46" s="21" t="s">
        <v>66</v>
      </c>
      <c r="V46" s="4">
        <v>26.4</v>
      </c>
      <c r="W46" s="26">
        <v>90</v>
      </c>
      <c r="Y46" s="6">
        <f t="shared" si="8"/>
        <v>352</v>
      </c>
      <c r="Z46" s="6">
        <f t="shared" si="9"/>
        <v>211.2</v>
      </c>
      <c r="AA46" s="6">
        <f t="shared" si="10"/>
        <v>211.2</v>
      </c>
      <c r="AB46" s="6">
        <f t="shared" si="11"/>
        <v>140.80000000000001</v>
      </c>
      <c r="AC46" t="s">
        <v>16</v>
      </c>
      <c r="AD46" s="3" t="s">
        <v>171</v>
      </c>
      <c r="AM46" s="1">
        <f t="shared" si="12"/>
        <v>508.8</v>
      </c>
    </row>
    <row r="47" spans="1:39" ht="15.75" customHeight="1" x14ac:dyDescent="0.2">
      <c r="A47" s="7" t="str">
        <f t="shared" si="6"/>
        <v>CYJ581Retrofit</v>
      </c>
      <c r="B47" s="7" t="str">
        <f t="shared" si="7"/>
        <v>iPadNew Buy</v>
      </c>
      <c r="C47">
        <v>407685</v>
      </c>
      <c r="D47" s="19" t="s">
        <v>172</v>
      </c>
      <c r="E47" s="20" t="s">
        <v>166</v>
      </c>
      <c r="F47" s="20" t="s">
        <v>173</v>
      </c>
      <c r="G47" t="s">
        <v>174</v>
      </c>
      <c r="H47" t="s">
        <v>170</v>
      </c>
      <c r="I47" t="s">
        <v>131</v>
      </c>
      <c r="J47" t="s">
        <v>230</v>
      </c>
      <c r="L47" t="s">
        <v>231</v>
      </c>
      <c r="M47" s="25">
        <v>75</v>
      </c>
      <c r="N47" s="4">
        <v>29.4</v>
      </c>
      <c r="O47" s="24">
        <v>4</v>
      </c>
      <c r="Q47" s="20">
        <v>4</v>
      </c>
      <c r="T47" s="20" t="s">
        <v>178</v>
      </c>
      <c r="U47" s="21" t="s">
        <v>116</v>
      </c>
      <c r="V47" s="4">
        <v>29.4</v>
      </c>
      <c r="W47" s="26">
        <v>90</v>
      </c>
      <c r="Y47" s="6">
        <f t="shared" si="8"/>
        <v>300</v>
      </c>
      <c r="Z47" s="6">
        <f t="shared" si="9"/>
        <v>117.6</v>
      </c>
      <c r="AA47" s="6">
        <f t="shared" si="10"/>
        <v>117.6</v>
      </c>
      <c r="AB47" s="6">
        <f t="shared" si="11"/>
        <v>182.4</v>
      </c>
      <c r="AC47" t="s">
        <v>33</v>
      </c>
      <c r="AD47" s="3" t="s">
        <v>171</v>
      </c>
      <c r="AM47" s="1">
        <f t="shared" si="12"/>
        <v>242.4</v>
      </c>
    </row>
    <row r="48" spans="1:39" ht="15.75" customHeight="1" x14ac:dyDescent="0.2">
      <c r="A48" s="7" t="str">
        <f t="shared" si="6"/>
        <v>CYJ581Retrofit</v>
      </c>
      <c r="B48" s="7" t="str">
        <f t="shared" si="7"/>
        <v>iPadNew Buy</v>
      </c>
      <c r="C48">
        <v>407684</v>
      </c>
      <c r="D48" s="19" t="s">
        <v>172</v>
      </c>
      <c r="E48" s="20" t="s">
        <v>166</v>
      </c>
      <c r="F48" s="20" t="s">
        <v>173</v>
      </c>
      <c r="G48" t="s">
        <v>174</v>
      </c>
      <c r="H48" t="s">
        <v>170</v>
      </c>
      <c r="I48" t="s">
        <v>131</v>
      </c>
      <c r="J48" t="s">
        <v>230</v>
      </c>
      <c r="L48" t="s">
        <v>232</v>
      </c>
      <c r="M48" s="25">
        <v>49</v>
      </c>
      <c r="N48" s="4">
        <v>29.4</v>
      </c>
      <c r="O48" s="24">
        <v>8</v>
      </c>
      <c r="Q48" s="20">
        <v>4</v>
      </c>
      <c r="T48" s="20" t="s">
        <v>178</v>
      </c>
      <c r="U48" s="21" t="s">
        <v>66</v>
      </c>
      <c r="V48" s="4">
        <v>29.4</v>
      </c>
      <c r="W48" s="26">
        <v>90</v>
      </c>
      <c r="Y48" s="6">
        <f t="shared" si="8"/>
        <v>392</v>
      </c>
      <c r="Z48" s="6">
        <f t="shared" si="9"/>
        <v>235.2</v>
      </c>
      <c r="AA48" s="6">
        <f t="shared" si="10"/>
        <v>235.2</v>
      </c>
      <c r="AB48" s="6">
        <f t="shared" si="11"/>
        <v>156.80000000000001</v>
      </c>
      <c r="AC48" t="s">
        <v>16</v>
      </c>
      <c r="AD48" s="3" t="s">
        <v>171</v>
      </c>
      <c r="AM48" s="1">
        <f t="shared" si="12"/>
        <v>484.8</v>
      </c>
    </row>
    <row r="49" spans="1:39" ht="15.75" customHeight="1" x14ac:dyDescent="0.2">
      <c r="A49" s="7" t="str">
        <f t="shared" si="6"/>
        <v>CYJ581Retrofit</v>
      </c>
      <c r="B49" s="7" t="str">
        <f t="shared" si="7"/>
        <v>iPadNew Buy</v>
      </c>
      <c r="C49">
        <v>407683</v>
      </c>
      <c r="D49" s="19" t="s">
        <v>172</v>
      </c>
      <c r="E49" s="20" t="s">
        <v>166</v>
      </c>
      <c r="F49" s="20" t="s">
        <v>173</v>
      </c>
      <c r="G49" t="s">
        <v>174</v>
      </c>
      <c r="H49" t="s">
        <v>170</v>
      </c>
      <c r="I49" t="s">
        <v>131</v>
      </c>
      <c r="J49" t="s">
        <v>233</v>
      </c>
      <c r="L49" t="s">
        <v>234</v>
      </c>
      <c r="M49" s="25">
        <v>66</v>
      </c>
      <c r="N49" s="4">
        <v>26.4</v>
      </c>
      <c r="O49" s="24">
        <v>4</v>
      </c>
      <c r="Q49" s="20">
        <v>4</v>
      </c>
      <c r="T49" s="20" t="s">
        <v>178</v>
      </c>
      <c r="U49" s="21" t="s">
        <v>116</v>
      </c>
      <c r="V49" s="4">
        <v>26.4</v>
      </c>
      <c r="W49" s="26">
        <v>90</v>
      </c>
      <c r="Y49" s="6">
        <f t="shared" si="8"/>
        <v>264</v>
      </c>
      <c r="Z49" s="6">
        <f t="shared" si="9"/>
        <v>105.6</v>
      </c>
      <c r="AA49" s="6">
        <f t="shared" si="10"/>
        <v>105.6</v>
      </c>
      <c r="AB49" s="6">
        <f t="shared" si="11"/>
        <v>158.4</v>
      </c>
      <c r="AC49" t="s">
        <v>33</v>
      </c>
      <c r="AD49" s="3" t="s">
        <v>171</v>
      </c>
      <c r="AM49" s="1">
        <f t="shared" si="12"/>
        <v>254.4</v>
      </c>
    </row>
    <row r="50" spans="1:39" ht="15.75" customHeight="1" x14ac:dyDescent="0.2">
      <c r="A50" s="7" t="str">
        <f t="shared" si="6"/>
        <v>CYJ581Retrofit</v>
      </c>
      <c r="B50" s="7" t="str">
        <f t="shared" si="7"/>
        <v>iPadNew Buy</v>
      </c>
      <c r="C50">
        <v>407682</v>
      </c>
      <c r="D50" s="19" t="s">
        <v>172</v>
      </c>
      <c r="E50" s="20" t="s">
        <v>166</v>
      </c>
      <c r="F50" s="20" t="s">
        <v>173</v>
      </c>
      <c r="G50" t="s">
        <v>174</v>
      </c>
      <c r="H50" t="s">
        <v>170</v>
      </c>
      <c r="I50" t="s">
        <v>131</v>
      </c>
      <c r="J50" t="s">
        <v>233</v>
      </c>
      <c r="L50" t="s">
        <v>235</v>
      </c>
      <c r="M50" s="25">
        <v>44</v>
      </c>
      <c r="N50" s="4">
        <v>26.4</v>
      </c>
      <c r="O50" s="24">
        <v>8</v>
      </c>
      <c r="Q50" s="20">
        <v>4</v>
      </c>
      <c r="T50" s="20" t="s">
        <v>178</v>
      </c>
      <c r="U50" s="21" t="s">
        <v>66</v>
      </c>
      <c r="V50" s="4">
        <v>26.4</v>
      </c>
      <c r="W50" s="26">
        <v>90</v>
      </c>
      <c r="Y50" s="6">
        <f t="shared" si="8"/>
        <v>352</v>
      </c>
      <c r="Z50" s="6">
        <f t="shared" si="9"/>
        <v>211.2</v>
      </c>
      <c r="AA50" s="6">
        <f t="shared" si="10"/>
        <v>211.2</v>
      </c>
      <c r="AB50" s="6">
        <f t="shared" si="11"/>
        <v>140.80000000000001</v>
      </c>
      <c r="AC50" t="s">
        <v>16</v>
      </c>
      <c r="AD50" s="3" t="s">
        <v>171</v>
      </c>
      <c r="AM50" s="1">
        <f t="shared" si="12"/>
        <v>508.8</v>
      </c>
    </row>
    <row r="51" spans="1:39" ht="15.75" customHeight="1" x14ac:dyDescent="0.2">
      <c r="A51" s="7" t="str">
        <f t="shared" si="6"/>
        <v>CYJ581Retrofit</v>
      </c>
      <c r="B51" s="7" t="str">
        <f t="shared" si="7"/>
        <v>iPadNew Buy</v>
      </c>
      <c r="C51">
        <v>407671</v>
      </c>
      <c r="D51" s="19" t="s">
        <v>172</v>
      </c>
      <c r="E51" s="20" t="s">
        <v>166</v>
      </c>
      <c r="F51" s="20" t="s">
        <v>173</v>
      </c>
      <c r="G51" t="s">
        <v>174</v>
      </c>
      <c r="H51" t="s">
        <v>170</v>
      </c>
      <c r="I51" t="s">
        <v>131</v>
      </c>
      <c r="J51" t="s">
        <v>236</v>
      </c>
      <c r="L51" t="s">
        <v>237</v>
      </c>
      <c r="M51" s="25">
        <v>700</v>
      </c>
      <c r="N51" s="4">
        <v>420</v>
      </c>
      <c r="O51" s="24">
        <v>2</v>
      </c>
      <c r="Q51" s="20">
        <v>4</v>
      </c>
      <c r="T51" s="20" t="s">
        <v>178</v>
      </c>
      <c r="U51" s="21" t="s">
        <v>104</v>
      </c>
      <c r="V51" s="4">
        <v>420</v>
      </c>
      <c r="W51" s="26">
        <v>1750</v>
      </c>
      <c r="Y51" s="6">
        <f t="shared" si="8"/>
        <v>1400</v>
      </c>
      <c r="Z51" s="6">
        <f t="shared" si="9"/>
        <v>840</v>
      </c>
      <c r="AA51" s="6">
        <f t="shared" si="10"/>
        <v>840</v>
      </c>
      <c r="AB51" s="6">
        <f t="shared" si="11"/>
        <v>560</v>
      </c>
      <c r="AC51" t="s">
        <v>16</v>
      </c>
      <c r="AD51" s="3" t="s">
        <v>171</v>
      </c>
      <c r="AM51" s="1">
        <f t="shared" si="12"/>
        <v>2660</v>
      </c>
    </row>
    <row r="52" spans="1:39" ht="15.75" customHeight="1" x14ac:dyDescent="0.2">
      <c r="A52" s="7" t="str">
        <f t="shared" si="6"/>
        <v>CYJ581Retrofit</v>
      </c>
      <c r="B52" s="7" t="str">
        <f t="shared" si="7"/>
        <v>iPadNew Buy</v>
      </c>
      <c r="C52">
        <v>407670</v>
      </c>
      <c r="D52" s="19" t="s">
        <v>172</v>
      </c>
      <c r="E52" s="20" t="s">
        <v>166</v>
      </c>
      <c r="F52" s="20" t="s">
        <v>173</v>
      </c>
      <c r="G52" t="s">
        <v>174</v>
      </c>
      <c r="H52" t="s">
        <v>170</v>
      </c>
      <c r="I52" t="s">
        <v>131</v>
      </c>
      <c r="J52" t="s">
        <v>236</v>
      </c>
      <c r="L52" t="s">
        <v>237</v>
      </c>
      <c r="M52" s="25">
        <v>1050</v>
      </c>
      <c r="N52" s="4">
        <v>420</v>
      </c>
      <c r="O52" s="24">
        <v>3</v>
      </c>
      <c r="Q52" s="20">
        <v>4</v>
      </c>
      <c r="T52" s="20" t="s">
        <v>178</v>
      </c>
      <c r="U52" s="21" t="s">
        <v>116</v>
      </c>
      <c r="V52" s="4">
        <v>420</v>
      </c>
      <c r="W52" s="26">
        <v>1750</v>
      </c>
      <c r="Y52" s="6">
        <f t="shared" si="8"/>
        <v>3150</v>
      </c>
      <c r="Z52" s="6">
        <f t="shared" si="9"/>
        <v>1260</v>
      </c>
      <c r="AA52" s="6">
        <f t="shared" si="10"/>
        <v>1260</v>
      </c>
      <c r="AB52" s="6">
        <f t="shared" si="11"/>
        <v>1890</v>
      </c>
      <c r="AC52" t="s">
        <v>33</v>
      </c>
      <c r="AD52" s="3" t="s">
        <v>171</v>
      </c>
      <c r="AM52" s="1">
        <f t="shared" si="12"/>
        <v>3990</v>
      </c>
    </row>
    <row r="53" spans="1:39" ht="15.75" customHeight="1" x14ac:dyDescent="0.2">
      <c r="A53" s="7" t="str">
        <f t="shared" si="6"/>
        <v>CYJ581Retrofit</v>
      </c>
      <c r="B53" s="7" t="str">
        <f t="shared" si="7"/>
        <v>iPadNew Buy</v>
      </c>
      <c r="C53">
        <v>407669</v>
      </c>
      <c r="D53" s="19" t="s">
        <v>172</v>
      </c>
      <c r="E53" s="20" t="s">
        <v>166</v>
      </c>
      <c r="F53" s="20" t="s">
        <v>173</v>
      </c>
      <c r="G53" t="s">
        <v>174</v>
      </c>
      <c r="H53" t="s">
        <v>170</v>
      </c>
      <c r="I53" t="s">
        <v>131</v>
      </c>
      <c r="J53" t="s">
        <v>236</v>
      </c>
      <c r="L53" t="s">
        <v>237</v>
      </c>
      <c r="M53" s="25">
        <v>700</v>
      </c>
      <c r="N53" s="4">
        <v>420</v>
      </c>
      <c r="O53" s="24">
        <v>1</v>
      </c>
      <c r="Q53" s="20">
        <v>4</v>
      </c>
      <c r="T53" s="20" t="s">
        <v>178</v>
      </c>
      <c r="U53" s="21" t="s">
        <v>66</v>
      </c>
      <c r="V53" s="4">
        <v>420</v>
      </c>
      <c r="W53" s="26">
        <v>1750</v>
      </c>
      <c r="Y53" s="6">
        <f t="shared" si="8"/>
        <v>700</v>
      </c>
      <c r="Z53" s="6">
        <f t="shared" si="9"/>
        <v>420</v>
      </c>
      <c r="AA53" s="6">
        <f t="shared" si="10"/>
        <v>420</v>
      </c>
      <c r="AB53" s="6">
        <f t="shared" si="11"/>
        <v>280</v>
      </c>
      <c r="AC53" t="s">
        <v>16</v>
      </c>
      <c r="AD53" s="3" t="s">
        <v>171</v>
      </c>
      <c r="AM53" s="1">
        <f t="shared" si="12"/>
        <v>1330</v>
      </c>
    </row>
    <row r="54" spans="1:39" ht="15.75" customHeight="1" x14ac:dyDescent="0.2">
      <c r="A54" s="7" t="str">
        <f t="shared" si="6"/>
        <v>CYJ581New Buy</v>
      </c>
      <c r="B54" s="7" t="str">
        <f t="shared" si="7"/>
        <v>iPadNew Buy</v>
      </c>
      <c r="C54">
        <v>407663</v>
      </c>
      <c r="D54" s="19" t="s">
        <v>172</v>
      </c>
      <c r="E54" s="20" t="s">
        <v>166</v>
      </c>
      <c r="F54" s="20" t="s">
        <v>173</v>
      </c>
      <c r="G54" t="s">
        <v>174</v>
      </c>
      <c r="H54" t="s">
        <v>167</v>
      </c>
      <c r="I54" t="s">
        <v>175</v>
      </c>
      <c r="J54" t="s">
        <v>238</v>
      </c>
      <c r="L54" t="s">
        <v>239</v>
      </c>
      <c r="M54" s="25">
        <v>180</v>
      </c>
      <c r="N54" s="4">
        <v>108</v>
      </c>
      <c r="O54" s="24">
        <v>2</v>
      </c>
      <c r="Q54" s="20">
        <v>4</v>
      </c>
      <c r="T54" s="20" t="s">
        <v>178</v>
      </c>
      <c r="U54" s="21" t="s">
        <v>104</v>
      </c>
      <c r="V54" s="4">
        <v>108</v>
      </c>
      <c r="Y54" s="6">
        <f t="shared" si="8"/>
        <v>360</v>
      </c>
      <c r="Z54" s="6">
        <f t="shared" si="9"/>
        <v>216</v>
      </c>
      <c r="AA54" s="6">
        <f t="shared" si="10"/>
        <v>216</v>
      </c>
      <c r="AB54" s="6">
        <f t="shared" si="11"/>
        <v>144</v>
      </c>
      <c r="AC54" t="s">
        <v>16</v>
      </c>
      <c r="AD54" s="3" t="s">
        <v>168</v>
      </c>
    </row>
    <row r="55" spans="1:39" ht="15.75" customHeight="1" x14ac:dyDescent="0.2">
      <c r="A55" s="7" t="str">
        <f t="shared" si="6"/>
        <v>CYJ581New Buy</v>
      </c>
      <c r="B55" s="7" t="str">
        <f t="shared" si="7"/>
        <v>iPadNew Buy</v>
      </c>
      <c r="C55">
        <v>407662</v>
      </c>
      <c r="D55" s="19" t="s">
        <v>172</v>
      </c>
      <c r="E55" s="20" t="s">
        <v>166</v>
      </c>
      <c r="F55" s="20" t="s">
        <v>173</v>
      </c>
      <c r="G55" t="s">
        <v>174</v>
      </c>
      <c r="H55" t="s">
        <v>167</v>
      </c>
      <c r="I55" t="s">
        <v>175</v>
      </c>
      <c r="J55" t="s">
        <v>238</v>
      </c>
      <c r="L55" t="s">
        <v>239</v>
      </c>
      <c r="M55" s="25">
        <v>270</v>
      </c>
      <c r="N55" s="4">
        <v>108</v>
      </c>
      <c r="O55" s="24">
        <v>2</v>
      </c>
      <c r="Q55" s="20">
        <v>4</v>
      </c>
      <c r="T55" s="20" t="s">
        <v>178</v>
      </c>
      <c r="U55" s="21" t="s">
        <v>116</v>
      </c>
      <c r="V55" s="4">
        <v>108</v>
      </c>
      <c r="Y55" s="6">
        <f t="shared" si="8"/>
        <v>540</v>
      </c>
      <c r="Z55" s="6">
        <f t="shared" si="9"/>
        <v>216</v>
      </c>
      <c r="AA55" s="6">
        <f t="shared" si="10"/>
        <v>216</v>
      </c>
      <c r="AB55" s="6">
        <f t="shared" si="11"/>
        <v>324</v>
      </c>
      <c r="AC55" t="s">
        <v>33</v>
      </c>
      <c r="AD55" s="3" t="s">
        <v>168</v>
      </c>
    </row>
    <row r="56" spans="1:39" ht="15.75" customHeight="1" x14ac:dyDescent="0.2">
      <c r="A56" s="7" t="str">
        <f t="shared" si="6"/>
        <v>CYJ581New Buy</v>
      </c>
      <c r="B56" s="7" t="str">
        <f t="shared" si="7"/>
        <v>iPadNew Buy</v>
      </c>
      <c r="C56">
        <v>407661</v>
      </c>
      <c r="D56" s="19" t="s">
        <v>172</v>
      </c>
      <c r="E56" s="20" t="s">
        <v>166</v>
      </c>
      <c r="F56" s="20" t="s">
        <v>173</v>
      </c>
      <c r="G56" t="s">
        <v>174</v>
      </c>
      <c r="H56" t="s">
        <v>167</v>
      </c>
      <c r="I56" t="s">
        <v>175</v>
      </c>
      <c r="J56" t="s">
        <v>238</v>
      </c>
      <c r="L56" t="s">
        <v>239</v>
      </c>
      <c r="M56" s="25">
        <v>180</v>
      </c>
      <c r="N56" s="4">
        <v>108</v>
      </c>
      <c r="O56" s="24">
        <v>1</v>
      </c>
      <c r="Q56" s="20">
        <v>4</v>
      </c>
      <c r="T56" s="20" t="s">
        <v>178</v>
      </c>
      <c r="U56" s="21" t="s">
        <v>66</v>
      </c>
      <c r="V56" s="4">
        <v>108</v>
      </c>
      <c r="Y56" s="6">
        <f t="shared" si="8"/>
        <v>180</v>
      </c>
      <c r="Z56" s="6">
        <f t="shared" si="9"/>
        <v>108</v>
      </c>
      <c r="AA56" s="6">
        <f t="shared" si="10"/>
        <v>108</v>
      </c>
      <c r="AB56" s="6">
        <f t="shared" si="11"/>
        <v>72</v>
      </c>
      <c r="AC56" t="s">
        <v>16</v>
      </c>
      <c r="AD56" s="3" t="s">
        <v>168</v>
      </c>
    </row>
    <row r="57" spans="1:39" ht="15.75" customHeight="1" x14ac:dyDescent="0.2">
      <c r="A57" s="7" t="str">
        <f t="shared" si="6"/>
        <v>CYJ581New Buy</v>
      </c>
      <c r="B57" s="7" t="str">
        <f t="shared" si="7"/>
        <v>iPadNew Buy</v>
      </c>
      <c r="C57">
        <v>407660</v>
      </c>
      <c r="D57" s="19" t="s">
        <v>172</v>
      </c>
      <c r="E57" s="20" t="s">
        <v>166</v>
      </c>
      <c r="F57" s="20" t="s">
        <v>173</v>
      </c>
      <c r="G57" t="s">
        <v>174</v>
      </c>
      <c r="H57" t="s">
        <v>167</v>
      </c>
      <c r="I57" t="s">
        <v>175</v>
      </c>
      <c r="J57" t="s">
        <v>240</v>
      </c>
      <c r="L57" t="s">
        <v>241</v>
      </c>
      <c r="M57" s="25">
        <v>180</v>
      </c>
      <c r="N57" s="4">
        <v>108</v>
      </c>
      <c r="O57" s="24">
        <v>3</v>
      </c>
      <c r="Q57" s="20">
        <v>4</v>
      </c>
      <c r="T57" s="20" t="s">
        <v>178</v>
      </c>
      <c r="U57" s="21" t="s">
        <v>104</v>
      </c>
      <c r="V57" s="4">
        <v>108</v>
      </c>
      <c r="Y57" s="6">
        <f t="shared" si="8"/>
        <v>540</v>
      </c>
      <c r="Z57" s="6">
        <f t="shared" si="9"/>
        <v>324</v>
      </c>
      <c r="AA57" s="6">
        <f t="shared" si="10"/>
        <v>324</v>
      </c>
      <c r="AB57" s="6">
        <f t="shared" si="11"/>
        <v>216</v>
      </c>
      <c r="AC57" t="s">
        <v>16</v>
      </c>
      <c r="AD57" s="3" t="s">
        <v>168</v>
      </c>
    </row>
    <row r="58" spans="1:39" ht="15.75" customHeight="1" x14ac:dyDescent="0.2">
      <c r="A58" s="7" t="str">
        <f t="shared" si="6"/>
        <v>CYJ581New Buy</v>
      </c>
      <c r="B58" s="7" t="str">
        <f t="shared" si="7"/>
        <v>iPadNew Buy</v>
      </c>
      <c r="C58">
        <v>407659</v>
      </c>
      <c r="D58" s="19" t="s">
        <v>172</v>
      </c>
      <c r="E58" s="20" t="s">
        <v>166</v>
      </c>
      <c r="F58" s="20" t="s">
        <v>173</v>
      </c>
      <c r="G58" t="s">
        <v>174</v>
      </c>
      <c r="H58" t="s">
        <v>167</v>
      </c>
      <c r="I58" t="s">
        <v>175</v>
      </c>
      <c r="J58" t="s">
        <v>240</v>
      </c>
      <c r="L58" t="s">
        <v>241</v>
      </c>
      <c r="M58" s="25">
        <v>270</v>
      </c>
      <c r="N58" s="4">
        <v>108</v>
      </c>
      <c r="O58" s="24">
        <v>1</v>
      </c>
      <c r="Q58" s="20">
        <v>4</v>
      </c>
      <c r="T58" s="20" t="s">
        <v>178</v>
      </c>
      <c r="U58" s="21" t="s">
        <v>116</v>
      </c>
      <c r="V58" s="4">
        <v>108</v>
      </c>
      <c r="Y58" s="6">
        <f t="shared" si="8"/>
        <v>270</v>
      </c>
      <c r="Z58" s="6">
        <f t="shared" si="9"/>
        <v>108</v>
      </c>
      <c r="AA58" s="6">
        <f t="shared" si="10"/>
        <v>108</v>
      </c>
      <c r="AB58" s="6">
        <f t="shared" si="11"/>
        <v>162</v>
      </c>
      <c r="AC58" t="s">
        <v>33</v>
      </c>
      <c r="AD58" s="3" t="s">
        <v>168</v>
      </c>
    </row>
    <row r="59" spans="1:39" ht="15.75" customHeight="1" x14ac:dyDescent="0.2">
      <c r="A59" s="7" t="str">
        <f t="shared" si="6"/>
        <v>CYJ581New Buy</v>
      </c>
      <c r="B59" s="7" t="str">
        <f t="shared" si="7"/>
        <v>iPadNew Buy</v>
      </c>
      <c r="C59">
        <v>407658</v>
      </c>
      <c r="D59" s="19" t="s">
        <v>172</v>
      </c>
      <c r="E59" s="20" t="s">
        <v>166</v>
      </c>
      <c r="F59" s="20" t="s">
        <v>173</v>
      </c>
      <c r="G59" t="s">
        <v>174</v>
      </c>
      <c r="H59" t="s">
        <v>167</v>
      </c>
      <c r="I59" t="s">
        <v>175</v>
      </c>
      <c r="J59" t="s">
        <v>240</v>
      </c>
      <c r="L59" t="s">
        <v>241</v>
      </c>
      <c r="M59" s="25">
        <v>180</v>
      </c>
      <c r="N59" s="4">
        <v>108</v>
      </c>
      <c r="O59" s="24">
        <v>1</v>
      </c>
      <c r="Q59" s="20">
        <v>4</v>
      </c>
      <c r="T59" s="20" t="s">
        <v>178</v>
      </c>
      <c r="U59" s="21" t="s">
        <v>66</v>
      </c>
      <c r="V59" s="4">
        <v>108</v>
      </c>
      <c r="Y59" s="6">
        <f t="shared" si="8"/>
        <v>180</v>
      </c>
      <c r="Z59" s="6">
        <f t="shared" si="9"/>
        <v>108</v>
      </c>
      <c r="AA59" s="6">
        <f t="shared" si="10"/>
        <v>108</v>
      </c>
      <c r="AB59" s="6">
        <f t="shared" si="11"/>
        <v>72</v>
      </c>
      <c r="AC59" t="s">
        <v>16</v>
      </c>
      <c r="AD59" s="3" t="s">
        <v>168</v>
      </c>
    </row>
    <row r="60" spans="1:39" ht="15.75" customHeight="1" x14ac:dyDescent="0.2">
      <c r="A60" s="7" t="str">
        <f t="shared" si="6"/>
        <v>CYJ581New Buy</v>
      </c>
      <c r="B60" s="7" t="str">
        <f t="shared" si="7"/>
        <v>iPadNew Buy</v>
      </c>
      <c r="C60">
        <v>407654</v>
      </c>
      <c r="D60" s="19" t="s">
        <v>172</v>
      </c>
      <c r="E60" s="20" t="s">
        <v>166</v>
      </c>
      <c r="F60" s="20" t="s">
        <v>173</v>
      </c>
      <c r="G60" t="s">
        <v>174</v>
      </c>
      <c r="H60" t="s">
        <v>167</v>
      </c>
      <c r="I60" t="s">
        <v>175</v>
      </c>
      <c r="J60" t="s">
        <v>242</v>
      </c>
      <c r="L60" t="s">
        <v>243</v>
      </c>
      <c r="M60" s="25">
        <v>180</v>
      </c>
      <c r="N60" s="4">
        <v>108</v>
      </c>
      <c r="O60" s="24">
        <v>2</v>
      </c>
      <c r="Q60" s="20">
        <v>4</v>
      </c>
      <c r="T60" s="20" t="s">
        <v>178</v>
      </c>
      <c r="U60" s="21" t="s">
        <v>104</v>
      </c>
      <c r="V60" s="4">
        <v>108</v>
      </c>
      <c r="Y60" s="6">
        <f t="shared" si="8"/>
        <v>360</v>
      </c>
      <c r="Z60" s="6">
        <f t="shared" si="9"/>
        <v>216</v>
      </c>
      <c r="AA60" s="6">
        <f t="shared" si="10"/>
        <v>216</v>
      </c>
      <c r="AB60" s="6">
        <f t="shared" si="11"/>
        <v>144</v>
      </c>
      <c r="AC60" t="s">
        <v>16</v>
      </c>
      <c r="AD60" s="3" t="s">
        <v>168</v>
      </c>
    </row>
    <row r="61" spans="1:39" ht="15.75" customHeight="1" x14ac:dyDescent="0.2">
      <c r="A61" s="7" t="str">
        <f t="shared" si="6"/>
        <v>CYJ581New Buy</v>
      </c>
      <c r="B61" s="7" t="str">
        <f t="shared" si="7"/>
        <v>iPadNew Buy</v>
      </c>
      <c r="C61">
        <v>407653</v>
      </c>
      <c r="D61" s="19" t="s">
        <v>172</v>
      </c>
      <c r="E61" s="20" t="s">
        <v>166</v>
      </c>
      <c r="F61" s="20" t="s">
        <v>173</v>
      </c>
      <c r="G61" t="s">
        <v>174</v>
      </c>
      <c r="H61" t="s">
        <v>167</v>
      </c>
      <c r="I61" t="s">
        <v>175</v>
      </c>
      <c r="J61" t="s">
        <v>242</v>
      </c>
      <c r="L61" t="s">
        <v>243</v>
      </c>
      <c r="M61" s="25">
        <v>270</v>
      </c>
      <c r="N61" s="4">
        <v>108</v>
      </c>
      <c r="O61" s="24">
        <v>2</v>
      </c>
      <c r="Q61" s="20">
        <v>4</v>
      </c>
      <c r="T61" s="20" t="s">
        <v>178</v>
      </c>
      <c r="U61" s="21" t="s">
        <v>116</v>
      </c>
      <c r="V61" s="4">
        <v>108</v>
      </c>
      <c r="Y61" s="6">
        <f t="shared" si="8"/>
        <v>540</v>
      </c>
      <c r="Z61" s="6">
        <f t="shared" si="9"/>
        <v>216</v>
      </c>
      <c r="AA61" s="6">
        <f t="shared" si="10"/>
        <v>216</v>
      </c>
      <c r="AB61" s="6">
        <f t="shared" si="11"/>
        <v>324</v>
      </c>
      <c r="AC61" t="s">
        <v>33</v>
      </c>
      <c r="AD61" s="3" t="s">
        <v>168</v>
      </c>
    </row>
    <row r="62" spans="1:39" ht="15.75" customHeight="1" x14ac:dyDescent="0.2">
      <c r="A62" s="7" t="str">
        <f t="shared" si="6"/>
        <v>CYJ581New Buy</v>
      </c>
      <c r="B62" s="7" t="str">
        <f t="shared" si="7"/>
        <v>iPadNew Buy</v>
      </c>
      <c r="C62">
        <v>407652</v>
      </c>
      <c r="D62" s="19" t="s">
        <v>172</v>
      </c>
      <c r="E62" s="20" t="s">
        <v>166</v>
      </c>
      <c r="F62" s="20" t="s">
        <v>173</v>
      </c>
      <c r="G62" t="s">
        <v>174</v>
      </c>
      <c r="H62" t="s">
        <v>167</v>
      </c>
      <c r="I62" t="s">
        <v>175</v>
      </c>
      <c r="J62" t="s">
        <v>242</v>
      </c>
      <c r="L62" t="s">
        <v>243</v>
      </c>
      <c r="M62" s="25">
        <v>180</v>
      </c>
      <c r="N62" s="4">
        <v>108</v>
      </c>
      <c r="O62" s="24">
        <v>1</v>
      </c>
      <c r="Q62" s="20">
        <v>4</v>
      </c>
      <c r="T62" s="20" t="s">
        <v>178</v>
      </c>
      <c r="U62" s="21" t="s">
        <v>66</v>
      </c>
      <c r="V62" s="4">
        <v>108</v>
      </c>
      <c r="Y62" s="6">
        <f t="shared" si="8"/>
        <v>180</v>
      </c>
      <c r="Z62" s="6">
        <f t="shared" si="9"/>
        <v>108</v>
      </c>
      <c r="AA62" s="6">
        <f t="shared" si="10"/>
        <v>108</v>
      </c>
      <c r="AB62" s="6">
        <f t="shared" si="11"/>
        <v>72</v>
      </c>
      <c r="AC62" t="s">
        <v>16</v>
      </c>
      <c r="AD62" s="3" t="s">
        <v>168</v>
      </c>
    </row>
    <row r="63" spans="1:39" ht="15.75" customHeight="1" x14ac:dyDescent="0.2">
      <c r="A63" s="7" t="str">
        <f t="shared" si="6"/>
        <v>CYJ581New Buy</v>
      </c>
      <c r="B63" s="7" t="str">
        <f t="shared" si="7"/>
        <v>iPadNew Buy</v>
      </c>
      <c r="C63">
        <v>407651</v>
      </c>
      <c r="D63" s="19" t="s">
        <v>172</v>
      </c>
      <c r="E63" s="20" t="s">
        <v>166</v>
      </c>
      <c r="F63" s="20" t="s">
        <v>173</v>
      </c>
      <c r="G63" t="s">
        <v>174</v>
      </c>
      <c r="H63" t="s">
        <v>167</v>
      </c>
      <c r="I63" t="s">
        <v>175</v>
      </c>
      <c r="J63" t="s">
        <v>244</v>
      </c>
      <c r="L63" t="s">
        <v>245</v>
      </c>
      <c r="M63" s="25">
        <v>180</v>
      </c>
      <c r="N63" s="4">
        <v>108</v>
      </c>
      <c r="O63" s="24">
        <v>3</v>
      </c>
      <c r="Q63" s="20">
        <v>4</v>
      </c>
      <c r="T63" s="20" t="s">
        <v>178</v>
      </c>
      <c r="U63" s="21" t="s">
        <v>104</v>
      </c>
      <c r="V63" s="4">
        <v>108</v>
      </c>
      <c r="Y63" s="6">
        <f t="shared" si="8"/>
        <v>540</v>
      </c>
      <c r="Z63" s="6">
        <f t="shared" si="9"/>
        <v>324</v>
      </c>
      <c r="AA63" s="6">
        <f t="shared" si="10"/>
        <v>324</v>
      </c>
      <c r="AB63" s="6">
        <f t="shared" si="11"/>
        <v>216</v>
      </c>
      <c r="AC63" t="s">
        <v>16</v>
      </c>
      <c r="AD63" s="3" t="s">
        <v>168</v>
      </c>
    </row>
    <row r="64" spans="1:39" ht="15.75" customHeight="1" x14ac:dyDescent="0.2">
      <c r="A64" s="7" t="str">
        <f t="shared" si="6"/>
        <v>CYJ581New Buy</v>
      </c>
      <c r="B64" s="7" t="str">
        <f t="shared" si="7"/>
        <v>iPadNew Buy</v>
      </c>
      <c r="C64">
        <v>407650</v>
      </c>
      <c r="D64" s="19" t="s">
        <v>172</v>
      </c>
      <c r="E64" s="20" t="s">
        <v>166</v>
      </c>
      <c r="F64" s="20" t="s">
        <v>173</v>
      </c>
      <c r="G64" t="s">
        <v>174</v>
      </c>
      <c r="H64" t="s">
        <v>167</v>
      </c>
      <c r="I64" t="s">
        <v>175</v>
      </c>
      <c r="J64" t="s">
        <v>244</v>
      </c>
      <c r="L64" t="s">
        <v>245</v>
      </c>
      <c r="M64" s="25">
        <v>270</v>
      </c>
      <c r="N64" s="4">
        <v>108</v>
      </c>
      <c r="O64" s="24">
        <v>2</v>
      </c>
      <c r="Q64" s="20">
        <v>4</v>
      </c>
      <c r="T64" s="20" t="s">
        <v>178</v>
      </c>
      <c r="U64" s="21" t="s">
        <v>116</v>
      </c>
      <c r="V64" s="4">
        <v>108</v>
      </c>
      <c r="Y64" s="6">
        <f t="shared" si="8"/>
        <v>540</v>
      </c>
      <c r="Z64" s="6">
        <f t="shared" si="9"/>
        <v>216</v>
      </c>
      <c r="AA64" s="6">
        <f t="shared" si="10"/>
        <v>216</v>
      </c>
      <c r="AB64" s="6">
        <f t="shared" si="11"/>
        <v>324</v>
      </c>
      <c r="AC64" t="s">
        <v>33</v>
      </c>
      <c r="AD64" s="3" t="s">
        <v>168</v>
      </c>
    </row>
    <row r="65" spans="1:30" ht="15.75" customHeight="1" x14ac:dyDescent="0.2">
      <c r="A65" s="7" t="str">
        <f t="shared" si="6"/>
        <v>CYJ581New Buy</v>
      </c>
      <c r="B65" s="7" t="str">
        <f t="shared" si="7"/>
        <v>iPadNew Buy</v>
      </c>
      <c r="C65">
        <v>407649</v>
      </c>
      <c r="D65" s="19" t="s">
        <v>172</v>
      </c>
      <c r="E65" s="20" t="s">
        <v>166</v>
      </c>
      <c r="F65" s="20" t="s">
        <v>173</v>
      </c>
      <c r="G65" t="s">
        <v>174</v>
      </c>
      <c r="H65" t="s">
        <v>167</v>
      </c>
      <c r="I65" t="s">
        <v>175</v>
      </c>
      <c r="J65" t="s">
        <v>244</v>
      </c>
      <c r="L65" t="s">
        <v>245</v>
      </c>
      <c r="M65" s="25">
        <v>180</v>
      </c>
      <c r="N65" s="4">
        <v>108</v>
      </c>
      <c r="O65" s="24">
        <v>1</v>
      </c>
      <c r="Q65" s="20">
        <v>4</v>
      </c>
      <c r="T65" s="20" t="s">
        <v>178</v>
      </c>
      <c r="U65" s="21" t="s">
        <v>66</v>
      </c>
      <c r="V65" s="4">
        <v>108</v>
      </c>
      <c r="Y65" s="6">
        <f t="shared" si="8"/>
        <v>180</v>
      </c>
      <c r="Z65" s="6">
        <f t="shared" si="9"/>
        <v>108</v>
      </c>
      <c r="AA65" s="6">
        <f t="shared" si="10"/>
        <v>108</v>
      </c>
      <c r="AB65" s="6">
        <f t="shared" si="11"/>
        <v>72</v>
      </c>
      <c r="AC65" t="s">
        <v>16</v>
      </c>
      <c r="AD65" s="3" t="s">
        <v>168</v>
      </c>
    </row>
    <row r="66" spans="1:30" ht="15.75" customHeight="1" x14ac:dyDescent="0.2">
      <c r="A66" s="7" t="str">
        <f t="shared" si="6"/>
        <v>CYJ581New Buy</v>
      </c>
      <c r="B66" s="7" t="str">
        <f t="shared" si="7"/>
        <v>iPadNew Buy</v>
      </c>
      <c r="C66">
        <v>407645</v>
      </c>
      <c r="D66" s="19" t="s">
        <v>172</v>
      </c>
      <c r="E66" s="20" t="s">
        <v>166</v>
      </c>
      <c r="F66" s="20" t="s">
        <v>173</v>
      </c>
      <c r="G66" t="s">
        <v>174</v>
      </c>
      <c r="H66" t="s">
        <v>167</v>
      </c>
      <c r="I66" t="s">
        <v>175</v>
      </c>
      <c r="J66" t="s">
        <v>246</v>
      </c>
      <c r="L66" t="s">
        <v>247</v>
      </c>
      <c r="M66" s="25">
        <v>270</v>
      </c>
      <c r="N66" s="4">
        <v>108</v>
      </c>
      <c r="O66" s="24">
        <v>2</v>
      </c>
      <c r="Q66" s="20">
        <v>4</v>
      </c>
      <c r="T66" s="20" t="s">
        <v>178</v>
      </c>
      <c r="U66" s="21" t="s">
        <v>116</v>
      </c>
      <c r="V66" s="4">
        <v>108</v>
      </c>
      <c r="Y66" s="6">
        <f t="shared" si="8"/>
        <v>540</v>
      </c>
      <c r="Z66" s="6">
        <f t="shared" si="9"/>
        <v>216</v>
      </c>
      <c r="AA66" s="6">
        <f t="shared" si="10"/>
        <v>216</v>
      </c>
      <c r="AB66" s="6">
        <f t="shared" si="11"/>
        <v>324</v>
      </c>
      <c r="AC66" t="s">
        <v>33</v>
      </c>
      <c r="AD66" s="3" t="s">
        <v>168</v>
      </c>
    </row>
    <row r="67" spans="1:30" ht="15.75" customHeight="1" x14ac:dyDescent="0.2">
      <c r="A67" s="7" t="str">
        <f t="shared" si="6"/>
        <v>CYJ581New Buy</v>
      </c>
      <c r="B67" s="7" t="str">
        <f t="shared" si="7"/>
        <v>iPadNew Buy</v>
      </c>
      <c r="C67">
        <v>407644</v>
      </c>
      <c r="D67" s="19" t="s">
        <v>172</v>
      </c>
      <c r="E67" s="20" t="s">
        <v>166</v>
      </c>
      <c r="F67" s="20" t="s">
        <v>173</v>
      </c>
      <c r="G67" t="s">
        <v>174</v>
      </c>
      <c r="H67" t="s">
        <v>167</v>
      </c>
      <c r="I67" t="s">
        <v>175</v>
      </c>
      <c r="J67" t="s">
        <v>246</v>
      </c>
      <c r="L67" t="s">
        <v>248</v>
      </c>
      <c r="M67" s="25">
        <v>180</v>
      </c>
      <c r="N67" s="4">
        <v>108</v>
      </c>
      <c r="O67" s="24">
        <v>2</v>
      </c>
      <c r="Q67" s="20">
        <v>4</v>
      </c>
      <c r="T67" s="20" t="s">
        <v>178</v>
      </c>
      <c r="U67" s="21" t="s">
        <v>104</v>
      </c>
      <c r="V67" s="4">
        <v>108</v>
      </c>
      <c r="Y67" s="6">
        <f t="shared" si="8"/>
        <v>360</v>
      </c>
      <c r="Z67" s="6">
        <f t="shared" si="9"/>
        <v>216</v>
      </c>
      <c r="AA67" s="6">
        <f t="shared" si="10"/>
        <v>216</v>
      </c>
      <c r="AB67" s="6">
        <f t="shared" si="11"/>
        <v>144</v>
      </c>
      <c r="AC67" t="s">
        <v>16</v>
      </c>
      <c r="AD67" s="3" t="s">
        <v>168</v>
      </c>
    </row>
    <row r="68" spans="1:30" ht="15.75" customHeight="1" x14ac:dyDescent="0.2">
      <c r="A68" s="7" t="str">
        <f t="shared" si="6"/>
        <v>CYJ581New Buy</v>
      </c>
      <c r="B68" s="7" t="str">
        <f t="shared" si="7"/>
        <v>iPadNew Buy</v>
      </c>
      <c r="C68">
        <v>407643</v>
      </c>
      <c r="D68" s="19" t="s">
        <v>172</v>
      </c>
      <c r="E68" s="20" t="s">
        <v>166</v>
      </c>
      <c r="F68" s="20" t="s">
        <v>173</v>
      </c>
      <c r="G68" t="s">
        <v>174</v>
      </c>
      <c r="H68" t="s">
        <v>167</v>
      </c>
      <c r="I68" t="s">
        <v>175</v>
      </c>
      <c r="J68" t="s">
        <v>246</v>
      </c>
      <c r="L68" t="s">
        <v>248</v>
      </c>
      <c r="M68" s="25">
        <v>180</v>
      </c>
      <c r="N68" s="4">
        <v>108</v>
      </c>
      <c r="O68" s="24">
        <v>1</v>
      </c>
      <c r="Q68" s="20">
        <v>4</v>
      </c>
      <c r="T68" s="20" t="s">
        <v>178</v>
      </c>
      <c r="U68" s="21" t="s">
        <v>66</v>
      </c>
      <c r="V68" s="4">
        <v>108</v>
      </c>
      <c r="Y68" s="6">
        <f t="shared" si="8"/>
        <v>180</v>
      </c>
      <c r="Z68" s="6">
        <f t="shared" si="9"/>
        <v>108</v>
      </c>
      <c r="AA68" s="6">
        <f t="shared" si="10"/>
        <v>108</v>
      </c>
      <c r="AB68" s="6">
        <f t="shared" si="11"/>
        <v>72</v>
      </c>
      <c r="AC68" t="s">
        <v>16</v>
      </c>
      <c r="AD68" s="3" t="s">
        <v>168</v>
      </c>
    </row>
    <row r="69" spans="1:30" ht="15.75" customHeight="1" x14ac:dyDescent="0.2">
      <c r="A69" s="7" t="str">
        <f t="shared" si="6"/>
        <v>CYJ581New Buy</v>
      </c>
      <c r="B69" s="7" t="str">
        <f t="shared" si="7"/>
        <v>iPadNew Buy</v>
      </c>
      <c r="C69">
        <v>407636</v>
      </c>
      <c r="D69" s="19" t="s">
        <v>172</v>
      </c>
      <c r="E69" s="20" t="s">
        <v>166</v>
      </c>
      <c r="F69" s="20" t="s">
        <v>173</v>
      </c>
      <c r="G69" t="s">
        <v>174</v>
      </c>
      <c r="H69" t="s">
        <v>167</v>
      </c>
      <c r="I69" t="s">
        <v>175</v>
      </c>
      <c r="J69" t="s">
        <v>249</v>
      </c>
      <c r="L69" t="s">
        <v>250</v>
      </c>
      <c r="M69" s="25">
        <v>180</v>
      </c>
      <c r="N69" s="4">
        <v>108</v>
      </c>
      <c r="O69" s="24">
        <v>2</v>
      </c>
      <c r="Q69" s="20">
        <v>4</v>
      </c>
      <c r="T69" s="20" t="s">
        <v>178</v>
      </c>
      <c r="U69" s="21" t="s">
        <v>104</v>
      </c>
      <c r="V69" s="4">
        <v>108</v>
      </c>
      <c r="Y69" s="6">
        <f t="shared" si="8"/>
        <v>360</v>
      </c>
      <c r="Z69" s="6">
        <f t="shared" si="9"/>
        <v>216</v>
      </c>
      <c r="AA69" s="6">
        <f t="shared" si="10"/>
        <v>216</v>
      </c>
      <c r="AB69" s="6">
        <f t="shared" si="11"/>
        <v>144</v>
      </c>
      <c r="AC69" t="s">
        <v>16</v>
      </c>
      <c r="AD69" s="3" t="s">
        <v>168</v>
      </c>
    </row>
    <row r="70" spans="1:30" ht="15.75" customHeight="1" x14ac:dyDescent="0.2">
      <c r="A70" s="7" t="str">
        <f t="shared" si="6"/>
        <v>CYJ581New Buy</v>
      </c>
      <c r="B70" s="7" t="str">
        <f t="shared" si="7"/>
        <v>iPadNew Buy</v>
      </c>
      <c r="C70">
        <v>407635</v>
      </c>
      <c r="D70" s="19" t="s">
        <v>172</v>
      </c>
      <c r="E70" s="20" t="s">
        <v>166</v>
      </c>
      <c r="F70" s="20" t="s">
        <v>173</v>
      </c>
      <c r="G70" t="s">
        <v>174</v>
      </c>
      <c r="H70" t="s">
        <v>167</v>
      </c>
      <c r="I70" t="s">
        <v>175</v>
      </c>
      <c r="J70" t="s">
        <v>249</v>
      </c>
      <c r="L70" t="s">
        <v>250</v>
      </c>
      <c r="M70" s="25">
        <v>270</v>
      </c>
      <c r="N70" s="4">
        <v>108</v>
      </c>
      <c r="O70" s="24">
        <v>1</v>
      </c>
      <c r="Q70" s="20">
        <v>4</v>
      </c>
      <c r="T70" s="20" t="s">
        <v>178</v>
      </c>
      <c r="U70" s="21" t="s">
        <v>116</v>
      </c>
      <c r="V70" s="4">
        <v>108</v>
      </c>
      <c r="Y70" s="6">
        <f t="shared" si="8"/>
        <v>270</v>
      </c>
      <c r="Z70" s="6">
        <f t="shared" si="9"/>
        <v>108</v>
      </c>
      <c r="AA70" s="6">
        <f t="shared" si="10"/>
        <v>108</v>
      </c>
      <c r="AB70" s="6">
        <f t="shared" si="11"/>
        <v>162</v>
      </c>
      <c r="AC70" t="s">
        <v>33</v>
      </c>
      <c r="AD70" s="3" t="s">
        <v>168</v>
      </c>
    </row>
    <row r="71" spans="1:30" ht="15.75" customHeight="1" x14ac:dyDescent="0.2">
      <c r="A71" s="7" t="str">
        <f t="shared" si="6"/>
        <v>CYJ581New Buy</v>
      </c>
      <c r="B71" s="7" t="str">
        <f t="shared" si="7"/>
        <v>iPadNew Buy</v>
      </c>
      <c r="C71">
        <v>407634</v>
      </c>
      <c r="D71" s="19" t="s">
        <v>172</v>
      </c>
      <c r="E71" s="20" t="s">
        <v>166</v>
      </c>
      <c r="F71" s="20" t="s">
        <v>173</v>
      </c>
      <c r="G71" t="s">
        <v>174</v>
      </c>
      <c r="H71" t="s">
        <v>167</v>
      </c>
      <c r="I71" t="s">
        <v>175</v>
      </c>
      <c r="J71" t="s">
        <v>249</v>
      </c>
      <c r="L71" t="s">
        <v>250</v>
      </c>
      <c r="M71" s="25">
        <v>180</v>
      </c>
      <c r="N71" s="4">
        <v>108</v>
      </c>
      <c r="O71" s="24">
        <v>1</v>
      </c>
      <c r="Q71" s="20">
        <v>4</v>
      </c>
      <c r="T71" s="20" t="s">
        <v>178</v>
      </c>
      <c r="U71" s="21" t="s">
        <v>66</v>
      </c>
      <c r="V71" s="4">
        <v>108</v>
      </c>
      <c r="Y71" s="6">
        <f t="shared" si="8"/>
        <v>180</v>
      </c>
      <c r="Z71" s="6">
        <f t="shared" si="9"/>
        <v>108</v>
      </c>
      <c r="AA71" s="6">
        <f t="shared" si="10"/>
        <v>108</v>
      </c>
      <c r="AB71" s="6">
        <f t="shared" si="11"/>
        <v>72</v>
      </c>
      <c r="AC71" t="s">
        <v>16</v>
      </c>
      <c r="AD71" s="3" t="s">
        <v>168</v>
      </c>
    </row>
    <row r="72" spans="1:30" ht="15.75" customHeight="1" x14ac:dyDescent="0.2">
      <c r="A72" s="7" t="str">
        <f t="shared" ref="A72:A135" si="13">CONCATENATE(D72,G72,H72,K72)</f>
        <v>CYJ581New Buy</v>
      </c>
      <c r="B72" s="7" t="str">
        <f t="shared" ref="B72:B135" si="14">_xlfn.CONCAT(F72,K72,"New Buy")</f>
        <v>iPadNew Buy</v>
      </c>
      <c r="C72">
        <v>407486</v>
      </c>
      <c r="D72" s="19" t="s">
        <v>172</v>
      </c>
      <c r="E72" s="20" t="s">
        <v>166</v>
      </c>
      <c r="F72" s="20" t="s">
        <v>173</v>
      </c>
      <c r="G72" t="s">
        <v>174</v>
      </c>
      <c r="H72" t="s">
        <v>167</v>
      </c>
      <c r="I72" t="s">
        <v>175</v>
      </c>
      <c r="J72" t="s">
        <v>251</v>
      </c>
      <c r="L72" t="s">
        <v>252</v>
      </c>
      <c r="M72" s="25">
        <v>180</v>
      </c>
      <c r="N72" s="4">
        <v>108</v>
      </c>
      <c r="O72" s="24">
        <v>3</v>
      </c>
      <c r="Q72" s="20">
        <v>4</v>
      </c>
      <c r="T72" s="20" t="s">
        <v>178</v>
      </c>
      <c r="U72" s="21" t="s">
        <v>104</v>
      </c>
      <c r="V72" s="4">
        <v>108</v>
      </c>
      <c r="Y72" s="6">
        <f t="shared" ref="Y72:Y135" si="15">IFERROR(O72*M72,0)</f>
        <v>540</v>
      </c>
      <c r="Z72" s="6">
        <f t="shared" ref="Z72:Z135" si="16">IFERROR(O72*V72,0)</f>
        <v>324</v>
      </c>
      <c r="AA72" s="6">
        <f t="shared" ref="AA72:AA135" si="17">IFERROR(N72*O72,0)</f>
        <v>324</v>
      </c>
      <c r="AB72" s="6">
        <f t="shared" ref="AB72:AB135" si="18">IF(AA72=0,0,Y72-AA72)</f>
        <v>216</v>
      </c>
      <c r="AC72" t="s">
        <v>16</v>
      </c>
      <c r="AD72" s="3" t="s">
        <v>168</v>
      </c>
    </row>
    <row r="73" spans="1:30" ht="15.75" customHeight="1" x14ac:dyDescent="0.2">
      <c r="A73" s="7" t="str">
        <f t="shared" si="13"/>
        <v>CYJ581New Buy</v>
      </c>
      <c r="B73" s="7" t="str">
        <f t="shared" si="14"/>
        <v>iPadNew Buy</v>
      </c>
      <c r="C73">
        <v>407485</v>
      </c>
      <c r="D73" s="19" t="s">
        <v>172</v>
      </c>
      <c r="E73" s="20" t="s">
        <v>166</v>
      </c>
      <c r="F73" s="20" t="s">
        <v>173</v>
      </c>
      <c r="G73" t="s">
        <v>174</v>
      </c>
      <c r="H73" t="s">
        <v>167</v>
      </c>
      <c r="I73" t="s">
        <v>175</v>
      </c>
      <c r="J73" t="s">
        <v>251</v>
      </c>
      <c r="L73" t="s">
        <v>252</v>
      </c>
      <c r="M73" s="25">
        <v>270</v>
      </c>
      <c r="N73" s="4">
        <v>108</v>
      </c>
      <c r="O73" s="24">
        <v>2</v>
      </c>
      <c r="Q73" s="20">
        <v>4</v>
      </c>
      <c r="T73" s="20" t="s">
        <v>178</v>
      </c>
      <c r="U73" s="21" t="s">
        <v>116</v>
      </c>
      <c r="V73" s="4">
        <v>108</v>
      </c>
      <c r="Y73" s="6">
        <f t="shared" si="15"/>
        <v>540</v>
      </c>
      <c r="Z73" s="6">
        <f t="shared" si="16"/>
        <v>216</v>
      </c>
      <c r="AA73" s="6">
        <f t="shared" si="17"/>
        <v>216</v>
      </c>
      <c r="AB73" s="6">
        <f t="shared" si="18"/>
        <v>324</v>
      </c>
      <c r="AC73" t="s">
        <v>33</v>
      </c>
      <c r="AD73" s="3" t="s">
        <v>168</v>
      </c>
    </row>
    <row r="74" spans="1:30" ht="15.75" customHeight="1" x14ac:dyDescent="0.2">
      <c r="A74" s="7" t="str">
        <f t="shared" si="13"/>
        <v>CYJ581New Buy</v>
      </c>
      <c r="B74" s="7" t="str">
        <f t="shared" si="14"/>
        <v>iPadNew Buy</v>
      </c>
      <c r="C74">
        <v>407484</v>
      </c>
      <c r="D74" s="19" t="s">
        <v>172</v>
      </c>
      <c r="E74" s="20" t="s">
        <v>166</v>
      </c>
      <c r="F74" s="20" t="s">
        <v>173</v>
      </c>
      <c r="G74" t="s">
        <v>174</v>
      </c>
      <c r="H74" t="s">
        <v>167</v>
      </c>
      <c r="I74" t="s">
        <v>175</v>
      </c>
      <c r="J74" t="s">
        <v>251</v>
      </c>
      <c r="L74" t="s">
        <v>252</v>
      </c>
      <c r="M74" s="25">
        <v>180</v>
      </c>
      <c r="N74" s="4">
        <v>108</v>
      </c>
      <c r="O74" s="24">
        <v>1</v>
      </c>
      <c r="Q74" s="20">
        <v>4</v>
      </c>
      <c r="T74" s="20" t="s">
        <v>178</v>
      </c>
      <c r="U74" s="21" t="s">
        <v>66</v>
      </c>
      <c r="V74" s="4">
        <v>108</v>
      </c>
      <c r="Y74" s="6">
        <f t="shared" si="15"/>
        <v>180</v>
      </c>
      <c r="Z74" s="6">
        <f t="shared" si="16"/>
        <v>108</v>
      </c>
      <c r="AA74" s="6">
        <f t="shared" si="17"/>
        <v>108</v>
      </c>
      <c r="AB74" s="6">
        <f t="shared" si="18"/>
        <v>72</v>
      </c>
      <c r="AC74" t="s">
        <v>16</v>
      </c>
      <c r="AD74" s="3" t="s">
        <v>168</v>
      </c>
    </row>
    <row r="75" spans="1:30" ht="15.75" customHeight="1" x14ac:dyDescent="0.2">
      <c r="A75" s="7" t="str">
        <f t="shared" si="13"/>
        <v>CYJ581New Buy</v>
      </c>
      <c r="B75" s="7" t="str">
        <f t="shared" si="14"/>
        <v>iPadNew Buy</v>
      </c>
      <c r="C75">
        <v>407483</v>
      </c>
      <c r="D75" s="19" t="s">
        <v>172</v>
      </c>
      <c r="E75" s="20" t="s">
        <v>166</v>
      </c>
      <c r="F75" s="20" t="s">
        <v>173</v>
      </c>
      <c r="G75" t="s">
        <v>174</v>
      </c>
      <c r="H75" t="s">
        <v>167</v>
      </c>
      <c r="I75" t="s">
        <v>175</v>
      </c>
      <c r="J75" t="s">
        <v>253</v>
      </c>
      <c r="L75" t="s">
        <v>254</v>
      </c>
      <c r="M75" s="25">
        <v>180</v>
      </c>
      <c r="N75" s="4">
        <v>108</v>
      </c>
      <c r="O75" s="24">
        <v>2</v>
      </c>
      <c r="Q75" s="20">
        <v>4</v>
      </c>
      <c r="T75" s="20" t="s">
        <v>178</v>
      </c>
      <c r="U75" s="21" t="s">
        <v>104</v>
      </c>
      <c r="V75" s="4">
        <v>108</v>
      </c>
      <c r="Y75" s="6">
        <f t="shared" si="15"/>
        <v>360</v>
      </c>
      <c r="Z75" s="6">
        <f t="shared" si="16"/>
        <v>216</v>
      </c>
      <c r="AA75" s="6">
        <f t="shared" si="17"/>
        <v>216</v>
      </c>
      <c r="AB75" s="6">
        <f t="shared" si="18"/>
        <v>144</v>
      </c>
      <c r="AC75" t="s">
        <v>16</v>
      </c>
      <c r="AD75" s="3" t="s">
        <v>168</v>
      </c>
    </row>
    <row r="76" spans="1:30" ht="15.75" customHeight="1" x14ac:dyDescent="0.2">
      <c r="A76" s="7" t="str">
        <f t="shared" si="13"/>
        <v>CYJ581New Buy</v>
      </c>
      <c r="B76" s="7" t="str">
        <f t="shared" si="14"/>
        <v>iPadNew Buy</v>
      </c>
      <c r="C76">
        <v>407482</v>
      </c>
      <c r="D76" s="19" t="s">
        <v>172</v>
      </c>
      <c r="E76" s="20" t="s">
        <v>166</v>
      </c>
      <c r="F76" s="20" t="s">
        <v>173</v>
      </c>
      <c r="G76" t="s">
        <v>174</v>
      </c>
      <c r="H76" t="s">
        <v>167</v>
      </c>
      <c r="I76" t="s">
        <v>175</v>
      </c>
      <c r="J76" t="s">
        <v>253</v>
      </c>
      <c r="L76" t="s">
        <v>254</v>
      </c>
      <c r="M76" s="25">
        <v>270</v>
      </c>
      <c r="N76" s="4">
        <v>108</v>
      </c>
      <c r="O76" s="24">
        <v>2</v>
      </c>
      <c r="Q76" s="20">
        <v>4</v>
      </c>
      <c r="T76" s="20" t="s">
        <v>178</v>
      </c>
      <c r="U76" s="21" t="s">
        <v>116</v>
      </c>
      <c r="V76" s="4">
        <v>108</v>
      </c>
      <c r="Y76" s="6">
        <f t="shared" si="15"/>
        <v>540</v>
      </c>
      <c r="Z76" s="6">
        <f t="shared" si="16"/>
        <v>216</v>
      </c>
      <c r="AA76" s="6">
        <f t="shared" si="17"/>
        <v>216</v>
      </c>
      <c r="AB76" s="6">
        <f t="shared" si="18"/>
        <v>324</v>
      </c>
      <c r="AC76" t="s">
        <v>33</v>
      </c>
      <c r="AD76" s="3" t="s">
        <v>168</v>
      </c>
    </row>
    <row r="77" spans="1:30" ht="15.75" customHeight="1" x14ac:dyDescent="0.2">
      <c r="A77" s="7" t="str">
        <f t="shared" si="13"/>
        <v>CYJ581New Buy</v>
      </c>
      <c r="B77" s="7" t="str">
        <f t="shared" si="14"/>
        <v>iPadNew Buy</v>
      </c>
      <c r="C77">
        <v>407481</v>
      </c>
      <c r="D77" s="19" t="s">
        <v>172</v>
      </c>
      <c r="E77" s="20" t="s">
        <v>166</v>
      </c>
      <c r="F77" s="20" t="s">
        <v>173</v>
      </c>
      <c r="G77" t="s">
        <v>174</v>
      </c>
      <c r="H77" t="s">
        <v>167</v>
      </c>
      <c r="I77" t="s">
        <v>175</v>
      </c>
      <c r="J77" t="s">
        <v>253</v>
      </c>
      <c r="L77" t="s">
        <v>254</v>
      </c>
      <c r="M77" s="25">
        <v>180</v>
      </c>
      <c r="N77" s="4">
        <v>108</v>
      </c>
      <c r="O77" s="24">
        <v>1</v>
      </c>
      <c r="Q77" s="20">
        <v>4</v>
      </c>
      <c r="T77" s="20" t="s">
        <v>178</v>
      </c>
      <c r="U77" s="21" t="s">
        <v>66</v>
      </c>
      <c r="V77" s="4">
        <v>108</v>
      </c>
      <c r="Y77" s="6">
        <f t="shared" si="15"/>
        <v>180</v>
      </c>
      <c r="Z77" s="6">
        <f t="shared" si="16"/>
        <v>108</v>
      </c>
      <c r="AA77" s="6">
        <f t="shared" si="17"/>
        <v>108</v>
      </c>
      <c r="AB77" s="6">
        <f t="shared" si="18"/>
        <v>72</v>
      </c>
      <c r="AC77" t="s">
        <v>16</v>
      </c>
      <c r="AD77" s="3" t="s">
        <v>168</v>
      </c>
    </row>
    <row r="78" spans="1:30" ht="15.75" customHeight="1" x14ac:dyDescent="0.2">
      <c r="A78" s="7" t="str">
        <f t="shared" si="13"/>
        <v>CYJ581New Buy</v>
      </c>
      <c r="B78" s="7" t="str">
        <f t="shared" si="14"/>
        <v>iPadNew Buy</v>
      </c>
      <c r="C78">
        <v>407477</v>
      </c>
      <c r="D78" s="19" t="s">
        <v>172</v>
      </c>
      <c r="E78" s="20" t="s">
        <v>166</v>
      </c>
      <c r="F78" s="20" t="s">
        <v>173</v>
      </c>
      <c r="G78" t="s">
        <v>174</v>
      </c>
      <c r="H78" t="s">
        <v>167</v>
      </c>
      <c r="I78" t="s">
        <v>175</v>
      </c>
      <c r="J78" t="s">
        <v>255</v>
      </c>
      <c r="L78" t="s">
        <v>256</v>
      </c>
      <c r="M78" s="25">
        <v>180</v>
      </c>
      <c r="N78" s="4">
        <v>108</v>
      </c>
      <c r="O78" s="24">
        <v>1</v>
      </c>
      <c r="Q78" s="20">
        <v>4</v>
      </c>
      <c r="T78" s="20" t="s">
        <v>178</v>
      </c>
      <c r="U78" s="21" t="s">
        <v>104</v>
      </c>
      <c r="V78" s="4">
        <v>108</v>
      </c>
      <c r="Y78" s="6">
        <f t="shared" si="15"/>
        <v>180</v>
      </c>
      <c r="Z78" s="6">
        <f t="shared" si="16"/>
        <v>108</v>
      </c>
      <c r="AA78" s="6">
        <f t="shared" si="17"/>
        <v>108</v>
      </c>
      <c r="AB78" s="6">
        <f t="shared" si="18"/>
        <v>72</v>
      </c>
      <c r="AC78" t="s">
        <v>16</v>
      </c>
      <c r="AD78" s="3" t="s">
        <v>168</v>
      </c>
    </row>
    <row r="79" spans="1:30" ht="15.75" customHeight="1" x14ac:dyDescent="0.2">
      <c r="A79" s="7" t="str">
        <f t="shared" si="13"/>
        <v>CYJ581New Buy</v>
      </c>
      <c r="B79" s="7" t="str">
        <f t="shared" si="14"/>
        <v>iPadNew Buy</v>
      </c>
      <c r="C79">
        <v>407476</v>
      </c>
      <c r="D79" s="19" t="s">
        <v>172</v>
      </c>
      <c r="E79" s="20" t="s">
        <v>166</v>
      </c>
      <c r="F79" s="20" t="s">
        <v>173</v>
      </c>
      <c r="G79" t="s">
        <v>174</v>
      </c>
      <c r="H79" t="s">
        <v>167</v>
      </c>
      <c r="I79" t="s">
        <v>175</v>
      </c>
      <c r="J79" t="s">
        <v>255</v>
      </c>
      <c r="L79" t="s">
        <v>256</v>
      </c>
      <c r="M79" s="25">
        <v>270</v>
      </c>
      <c r="N79" s="4">
        <v>108</v>
      </c>
      <c r="O79" s="24">
        <v>1</v>
      </c>
      <c r="Q79" s="20">
        <v>4</v>
      </c>
      <c r="T79" s="20" t="s">
        <v>178</v>
      </c>
      <c r="U79" s="21" t="s">
        <v>116</v>
      </c>
      <c r="V79" s="4">
        <v>108</v>
      </c>
      <c r="Y79" s="6">
        <f t="shared" si="15"/>
        <v>270</v>
      </c>
      <c r="Z79" s="6">
        <f t="shared" si="16"/>
        <v>108</v>
      </c>
      <c r="AA79" s="6">
        <f t="shared" si="17"/>
        <v>108</v>
      </c>
      <c r="AB79" s="6">
        <f t="shared" si="18"/>
        <v>162</v>
      </c>
      <c r="AC79" t="s">
        <v>33</v>
      </c>
      <c r="AD79" s="3" t="s">
        <v>168</v>
      </c>
    </row>
    <row r="80" spans="1:30" ht="15.75" customHeight="1" x14ac:dyDescent="0.2">
      <c r="A80" s="7" t="str">
        <f t="shared" si="13"/>
        <v>CYJ581New Buy</v>
      </c>
      <c r="B80" s="7" t="str">
        <f t="shared" si="14"/>
        <v>iPadNew Buy</v>
      </c>
      <c r="C80">
        <v>407475</v>
      </c>
      <c r="D80" s="19" t="s">
        <v>172</v>
      </c>
      <c r="E80" s="20" t="s">
        <v>166</v>
      </c>
      <c r="F80" s="20" t="s">
        <v>173</v>
      </c>
      <c r="G80" t="s">
        <v>174</v>
      </c>
      <c r="H80" t="s">
        <v>167</v>
      </c>
      <c r="I80" t="s">
        <v>175</v>
      </c>
      <c r="J80" t="s">
        <v>255</v>
      </c>
      <c r="L80" t="s">
        <v>256</v>
      </c>
      <c r="M80" s="25">
        <v>180</v>
      </c>
      <c r="N80" s="4">
        <v>108</v>
      </c>
      <c r="O80" s="24">
        <v>1</v>
      </c>
      <c r="Q80" s="20">
        <v>4</v>
      </c>
      <c r="T80" s="20" t="s">
        <v>178</v>
      </c>
      <c r="U80" s="21" t="s">
        <v>66</v>
      </c>
      <c r="V80" s="4">
        <v>108</v>
      </c>
      <c r="Y80" s="6">
        <f t="shared" si="15"/>
        <v>180</v>
      </c>
      <c r="Z80" s="6">
        <f t="shared" si="16"/>
        <v>108</v>
      </c>
      <c r="AA80" s="6">
        <f t="shared" si="17"/>
        <v>108</v>
      </c>
      <c r="AB80" s="6">
        <f t="shared" si="18"/>
        <v>72</v>
      </c>
      <c r="AC80" t="s">
        <v>16</v>
      </c>
      <c r="AD80" s="3" t="s">
        <v>168</v>
      </c>
    </row>
    <row r="81" spans="1:30" ht="15.75" customHeight="1" x14ac:dyDescent="0.2">
      <c r="A81" s="7" t="str">
        <f t="shared" si="13"/>
        <v>CYJ581New Buy</v>
      </c>
      <c r="B81" s="7" t="str">
        <f t="shared" si="14"/>
        <v>iPadNew Buy</v>
      </c>
      <c r="C81">
        <v>407474</v>
      </c>
      <c r="D81" s="19" t="s">
        <v>172</v>
      </c>
      <c r="E81" s="20" t="s">
        <v>166</v>
      </c>
      <c r="F81" s="20" t="s">
        <v>173</v>
      </c>
      <c r="G81" t="s">
        <v>174</v>
      </c>
      <c r="H81" t="s">
        <v>167</v>
      </c>
      <c r="I81" t="s">
        <v>175</v>
      </c>
      <c r="J81" t="s">
        <v>257</v>
      </c>
      <c r="L81" t="s">
        <v>258</v>
      </c>
      <c r="M81" s="25">
        <v>180</v>
      </c>
      <c r="N81" s="4">
        <v>108</v>
      </c>
      <c r="O81" s="24">
        <v>1</v>
      </c>
      <c r="Q81" s="20">
        <v>4</v>
      </c>
      <c r="T81" s="20" t="s">
        <v>178</v>
      </c>
      <c r="U81" s="21" t="s">
        <v>104</v>
      </c>
      <c r="V81" s="4">
        <v>108</v>
      </c>
      <c r="Y81" s="6">
        <f t="shared" si="15"/>
        <v>180</v>
      </c>
      <c r="Z81" s="6">
        <f t="shared" si="16"/>
        <v>108</v>
      </c>
      <c r="AA81" s="6">
        <f t="shared" si="17"/>
        <v>108</v>
      </c>
      <c r="AB81" s="6">
        <f t="shared" si="18"/>
        <v>72</v>
      </c>
      <c r="AC81" t="s">
        <v>16</v>
      </c>
      <c r="AD81" s="3" t="s">
        <v>168</v>
      </c>
    </row>
    <row r="82" spans="1:30" ht="15.75" customHeight="1" x14ac:dyDescent="0.2">
      <c r="A82" s="7" t="str">
        <f t="shared" si="13"/>
        <v>CYJ581New Buy</v>
      </c>
      <c r="B82" s="7" t="str">
        <f t="shared" si="14"/>
        <v>iPadNew Buy</v>
      </c>
      <c r="C82">
        <v>407473</v>
      </c>
      <c r="D82" s="19" t="s">
        <v>172</v>
      </c>
      <c r="E82" s="20" t="s">
        <v>166</v>
      </c>
      <c r="F82" s="20" t="s">
        <v>173</v>
      </c>
      <c r="G82" t="s">
        <v>174</v>
      </c>
      <c r="H82" t="s">
        <v>167</v>
      </c>
      <c r="I82" t="s">
        <v>175</v>
      </c>
      <c r="J82" t="s">
        <v>257</v>
      </c>
      <c r="L82" t="s">
        <v>258</v>
      </c>
      <c r="M82" s="25">
        <v>270</v>
      </c>
      <c r="N82" s="4">
        <v>108</v>
      </c>
      <c r="O82" s="24">
        <v>1</v>
      </c>
      <c r="Q82" s="20">
        <v>4</v>
      </c>
      <c r="T82" s="20" t="s">
        <v>178</v>
      </c>
      <c r="U82" s="21" t="s">
        <v>116</v>
      </c>
      <c r="V82" s="4">
        <v>108</v>
      </c>
      <c r="Y82" s="6">
        <f t="shared" si="15"/>
        <v>270</v>
      </c>
      <c r="Z82" s="6">
        <f t="shared" si="16"/>
        <v>108</v>
      </c>
      <c r="AA82" s="6">
        <f t="shared" si="17"/>
        <v>108</v>
      </c>
      <c r="AB82" s="6">
        <f t="shared" si="18"/>
        <v>162</v>
      </c>
      <c r="AC82" t="s">
        <v>33</v>
      </c>
      <c r="AD82" s="3" t="s">
        <v>168</v>
      </c>
    </row>
    <row r="83" spans="1:30" ht="15.75" customHeight="1" x14ac:dyDescent="0.2">
      <c r="A83" s="7" t="str">
        <f t="shared" si="13"/>
        <v>CYJ581New Buy</v>
      </c>
      <c r="B83" s="7" t="str">
        <f t="shared" si="14"/>
        <v>iPadNew Buy</v>
      </c>
      <c r="C83">
        <v>407472</v>
      </c>
      <c r="D83" s="19" t="s">
        <v>172</v>
      </c>
      <c r="E83" s="20" t="s">
        <v>166</v>
      </c>
      <c r="F83" s="20" t="s">
        <v>173</v>
      </c>
      <c r="G83" t="s">
        <v>174</v>
      </c>
      <c r="H83" t="s">
        <v>167</v>
      </c>
      <c r="I83" t="s">
        <v>175</v>
      </c>
      <c r="J83" t="s">
        <v>257</v>
      </c>
      <c r="L83" t="s">
        <v>258</v>
      </c>
      <c r="M83" s="25">
        <v>180</v>
      </c>
      <c r="N83" s="4">
        <v>108</v>
      </c>
      <c r="O83" s="24">
        <v>1</v>
      </c>
      <c r="Q83" s="20">
        <v>4</v>
      </c>
      <c r="T83" s="20" t="s">
        <v>178</v>
      </c>
      <c r="U83" s="21" t="s">
        <v>66</v>
      </c>
      <c r="V83" s="4">
        <v>108</v>
      </c>
      <c r="Y83" s="6">
        <f t="shared" si="15"/>
        <v>180</v>
      </c>
      <c r="Z83" s="6">
        <f t="shared" si="16"/>
        <v>108</v>
      </c>
      <c r="AA83" s="6">
        <f t="shared" si="17"/>
        <v>108</v>
      </c>
      <c r="AB83" s="6">
        <f t="shared" si="18"/>
        <v>72</v>
      </c>
      <c r="AC83" t="s">
        <v>16</v>
      </c>
      <c r="AD83" s="3" t="s">
        <v>168</v>
      </c>
    </row>
    <row r="84" spans="1:30" ht="15.75" customHeight="1" x14ac:dyDescent="0.2">
      <c r="A84" s="7" t="str">
        <f t="shared" si="13"/>
        <v>CYJ581New Buy</v>
      </c>
      <c r="B84" s="7" t="str">
        <f t="shared" si="14"/>
        <v>iPadNew Buy</v>
      </c>
      <c r="C84">
        <v>407468</v>
      </c>
      <c r="D84" s="19" t="s">
        <v>172</v>
      </c>
      <c r="E84" s="20" t="s">
        <v>166</v>
      </c>
      <c r="F84" s="20" t="s">
        <v>173</v>
      </c>
      <c r="G84" t="s">
        <v>174</v>
      </c>
      <c r="H84" t="s">
        <v>167</v>
      </c>
      <c r="I84" t="s">
        <v>175</v>
      </c>
      <c r="J84" t="s">
        <v>259</v>
      </c>
      <c r="L84" t="s">
        <v>260</v>
      </c>
      <c r="M84" s="25">
        <v>180</v>
      </c>
      <c r="N84" s="4">
        <v>108</v>
      </c>
      <c r="O84" s="24">
        <v>3</v>
      </c>
      <c r="Q84" s="20">
        <v>4</v>
      </c>
      <c r="T84" s="20" t="s">
        <v>178</v>
      </c>
      <c r="U84" s="21" t="s">
        <v>104</v>
      </c>
      <c r="V84" s="4">
        <v>108</v>
      </c>
      <c r="Y84" s="6">
        <f t="shared" si="15"/>
        <v>540</v>
      </c>
      <c r="Z84" s="6">
        <f t="shared" si="16"/>
        <v>324</v>
      </c>
      <c r="AA84" s="6">
        <f t="shared" si="17"/>
        <v>324</v>
      </c>
      <c r="AB84" s="6">
        <f t="shared" si="18"/>
        <v>216</v>
      </c>
      <c r="AC84" t="s">
        <v>16</v>
      </c>
      <c r="AD84" s="3" t="s">
        <v>168</v>
      </c>
    </row>
    <row r="85" spans="1:30" ht="15.75" customHeight="1" x14ac:dyDescent="0.2">
      <c r="A85" s="7" t="str">
        <f t="shared" si="13"/>
        <v>CYJ581New Buy</v>
      </c>
      <c r="B85" s="7" t="str">
        <f t="shared" si="14"/>
        <v>iPadNew Buy</v>
      </c>
      <c r="C85">
        <v>407467</v>
      </c>
      <c r="D85" s="19" t="s">
        <v>172</v>
      </c>
      <c r="E85" s="20" t="s">
        <v>166</v>
      </c>
      <c r="F85" s="20" t="s">
        <v>173</v>
      </c>
      <c r="G85" t="s">
        <v>174</v>
      </c>
      <c r="H85" t="s">
        <v>167</v>
      </c>
      <c r="I85" t="s">
        <v>175</v>
      </c>
      <c r="J85" t="s">
        <v>259</v>
      </c>
      <c r="L85" t="s">
        <v>260</v>
      </c>
      <c r="M85" s="25">
        <v>270</v>
      </c>
      <c r="N85" s="4">
        <v>108</v>
      </c>
      <c r="O85" s="24">
        <v>1</v>
      </c>
      <c r="Q85" s="20">
        <v>4</v>
      </c>
      <c r="T85" s="20" t="s">
        <v>178</v>
      </c>
      <c r="U85" s="21" t="s">
        <v>116</v>
      </c>
      <c r="V85" s="4">
        <v>108</v>
      </c>
      <c r="Y85" s="6">
        <f t="shared" si="15"/>
        <v>270</v>
      </c>
      <c r="Z85" s="6">
        <f t="shared" si="16"/>
        <v>108</v>
      </c>
      <c r="AA85" s="6">
        <f t="shared" si="17"/>
        <v>108</v>
      </c>
      <c r="AB85" s="6">
        <f t="shared" si="18"/>
        <v>162</v>
      </c>
      <c r="AC85" t="s">
        <v>33</v>
      </c>
      <c r="AD85" s="3" t="s">
        <v>168</v>
      </c>
    </row>
    <row r="86" spans="1:30" ht="15.75" customHeight="1" x14ac:dyDescent="0.2">
      <c r="A86" s="7" t="str">
        <f t="shared" si="13"/>
        <v>CYJ581New Buy</v>
      </c>
      <c r="B86" s="7" t="str">
        <f t="shared" si="14"/>
        <v>iPadNew Buy</v>
      </c>
      <c r="C86">
        <v>407466</v>
      </c>
      <c r="D86" s="19" t="s">
        <v>172</v>
      </c>
      <c r="E86" s="20" t="s">
        <v>166</v>
      </c>
      <c r="F86" s="20" t="s">
        <v>173</v>
      </c>
      <c r="G86" t="s">
        <v>174</v>
      </c>
      <c r="H86" t="s">
        <v>167</v>
      </c>
      <c r="I86" t="s">
        <v>175</v>
      </c>
      <c r="J86" t="s">
        <v>259</v>
      </c>
      <c r="L86" t="s">
        <v>260</v>
      </c>
      <c r="M86" s="25">
        <v>180</v>
      </c>
      <c r="N86" s="4">
        <v>108</v>
      </c>
      <c r="O86" s="24">
        <v>1</v>
      </c>
      <c r="Q86" s="20">
        <v>4</v>
      </c>
      <c r="T86" s="20" t="s">
        <v>178</v>
      </c>
      <c r="U86" s="21" t="s">
        <v>66</v>
      </c>
      <c r="V86" s="4">
        <v>108</v>
      </c>
      <c r="Y86" s="6">
        <f t="shared" si="15"/>
        <v>180</v>
      </c>
      <c r="Z86" s="6">
        <f t="shared" si="16"/>
        <v>108</v>
      </c>
      <c r="AA86" s="6">
        <f t="shared" si="17"/>
        <v>108</v>
      </c>
      <c r="AB86" s="6">
        <f t="shared" si="18"/>
        <v>72</v>
      </c>
      <c r="AC86" t="s">
        <v>16</v>
      </c>
      <c r="AD86" s="3" t="s">
        <v>168</v>
      </c>
    </row>
    <row r="87" spans="1:30" ht="15.75" customHeight="1" x14ac:dyDescent="0.2">
      <c r="A87" s="7" t="str">
        <f t="shared" si="13"/>
        <v>CYJ581New Buy</v>
      </c>
      <c r="B87" s="7" t="str">
        <f t="shared" si="14"/>
        <v>iPadNew Buy</v>
      </c>
      <c r="C87">
        <v>407285</v>
      </c>
      <c r="D87" s="19" t="s">
        <v>172</v>
      </c>
      <c r="E87" s="20" t="s">
        <v>166</v>
      </c>
      <c r="F87" s="20" t="s">
        <v>173</v>
      </c>
      <c r="G87" t="s">
        <v>174</v>
      </c>
      <c r="H87" t="s">
        <v>167</v>
      </c>
      <c r="I87" t="s">
        <v>175</v>
      </c>
      <c r="J87" t="s">
        <v>261</v>
      </c>
      <c r="L87" t="s">
        <v>262</v>
      </c>
      <c r="M87" s="25">
        <v>100</v>
      </c>
      <c r="N87" s="4">
        <v>60</v>
      </c>
      <c r="O87" s="24">
        <v>4</v>
      </c>
      <c r="Q87" s="20">
        <v>4</v>
      </c>
      <c r="T87" s="20" t="s">
        <v>178</v>
      </c>
      <c r="U87" s="21" t="s">
        <v>66</v>
      </c>
      <c r="V87" s="4">
        <v>60</v>
      </c>
      <c r="Y87" s="6">
        <f t="shared" si="15"/>
        <v>400</v>
      </c>
      <c r="Z87" s="6">
        <f t="shared" si="16"/>
        <v>240</v>
      </c>
      <c r="AA87" s="6">
        <f t="shared" si="17"/>
        <v>240</v>
      </c>
      <c r="AB87" s="6">
        <f t="shared" si="18"/>
        <v>160</v>
      </c>
      <c r="AC87" t="s">
        <v>16</v>
      </c>
      <c r="AD87" s="3" t="s">
        <v>168</v>
      </c>
    </row>
    <row r="88" spans="1:30" ht="15.75" customHeight="1" x14ac:dyDescent="0.2">
      <c r="A88" s="7" t="str">
        <f t="shared" si="13"/>
        <v>CYJ581New Buy</v>
      </c>
      <c r="B88" s="7" t="str">
        <f t="shared" si="14"/>
        <v>iPadNew Buy</v>
      </c>
      <c r="C88">
        <v>407284</v>
      </c>
      <c r="D88" s="19" t="s">
        <v>172</v>
      </c>
      <c r="E88" s="20" t="s">
        <v>166</v>
      </c>
      <c r="F88" s="20" t="s">
        <v>173</v>
      </c>
      <c r="G88" t="s">
        <v>174</v>
      </c>
      <c r="H88" t="s">
        <v>167</v>
      </c>
      <c r="I88" t="s">
        <v>175</v>
      </c>
      <c r="J88" t="s">
        <v>261</v>
      </c>
      <c r="L88" t="s">
        <v>262</v>
      </c>
      <c r="M88" s="25">
        <v>150</v>
      </c>
      <c r="N88" s="4">
        <v>60</v>
      </c>
      <c r="O88" s="24">
        <v>2</v>
      </c>
      <c r="Q88" s="20">
        <v>4</v>
      </c>
      <c r="T88" s="20" t="s">
        <v>178</v>
      </c>
      <c r="U88" s="21" t="s">
        <v>116</v>
      </c>
      <c r="V88" s="4">
        <v>60</v>
      </c>
      <c r="Y88" s="6">
        <f t="shared" si="15"/>
        <v>300</v>
      </c>
      <c r="Z88" s="6">
        <f t="shared" si="16"/>
        <v>120</v>
      </c>
      <c r="AA88" s="6">
        <f t="shared" si="17"/>
        <v>120</v>
      </c>
      <c r="AB88" s="6">
        <f t="shared" si="18"/>
        <v>180</v>
      </c>
      <c r="AC88" t="s">
        <v>33</v>
      </c>
      <c r="AD88" s="3" t="s">
        <v>168</v>
      </c>
    </row>
    <row r="89" spans="1:30" ht="15.75" customHeight="1" x14ac:dyDescent="0.2">
      <c r="A89" s="7" t="str">
        <f t="shared" si="13"/>
        <v>CYJ581New Buy</v>
      </c>
      <c r="B89" s="7" t="str">
        <f t="shared" si="14"/>
        <v>iPadNew Buy</v>
      </c>
      <c r="C89">
        <v>407283</v>
      </c>
      <c r="D89" s="19" t="s">
        <v>172</v>
      </c>
      <c r="E89" s="20" t="s">
        <v>166</v>
      </c>
      <c r="F89" s="20" t="s">
        <v>173</v>
      </c>
      <c r="G89" t="s">
        <v>174</v>
      </c>
      <c r="H89" t="s">
        <v>167</v>
      </c>
      <c r="I89" t="s">
        <v>175</v>
      </c>
      <c r="J89" t="s">
        <v>263</v>
      </c>
      <c r="L89" t="s">
        <v>264</v>
      </c>
      <c r="M89" s="25">
        <v>150</v>
      </c>
      <c r="N89" s="4">
        <v>60</v>
      </c>
      <c r="O89" s="24">
        <v>2</v>
      </c>
      <c r="Q89" s="20">
        <v>4</v>
      </c>
      <c r="T89" s="20" t="s">
        <v>178</v>
      </c>
      <c r="U89" s="21" t="s">
        <v>116</v>
      </c>
      <c r="V89" s="4">
        <v>60</v>
      </c>
      <c r="Y89" s="6">
        <f t="shared" si="15"/>
        <v>300</v>
      </c>
      <c r="Z89" s="6">
        <f t="shared" si="16"/>
        <v>120</v>
      </c>
      <c r="AA89" s="6">
        <f t="shared" si="17"/>
        <v>120</v>
      </c>
      <c r="AB89" s="6">
        <f t="shared" si="18"/>
        <v>180</v>
      </c>
      <c r="AC89" t="s">
        <v>33</v>
      </c>
      <c r="AD89" s="3" t="s">
        <v>168</v>
      </c>
    </row>
    <row r="90" spans="1:30" ht="15.75" customHeight="1" x14ac:dyDescent="0.2">
      <c r="A90" s="7" t="str">
        <f t="shared" si="13"/>
        <v>CYJ581New Buy</v>
      </c>
      <c r="B90" s="7" t="str">
        <f t="shared" si="14"/>
        <v>iPadNew Buy</v>
      </c>
      <c r="C90">
        <v>407282</v>
      </c>
      <c r="D90" s="19" t="s">
        <v>172</v>
      </c>
      <c r="E90" s="20" t="s">
        <v>166</v>
      </c>
      <c r="F90" s="20" t="s">
        <v>173</v>
      </c>
      <c r="G90" t="s">
        <v>174</v>
      </c>
      <c r="H90" t="s">
        <v>167</v>
      </c>
      <c r="I90" t="s">
        <v>175</v>
      </c>
      <c r="J90" t="s">
        <v>263</v>
      </c>
      <c r="L90" t="s">
        <v>264</v>
      </c>
      <c r="M90" s="25">
        <v>100</v>
      </c>
      <c r="N90" s="4">
        <v>60</v>
      </c>
      <c r="O90" s="24">
        <v>8</v>
      </c>
      <c r="Q90" s="20">
        <v>4</v>
      </c>
      <c r="T90" s="20" t="s">
        <v>178</v>
      </c>
      <c r="U90" s="21" t="s">
        <v>66</v>
      </c>
      <c r="V90" s="4">
        <v>60</v>
      </c>
      <c r="Y90" s="6">
        <f t="shared" si="15"/>
        <v>800</v>
      </c>
      <c r="Z90" s="6">
        <f t="shared" si="16"/>
        <v>480</v>
      </c>
      <c r="AA90" s="6">
        <f t="shared" si="17"/>
        <v>480</v>
      </c>
      <c r="AB90" s="6">
        <f t="shared" si="18"/>
        <v>320</v>
      </c>
      <c r="AC90" t="s">
        <v>16</v>
      </c>
      <c r="AD90" s="3" t="s">
        <v>168</v>
      </c>
    </row>
    <row r="91" spans="1:30" ht="15.75" customHeight="1" x14ac:dyDescent="0.2">
      <c r="A91" s="7" t="str">
        <f t="shared" si="13"/>
        <v>CYJ581New Buy</v>
      </c>
      <c r="B91" s="7" t="str">
        <f t="shared" si="14"/>
        <v>iPadNew Buy</v>
      </c>
      <c r="C91">
        <v>407281</v>
      </c>
      <c r="D91" s="19" t="s">
        <v>172</v>
      </c>
      <c r="E91" s="20" t="s">
        <v>166</v>
      </c>
      <c r="F91" s="20" t="s">
        <v>173</v>
      </c>
      <c r="G91" t="s">
        <v>174</v>
      </c>
      <c r="H91" t="s">
        <v>167</v>
      </c>
      <c r="I91" t="s">
        <v>175</v>
      </c>
      <c r="J91" t="s">
        <v>265</v>
      </c>
      <c r="L91" t="s">
        <v>266</v>
      </c>
      <c r="M91" s="25">
        <v>148</v>
      </c>
      <c r="N91" s="4">
        <v>88.8</v>
      </c>
      <c r="O91" s="24">
        <v>17</v>
      </c>
      <c r="Q91" s="20">
        <v>4</v>
      </c>
      <c r="T91" s="20" t="s">
        <v>178</v>
      </c>
      <c r="U91" s="21" t="s">
        <v>104</v>
      </c>
      <c r="V91" s="4">
        <v>88.8</v>
      </c>
      <c r="Y91" s="6">
        <f t="shared" si="15"/>
        <v>2516</v>
      </c>
      <c r="Z91" s="6">
        <f t="shared" si="16"/>
        <v>1509.6</v>
      </c>
      <c r="AA91" s="6">
        <f t="shared" si="17"/>
        <v>1509.6</v>
      </c>
      <c r="AB91" s="6">
        <f t="shared" si="18"/>
        <v>1006.4000000000001</v>
      </c>
      <c r="AC91" t="s">
        <v>16</v>
      </c>
      <c r="AD91" s="3" t="s">
        <v>168</v>
      </c>
    </row>
    <row r="92" spans="1:30" ht="15.75" customHeight="1" x14ac:dyDescent="0.2">
      <c r="A92" s="7" t="str">
        <f t="shared" si="13"/>
        <v>CYJ581New Buy</v>
      </c>
      <c r="B92" s="7" t="str">
        <f t="shared" si="14"/>
        <v>iPadNew Buy</v>
      </c>
      <c r="C92">
        <v>407280</v>
      </c>
      <c r="D92" s="19" t="s">
        <v>172</v>
      </c>
      <c r="E92" s="20" t="s">
        <v>166</v>
      </c>
      <c r="F92" s="20" t="s">
        <v>173</v>
      </c>
      <c r="G92" t="s">
        <v>174</v>
      </c>
      <c r="H92" t="s">
        <v>167</v>
      </c>
      <c r="I92" t="s">
        <v>175</v>
      </c>
      <c r="J92" t="s">
        <v>267</v>
      </c>
      <c r="L92" t="s">
        <v>268</v>
      </c>
      <c r="M92" s="25">
        <v>198</v>
      </c>
      <c r="N92" s="4">
        <v>118.8</v>
      </c>
      <c r="O92" s="24">
        <v>2</v>
      </c>
      <c r="Q92" s="20">
        <v>4</v>
      </c>
      <c r="T92" s="20" t="s">
        <v>178</v>
      </c>
      <c r="U92" s="21" t="s">
        <v>104</v>
      </c>
      <c r="V92" s="4">
        <v>118.8</v>
      </c>
      <c r="Y92" s="6">
        <f t="shared" si="15"/>
        <v>396</v>
      </c>
      <c r="Z92" s="6">
        <f t="shared" si="16"/>
        <v>237.6</v>
      </c>
      <c r="AA92" s="6">
        <f t="shared" si="17"/>
        <v>237.6</v>
      </c>
      <c r="AB92" s="6">
        <f t="shared" si="18"/>
        <v>158.4</v>
      </c>
      <c r="AC92" t="s">
        <v>16</v>
      </c>
      <c r="AD92" s="3" t="s">
        <v>168</v>
      </c>
    </row>
    <row r="93" spans="1:30" ht="15.75" customHeight="1" x14ac:dyDescent="0.2">
      <c r="A93" s="7" t="str">
        <f t="shared" si="13"/>
        <v>CYJ581New Buy</v>
      </c>
      <c r="B93" s="7" t="str">
        <f t="shared" si="14"/>
        <v>iPadNew Buy</v>
      </c>
      <c r="C93">
        <v>407279</v>
      </c>
      <c r="D93" s="19" t="s">
        <v>172</v>
      </c>
      <c r="E93" s="20" t="s">
        <v>166</v>
      </c>
      <c r="F93" s="20" t="s">
        <v>173</v>
      </c>
      <c r="G93" t="s">
        <v>174</v>
      </c>
      <c r="H93" t="s">
        <v>167</v>
      </c>
      <c r="I93" t="s">
        <v>175</v>
      </c>
      <c r="J93" t="s">
        <v>267</v>
      </c>
      <c r="L93" t="s">
        <v>268</v>
      </c>
      <c r="M93" s="25">
        <v>297</v>
      </c>
      <c r="N93" s="4">
        <v>118.8</v>
      </c>
      <c r="O93" s="24">
        <v>2</v>
      </c>
      <c r="Q93" s="20">
        <v>4</v>
      </c>
      <c r="T93" s="20" t="s">
        <v>178</v>
      </c>
      <c r="U93" s="21" t="s">
        <v>116</v>
      </c>
      <c r="V93" s="4">
        <v>118.8</v>
      </c>
      <c r="Y93" s="6">
        <f t="shared" si="15"/>
        <v>594</v>
      </c>
      <c r="Z93" s="6">
        <f t="shared" si="16"/>
        <v>237.6</v>
      </c>
      <c r="AA93" s="6">
        <f t="shared" si="17"/>
        <v>237.6</v>
      </c>
      <c r="AB93" s="6">
        <f t="shared" si="18"/>
        <v>356.4</v>
      </c>
      <c r="AC93" t="s">
        <v>33</v>
      </c>
      <c r="AD93" s="3" t="s">
        <v>168</v>
      </c>
    </row>
    <row r="94" spans="1:30" ht="15.75" customHeight="1" x14ac:dyDescent="0.2">
      <c r="A94" s="7" t="str">
        <f t="shared" si="13"/>
        <v>CYJ581New Buy</v>
      </c>
      <c r="B94" s="7" t="str">
        <f t="shared" si="14"/>
        <v>iPadNew Buy</v>
      </c>
      <c r="C94">
        <v>407278</v>
      </c>
      <c r="D94" s="19" t="s">
        <v>172</v>
      </c>
      <c r="E94" s="20" t="s">
        <v>166</v>
      </c>
      <c r="F94" s="20" t="s">
        <v>173</v>
      </c>
      <c r="G94" t="s">
        <v>174</v>
      </c>
      <c r="H94" t="s">
        <v>167</v>
      </c>
      <c r="I94" t="s">
        <v>175</v>
      </c>
      <c r="J94" t="s">
        <v>267</v>
      </c>
      <c r="L94" t="s">
        <v>268</v>
      </c>
      <c r="M94" s="25">
        <v>198</v>
      </c>
      <c r="N94" s="4">
        <v>118.8</v>
      </c>
      <c r="O94" s="24">
        <v>2</v>
      </c>
      <c r="Q94" s="20">
        <v>4</v>
      </c>
      <c r="T94" s="20" t="s">
        <v>178</v>
      </c>
      <c r="U94" s="21" t="s">
        <v>66</v>
      </c>
      <c r="V94" s="4">
        <v>118.8</v>
      </c>
      <c r="Y94" s="6">
        <f t="shared" si="15"/>
        <v>396</v>
      </c>
      <c r="Z94" s="6">
        <f t="shared" si="16"/>
        <v>237.6</v>
      </c>
      <c r="AA94" s="6">
        <f t="shared" si="17"/>
        <v>237.6</v>
      </c>
      <c r="AB94" s="6">
        <f t="shared" si="18"/>
        <v>158.4</v>
      </c>
      <c r="AC94" t="s">
        <v>16</v>
      </c>
      <c r="AD94" s="3" t="s">
        <v>168</v>
      </c>
    </row>
    <row r="95" spans="1:30" ht="15.75" customHeight="1" x14ac:dyDescent="0.2">
      <c r="A95" s="7" t="str">
        <f t="shared" si="13"/>
        <v>CYJ581New Buy</v>
      </c>
      <c r="B95" s="7" t="str">
        <f t="shared" si="14"/>
        <v>iPadNew Buy</v>
      </c>
      <c r="C95">
        <v>407277</v>
      </c>
      <c r="D95" s="19" t="s">
        <v>172</v>
      </c>
      <c r="E95" s="20" t="s">
        <v>166</v>
      </c>
      <c r="F95" s="20" t="s">
        <v>173</v>
      </c>
      <c r="G95" t="s">
        <v>174</v>
      </c>
      <c r="H95" t="s">
        <v>167</v>
      </c>
      <c r="I95" t="s">
        <v>175</v>
      </c>
      <c r="J95" t="s">
        <v>269</v>
      </c>
      <c r="L95" t="s">
        <v>270</v>
      </c>
      <c r="M95" s="25">
        <v>297</v>
      </c>
      <c r="N95" s="4">
        <v>118.8</v>
      </c>
      <c r="O95" s="24">
        <v>3</v>
      </c>
      <c r="Q95" s="20">
        <v>4</v>
      </c>
      <c r="T95" s="20" t="s">
        <v>178</v>
      </c>
      <c r="U95" s="21" t="s">
        <v>116</v>
      </c>
      <c r="V95" s="4">
        <v>118.8</v>
      </c>
      <c r="Y95" s="6">
        <f t="shared" si="15"/>
        <v>891</v>
      </c>
      <c r="Z95" s="6">
        <f t="shared" si="16"/>
        <v>356.4</v>
      </c>
      <c r="AA95" s="6">
        <f t="shared" si="17"/>
        <v>356.4</v>
      </c>
      <c r="AB95" s="6">
        <f t="shared" si="18"/>
        <v>534.6</v>
      </c>
      <c r="AC95" t="s">
        <v>33</v>
      </c>
      <c r="AD95" s="3" t="s">
        <v>168</v>
      </c>
    </row>
    <row r="96" spans="1:30" ht="15.75" customHeight="1" x14ac:dyDescent="0.2">
      <c r="A96" s="7" t="str">
        <f t="shared" si="13"/>
        <v>CYJ581New Buy</v>
      </c>
      <c r="B96" s="7" t="str">
        <f t="shared" si="14"/>
        <v>iPadNew Buy</v>
      </c>
      <c r="C96">
        <v>407276</v>
      </c>
      <c r="D96" s="19" t="s">
        <v>172</v>
      </c>
      <c r="E96" s="20" t="s">
        <v>166</v>
      </c>
      <c r="F96" s="20" t="s">
        <v>173</v>
      </c>
      <c r="G96" t="s">
        <v>174</v>
      </c>
      <c r="H96" t="s">
        <v>167</v>
      </c>
      <c r="I96" t="s">
        <v>175</v>
      </c>
      <c r="J96" t="s">
        <v>269</v>
      </c>
      <c r="L96" t="s">
        <v>271</v>
      </c>
      <c r="M96" s="25">
        <v>198</v>
      </c>
      <c r="N96" s="4">
        <v>118.8</v>
      </c>
      <c r="O96" s="24">
        <v>1</v>
      </c>
      <c r="Q96" s="20">
        <v>4</v>
      </c>
      <c r="T96" s="20" t="s">
        <v>178</v>
      </c>
      <c r="U96" s="21" t="s">
        <v>104</v>
      </c>
      <c r="V96" s="4">
        <v>118.8</v>
      </c>
      <c r="Y96" s="6">
        <f t="shared" si="15"/>
        <v>198</v>
      </c>
      <c r="Z96" s="6">
        <f t="shared" si="16"/>
        <v>118.8</v>
      </c>
      <c r="AA96" s="6">
        <f t="shared" si="17"/>
        <v>118.8</v>
      </c>
      <c r="AB96" s="6">
        <f t="shared" si="18"/>
        <v>79.2</v>
      </c>
      <c r="AC96" t="s">
        <v>16</v>
      </c>
      <c r="AD96" s="3" t="s">
        <v>168</v>
      </c>
    </row>
    <row r="97" spans="1:30" ht="15.75" customHeight="1" x14ac:dyDescent="0.2">
      <c r="A97" s="7" t="str">
        <f t="shared" si="13"/>
        <v>CYJ581New Buy</v>
      </c>
      <c r="B97" s="7" t="str">
        <f t="shared" si="14"/>
        <v>iPadNew Buy</v>
      </c>
      <c r="C97">
        <v>407275</v>
      </c>
      <c r="D97" s="19" t="s">
        <v>172</v>
      </c>
      <c r="E97" s="20" t="s">
        <v>166</v>
      </c>
      <c r="F97" s="20" t="s">
        <v>173</v>
      </c>
      <c r="G97" t="s">
        <v>174</v>
      </c>
      <c r="H97" t="s">
        <v>167</v>
      </c>
      <c r="I97" t="s">
        <v>175</v>
      </c>
      <c r="J97" t="s">
        <v>269</v>
      </c>
      <c r="L97" t="s">
        <v>271</v>
      </c>
      <c r="M97" s="25">
        <v>198</v>
      </c>
      <c r="N97" s="4">
        <v>118.8</v>
      </c>
      <c r="O97" s="24">
        <v>1</v>
      </c>
      <c r="Q97" s="20">
        <v>4</v>
      </c>
      <c r="T97" s="20" t="s">
        <v>178</v>
      </c>
      <c r="U97" s="21" t="s">
        <v>66</v>
      </c>
      <c r="V97" s="4">
        <v>118.8</v>
      </c>
      <c r="Y97" s="6">
        <f t="shared" si="15"/>
        <v>198</v>
      </c>
      <c r="Z97" s="6">
        <f t="shared" si="16"/>
        <v>118.8</v>
      </c>
      <c r="AA97" s="6">
        <f t="shared" si="17"/>
        <v>118.8</v>
      </c>
      <c r="AB97" s="6">
        <f t="shared" si="18"/>
        <v>79.2</v>
      </c>
      <c r="AC97" t="s">
        <v>16</v>
      </c>
      <c r="AD97" s="3" t="s">
        <v>168</v>
      </c>
    </row>
    <row r="98" spans="1:30" ht="15.75" customHeight="1" x14ac:dyDescent="0.2">
      <c r="A98" s="7" t="str">
        <f t="shared" si="13"/>
        <v>CYJ581New Buy</v>
      </c>
      <c r="B98" s="7" t="str">
        <f t="shared" si="14"/>
        <v>iPadNew Buy</v>
      </c>
      <c r="C98">
        <v>407274</v>
      </c>
      <c r="D98" s="19" t="s">
        <v>172</v>
      </c>
      <c r="E98" s="20" t="s">
        <v>166</v>
      </c>
      <c r="F98" s="20" t="s">
        <v>173</v>
      </c>
      <c r="G98" t="s">
        <v>174</v>
      </c>
      <c r="H98" t="s">
        <v>167</v>
      </c>
      <c r="I98" t="s">
        <v>175</v>
      </c>
      <c r="J98" t="s">
        <v>269</v>
      </c>
      <c r="L98" t="s">
        <v>271</v>
      </c>
      <c r="M98" s="25">
        <v>198</v>
      </c>
      <c r="N98" s="4">
        <v>118.8</v>
      </c>
      <c r="O98" s="24">
        <v>4</v>
      </c>
      <c r="Q98" s="20">
        <v>4</v>
      </c>
      <c r="T98" s="20" t="s">
        <v>178</v>
      </c>
      <c r="U98" s="21" t="s">
        <v>66</v>
      </c>
      <c r="V98" s="4">
        <v>118.8</v>
      </c>
      <c r="Y98" s="6">
        <f t="shared" si="15"/>
        <v>792</v>
      </c>
      <c r="Z98" s="6">
        <f t="shared" si="16"/>
        <v>475.2</v>
      </c>
      <c r="AA98" s="6">
        <f t="shared" si="17"/>
        <v>475.2</v>
      </c>
      <c r="AB98" s="6">
        <f t="shared" si="18"/>
        <v>316.8</v>
      </c>
      <c r="AC98" t="s">
        <v>16</v>
      </c>
      <c r="AD98" s="3" t="s">
        <v>168</v>
      </c>
    </row>
    <row r="99" spans="1:30" ht="15.75" customHeight="1" x14ac:dyDescent="0.2">
      <c r="A99" s="7" t="str">
        <f t="shared" si="13"/>
        <v>CYJ581New Buy</v>
      </c>
      <c r="B99" s="7" t="str">
        <f t="shared" si="14"/>
        <v>iPadNew Buy</v>
      </c>
      <c r="C99">
        <v>407273</v>
      </c>
      <c r="D99" s="19" t="s">
        <v>172</v>
      </c>
      <c r="E99" s="20" t="s">
        <v>166</v>
      </c>
      <c r="F99" s="20" t="s">
        <v>173</v>
      </c>
      <c r="G99" t="s">
        <v>174</v>
      </c>
      <c r="H99" t="s">
        <v>167</v>
      </c>
      <c r="I99" t="s">
        <v>175</v>
      </c>
      <c r="J99" t="s">
        <v>272</v>
      </c>
      <c r="L99" t="s">
        <v>273</v>
      </c>
      <c r="M99" s="25">
        <v>198</v>
      </c>
      <c r="N99" s="4">
        <v>118.8</v>
      </c>
      <c r="O99" s="24">
        <v>1</v>
      </c>
      <c r="Q99" s="20">
        <v>4</v>
      </c>
      <c r="T99" s="20" t="s">
        <v>178</v>
      </c>
      <c r="U99" s="21" t="s">
        <v>104</v>
      </c>
      <c r="V99" s="4">
        <v>118.8</v>
      </c>
      <c r="Y99" s="6">
        <f t="shared" si="15"/>
        <v>198</v>
      </c>
      <c r="Z99" s="6">
        <f t="shared" si="16"/>
        <v>118.8</v>
      </c>
      <c r="AA99" s="6">
        <f t="shared" si="17"/>
        <v>118.8</v>
      </c>
      <c r="AB99" s="6">
        <f t="shared" si="18"/>
        <v>79.2</v>
      </c>
      <c r="AC99" t="s">
        <v>16</v>
      </c>
      <c r="AD99" s="3" t="s">
        <v>168</v>
      </c>
    </row>
    <row r="100" spans="1:30" ht="15.75" customHeight="1" x14ac:dyDescent="0.2">
      <c r="A100" s="7" t="str">
        <f t="shared" si="13"/>
        <v>CYJ581New Buy</v>
      </c>
      <c r="B100" s="7" t="str">
        <f t="shared" si="14"/>
        <v>iPadNew Buy</v>
      </c>
      <c r="C100">
        <v>407272</v>
      </c>
      <c r="D100" s="19" t="s">
        <v>172</v>
      </c>
      <c r="E100" s="20" t="s">
        <v>166</v>
      </c>
      <c r="F100" s="20" t="s">
        <v>173</v>
      </c>
      <c r="G100" t="s">
        <v>174</v>
      </c>
      <c r="H100" t="s">
        <v>167</v>
      </c>
      <c r="I100" t="s">
        <v>175</v>
      </c>
      <c r="J100" t="s">
        <v>272</v>
      </c>
      <c r="L100" t="s">
        <v>273</v>
      </c>
      <c r="M100" s="25">
        <v>198</v>
      </c>
      <c r="N100" s="4">
        <v>118.8</v>
      </c>
      <c r="O100" s="24">
        <v>1</v>
      </c>
      <c r="Q100" s="20">
        <v>4</v>
      </c>
      <c r="T100" s="20" t="s">
        <v>178</v>
      </c>
      <c r="U100" s="21" t="s">
        <v>66</v>
      </c>
      <c r="V100" s="4">
        <v>118.8</v>
      </c>
      <c r="Y100" s="6">
        <f t="shared" si="15"/>
        <v>198</v>
      </c>
      <c r="Z100" s="6">
        <f t="shared" si="16"/>
        <v>118.8</v>
      </c>
      <c r="AA100" s="6">
        <f t="shared" si="17"/>
        <v>118.8</v>
      </c>
      <c r="AB100" s="6">
        <f t="shared" si="18"/>
        <v>79.2</v>
      </c>
      <c r="AC100" t="s">
        <v>16</v>
      </c>
      <c r="AD100" s="3" t="s">
        <v>168</v>
      </c>
    </row>
    <row r="101" spans="1:30" ht="15.75" customHeight="1" x14ac:dyDescent="0.2">
      <c r="A101" s="7" t="str">
        <f t="shared" si="13"/>
        <v>CYJ581New Buy</v>
      </c>
      <c r="B101" s="7" t="str">
        <f t="shared" si="14"/>
        <v>iPadNew Buy</v>
      </c>
      <c r="C101">
        <v>407271</v>
      </c>
      <c r="D101" s="19" t="s">
        <v>172</v>
      </c>
      <c r="E101" s="20" t="s">
        <v>166</v>
      </c>
      <c r="F101" s="20" t="s">
        <v>173</v>
      </c>
      <c r="G101" t="s">
        <v>174</v>
      </c>
      <c r="H101" t="s">
        <v>167</v>
      </c>
      <c r="I101" t="s">
        <v>175</v>
      </c>
      <c r="J101" t="s">
        <v>274</v>
      </c>
      <c r="L101" t="s">
        <v>275</v>
      </c>
      <c r="M101" s="25">
        <v>198</v>
      </c>
      <c r="N101" s="4">
        <v>118.8</v>
      </c>
      <c r="O101" s="24">
        <v>2</v>
      </c>
      <c r="Q101" s="20">
        <v>4</v>
      </c>
      <c r="T101" s="20" t="s">
        <v>178</v>
      </c>
      <c r="U101" s="21" t="s">
        <v>104</v>
      </c>
      <c r="V101" s="4">
        <v>118.8</v>
      </c>
      <c r="Y101" s="6">
        <f t="shared" si="15"/>
        <v>396</v>
      </c>
      <c r="Z101" s="6">
        <f t="shared" si="16"/>
        <v>237.6</v>
      </c>
      <c r="AA101" s="6">
        <f t="shared" si="17"/>
        <v>237.6</v>
      </c>
      <c r="AB101" s="6">
        <f t="shared" si="18"/>
        <v>158.4</v>
      </c>
      <c r="AC101" t="s">
        <v>16</v>
      </c>
      <c r="AD101" s="3" t="s">
        <v>168</v>
      </c>
    </row>
    <row r="102" spans="1:30" ht="15.75" customHeight="1" x14ac:dyDescent="0.2">
      <c r="A102" s="7" t="str">
        <f t="shared" si="13"/>
        <v>CYJ581New Buy</v>
      </c>
      <c r="B102" s="7" t="str">
        <f t="shared" si="14"/>
        <v>iPadNew Buy</v>
      </c>
      <c r="C102">
        <v>407270</v>
      </c>
      <c r="D102" s="19" t="s">
        <v>172</v>
      </c>
      <c r="E102" s="20" t="s">
        <v>166</v>
      </c>
      <c r="F102" s="20" t="s">
        <v>173</v>
      </c>
      <c r="G102" t="s">
        <v>174</v>
      </c>
      <c r="H102" t="s">
        <v>167</v>
      </c>
      <c r="I102" t="s">
        <v>175</v>
      </c>
      <c r="J102" t="s">
        <v>276</v>
      </c>
      <c r="L102" t="s">
        <v>277</v>
      </c>
      <c r="M102" s="25">
        <v>100</v>
      </c>
      <c r="N102" s="4">
        <v>60</v>
      </c>
      <c r="O102" s="24">
        <v>4</v>
      </c>
      <c r="Q102" s="20">
        <v>4</v>
      </c>
      <c r="T102" s="20" t="s">
        <v>178</v>
      </c>
      <c r="U102" s="21" t="s">
        <v>66</v>
      </c>
      <c r="V102" s="4">
        <v>60</v>
      </c>
      <c r="Y102" s="6">
        <f t="shared" si="15"/>
        <v>400</v>
      </c>
      <c r="Z102" s="6">
        <f t="shared" si="16"/>
        <v>240</v>
      </c>
      <c r="AA102" s="6">
        <f t="shared" si="17"/>
        <v>240</v>
      </c>
      <c r="AB102" s="6">
        <f t="shared" si="18"/>
        <v>160</v>
      </c>
      <c r="AC102" t="s">
        <v>16</v>
      </c>
      <c r="AD102" s="3" t="s">
        <v>168</v>
      </c>
    </row>
    <row r="103" spans="1:30" ht="15.75" customHeight="1" x14ac:dyDescent="0.2">
      <c r="A103" s="7" t="str">
        <f t="shared" si="13"/>
        <v>CYJ581New Buy</v>
      </c>
      <c r="B103" s="7" t="str">
        <f t="shared" si="14"/>
        <v>iPadNew Buy</v>
      </c>
      <c r="C103">
        <v>407269</v>
      </c>
      <c r="D103" s="19" t="s">
        <v>172</v>
      </c>
      <c r="E103" s="20" t="s">
        <v>166</v>
      </c>
      <c r="F103" s="20" t="s">
        <v>173</v>
      </c>
      <c r="G103" t="s">
        <v>174</v>
      </c>
      <c r="H103" t="s">
        <v>167</v>
      </c>
      <c r="I103" t="s">
        <v>175</v>
      </c>
      <c r="J103" t="s">
        <v>276</v>
      </c>
      <c r="L103" t="s">
        <v>277</v>
      </c>
      <c r="M103" s="25">
        <v>150</v>
      </c>
      <c r="N103" s="4">
        <v>60</v>
      </c>
      <c r="O103" s="24">
        <v>2</v>
      </c>
      <c r="Q103" s="20">
        <v>4</v>
      </c>
      <c r="T103" s="20" t="s">
        <v>178</v>
      </c>
      <c r="U103" s="21" t="s">
        <v>116</v>
      </c>
      <c r="V103" s="4">
        <v>60</v>
      </c>
      <c r="Y103" s="6">
        <f t="shared" si="15"/>
        <v>300</v>
      </c>
      <c r="Z103" s="6">
        <f t="shared" si="16"/>
        <v>120</v>
      </c>
      <c r="AA103" s="6">
        <f t="shared" si="17"/>
        <v>120</v>
      </c>
      <c r="AB103" s="6">
        <f t="shared" si="18"/>
        <v>180</v>
      </c>
      <c r="AC103" t="s">
        <v>33</v>
      </c>
      <c r="AD103" s="3" t="s">
        <v>168</v>
      </c>
    </row>
    <row r="104" spans="1:30" ht="15.75" customHeight="1" x14ac:dyDescent="0.2">
      <c r="A104" s="7" t="str">
        <f t="shared" si="13"/>
        <v>CYJ581New Buy</v>
      </c>
      <c r="B104" s="7" t="str">
        <f t="shared" si="14"/>
        <v>iPadNew Buy</v>
      </c>
      <c r="C104">
        <v>407268</v>
      </c>
      <c r="D104" s="19" t="s">
        <v>172</v>
      </c>
      <c r="E104" s="20" t="s">
        <v>166</v>
      </c>
      <c r="F104" s="20" t="s">
        <v>173</v>
      </c>
      <c r="G104" t="s">
        <v>174</v>
      </c>
      <c r="H104" t="s">
        <v>167</v>
      </c>
      <c r="I104" t="s">
        <v>175</v>
      </c>
      <c r="J104" t="s">
        <v>278</v>
      </c>
      <c r="L104" t="s">
        <v>279</v>
      </c>
      <c r="M104" s="25">
        <v>150</v>
      </c>
      <c r="N104" s="4">
        <v>60</v>
      </c>
      <c r="O104" s="24">
        <v>2</v>
      </c>
      <c r="Q104" s="20">
        <v>4</v>
      </c>
      <c r="T104" s="20" t="s">
        <v>178</v>
      </c>
      <c r="U104" s="21" t="s">
        <v>116</v>
      </c>
      <c r="V104" s="4">
        <v>60</v>
      </c>
      <c r="Y104" s="6">
        <f t="shared" si="15"/>
        <v>300</v>
      </c>
      <c r="Z104" s="6">
        <f t="shared" si="16"/>
        <v>120</v>
      </c>
      <c r="AA104" s="6">
        <f t="shared" si="17"/>
        <v>120</v>
      </c>
      <c r="AB104" s="6">
        <f t="shared" si="18"/>
        <v>180</v>
      </c>
      <c r="AC104" t="s">
        <v>33</v>
      </c>
      <c r="AD104" s="3" t="s">
        <v>168</v>
      </c>
    </row>
    <row r="105" spans="1:30" ht="15.75" customHeight="1" x14ac:dyDescent="0.2">
      <c r="A105" s="7" t="str">
        <f t="shared" si="13"/>
        <v>CYJ581New Buy</v>
      </c>
      <c r="B105" s="7" t="str">
        <f t="shared" si="14"/>
        <v>iPadNew Buy</v>
      </c>
      <c r="C105">
        <v>407267</v>
      </c>
      <c r="D105" s="19" t="s">
        <v>172</v>
      </c>
      <c r="E105" s="20" t="s">
        <v>166</v>
      </c>
      <c r="F105" s="20" t="s">
        <v>173</v>
      </c>
      <c r="G105" t="s">
        <v>174</v>
      </c>
      <c r="H105" t="s">
        <v>167</v>
      </c>
      <c r="I105" t="s">
        <v>175</v>
      </c>
      <c r="J105" t="s">
        <v>278</v>
      </c>
      <c r="L105" t="s">
        <v>279</v>
      </c>
      <c r="M105" s="25">
        <v>100</v>
      </c>
      <c r="N105" s="4">
        <v>60</v>
      </c>
      <c r="O105" s="24">
        <v>8</v>
      </c>
      <c r="Q105" s="20">
        <v>4</v>
      </c>
      <c r="T105" s="20" t="s">
        <v>178</v>
      </c>
      <c r="U105" s="21" t="s">
        <v>66</v>
      </c>
      <c r="V105" s="4">
        <v>60</v>
      </c>
      <c r="Y105" s="6">
        <f t="shared" si="15"/>
        <v>800</v>
      </c>
      <c r="Z105" s="6">
        <f t="shared" si="16"/>
        <v>480</v>
      </c>
      <c r="AA105" s="6">
        <f t="shared" si="17"/>
        <v>480</v>
      </c>
      <c r="AB105" s="6">
        <f t="shared" si="18"/>
        <v>320</v>
      </c>
      <c r="AC105" t="s">
        <v>16</v>
      </c>
      <c r="AD105" s="3" t="s">
        <v>168</v>
      </c>
    </row>
    <row r="106" spans="1:30" ht="15.75" customHeight="1" x14ac:dyDescent="0.2">
      <c r="A106" s="7" t="str">
        <f t="shared" si="13"/>
        <v>CYJ581New Buy</v>
      </c>
      <c r="B106" s="7" t="str">
        <f t="shared" si="14"/>
        <v>iPadNew Buy</v>
      </c>
      <c r="C106">
        <v>407265</v>
      </c>
      <c r="D106" s="19" t="s">
        <v>172</v>
      </c>
      <c r="E106" s="20" t="s">
        <v>166</v>
      </c>
      <c r="F106" s="20" t="s">
        <v>173</v>
      </c>
      <c r="G106" t="s">
        <v>174</v>
      </c>
      <c r="H106" t="s">
        <v>167</v>
      </c>
      <c r="I106" t="s">
        <v>175</v>
      </c>
      <c r="J106" t="s">
        <v>280</v>
      </c>
      <c r="L106" t="s">
        <v>281</v>
      </c>
      <c r="M106" s="25">
        <v>150</v>
      </c>
      <c r="N106" s="4">
        <v>90</v>
      </c>
      <c r="O106" s="24">
        <v>168</v>
      </c>
      <c r="Q106" s="20">
        <v>4</v>
      </c>
      <c r="T106" s="20" t="s">
        <v>178</v>
      </c>
      <c r="U106" s="21" t="s">
        <v>104</v>
      </c>
      <c r="V106" s="4">
        <v>90</v>
      </c>
      <c r="Y106" s="6">
        <f t="shared" si="15"/>
        <v>25200</v>
      </c>
      <c r="Z106" s="6">
        <f t="shared" si="16"/>
        <v>15120</v>
      </c>
      <c r="AA106" s="6">
        <f t="shared" si="17"/>
        <v>15120</v>
      </c>
      <c r="AB106" s="6">
        <f t="shared" si="18"/>
        <v>10080</v>
      </c>
      <c r="AC106" t="s">
        <v>16</v>
      </c>
      <c r="AD106" s="3" t="s">
        <v>168</v>
      </c>
    </row>
    <row r="107" spans="1:30" ht="15.75" customHeight="1" x14ac:dyDescent="0.2">
      <c r="A107" s="7" t="str">
        <f t="shared" si="13"/>
        <v>CYJ581New Buy</v>
      </c>
      <c r="B107" s="7" t="str">
        <f t="shared" si="14"/>
        <v>iPadNew Buy</v>
      </c>
      <c r="C107">
        <v>407264</v>
      </c>
      <c r="D107" s="19" t="s">
        <v>172</v>
      </c>
      <c r="E107" s="20" t="s">
        <v>166</v>
      </c>
      <c r="F107" s="20" t="s">
        <v>173</v>
      </c>
      <c r="G107" t="s">
        <v>174</v>
      </c>
      <c r="H107" t="s">
        <v>167</v>
      </c>
      <c r="I107" t="s">
        <v>175</v>
      </c>
      <c r="J107" t="s">
        <v>280</v>
      </c>
      <c r="L107" t="s">
        <v>281</v>
      </c>
      <c r="M107" s="25">
        <v>150</v>
      </c>
      <c r="N107" s="4">
        <v>90</v>
      </c>
      <c r="O107" s="24">
        <v>176</v>
      </c>
      <c r="Q107" s="20">
        <v>4</v>
      </c>
      <c r="T107" s="20" t="s">
        <v>178</v>
      </c>
      <c r="U107" s="21" t="s">
        <v>66</v>
      </c>
      <c r="V107" s="4">
        <v>90</v>
      </c>
      <c r="Y107" s="6">
        <f t="shared" si="15"/>
        <v>26400</v>
      </c>
      <c r="Z107" s="6">
        <f t="shared" si="16"/>
        <v>15840</v>
      </c>
      <c r="AA107" s="6">
        <f t="shared" si="17"/>
        <v>15840</v>
      </c>
      <c r="AB107" s="6">
        <f t="shared" si="18"/>
        <v>10560</v>
      </c>
      <c r="AC107" t="s">
        <v>16</v>
      </c>
      <c r="AD107" s="3" t="s">
        <v>168</v>
      </c>
    </row>
    <row r="108" spans="1:30" ht="15.75" customHeight="1" x14ac:dyDescent="0.2">
      <c r="A108" s="7" t="str">
        <f t="shared" si="13"/>
        <v>CYJ581New Buy</v>
      </c>
      <c r="B108" s="7" t="str">
        <f t="shared" si="14"/>
        <v>iPadNew Buy</v>
      </c>
      <c r="C108">
        <v>407262</v>
      </c>
      <c r="D108" s="19" t="s">
        <v>172</v>
      </c>
      <c r="E108" s="20" t="s">
        <v>166</v>
      </c>
      <c r="F108" s="20" t="s">
        <v>173</v>
      </c>
      <c r="G108" t="s">
        <v>174</v>
      </c>
      <c r="H108" t="s">
        <v>167</v>
      </c>
      <c r="I108" t="s">
        <v>175</v>
      </c>
      <c r="J108" t="s">
        <v>282</v>
      </c>
      <c r="L108" t="s">
        <v>283</v>
      </c>
      <c r="M108" s="25">
        <v>150</v>
      </c>
      <c r="N108" s="4">
        <v>90</v>
      </c>
      <c r="O108" s="24">
        <v>372</v>
      </c>
      <c r="Q108" s="20">
        <v>4</v>
      </c>
      <c r="T108" s="20" t="s">
        <v>178</v>
      </c>
      <c r="U108" s="21" t="s">
        <v>104</v>
      </c>
      <c r="V108" s="4">
        <v>90</v>
      </c>
      <c r="Y108" s="6">
        <f t="shared" si="15"/>
        <v>55800</v>
      </c>
      <c r="Z108" s="6">
        <f t="shared" si="16"/>
        <v>33480</v>
      </c>
      <c r="AA108" s="6">
        <f t="shared" si="17"/>
        <v>33480</v>
      </c>
      <c r="AB108" s="6">
        <f t="shared" si="18"/>
        <v>22320</v>
      </c>
      <c r="AC108" t="s">
        <v>16</v>
      </c>
      <c r="AD108" s="3" t="s">
        <v>168</v>
      </c>
    </row>
    <row r="109" spans="1:30" ht="15.75" customHeight="1" x14ac:dyDescent="0.2">
      <c r="A109" s="7" t="str">
        <f t="shared" si="13"/>
        <v>CYJ581New Buy</v>
      </c>
      <c r="B109" s="7" t="str">
        <f t="shared" si="14"/>
        <v>iPadNew Buy</v>
      </c>
      <c r="C109">
        <v>407261</v>
      </c>
      <c r="D109" s="19" t="s">
        <v>172</v>
      </c>
      <c r="E109" s="20" t="s">
        <v>166</v>
      </c>
      <c r="F109" s="20" t="s">
        <v>173</v>
      </c>
      <c r="G109" t="s">
        <v>174</v>
      </c>
      <c r="H109" t="s">
        <v>167</v>
      </c>
      <c r="I109" t="s">
        <v>175</v>
      </c>
      <c r="J109" t="s">
        <v>282</v>
      </c>
      <c r="L109" t="s">
        <v>283</v>
      </c>
      <c r="M109" s="25">
        <v>150</v>
      </c>
      <c r="N109" s="4">
        <v>90</v>
      </c>
      <c r="O109" s="24">
        <v>352</v>
      </c>
      <c r="Q109" s="20">
        <v>4</v>
      </c>
      <c r="T109" s="20" t="s">
        <v>178</v>
      </c>
      <c r="U109" s="21" t="s">
        <v>66</v>
      </c>
      <c r="V109" s="4">
        <v>90</v>
      </c>
      <c r="Y109" s="6">
        <f t="shared" si="15"/>
        <v>52800</v>
      </c>
      <c r="Z109" s="6">
        <f t="shared" si="16"/>
        <v>31680</v>
      </c>
      <c r="AA109" s="6">
        <f t="shared" si="17"/>
        <v>31680</v>
      </c>
      <c r="AB109" s="6">
        <f t="shared" si="18"/>
        <v>21120</v>
      </c>
      <c r="AC109" t="s">
        <v>16</v>
      </c>
      <c r="AD109" s="3" t="s">
        <v>168</v>
      </c>
    </row>
    <row r="110" spans="1:30" ht="15.75" customHeight="1" x14ac:dyDescent="0.2">
      <c r="A110" s="7" t="str">
        <f t="shared" si="13"/>
        <v>CYJ581New Buy</v>
      </c>
      <c r="B110" s="7" t="str">
        <f t="shared" si="14"/>
        <v>iPadNew Buy</v>
      </c>
      <c r="C110">
        <v>407257</v>
      </c>
      <c r="D110" s="19" t="s">
        <v>172</v>
      </c>
      <c r="E110" s="20" t="s">
        <v>166</v>
      </c>
      <c r="F110" s="20" t="s">
        <v>173</v>
      </c>
      <c r="G110" t="s">
        <v>174</v>
      </c>
      <c r="H110" t="s">
        <v>167</v>
      </c>
      <c r="I110" t="s">
        <v>175</v>
      </c>
      <c r="J110" t="s">
        <v>284</v>
      </c>
      <c r="L110" t="s">
        <v>285</v>
      </c>
      <c r="M110" s="25">
        <v>148</v>
      </c>
      <c r="N110" s="4">
        <v>88.8</v>
      </c>
      <c r="O110" s="24">
        <v>7</v>
      </c>
      <c r="Q110" s="20">
        <v>4</v>
      </c>
      <c r="T110" s="20" t="s">
        <v>178</v>
      </c>
      <c r="U110" s="21" t="s">
        <v>104</v>
      </c>
      <c r="V110" s="4">
        <v>88.8</v>
      </c>
      <c r="Y110" s="6">
        <f t="shared" si="15"/>
        <v>1036</v>
      </c>
      <c r="Z110" s="6">
        <f t="shared" si="16"/>
        <v>621.6</v>
      </c>
      <c r="AA110" s="6">
        <f t="shared" si="17"/>
        <v>621.6</v>
      </c>
      <c r="AB110" s="6">
        <f t="shared" si="18"/>
        <v>414.4</v>
      </c>
      <c r="AC110" t="s">
        <v>16</v>
      </c>
      <c r="AD110" s="3" t="s">
        <v>168</v>
      </c>
    </row>
    <row r="111" spans="1:30" ht="15.75" customHeight="1" x14ac:dyDescent="0.2">
      <c r="A111" s="7" t="str">
        <f t="shared" si="13"/>
        <v>CYJ581New Buy</v>
      </c>
      <c r="B111" s="7" t="str">
        <f t="shared" si="14"/>
        <v>iPadNew Buy</v>
      </c>
      <c r="C111">
        <v>407253</v>
      </c>
      <c r="D111" s="19" t="s">
        <v>172</v>
      </c>
      <c r="E111" s="20" t="s">
        <v>166</v>
      </c>
      <c r="F111" s="20" t="s">
        <v>173</v>
      </c>
      <c r="G111" t="s">
        <v>174</v>
      </c>
      <c r="H111" t="s">
        <v>167</v>
      </c>
      <c r="I111" t="s">
        <v>175</v>
      </c>
      <c r="J111" t="s">
        <v>286</v>
      </c>
      <c r="L111" t="s">
        <v>287</v>
      </c>
      <c r="M111" s="25">
        <v>100</v>
      </c>
      <c r="N111" s="4">
        <v>60</v>
      </c>
      <c r="O111" s="24">
        <v>11</v>
      </c>
      <c r="Q111" s="20">
        <v>4</v>
      </c>
      <c r="T111" s="20" t="s">
        <v>178</v>
      </c>
      <c r="U111" s="21" t="s">
        <v>104</v>
      </c>
      <c r="V111" s="4">
        <v>60</v>
      </c>
      <c r="Y111" s="6">
        <f t="shared" si="15"/>
        <v>1100</v>
      </c>
      <c r="Z111" s="6">
        <f t="shared" si="16"/>
        <v>660</v>
      </c>
      <c r="AA111" s="6">
        <f t="shared" si="17"/>
        <v>660</v>
      </c>
      <c r="AB111" s="6">
        <f t="shared" si="18"/>
        <v>440</v>
      </c>
      <c r="AC111" t="s">
        <v>16</v>
      </c>
      <c r="AD111" s="3" t="s">
        <v>168</v>
      </c>
    </row>
    <row r="112" spans="1:30" ht="15.75" customHeight="1" x14ac:dyDescent="0.2">
      <c r="A112" s="7" t="str">
        <f t="shared" si="13"/>
        <v>CYJ581New Buy</v>
      </c>
      <c r="B112" s="7" t="str">
        <f t="shared" si="14"/>
        <v>iPadNew Buy</v>
      </c>
      <c r="C112">
        <v>407252</v>
      </c>
      <c r="D112" s="19" t="s">
        <v>172</v>
      </c>
      <c r="E112" s="20" t="s">
        <v>166</v>
      </c>
      <c r="F112" s="20" t="s">
        <v>173</v>
      </c>
      <c r="G112" t="s">
        <v>174</v>
      </c>
      <c r="H112" t="s">
        <v>167</v>
      </c>
      <c r="I112" t="s">
        <v>175</v>
      </c>
      <c r="J112" t="s">
        <v>288</v>
      </c>
      <c r="L112" t="s">
        <v>289</v>
      </c>
      <c r="M112" s="25">
        <v>100</v>
      </c>
      <c r="N112" s="4">
        <v>60</v>
      </c>
      <c r="O112" s="24">
        <v>27</v>
      </c>
      <c r="Q112" s="20">
        <v>4</v>
      </c>
      <c r="T112" s="20" t="s">
        <v>178</v>
      </c>
      <c r="U112" s="21" t="s">
        <v>104</v>
      </c>
      <c r="V112" s="4">
        <v>60</v>
      </c>
      <c r="Y112" s="6">
        <f t="shared" si="15"/>
        <v>2700</v>
      </c>
      <c r="Z112" s="6">
        <f t="shared" si="16"/>
        <v>1620</v>
      </c>
      <c r="AA112" s="6">
        <f t="shared" si="17"/>
        <v>1620</v>
      </c>
      <c r="AB112" s="6">
        <f t="shared" si="18"/>
        <v>1080</v>
      </c>
      <c r="AC112" t="s">
        <v>16</v>
      </c>
      <c r="AD112" s="3" t="s">
        <v>168</v>
      </c>
    </row>
    <row r="113" spans="1:30" ht="15.75" customHeight="1" x14ac:dyDescent="0.2">
      <c r="A113" s="7" t="str">
        <f t="shared" si="13"/>
        <v>CYJ581New Buy</v>
      </c>
      <c r="B113" s="7" t="str">
        <f t="shared" si="14"/>
        <v>iPadNew Buy</v>
      </c>
      <c r="C113">
        <v>407248</v>
      </c>
      <c r="D113" s="19" t="s">
        <v>172</v>
      </c>
      <c r="E113" s="20" t="s">
        <v>166</v>
      </c>
      <c r="F113" s="20" t="s">
        <v>173</v>
      </c>
      <c r="G113" t="s">
        <v>174</v>
      </c>
      <c r="H113" t="s">
        <v>167</v>
      </c>
      <c r="I113" t="s">
        <v>175</v>
      </c>
      <c r="J113" t="s">
        <v>290</v>
      </c>
      <c r="L113" t="s">
        <v>291</v>
      </c>
      <c r="M113" s="25">
        <v>270</v>
      </c>
      <c r="N113" s="4">
        <v>108</v>
      </c>
      <c r="O113" s="24">
        <v>1</v>
      </c>
      <c r="Q113" s="20">
        <v>4</v>
      </c>
      <c r="T113" s="20" t="s">
        <v>178</v>
      </c>
      <c r="U113" s="21" t="s">
        <v>116</v>
      </c>
      <c r="V113" s="4">
        <v>108</v>
      </c>
      <c r="Y113" s="6">
        <f t="shared" si="15"/>
        <v>270</v>
      </c>
      <c r="Z113" s="6">
        <f t="shared" si="16"/>
        <v>108</v>
      </c>
      <c r="AA113" s="6">
        <f t="shared" si="17"/>
        <v>108</v>
      </c>
      <c r="AB113" s="6">
        <f t="shared" si="18"/>
        <v>162</v>
      </c>
      <c r="AC113" t="s">
        <v>33</v>
      </c>
      <c r="AD113" s="3" t="s">
        <v>168</v>
      </c>
    </row>
    <row r="114" spans="1:30" ht="15.75" customHeight="1" x14ac:dyDescent="0.2">
      <c r="A114" s="7" t="str">
        <f t="shared" si="13"/>
        <v>CYJ581New Buy</v>
      </c>
      <c r="B114" s="7" t="str">
        <f t="shared" si="14"/>
        <v>iPadNew Buy</v>
      </c>
      <c r="C114">
        <v>407247</v>
      </c>
      <c r="D114" s="19" t="s">
        <v>172</v>
      </c>
      <c r="E114" s="20" t="s">
        <v>166</v>
      </c>
      <c r="F114" s="20" t="s">
        <v>173</v>
      </c>
      <c r="G114" t="s">
        <v>174</v>
      </c>
      <c r="H114" t="s">
        <v>167</v>
      </c>
      <c r="I114" t="s">
        <v>175</v>
      </c>
      <c r="J114" t="s">
        <v>290</v>
      </c>
      <c r="L114" t="s">
        <v>292</v>
      </c>
      <c r="M114" s="25">
        <v>180</v>
      </c>
      <c r="N114" s="4">
        <v>108</v>
      </c>
      <c r="O114" s="24">
        <v>2</v>
      </c>
      <c r="Q114" s="20">
        <v>4</v>
      </c>
      <c r="T114" s="20" t="s">
        <v>178</v>
      </c>
      <c r="U114" s="21" t="s">
        <v>104</v>
      </c>
      <c r="V114" s="4">
        <v>108</v>
      </c>
      <c r="Y114" s="6">
        <f t="shared" si="15"/>
        <v>360</v>
      </c>
      <c r="Z114" s="6">
        <f t="shared" si="16"/>
        <v>216</v>
      </c>
      <c r="AA114" s="6">
        <f t="shared" si="17"/>
        <v>216</v>
      </c>
      <c r="AB114" s="6">
        <f t="shared" si="18"/>
        <v>144</v>
      </c>
      <c r="AC114" t="s">
        <v>16</v>
      </c>
      <c r="AD114" s="3" t="s">
        <v>168</v>
      </c>
    </row>
    <row r="115" spans="1:30" ht="15.75" customHeight="1" x14ac:dyDescent="0.2">
      <c r="A115" s="7" t="str">
        <f t="shared" si="13"/>
        <v>CYJ581New Buy</v>
      </c>
      <c r="B115" s="7" t="str">
        <f t="shared" si="14"/>
        <v>iPadNew Buy</v>
      </c>
      <c r="C115">
        <v>407246</v>
      </c>
      <c r="D115" s="19" t="s">
        <v>172</v>
      </c>
      <c r="E115" s="20" t="s">
        <v>166</v>
      </c>
      <c r="F115" s="20" t="s">
        <v>173</v>
      </c>
      <c r="G115" t="s">
        <v>174</v>
      </c>
      <c r="H115" t="s">
        <v>167</v>
      </c>
      <c r="I115" t="s">
        <v>175</v>
      </c>
      <c r="J115" t="s">
        <v>290</v>
      </c>
      <c r="L115" t="s">
        <v>292</v>
      </c>
      <c r="M115" s="25">
        <v>180</v>
      </c>
      <c r="N115" s="4">
        <v>108</v>
      </c>
      <c r="O115" s="24">
        <v>1</v>
      </c>
      <c r="Q115" s="20">
        <v>4</v>
      </c>
      <c r="T115" s="20" t="s">
        <v>178</v>
      </c>
      <c r="U115" s="21" t="s">
        <v>66</v>
      </c>
      <c r="V115" s="4">
        <v>108</v>
      </c>
      <c r="Y115" s="6">
        <f t="shared" si="15"/>
        <v>180</v>
      </c>
      <c r="Z115" s="6">
        <f t="shared" si="16"/>
        <v>108</v>
      </c>
      <c r="AA115" s="6">
        <f t="shared" si="17"/>
        <v>108</v>
      </c>
      <c r="AB115" s="6">
        <f t="shared" si="18"/>
        <v>72</v>
      </c>
      <c r="AC115" t="s">
        <v>16</v>
      </c>
      <c r="AD115" s="3" t="s">
        <v>168</v>
      </c>
    </row>
    <row r="116" spans="1:30" ht="15.75" customHeight="1" x14ac:dyDescent="0.2">
      <c r="A116" s="7" t="str">
        <f t="shared" si="13"/>
        <v>CYJ581New Buy</v>
      </c>
      <c r="B116" s="7" t="str">
        <f t="shared" si="14"/>
        <v>iPadNew Buy</v>
      </c>
      <c r="C116">
        <v>407245</v>
      </c>
      <c r="D116" s="19" t="s">
        <v>172</v>
      </c>
      <c r="E116" s="20" t="s">
        <v>166</v>
      </c>
      <c r="F116" s="20" t="s">
        <v>173</v>
      </c>
      <c r="G116" t="s">
        <v>174</v>
      </c>
      <c r="H116" t="s">
        <v>167</v>
      </c>
      <c r="I116" t="s">
        <v>175</v>
      </c>
      <c r="J116" t="s">
        <v>293</v>
      </c>
      <c r="L116" t="s">
        <v>294</v>
      </c>
      <c r="M116" s="25">
        <v>270</v>
      </c>
      <c r="N116" s="4">
        <v>108</v>
      </c>
      <c r="O116" s="24">
        <v>1</v>
      </c>
      <c r="Q116" s="20">
        <v>4</v>
      </c>
      <c r="T116" s="20" t="s">
        <v>178</v>
      </c>
      <c r="U116" s="21" t="s">
        <v>116</v>
      </c>
      <c r="V116" s="4">
        <v>108</v>
      </c>
      <c r="Y116" s="6">
        <f t="shared" si="15"/>
        <v>270</v>
      </c>
      <c r="Z116" s="6">
        <f t="shared" si="16"/>
        <v>108</v>
      </c>
      <c r="AA116" s="6">
        <f t="shared" si="17"/>
        <v>108</v>
      </c>
      <c r="AB116" s="6">
        <f t="shared" si="18"/>
        <v>162</v>
      </c>
      <c r="AC116" t="s">
        <v>33</v>
      </c>
      <c r="AD116" s="3" t="s">
        <v>168</v>
      </c>
    </row>
    <row r="117" spans="1:30" ht="15.75" customHeight="1" x14ac:dyDescent="0.2">
      <c r="A117" s="7" t="str">
        <f t="shared" si="13"/>
        <v>CYJ581New Buy</v>
      </c>
      <c r="B117" s="7" t="str">
        <f t="shared" si="14"/>
        <v>iPadNew Buy</v>
      </c>
      <c r="C117">
        <v>407244</v>
      </c>
      <c r="D117" s="19" t="s">
        <v>172</v>
      </c>
      <c r="E117" s="20" t="s">
        <v>166</v>
      </c>
      <c r="F117" s="20" t="s">
        <v>173</v>
      </c>
      <c r="G117" t="s">
        <v>174</v>
      </c>
      <c r="H117" t="s">
        <v>167</v>
      </c>
      <c r="I117" t="s">
        <v>175</v>
      </c>
      <c r="J117" t="s">
        <v>293</v>
      </c>
      <c r="L117" t="s">
        <v>295</v>
      </c>
      <c r="M117" s="25">
        <v>180</v>
      </c>
      <c r="N117" s="4">
        <v>108</v>
      </c>
      <c r="O117" s="24">
        <v>1</v>
      </c>
      <c r="Q117" s="20">
        <v>4</v>
      </c>
      <c r="T117" s="20" t="s">
        <v>178</v>
      </c>
      <c r="U117" s="21" t="s">
        <v>104</v>
      </c>
      <c r="V117" s="4">
        <v>108</v>
      </c>
      <c r="Y117" s="6">
        <f t="shared" si="15"/>
        <v>180</v>
      </c>
      <c r="Z117" s="6">
        <f t="shared" si="16"/>
        <v>108</v>
      </c>
      <c r="AA117" s="6">
        <f t="shared" si="17"/>
        <v>108</v>
      </c>
      <c r="AB117" s="6">
        <f t="shared" si="18"/>
        <v>72</v>
      </c>
      <c r="AC117" t="s">
        <v>16</v>
      </c>
      <c r="AD117" s="3" t="s">
        <v>168</v>
      </c>
    </row>
    <row r="118" spans="1:30" ht="15.75" customHeight="1" x14ac:dyDescent="0.2">
      <c r="A118" s="7" t="str">
        <f t="shared" si="13"/>
        <v>CYJ581New Buy</v>
      </c>
      <c r="B118" s="7" t="str">
        <f t="shared" si="14"/>
        <v>iPadNew Buy</v>
      </c>
      <c r="C118">
        <v>407243</v>
      </c>
      <c r="D118" s="19" t="s">
        <v>172</v>
      </c>
      <c r="E118" s="20" t="s">
        <v>166</v>
      </c>
      <c r="F118" s="20" t="s">
        <v>173</v>
      </c>
      <c r="G118" t="s">
        <v>174</v>
      </c>
      <c r="H118" t="s">
        <v>167</v>
      </c>
      <c r="I118" t="s">
        <v>175</v>
      </c>
      <c r="J118" t="s">
        <v>293</v>
      </c>
      <c r="L118" t="s">
        <v>295</v>
      </c>
      <c r="M118" s="25">
        <v>180</v>
      </c>
      <c r="N118" s="4">
        <v>108</v>
      </c>
      <c r="O118" s="24">
        <v>1</v>
      </c>
      <c r="Q118" s="20">
        <v>4</v>
      </c>
      <c r="T118" s="20" t="s">
        <v>178</v>
      </c>
      <c r="U118" s="21" t="s">
        <v>66</v>
      </c>
      <c r="V118" s="4">
        <v>108</v>
      </c>
      <c r="Y118" s="6">
        <f t="shared" si="15"/>
        <v>180</v>
      </c>
      <c r="Z118" s="6">
        <f t="shared" si="16"/>
        <v>108</v>
      </c>
      <c r="AA118" s="6">
        <f t="shared" si="17"/>
        <v>108</v>
      </c>
      <c r="AB118" s="6">
        <f t="shared" si="18"/>
        <v>72</v>
      </c>
      <c r="AC118" t="s">
        <v>16</v>
      </c>
      <c r="AD118" s="3" t="s">
        <v>168</v>
      </c>
    </row>
    <row r="119" spans="1:30" ht="15.75" customHeight="1" x14ac:dyDescent="0.25">
      <c r="A119" s="7" t="str">
        <f t="shared" si="13"/>
        <v>CYJ510New Buy</v>
      </c>
      <c r="B119" s="7" t="str">
        <f t="shared" si="14"/>
        <v>iPadNew Buy</v>
      </c>
      <c r="C119">
        <v>409012</v>
      </c>
      <c r="D119" s="19" t="s">
        <v>172</v>
      </c>
      <c r="E119" s="20" t="s">
        <v>166</v>
      </c>
      <c r="F119" s="20" t="s">
        <v>173</v>
      </c>
      <c r="G119" t="s">
        <v>68</v>
      </c>
      <c r="H119" t="s">
        <v>167</v>
      </c>
      <c r="I119" t="s">
        <v>175</v>
      </c>
      <c r="J119" t="s">
        <v>296</v>
      </c>
      <c r="L119" t="s">
        <v>297</v>
      </c>
      <c r="M119" s="25">
        <v>127.5</v>
      </c>
      <c r="N119" s="4">
        <v>51</v>
      </c>
      <c r="O119" s="24" t="s">
        <v>175</v>
      </c>
      <c r="Q119" s="20">
        <v>4</v>
      </c>
      <c r="T119" s="22" t="s">
        <v>178</v>
      </c>
      <c r="U119" s="22" t="s">
        <v>116</v>
      </c>
      <c r="V119" s="4">
        <v>51</v>
      </c>
      <c r="Y119" s="6">
        <f t="shared" si="15"/>
        <v>0</v>
      </c>
      <c r="Z119" s="6">
        <f t="shared" si="16"/>
        <v>0</v>
      </c>
      <c r="AA119" s="6">
        <f t="shared" si="17"/>
        <v>0</v>
      </c>
      <c r="AB119" s="6">
        <f t="shared" si="18"/>
        <v>0</v>
      </c>
      <c r="AC119" t="s">
        <v>33</v>
      </c>
      <c r="AD119" s="3" t="s">
        <v>168</v>
      </c>
    </row>
    <row r="120" spans="1:30" ht="15.75" customHeight="1" x14ac:dyDescent="0.25">
      <c r="A120" s="7" t="str">
        <f t="shared" si="13"/>
        <v>CYJ510New Buy</v>
      </c>
      <c r="B120" s="7" t="str">
        <f t="shared" si="14"/>
        <v>iPadNew Buy</v>
      </c>
      <c r="C120">
        <v>409011</v>
      </c>
      <c r="D120" s="19" t="s">
        <v>172</v>
      </c>
      <c r="E120" s="20" t="s">
        <v>166</v>
      </c>
      <c r="F120" s="20" t="s">
        <v>173</v>
      </c>
      <c r="G120" t="s">
        <v>68</v>
      </c>
      <c r="H120" t="s">
        <v>167</v>
      </c>
      <c r="I120" t="s">
        <v>175</v>
      </c>
      <c r="J120" t="s">
        <v>296</v>
      </c>
      <c r="L120" t="s">
        <v>297</v>
      </c>
      <c r="M120" s="25">
        <v>85</v>
      </c>
      <c r="N120" s="4">
        <v>51</v>
      </c>
      <c r="O120" s="24" t="s">
        <v>175</v>
      </c>
      <c r="Q120" s="20">
        <v>4</v>
      </c>
      <c r="T120" s="23" t="s">
        <v>178</v>
      </c>
      <c r="U120" s="23" t="s">
        <v>66</v>
      </c>
      <c r="V120" s="4">
        <v>51</v>
      </c>
      <c r="Y120" s="6">
        <f t="shared" si="15"/>
        <v>0</v>
      </c>
      <c r="Z120" s="6">
        <f t="shared" si="16"/>
        <v>0</v>
      </c>
      <c r="AA120" s="6">
        <f t="shared" si="17"/>
        <v>0</v>
      </c>
      <c r="AB120" s="6">
        <f t="shared" si="18"/>
        <v>0</v>
      </c>
      <c r="AC120" t="s">
        <v>16</v>
      </c>
      <c r="AD120" s="3" t="s">
        <v>168</v>
      </c>
    </row>
    <row r="121" spans="1:30" ht="15.75" customHeight="1" x14ac:dyDescent="0.25">
      <c r="A121" s="7" t="str">
        <f t="shared" si="13"/>
        <v>CYJ510New Buy</v>
      </c>
      <c r="B121" s="7" t="str">
        <f t="shared" si="14"/>
        <v>iPadNew Buy</v>
      </c>
      <c r="C121">
        <v>408996</v>
      </c>
      <c r="D121" s="19" t="s">
        <v>172</v>
      </c>
      <c r="E121" s="20" t="s">
        <v>166</v>
      </c>
      <c r="F121" s="20" t="s">
        <v>173</v>
      </c>
      <c r="G121" t="s">
        <v>68</v>
      </c>
      <c r="H121" t="s">
        <v>167</v>
      </c>
      <c r="I121" t="s">
        <v>175</v>
      </c>
      <c r="J121" t="s">
        <v>298</v>
      </c>
      <c r="L121" t="s">
        <v>299</v>
      </c>
      <c r="M121" s="25">
        <v>112.5</v>
      </c>
      <c r="N121" s="4">
        <v>45</v>
      </c>
      <c r="O121" s="24" t="s">
        <v>175</v>
      </c>
      <c r="Q121" s="20">
        <v>4</v>
      </c>
      <c r="T121" s="23" t="s">
        <v>178</v>
      </c>
      <c r="U121" s="23" t="s">
        <v>116</v>
      </c>
      <c r="V121" s="4">
        <v>45</v>
      </c>
      <c r="Y121" s="6">
        <f t="shared" si="15"/>
        <v>0</v>
      </c>
      <c r="Z121" s="6">
        <f t="shared" si="16"/>
        <v>0</v>
      </c>
      <c r="AA121" s="6">
        <f t="shared" si="17"/>
        <v>0</v>
      </c>
      <c r="AB121" s="6">
        <f t="shared" si="18"/>
        <v>0</v>
      </c>
      <c r="AC121" t="s">
        <v>33</v>
      </c>
      <c r="AD121" s="3" t="s">
        <v>168</v>
      </c>
    </row>
    <row r="122" spans="1:30" ht="15.75" customHeight="1" x14ac:dyDescent="0.25">
      <c r="A122" s="7" t="str">
        <f t="shared" si="13"/>
        <v>CYJ510New Buy</v>
      </c>
      <c r="B122" s="7" t="str">
        <f t="shared" si="14"/>
        <v>iPadNew Buy</v>
      </c>
      <c r="C122">
        <v>408995</v>
      </c>
      <c r="D122" s="19" t="s">
        <v>172</v>
      </c>
      <c r="E122" s="20" t="s">
        <v>166</v>
      </c>
      <c r="F122" s="20" t="s">
        <v>173</v>
      </c>
      <c r="G122" t="s">
        <v>68</v>
      </c>
      <c r="H122" t="s">
        <v>167</v>
      </c>
      <c r="I122" t="s">
        <v>175</v>
      </c>
      <c r="J122" t="s">
        <v>298</v>
      </c>
      <c r="L122" t="s">
        <v>299</v>
      </c>
      <c r="M122" s="25">
        <v>75</v>
      </c>
      <c r="N122" s="4">
        <v>45</v>
      </c>
      <c r="O122" s="24" t="s">
        <v>175</v>
      </c>
      <c r="Q122" s="20">
        <v>4</v>
      </c>
      <c r="T122" s="23" t="s">
        <v>178</v>
      </c>
      <c r="U122" s="23" t="s">
        <v>66</v>
      </c>
      <c r="V122" s="4">
        <v>45</v>
      </c>
      <c r="Y122" s="6">
        <f t="shared" si="15"/>
        <v>0</v>
      </c>
      <c r="Z122" s="6">
        <f t="shared" si="16"/>
        <v>0</v>
      </c>
      <c r="AA122" s="6">
        <f t="shared" si="17"/>
        <v>0</v>
      </c>
      <c r="AB122" s="6">
        <f t="shared" si="18"/>
        <v>0</v>
      </c>
      <c r="AC122" t="s">
        <v>16</v>
      </c>
      <c r="AD122" s="3" t="s">
        <v>168</v>
      </c>
    </row>
    <row r="123" spans="1:30" ht="15.75" customHeight="1" x14ac:dyDescent="0.25">
      <c r="A123" s="7" t="str">
        <f t="shared" si="13"/>
        <v>CYJ510New Buy</v>
      </c>
      <c r="B123" s="7" t="str">
        <f t="shared" si="14"/>
        <v>iPadNew Buy</v>
      </c>
      <c r="C123">
        <v>408991</v>
      </c>
      <c r="D123" s="19" t="s">
        <v>172</v>
      </c>
      <c r="E123" s="20" t="s">
        <v>166</v>
      </c>
      <c r="F123" s="20" t="s">
        <v>173</v>
      </c>
      <c r="G123" t="s">
        <v>68</v>
      </c>
      <c r="H123" t="s">
        <v>167</v>
      </c>
      <c r="I123" t="s">
        <v>175</v>
      </c>
      <c r="J123" t="s">
        <v>300</v>
      </c>
      <c r="L123" t="s">
        <v>301</v>
      </c>
      <c r="M123" s="25">
        <v>112.5</v>
      </c>
      <c r="N123" s="4">
        <v>45</v>
      </c>
      <c r="O123" s="24" t="s">
        <v>175</v>
      </c>
      <c r="Q123" s="20">
        <v>4</v>
      </c>
      <c r="T123" s="23" t="s">
        <v>178</v>
      </c>
      <c r="U123" s="23" t="s">
        <v>116</v>
      </c>
      <c r="V123" s="4">
        <v>45</v>
      </c>
      <c r="Y123" s="6">
        <f t="shared" si="15"/>
        <v>0</v>
      </c>
      <c r="Z123" s="6">
        <f t="shared" si="16"/>
        <v>0</v>
      </c>
      <c r="AA123" s="6">
        <f t="shared" si="17"/>
        <v>0</v>
      </c>
      <c r="AB123" s="6">
        <f t="shared" si="18"/>
        <v>0</v>
      </c>
      <c r="AC123" t="s">
        <v>33</v>
      </c>
      <c r="AD123" s="3" t="s">
        <v>168</v>
      </c>
    </row>
    <row r="124" spans="1:30" ht="15.75" customHeight="1" x14ac:dyDescent="0.25">
      <c r="A124" s="7" t="str">
        <f t="shared" si="13"/>
        <v>CYJ510New Buy</v>
      </c>
      <c r="B124" s="7" t="str">
        <f t="shared" si="14"/>
        <v>iPadNew Buy</v>
      </c>
      <c r="C124">
        <v>408990</v>
      </c>
      <c r="D124" s="19" t="s">
        <v>172</v>
      </c>
      <c r="E124" s="20" t="s">
        <v>166</v>
      </c>
      <c r="F124" s="20" t="s">
        <v>173</v>
      </c>
      <c r="G124" t="s">
        <v>68</v>
      </c>
      <c r="H124" t="s">
        <v>167</v>
      </c>
      <c r="I124" t="s">
        <v>175</v>
      </c>
      <c r="J124" t="s">
        <v>300</v>
      </c>
      <c r="L124" t="s">
        <v>301</v>
      </c>
      <c r="M124" s="25">
        <v>75</v>
      </c>
      <c r="N124" s="4">
        <v>45</v>
      </c>
      <c r="O124" s="24" t="s">
        <v>175</v>
      </c>
      <c r="Q124" s="20">
        <v>4</v>
      </c>
      <c r="T124" s="23" t="s">
        <v>178</v>
      </c>
      <c r="U124" s="23" t="s">
        <v>66</v>
      </c>
      <c r="V124" s="4">
        <v>45</v>
      </c>
      <c r="Y124" s="6">
        <f t="shared" si="15"/>
        <v>0</v>
      </c>
      <c r="Z124" s="6">
        <f t="shared" si="16"/>
        <v>0</v>
      </c>
      <c r="AA124" s="6">
        <f t="shared" si="17"/>
        <v>0</v>
      </c>
      <c r="AB124" s="6">
        <f t="shared" si="18"/>
        <v>0</v>
      </c>
      <c r="AC124" t="s">
        <v>16</v>
      </c>
      <c r="AD124" s="3" t="s">
        <v>168</v>
      </c>
    </row>
    <row r="125" spans="1:30" ht="15.75" customHeight="1" x14ac:dyDescent="0.25">
      <c r="A125" s="7" t="str">
        <f t="shared" si="13"/>
        <v>CYJ510New Buy</v>
      </c>
      <c r="B125" s="7" t="str">
        <f t="shared" si="14"/>
        <v>iPadNew Buy</v>
      </c>
      <c r="C125">
        <v>408981</v>
      </c>
      <c r="D125" s="19" t="s">
        <v>172</v>
      </c>
      <c r="E125" s="20" t="s">
        <v>166</v>
      </c>
      <c r="F125" s="20" t="s">
        <v>173</v>
      </c>
      <c r="G125" t="s">
        <v>68</v>
      </c>
      <c r="H125" t="s">
        <v>167</v>
      </c>
      <c r="I125" t="s">
        <v>175</v>
      </c>
      <c r="J125" t="s">
        <v>302</v>
      </c>
      <c r="L125" t="s">
        <v>303</v>
      </c>
      <c r="M125" s="25">
        <v>70</v>
      </c>
      <c r="N125" s="4">
        <v>42</v>
      </c>
      <c r="O125" s="24" t="s">
        <v>175</v>
      </c>
      <c r="Q125" s="20">
        <v>4</v>
      </c>
      <c r="T125" s="23" t="s">
        <v>178</v>
      </c>
      <c r="U125" s="23" t="s">
        <v>66</v>
      </c>
      <c r="V125" s="4">
        <v>42</v>
      </c>
      <c r="Y125" s="6">
        <f t="shared" si="15"/>
        <v>0</v>
      </c>
      <c r="Z125" s="6">
        <f t="shared" si="16"/>
        <v>0</v>
      </c>
      <c r="AA125" s="6">
        <f t="shared" si="17"/>
        <v>0</v>
      </c>
      <c r="AB125" s="6">
        <f t="shared" si="18"/>
        <v>0</v>
      </c>
      <c r="AC125" t="s">
        <v>16</v>
      </c>
      <c r="AD125" s="3" t="s">
        <v>168</v>
      </c>
    </row>
    <row r="126" spans="1:30" ht="15.75" customHeight="1" x14ac:dyDescent="0.25">
      <c r="A126" s="7" t="str">
        <f t="shared" si="13"/>
        <v>CYJ510New Buy</v>
      </c>
      <c r="B126" s="7" t="str">
        <f t="shared" si="14"/>
        <v>iPadNew Buy</v>
      </c>
      <c r="C126">
        <v>408976</v>
      </c>
      <c r="D126" s="19" t="s">
        <v>172</v>
      </c>
      <c r="E126" s="20" t="s">
        <v>166</v>
      </c>
      <c r="F126" s="20" t="s">
        <v>173</v>
      </c>
      <c r="G126" t="s">
        <v>68</v>
      </c>
      <c r="H126" t="s">
        <v>167</v>
      </c>
      <c r="I126" t="s">
        <v>175</v>
      </c>
      <c r="J126" t="s">
        <v>304</v>
      </c>
      <c r="L126" t="s">
        <v>305</v>
      </c>
      <c r="M126" s="25">
        <v>70</v>
      </c>
      <c r="N126" s="4">
        <v>42</v>
      </c>
      <c r="O126" s="24">
        <v>1</v>
      </c>
      <c r="Q126" s="20">
        <v>4</v>
      </c>
      <c r="T126" s="23" t="s">
        <v>178</v>
      </c>
      <c r="U126" s="23" t="s">
        <v>66</v>
      </c>
      <c r="V126" s="4">
        <v>42</v>
      </c>
      <c r="Y126" s="6">
        <f t="shared" si="15"/>
        <v>70</v>
      </c>
      <c r="Z126" s="6">
        <f t="shared" si="16"/>
        <v>42</v>
      </c>
      <c r="AA126" s="6">
        <f t="shared" si="17"/>
        <v>42</v>
      </c>
      <c r="AB126" s="6">
        <f t="shared" si="18"/>
        <v>28</v>
      </c>
      <c r="AC126" t="s">
        <v>16</v>
      </c>
      <c r="AD126" s="3" t="s">
        <v>168</v>
      </c>
    </row>
    <row r="127" spans="1:30" ht="15.75" customHeight="1" x14ac:dyDescent="0.25">
      <c r="A127" s="7" t="str">
        <f t="shared" si="13"/>
        <v>CYJ510New Buy</v>
      </c>
      <c r="B127" s="7" t="str">
        <f t="shared" si="14"/>
        <v>iPadNew Buy</v>
      </c>
      <c r="C127">
        <v>408965</v>
      </c>
      <c r="D127" s="19" t="s">
        <v>172</v>
      </c>
      <c r="E127" s="20" t="s">
        <v>166</v>
      </c>
      <c r="F127" s="20" t="s">
        <v>173</v>
      </c>
      <c r="G127" t="s">
        <v>68</v>
      </c>
      <c r="H127" t="s">
        <v>167</v>
      </c>
      <c r="I127" t="s">
        <v>175</v>
      </c>
      <c r="J127" t="s">
        <v>306</v>
      </c>
      <c r="L127" t="s">
        <v>307</v>
      </c>
      <c r="M127" s="25">
        <v>195</v>
      </c>
      <c r="N127" s="4">
        <v>78</v>
      </c>
      <c r="O127" s="24" t="s">
        <v>175</v>
      </c>
      <c r="Q127" s="20">
        <v>4</v>
      </c>
      <c r="T127" s="23" t="s">
        <v>178</v>
      </c>
      <c r="U127" s="23" t="s">
        <v>116</v>
      </c>
      <c r="V127" s="4">
        <v>78</v>
      </c>
      <c r="Y127" s="6">
        <f t="shared" si="15"/>
        <v>0</v>
      </c>
      <c r="Z127" s="6">
        <f t="shared" si="16"/>
        <v>0</v>
      </c>
      <c r="AA127" s="6">
        <f t="shared" si="17"/>
        <v>0</v>
      </c>
      <c r="AB127" s="6">
        <f t="shared" si="18"/>
        <v>0</v>
      </c>
      <c r="AC127" t="s">
        <v>33</v>
      </c>
      <c r="AD127" s="3" t="s">
        <v>168</v>
      </c>
    </row>
    <row r="128" spans="1:30" ht="15.75" customHeight="1" x14ac:dyDescent="0.25">
      <c r="A128" s="7" t="str">
        <f t="shared" si="13"/>
        <v>CYJ510New Buy</v>
      </c>
      <c r="B128" s="7" t="str">
        <f t="shared" si="14"/>
        <v>iPadNew Buy</v>
      </c>
      <c r="C128">
        <v>408964</v>
      </c>
      <c r="D128" s="19" t="s">
        <v>172</v>
      </c>
      <c r="E128" s="20" t="s">
        <v>166</v>
      </c>
      <c r="F128" s="20" t="s">
        <v>173</v>
      </c>
      <c r="G128" t="s">
        <v>68</v>
      </c>
      <c r="H128" t="s">
        <v>167</v>
      </c>
      <c r="I128" t="s">
        <v>175</v>
      </c>
      <c r="J128" t="s">
        <v>306</v>
      </c>
      <c r="L128" t="s">
        <v>307</v>
      </c>
      <c r="M128" s="25">
        <v>130</v>
      </c>
      <c r="N128" s="4">
        <v>78</v>
      </c>
      <c r="O128" s="24" t="s">
        <v>175</v>
      </c>
      <c r="Q128" s="20">
        <v>4</v>
      </c>
      <c r="T128" s="23" t="s">
        <v>178</v>
      </c>
      <c r="U128" s="23" t="s">
        <v>66</v>
      </c>
      <c r="V128" s="4">
        <v>78</v>
      </c>
      <c r="Y128" s="6">
        <f t="shared" si="15"/>
        <v>0</v>
      </c>
      <c r="Z128" s="6">
        <f t="shared" si="16"/>
        <v>0</v>
      </c>
      <c r="AA128" s="6">
        <f t="shared" si="17"/>
        <v>0</v>
      </c>
      <c r="AB128" s="6">
        <f t="shared" si="18"/>
        <v>0</v>
      </c>
      <c r="AC128" t="s">
        <v>16</v>
      </c>
      <c r="AD128" s="3" t="s">
        <v>168</v>
      </c>
    </row>
    <row r="129" spans="1:30" ht="15.75" customHeight="1" x14ac:dyDescent="0.25">
      <c r="A129" s="7" t="str">
        <f t="shared" si="13"/>
        <v>CYJ510New Buy</v>
      </c>
      <c r="B129" s="7" t="str">
        <f t="shared" si="14"/>
        <v>iPadNew Buy</v>
      </c>
      <c r="C129">
        <v>408961</v>
      </c>
      <c r="D129" s="19" t="s">
        <v>172</v>
      </c>
      <c r="E129" s="20" t="s">
        <v>166</v>
      </c>
      <c r="F129" s="20" t="s">
        <v>173</v>
      </c>
      <c r="G129" t="s">
        <v>68</v>
      </c>
      <c r="H129" t="s">
        <v>167</v>
      </c>
      <c r="I129" t="s">
        <v>175</v>
      </c>
      <c r="J129" t="s">
        <v>308</v>
      </c>
      <c r="L129" t="s">
        <v>309</v>
      </c>
      <c r="M129" s="25">
        <v>195</v>
      </c>
      <c r="N129" s="4">
        <v>78</v>
      </c>
      <c r="O129" s="24" t="s">
        <v>175</v>
      </c>
      <c r="Q129" s="20">
        <v>4</v>
      </c>
      <c r="T129" s="23" t="s">
        <v>178</v>
      </c>
      <c r="U129" s="23" t="s">
        <v>116</v>
      </c>
      <c r="V129" s="4">
        <v>78</v>
      </c>
      <c r="Y129" s="6">
        <f t="shared" si="15"/>
        <v>0</v>
      </c>
      <c r="Z129" s="6">
        <f t="shared" si="16"/>
        <v>0</v>
      </c>
      <c r="AA129" s="6">
        <f t="shared" si="17"/>
        <v>0</v>
      </c>
      <c r="AB129" s="6">
        <f t="shared" si="18"/>
        <v>0</v>
      </c>
      <c r="AC129" t="s">
        <v>33</v>
      </c>
      <c r="AD129" s="3" t="s">
        <v>168</v>
      </c>
    </row>
    <row r="130" spans="1:30" ht="15.75" customHeight="1" x14ac:dyDescent="0.25">
      <c r="A130" s="7" t="str">
        <f t="shared" si="13"/>
        <v>CYJ510New Buy</v>
      </c>
      <c r="B130" s="7" t="str">
        <f t="shared" si="14"/>
        <v>iPadNew Buy</v>
      </c>
      <c r="C130">
        <v>408960</v>
      </c>
      <c r="D130" s="19" t="s">
        <v>172</v>
      </c>
      <c r="E130" s="20" t="s">
        <v>166</v>
      </c>
      <c r="F130" s="20" t="s">
        <v>173</v>
      </c>
      <c r="G130" t="s">
        <v>68</v>
      </c>
      <c r="H130" t="s">
        <v>167</v>
      </c>
      <c r="I130" t="s">
        <v>175</v>
      </c>
      <c r="J130" t="s">
        <v>308</v>
      </c>
      <c r="L130" t="s">
        <v>309</v>
      </c>
      <c r="M130" s="25">
        <v>130</v>
      </c>
      <c r="N130" s="4">
        <v>78</v>
      </c>
      <c r="O130" s="24" t="s">
        <v>175</v>
      </c>
      <c r="Q130" s="20">
        <v>4</v>
      </c>
      <c r="T130" s="23" t="s">
        <v>178</v>
      </c>
      <c r="U130" s="23" t="s">
        <v>66</v>
      </c>
      <c r="V130" s="4">
        <v>78</v>
      </c>
      <c r="Y130" s="6">
        <f t="shared" si="15"/>
        <v>0</v>
      </c>
      <c r="Z130" s="6">
        <f t="shared" si="16"/>
        <v>0</v>
      </c>
      <c r="AA130" s="6">
        <f t="shared" si="17"/>
        <v>0</v>
      </c>
      <c r="AB130" s="6">
        <f t="shared" si="18"/>
        <v>0</v>
      </c>
      <c r="AC130" t="s">
        <v>16</v>
      </c>
      <c r="AD130" s="3" t="s">
        <v>168</v>
      </c>
    </row>
    <row r="131" spans="1:30" ht="15.75" customHeight="1" x14ac:dyDescent="0.25">
      <c r="A131" s="7" t="str">
        <f t="shared" si="13"/>
        <v>CYJ510New Buy</v>
      </c>
      <c r="B131" s="7" t="str">
        <f t="shared" si="14"/>
        <v>iPadNew Buy</v>
      </c>
      <c r="C131">
        <v>408940</v>
      </c>
      <c r="D131" s="19" t="s">
        <v>172</v>
      </c>
      <c r="E131" s="20" t="s">
        <v>166</v>
      </c>
      <c r="F131" s="20" t="s">
        <v>173</v>
      </c>
      <c r="G131" t="s">
        <v>68</v>
      </c>
      <c r="H131" t="s">
        <v>167</v>
      </c>
      <c r="I131" t="s">
        <v>175</v>
      </c>
      <c r="J131" t="s">
        <v>310</v>
      </c>
      <c r="L131" t="s">
        <v>311</v>
      </c>
      <c r="M131" s="25">
        <v>180</v>
      </c>
      <c r="N131" s="4">
        <v>95</v>
      </c>
      <c r="O131" s="24">
        <v>40</v>
      </c>
      <c r="Q131" s="20">
        <v>4</v>
      </c>
      <c r="T131" s="23" t="s">
        <v>178</v>
      </c>
      <c r="U131" s="23" t="s">
        <v>116</v>
      </c>
      <c r="V131" s="4">
        <v>72</v>
      </c>
      <c r="Y131" s="6">
        <f t="shared" si="15"/>
        <v>7200</v>
      </c>
      <c r="Z131" s="6">
        <f t="shared" si="16"/>
        <v>2880</v>
      </c>
      <c r="AA131" s="6">
        <f t="shared" si="17"/>
        <v>3800</v>
      </c>
      <c r="AB131" s="6">
        <f t="shared" si="18"/>
        <v>3400</v>
      </c>
      <c r="AC131" t="s">
        <v>33</v>
      </c>
      <c r="AD131" s="3" t="s">
        <v>168</v>
      </c>
    </row>
    <row r="132" spans="1:30" ht="15.75" customHeight="1" x14ac:dyDescent="0.25">
      <c r="A132" s="7" t="str">
        <f t="shared" si="13"/>
        <v>CYJ510New Buy</v>
      </c>
      <c r="B132" s="7" t="str">
        <f t="shared" si="14"/>
        <v>iPadNew Buy</v>
      </c>
      <c r="C132">
        <v>408939</v>
      </c>
      <c r="D132" s="19" t="s">
        <v>172</v>
      </c>
      <c r="E132" s="20" t="s">
        <v>166</v>
      </c>
      <c r="F132" s="20" t="s">
        <v>173</v>
      </c>
      <c r="G132" t="s">
        <v>68</v>
      </c>
      <c r="H132" t="s">
        <v>167</v>
      </c>
      <c r="I132" t="s">
        <v>175</v>
      </c>
      <c r="J132" t="s">
        <v>310</v>
      </c>
      <c r="L132" t="s">
        <v>311</v>
      </c>
      <c r="M132" s="25">
        <v>120</v>
      </c>
      <c r="N132" s="4">
        <v>95</v>
      </c>
      <c r="O132" s="24">
        <v>40</v>
      </c>
      <c r="Q132" s="20">
        <v>4</v>
      </c>
      <c r="T132" s="23" t="s">
        <v>178</v>
      </c>
      <c r="U132" s="23" t="s">
        <v>66</v>
      </c>
      <c r="V132" s="4">
        <v>72</v>
      </c>
      <c r="Y132" s="6">
        <f t="shared" si="15"/>
        <v>4800</v>
      </c>
      <c r="Z132" s="6">
        <f t="shared" si="16"/>
        <v>2880</v>
      </c>
      <c r="AA132" s="6">
        <f t="shared" si="17"/>
        <v>3800</v>
      </c>
      <c r="AB132" s="6">
        <f t="shared" si="18"/>
        <v>1000</v>
      </c>
      <c r="AC132" t="s">
        <v>16</v>
      </c>
      <c r="AD132" s="3" t="s">
        <v>168</v>
      </c>
    </row>
    <row r="133" spans="1:30" ht="15.75" customHeight="1" x14ac:dyDescent="0.25">
      <c r="A133" s="7" t="str">
        <f t="shared" si="13"/>
        <v>CYJ510New Buy</v>
      </c>
      <c r="B133" s="7" t="str">
        <f t="shared" si="14"/>
        <v>iPadNew Buy</v>
      </c>
      <c r="C133">
        <v>408938</v>
      </c>
      <c r="D133" s="19" t="s">
        <v>172</v>
      </c>
      <c r="E133" s="20" t="s">
        <v>166</v>
      </c>
      <c r="F133" s="20" t="s">
        <v>173</v>
      </c>
      <c r="G133" t="s">
        <v>68</v>
      </c>
      <c r="H133" t="s">
        <v>167</v>
      </c>
      <c r="I133" t="s">
        <v>175</v>
      </c>
      <c r="J133" t="s">
        <v>312</v>
      </c>
      <c r="L133" t="s">
        <v>313</v>
      </c>
      <c r="M133" s="25">
        <v>420</v>
      </c>
      <c r="N133" s="4">
        <v>260</v>
      </c>
      <c r="O133" s="24" t="s">
        <v>175</v>
      </c>
      <c r="Q133" s="20">
        <v>4</v>
      </c>
      <c r="T133" s="23" t="s">
        <v>178</v>
      </c>
      <c r="U133" s="23" t="s">
        <v>116</v>
      </c>
      <c r="V133" s="4">
        <v>168</v>
      </c>
      <c r="Y133" s="6">
        <f t="shared" si="15"/>
        <v>0</v>
      </c>
      <c r="Z133" s="6">
        <f t="shared" si="16"/>
        <v>0</v>
      </c>
      <c r="AA133" s="6">
        <f t="shared" si="17"/>
        <v>0</v>
      </c>
      <c r="AB133" s="6">
        <f t="shared" si="18"/>
        <v>0</v>
      </c>
      <c r="AC133" t="s">
        <v>33</v>
      </c>
      <c r="AD133" s="3" t="s">
        <v>168</v>
      </c>
    </row>
    <row r="134" spans="1:30" ht="15.75" customHeight="1" x14ac:dyDescent="0.25">
      <c r="A134" s="7" t="str">
        <f t="shared" si="13"/>
        <v>CYJ510New Buy</v>
      </c>
      <c r="B134" s="7" t="str">
        <f t="shared" si="14"/>
        <v>iPadNew Buy</v>
      </c>
      <c r="C134">
        <v>408937</v>
      </c>
      <c r="D134" s="19" t="s">
        <v>172</v>
      </c>
      <c r="E134" s="20" t="s">
        <v>166</v>
      </c>
      <c r="F134" s="20" t="s">
        <v>173</v>
      </c>
      <c r="G134" t="s">
        <v>68</v>
      </c>
      <c r="H134" t="s">
        <v>167</v>
      </c>
      <c r="I134" t="s">
        <v>175</v>
      </c>
      <c r="J134" t="s">
        <v>312</v>
      </c>
      <c r="L134" t="s">
        <v>313</v>
      </c>
      <c r="M134" s="25">
        <v>280</v>
      </c>
      <c r="N134" s="4">
        <v>260</v>
      </c>
      <c r="O134" s="24" t="s">
        <v>175</v>
      </c>
      <c r="Q134" s="20">
        <v>4</v>
      </c>
      <c r="T134" s="23" t="s">
        <v>178</v>
      </c>
      <c r="U134" s="23" t="s">
        <v>66</v>
      </c>
      <c r="V134" s="4">
        <v>168</v>
      </c>
      <c r="Y134" s="6">
        <f t="shared" si="15"/>
        <v>0</v>
      </c>
      <c r="Z134" s="6">
        <f t="shared" si="16"/>
        <v>0</v>
      </c>
      <c r="AA134" s="6">
        <f t="shared" si="17"/>
        <v>0</v>
      </c>
      <c r="AB134" s="6">
        <f t="shared" si="18"/>
        <v>0</v>
      </c>
      <c r="AC134" t="s">
        <v>16</v>
      </c>
      <c r="AD134" s="3" t="s">
        <v>168</v>
      </c>
    </row>
    <row r="135" spans="1:30" ht="15.75" customHeight="1" x14ac:dyDescent="0.25">
      <c r="A135" s="7" t="str">
        <f t="shared" si="13"/>
        <v>CYJ510New Buy</v>
      </c>
      <c r="B135" s="7" t="str">
        <f t="shared" si="14"/>
        <v>iPadNew Buy</v>
      </c>
      <c r="C135">
        <v>408921</v>
      </c>
      <c r="D135" s="19" t="s">
        <v>172</v>
      </c>
      <c r="E135" s="20" t="s">
        <v>166</v>
      </c>
      <c r="F135" s="20" t="s">
        <v>173</v>
      </c>
      <c r="G135" t="s">
        <v>68</v>
      </c>
      <c r="H135" t="s">
        <v>167</v>
      </c>
      <c r="I135" t="s">
        <v>175</v>
      </c>
      <c r="J135" t="s">
        <v>314</v>
      </c>
      <c r="L135" t="s">
        <v>315</v>
      </c>
      <c r="M135" s="25">
        <v>82.5</v>
      </c>
      <c r="N135" s="4">
        <v>33</v>
      </c>
      <c r="O135" s="24" t="s">
        <v>175</v>
      </c>
      <c r="Q135" s="20">
        <v>4</v>
      </c>
      <c r="T135" s="23" t="s">
        <v>178</v>
      </c>
      <c r="U135" s="23" t="s">
        <v>116</v>
      </c>
      <c r="V135" s="4">
        <v>33</v>
      </c>
      <c r="Y135" s="6">
        <f t="shared" si="15"/>
        <v>0</v>
      </c>
      <c r="Z135" s="6">
        <f t="shared" si="16"/>
        <v>0</v>
      </c>
      <c r="AA135" s="6">
        <f t="shared" si="17"/>
        <v>0</v>
      </c>
      <c r="AB135" s="6">
        <f t="shared" si="18"/>
        <v>0</v>
      </c>
      <c r="AC135" t="s">
        <v>33</v>
      </c>
      <c r="AD135" s="3" t="s">
        <v>168</v>
      </c>
    </row>
    <row r="136" spans="1:30" ht="15.75" customHeight="1" x14ac:dyDescent="0.25">
      <c r="A136" s="7" t="str">
        <f t="shared" ref="A136:A156" si="19">CONCATENATE(D136,G136,H136,K136)</f>
        <v>CYJ510New Buy</v>
      </c>
      <c r="B136" s="7" t="str">
        <f t="shared" ref="B136:B156" si="20">_xlfn.CONCAT(F136,K136,"New Buy")</f>
        <v>iPadNew Buy</v>
      </c>
      <c r="C136">
        <v>408920</v>
      </c>
      <c r="D136" s="19" t="s">
        <v>172</v>
      </c>
      <c r="E136" s="20" t="s">
        <v>166</v>
      </c>
      <c r="F136" s="20" t="s">
        <v>173</v>
      </c>
      <c r="G136" t="s">
        <v>68</v>
      </c>
      <c r="H136" t="s">
        <v>167</v>
      </c>
      <c r="I136" t="s">
        <v>175</v>
      </c>
      <c r="J136" t="s">
        <v>314</v>
      </c>
      <c r="L136" t="s">
        <v>315</v>
      </c>
      <c r="M136" s="25">
        <v>55</v>
      </c>
      <c r="N136" s="4">
        <v>33</v>
      </c>
      <c r="O136" s="24" t="s">
        <v>175</v>
      </c>
      <c r="Q136" s="20">
        <v>4</v>
      </c>
      <c r="T136" s="23" t="s">
        <v>178</v>
      </c>
      <c r="U136" s="23" t="s">
        <v>66</v>
      </c>
      <c r="V136" s="4">
        <v>33</v>
      </c>
      <c r="Y136" s="6">
        <f t="shared" ref="Y136:Y156" si="21">IFERROR(O136*M136,0)</f>
        <v>0</v>
      </c>
      <c r="Z136" s="6">
        <f t="shared" ref="Z136:Z156" si="22">IFERROR(O136*V136,0)</f>
        <v>0</v>
      </c>
      <c r="AA136" s="6">
        <f t="shared" ref="AA136:AA156" si="23">IFERROR(N136*O136,0)</f>
        <v>0</v>
      </c>
      <c r="AB136" s="6">
        <f t="shared" ref="AB136:AB156" si="24">IF(AA136=0,0,Y136-AA136)</f>
        <v>0</v>
      </c>
      <c r="AC136" t="s">
        <v>16</v>
      </c>
      <c r="AD136" s="3" t="s">
        <v>168</v>
      </c>
    </row>
    <row r="137" spans="1:30" ht="15.75" customHeight="1" x14ac:dyDescent="0.25">
      <c r="A137" s="7" t="str">
        <f t="shared" si="19"/>
        <v>CYJ510New Buy</v>
      </c>
      <c r="B137" s="7" t="str">
        <f t="shared" si="20"/>
        <v>iPadNew Buy</v>
      </c>
      <c r="C137">
        <v>408917</v>
      </c>
      <c r="D137" s="19" t="s">
        <v>172</v>
      </c>
      <c r="E137" s="20" t="s">
        <v>166</v>
      </c>
      <c r="F137" s="20" t="s">
        <v>173</v>
      </c>
      <c r="G137" t="s">
        <v>68</v>
      </c>
      <c r="H137" t="s">
        <v>167</v>
      </c>
      <c r="I137" t="s">
        <v>175</v>
      </c>
      <c r="J137" t="s">
        <v>316</v>
      </c>
      <c r="L137" t="s">
        <v>317</v>
      </c>
      <c r="M137" s="25">
        <v>82.5</v>
      </c>
      <c r="N137" s="4">
        <v>33</v>
      </c>
      <c r="O137" s="24" t="s">
        <v>175</v>
      </c>
      <c r="Q137" s="20">
        <v>4</v>
      </c>
      <c r="T137" s="23" t="s">
        <v>178</v>
      </c>
      <c r="U137" s="23" t="s">
        <v>116</v>
      </c>
      <c r="V137" s="4">
        <v>33</v>
      </c>
      <c r="Y137" s="6">
        <f t="shared" si="21"/>
        <v>0</v>
      </c>
      <c r="Z137" s="6">
        <f t="shared" si="22"/>
        <v>0</v>
      </c>
      <c r="AA137" s="6">
        <f t="shared" si="23"/>
        <v>0</v>
      </c>
      <c r="AB137" s="6">
        <f t="shared" si="24"/>
        <v>0</v>
      </c>
      <c r="AC137" t="s">
        <v>33</v>
      </c>
      <c r="AD137" s="3" t="s">
        <v>168</v>
      </c>
    </row>
    <row r="138" spans="1:30" ht="15.75" customHeight="1" x14ac:dyDescent="0.25">
      <c r="A138" s="7" t="str">
        <f t="shared" si="19"/>
        <v>CYJ510New Buy</v>
      </c>
      <c r="B138" s="7" t="str">
        <f t="shared" si="20"/>
        <v>iPadNew Buy</v>
      </c>
      <c r="C138">
        <v>408916</v>
      </c>
      <c r="D138" s="19" t="s">
        <v>172</v>
      </c>
      <c r="E138" s="20" t="s">
        <v>166</v>
      </c>
      <c r="F138" s="20" t="s">
        <v>173</v>
      </c>
      <c r="G138" t="s">
        <v>68</v>
      </c>
      <c r="H138" t="s">
        <v>167</v>
      </c>
      <c r="I138" t="s">
        <v>175</v>
      </c>
      <c r="J138" t="s">
        <v>316</v>
      </c>
      <c r="L138" t="s">
        <v>317</v>
      </c>
      <c r="M138" s="25">
        <v>55</v>
      </c>
      <c r="N138" s="4">
        <v>33</v>
      </c>
      <c r="O138" s="24" t="s">
        <v>175</v>
      </c>
      <c r="Q138" s="20">
        <v>4</v>
      </c>
      <c r="T138" s="23" t="s">
        <v>178</v>
      </c>
      <c r="U138" s="23" t="s">
        <v>66</v>
      </c>
      <c r="V138" s="4">
        <v>33</v>
      </c>
      <c r="Y138" s="6">
        <f t="shared" si="21"/>
        <v>0</v>
      </c>
      <c r="Z138" s="6">
        <f t="shared" si="22"/>
        <v>0</v>
      </c>
      <c r="AA138" s="6">
        <f t="shared" si="23"/>
        <v>0</v>
      </c>
      <c r="AB138" s="6">
        <f t="shared" si="24"/>
        <v>0</v>
      </c>
      <c r="AC138" t="s">
        <v>16</v>
      </c>
      <c r="AD138" s="3" t="s">
        <v>168</v>
      </c>
    </row>
    <row r="139" spans="1:30" ht="15.75" customHeight="1" x14ac:dyDescent="0.25">
      <c r="A139" s="7" t="str">
        <f t="shared" si="19"/>
        <v>CYJ510New Buy</v>
      </c>
      <c r="B139" s="7" t="str">
        <f t="shared" si="20"/>
        <v>iPadNew Buy</v>
      </c>
      <c r="C139">
        <v>408912</v>
      </c>
      <c r="D139" s="19" t="s">
        <v>172</v>
      </c>
      <c r="E139" s="20" t="s">
        <v>166</v>
      </c>
      <c r="F139" s="20" t="s">
        <v>173</v>
      </c>
      <c r="G139" t="s">
        <v>68</v>
      </c>
      <c r="H139" t="s">
        <v>167</v>
      </c>
      <c r="I139" t="s">
        <v>175</v>
      </c>
      <c r="J139" t="s">
        <v>318</v>
      </c>
      <c r="L139" t="s">
        <v>319</v>
      </c>
      <c r="M139" s="25">
        <v>82.5</v>
      </c>
      <c r="N139" s="4">
        <v>33</v>
      </c>
      <c r="O139" s="24" t="s">
        <v>175</v>
      </c>
      <c r="Q139" s="20">
        <v>4</v>
      </c>
      <c r="T139" s="23" t="s">
        <v>178</v>
      </c>
      <c r="U139" s="23" t="s">
        <v>116</v>
      </c>
      <c r="V139" s="4">
        <v>33</v>
      </c>
      <c r="Y139" s="6">
        <f t="shared" si="21"/>
        <v>0</v>
      </c>
      <c r="Z139" s="6">
        <f t="shared" si="22"/>
        <v>0</v>
      </c>
      <c r="AA139" s="6">
        <f t="shared" si="23"/>
        <v>0</v>
      </c>
      <c r="AB139" s="6">
        <f t="shared" si="24"/>
        <v>0</v>
      </c>
      <c r="AC139" t="s">
        <v>33</v>
      </c>
      <c r="AD139" s="3" t="s">
        <v>168</v>
      </c>
    </row>
    <row r="140" spans="1:30" ht="15.75" customHeight="1" x14ac:dyDescent="0.25">
      <c r="A140" s="7" t="str">
        <f t="shared" si="19"/>
        <v>CYJ510New Buy</v>
      </c>
      <c r="B140" s="7" t="str">
        <f t="shared" si="20"/>
        <v>iPadNew Buy</v>
      </c>
      <c r="C140">
        <v>408911</v>
      </c>
      <c r="D140" s="19" t="s">
        <v>172</v>
      </c>
      <c r="E140" s="20" t="s">
        <v>166</v>
      </c>
      <c r="F140" s="20" t="s">
        <v>173</v>
      </c>
      <c r="G140" t="s">
        <v>68</v>
      </c>
      <c r="H140" t="s">
        <v>167</v>
      </c>
      <c r="I140" t="s">
        <v>175</v>
      </c>
      <c r="J140" t="s">
        <v>318</v>
      </c>
      <c r="L140" t="s">
        <v>319</v>
      </c>
      <c r="M140" s="25">
        <v>55</v>
      </c>
      <c r="N140" s="4">
        <v>33</v>
      </c>
      <c r="O140" s="24" t="s">
        <v>175</v>
      </c>
      <c r="Q140" s="20">
        <v>4</v>
      </c>
      <c r="T140" s="23" t="s">
        <v>178</v>
      </c>
      <c r="U140" s="23" t="s">
        <v>66</v>
      </c>
      <c r="V140" s="4">
        <v>33</v>
      </c>
      <c r="Y140" s="6">
        <f t="shared" si="21"/>
        <v>0</v>
      </c>
      <c r="Z140" s="6">
        <f t="shared" si="22"/>
        <v>0</v>
      </c>
      <c r="AA140" s="6">
        <f t="shared" si="23"/>
        <v>0</v>
      </c>
      <c r="AB140" s="6">
        <f t="shared" si="24"/>
        <v>0</v>
      </c>
      <c r="AC140" t="s">
        <v>16</v>
      </c>
      <c r="AD140" s="3" t="s">
        <v>168</v>
      </c>
    </row>
    <row r="141" spans="1:30" ht="15.75" customHeight="1" x14ac:dyDescent="0.25">
      <c r="A141" s="7" t="str">
        <f t="shared" si="19"/>
        <v>CYJ510New Buy</v>
      </c>
      <c r="B141" s="7" t="str">
        <f t="shared" si="20"/>
        <v>iPadNew Buy</v>
      </c>
      <c r="C141">
        <v>408906</v>
      </c>
      <c r="D141" s="19" t="s">
        <v>172</v>
      </c>
      <c r="E141" s="20" t="s">
        <v>166</v>
      </c>
      <c r="F141" s="20" t="s">
        <v>173</v>
      </c>
      <c r="G141" t="s">
        <v>68</v>
      </c>
      <c r="H141" t="s">
        <v>167</v>
      </c>
      <c r="I141" t="s">
        <v>175</v>
      </c>
      <c r="J141" t="s">
        <v>320</v>
      </c>
      <c r="L141" t="s">
        <v>321</v>
      </c>
      <c r="M141" s="25">
        <v>82.5</v>
      </c>
      <c r="N141" s="4">
        <v>33</v>
      </c>
      <c r="O141" s="24" t="s">
        <v>175</v>
      </c>
      <c r="Q141" s="20">
        <v>4</v>
      </c>
      <c r="T141" s="23" t="s">
        <v>178</v>
      </c>
      <c r="U141" s="23" t="s">
        <v>116</v>
      </c>
      <c r="V141" s="4">
        <v>33</v>
      </c>
      <c r="Y141" s="6">
        <f t="shared" si="21"/>
        <v>0</v>
      </c>
      <c r="Z141" s="6">
        <f t="shared" si="22"/>
        <v>0</v>
      </c>
      <c r="AA141" s="6">
        <f t="shared" si="23"/>
        <v>0</v>
      </c>
      <c r="AB141" s="6">
        <f t="shared" si="24"/>
        <v>0</v>
      </c>
      <c r="AC141" t="s">
        <v>33</v>
      </c>
      <c r="AD141" s="3" t="s">
        <v>168</v>
      </c>
    </row>
    <row r="142" spans="1:30" ht="15.75" customHeight="1" x14ac:dyDescent="0.25">
      <c r="A142" s="7" t="str">
        <f t="shared" si="19"/>
        <v>CYJ510New Buy</v>
      </c>
      <c r="B142" s="7" t="str">
        <f t="shared" si="20"/>
        <v>iPadNew Buy</v>
      </c>
      <c r="C142">
        <v>408905</v>
      </c>
      <c r="D142" s="19" t="s">
        <v>172</v>
      </c>
      <c r="E142" s="20" t="s">
        <v>166</v>
      </c>
      <c r="F142" s="20" t="s">
        <v>173</v>
      </c>
      <c r="G142" t="s">
        <v>68</v>
      </c>
      <c r="H142" t="s">
        <v>167</v>
      </c>
      <c r="I142" t="s">
        <v>175</v>
      </c>
      <c r="J142" t="s">
        <v>320</v>
      </c>
      <c r="L142" t="s">
        <v>321</v>
      </c>
      <c r="M142" s="25">
        <v>55</v>
      </c>
      <c r="N142" s="4">
        <v>33</v>
      </c>
      <c r="O142" s="24" t="s">
        <v>175</v>
      </c>
      <c r="Q142" s="20">
        <v>4</v>
      </c>
      <c r="T142" s="23" t="s">
        <v>178</v>
      </c>
      <c r="U142" s="23" t="s">
        <v>66</v>
      </c>
      <c r="V142" s="4">
        <v>33</v>
      </c>
      <c r="Y142" s="6">
        <f t="shared" si="21"/>
        <v>0</v>
      </c>
      <c r="Z142" s="6">
        <f t="shared" si="22"/>
        <v>0</v>
      </c>
      <c r="AA142" s="6">
        <f t="shared" si="23"/>
        <v>0</v>
      </c>
      <c r="AB142" s="6">
        <f t="shared" si="24"/>
        <v>0</v>
      </c>
      <c r="AC142" t="s">
        <v>16</v>
      </c>
      <c r="AD142" s="3" t="s">
        <v>168</v>
      </c>
    </row>
    <row r="143" spans="1:30" ht="15.75" customHeight="1" x14ac:dyDescent="0.25">
      <c r="A143" s="7" t="str">
        <f t="shared" si="19"/>
        <v>CYJ510New Buy</v>
      </c>
      <c r="B143" s="7" t="str">
        <f t="shared" si="20"/>
        <v>iPadNew Buy</v>
      </c>
      <c r="C143">
        <v>408881</v>
      </c>
      <c r="D143" s="19" t="s">
        <v>172</v>
      </c>
      <c r="E143" s="20" t="s">
        <v>166</v>
      </c>
      <c r="F143" s="20" t="s">
        <v>173</v>
      </c>
      <c r="G143" t="s">
        <v>68</v>
      </c>
      <c r="H143" t="s">
        <v>167</v>
      </c>
      <c r="I143" t="s">
        <v>175</v>
      </c>
      <c r="J143" t="s">
        <v>322</v>
      </c>
      <c r="L143" t="s">
        <v>323</v>
      </c>
      <c r="M143" s="25">
        <v>525</v>
      </c>
      <c r="N143" s="4">
        <v>210</v>
      </c>
      <c r="O143" s="24" t="s">
        <v>175</v>
      </c>
      <c r="Q143" s="20">
        <v>4</v>
      </c>
      <c r="T143" s="23" t="s">
        <v>178</v>
      </c>
      <c r="U143" s="23" t="s">
        <v>116</v>
      </c>
      <c r="V143" s="4">
        <v>210</v>
      </c>
      <c r="Y143" s="6">
        <f t="shared" si="21"/>
        <v>0</v>
      </c>
      <c r="Z143" s="6">
        <f t="shared" si="22"/>
        <v>0</v>
      </c>
      <c r="AA143" s="6">
        <f t="shared" si="23"/>
        <v>0</v>
      </c>
      <c r="AB143" s="6">
        <f t="shared" si="24"/>
        <v>0</v>
      </c>
      <c r="AC143" t="s">
        <v>33</v>
      </c>
      <c r="AD143" s="3" t="s">
        <v>168</v>
      </c>
    </row>
    <row r="144" spans="1:30" ht="15.75" customHeight="1" x14ac:dyDescent="0.25">
      <c r="A144" s="7" t="str">
        <f t="shared" si="19"/>
        <v>CYJ510New Buy</v>
      </c>
      <c r="B144" s="7" t="str">
        <f t="shared" si="20"/>
        <v>iPadNew Buy</v>
      </c>
      <c r="C144">
        <v>408880</v>
      </c>
      <c r="D144" s="19" t="s">
        <v>172</v>
      </c>
      <c r="E144" s="20" t="s">
        <v>166</v>
      </c>
      <c r="F144" s="20" t="s">
        <v>173</v>
      </c>
      <c r="G144" t="s">
        <v>68</v>
      </c>
      <c r="H144" t="s">
        <v>167</v>
      </c>
      <c r="I144" t="s">
        <v>175</v>
      </c>
      <c r="J144" t="s">
        <v>322</v>
      </c>
      <c r="L144" t="s">
        <v>323</v>
      </c>
      <c r="M144" s="25">
        <v>350</v>
      </c>
      <c r="N144" s="4">
        <v>210</v>
      </c>
      <c r="O144" s="24" t="s">
        <v>175</v>
      </c>
      <c r="Q144" s="20">
        <v>4</v>
      </c>
      <c r="T144" s="23" t="s">
        <v>178</v>
      </c>
      <c r="U144" s="23" t="s">
        <v>66</v>
      </c>
      <c r="V144" s="4">
        <v>210</v>
      </c>
      <c r="Y144" s="6">
        <f t="shared" si="21"/>
        <v>0</v>
      </c>
      <c r="Z144" s="6">
        <f t="shared" si="22"/>
        <v>0</v>
      </c>
      <c r="AA144" s="6">
        <f t="shared" si="23"/>
        <v>0</v>
      </c>
      <c r="AB144" s="6">
        <f t="shared" si="24"/>
        <v>0</v>
      </c>
      <c r="AC144" t="s">
        <v>16</v>
      </c>
      <c r="AD144" s="3" t="s">
        <v>168</v>
      </c>
    </row>
    <row r="145" spans="1:30" ht="15.75" customHeight="1" x14ac:dyDescent="0.25">
      <c r="A145" s="7" t="str">
        <f t="shared" si="19"/>
        <v>CYJ510New Buy</v>
      </c>
      <c r="B145" s="7" t="str">
        <f t="shared" si="20"/>
        <v>iPadNew Buy</v>
      </c>
      <c r="C145">
        <v>408875</v>
      </c>
      <c r="D145" s="19" t="s">
        <v>172</v>
      </c>
      <c r="E145" s="20" t="s">
        <v>166</v>
      </c>
      <c r="F145" s="20" t="s">
        <v>173</v>
      </c>
      <c r="G145" t="s">
        <v>68</v>
      </c>
      <c r="H145" t="s">
        <v>167</v>
      </c>
      <c r="I145" t="s">
        <v>175</v>
      </c>
      <c r="J145" t="s">
        <v>324</v>
      </c>
      <c r="L145" t="s">
        <v>325</v>
      </c>
      <c r="M145" s="25">
        <v>525</v>
      </c>
      <c r="N145" s="4">
        <v>210</v>
      </c>
      <c r="O145" s="24" t="s">
        <v>175</v>
      </c>
      <c r="Q145" s="20">
        <v>4</v>
      </c>
      <c r="T145" s="23" t="s">
        <v>178</v>
      </c>
      <c r="U145" s="23" t="s">
        <v>116</v>
      </c>
      <c r="V145" s="4">
        <v>210</v>
      </c>
      <c r="Y145" s="6">
        <f t="shared" si="21"/>
        <v>0</v>
      </c>
      <c r="Z145" s="6">
        <f t="shared" si="22"/>
        <v>0</v>
      </c>
      <c r="AA145" s="6">
        <f t="shared" si="23"/>
        <v>0</v>
      </c>
      <c r="AB145" s="6">
        <f t="shared" si="24"/>
        <v>0</v>
      </c>
      <c r="AC145" t="s">
        <v>33</v>
      </c>
      <c r="AD145" s="3" t="s">
        <v>168</v>
      </c>
    </row>
    <row r="146" spans="1:30" ht="15.75" customHeight="1" x14ac:dyDescent="0.25">
      <c r="A146" s="7" t="str">
        <f t="shared" si="19"/>
        <v>CYJ510New Buy</v>
      </c>
      <c r="B146" s="7" t="str">
        <f t="shared" si="20"/>
        <v>iPadNew Buy</v>
      </c>
      <c r="C146">
        <v>408874</v>
      </c>
      <c r="D146" s="19" t="s">
        <v>172</v>
      </c>
      <c r="E146" s="20" t="s">
        <v>166</v>
      </c>
      <c r="F146" s="20" t="s">
        <v>173</v>
      </c>
      <c r="G146" t="s">
        <v>68</v>
      </c>
      <c r="H146" t="s">
        <v>167</v>
      </c>
      <c r="I146" t="s">
        <v>175</v>
      </c>
      <c r="J146" t="s">
        <v>324</v>
      </c>
      <c r="L146" t="s">
        <v>325</v>
      </c>
      <c r="M146" s="25">
        <v>350</v>
      </c>
      <c r="N146" s="4">
        <v>210</v>
      </c>
      <c r="O146" s="24" t="s">
        <v>175</v>
      </c>
      <c r="Q146" s="20">
        <v>4</v>
      </c>
      <c r="T146" s="23" t="s">
        <v>178</v>
      </c>
      <c r="U146" s="23" t="s">
        <v>66</v>
      </c>
      <c r="V146" s="4">
        <v>210</v>
      </c>
      <c r="Y146" s="6">
        <f t="shared" si="21"/>
        <v>0</v>
      </c>
      <c r="Z146" s="6">
        <f t="shared" si="22"/>
        <v>0</v>
      </c>
      <c r="AA146" s="6">
        <f t="shared" si="23"/>
        <v>0</v>
      </c>
      <c r="AB146" s="6">
        <f t="shared" si="24"/>
        <v>0</v>
      </c>
      <c r="AC146" t="s">
        <v>16</v>
      </c>
      <c r="AD146" s="3" t="s">
        <v>168</v>
      </c>
    </row>
    <row r="147" spans="1:30" ht="15.75" customHeight="1" x14ac:dyDescent="0.25">
      <c r="A147" s="7" t="str">
        <f t="shared" si="19"/>
        <v>CYJ510New Buy</v>
      </c>
      <c r="B147" s="7" t="str">
        <f t="shared" si="20"/>
        <v>iPadNew Buy</v>
      </c>
      <c r="C147">
        <v>408870</v>
      </c>
      <c r="D147" s="19" t="s">
        <v>172</v>
      </c>
      <c r="E147" s="20" t="s">
        <v>166</v>
      </c>
      <c r="F147" s="20" t="s">
        <v>173</v>
      </c>
      <c r="G147" t="s">
        <v>68</v>
      </c>
      <c r="H147" t="s">
        <v>167</v>
      </c>
      <c r="I147" t="s">
        <v>175</v>
      </c>
      <c r="J147" t="s">
        <v>326</v>
      </c>
      <c r="L147" t="s">
        <v>327</v>
      </c>
      <c r="M147" s="25">
        <v>65</v>
      </c>
      <c r="N147" s="4">
        <v>39</v>
      </c>
      <c r="O147" s="24" t="s">
        <v>175</v>
      </c>
      <c r="Q147" s="20">
        <v>4</v>
      </c>
      <c r="T147" s="23" t="s">
        <v>178</v>
      </c>
      <c r="U147" s="23" t="s">
        <v>66</v>
      </c>
      <c r="V147" s="4">
        <v>39</v>
      </c>
      <c r="Y147" s="6">
        <f t="shared" si="21"/>
        <v>0</v>
      </c>
      <c r="Z147" s="6">
        <f t="shared" si="22"/>
        <v>0</v>
      </c>
      <c r="AA147" s="6">
        <f t="shared" si="23"/>
        <v>0</v>
      </c>
      <c r="AB147" s="6">
        <f t="shared" si="24"/>
        <v>0</v>
      </c>
      <c r="AC147" t="s">
        <v>16</v>
      </c>
      <c r="AD147" s="3" t="s">
        <v>168</v>
      </c>
    </row>
    <row r="148" spans="1:30" ht="15.75" customHeight="1" x14ac:dyDescent="0.25">
      <c r="A148" s="7" t="str">
        <f t="shared" si="19"/>
        <v>CYJ510New Buy</v>
      </c>
      <c r="B148" s="7" t="str">
        <f t="shared" si="20"/>
        <v>iPadNew Buy</v>
      </c>
      <c r="C148">
        <v>408868</v>
      </c>
      <c r="D148" s="19" t="s">
        <v>172</v>
      </c>
      <c r="E148" s="20" t="s">
        <v>166</v>
      </c>
      <c r="F148" s="20" t="s">
        <v>173</v>
      </c>
      <c r="G148" t="s">
        <v>68</v>
      </c>
      <c r="H148" t="s">
        <v>167</v>
      </c>
      <c r="I148" t="s">
        <v>175</v>
      </c>
      <c r="J148" t="s">
        <v>328</v>
      </c>
      <c r="L148" t="s">
        <v>329</v>
      </c>
      <c r="M148" s="25">
        <v>65</v>
      </c>
      <c r="N148" s="4">
        <v>39</v>
      </c>
      <c r="O148" s="24" t="s">
        <v>175</v>
      </c>
      <c r="Q148" s="20">
        <v>4</v>
      </c>
      <c r="T148" s="23" t="s">
        <v>178</v>
      </c>
      <c r="U148" s="23" t="s">
        <v>66</v>
      </c>
      <c r="V148" s="4">
        <v>39</v>
      </c>
      <c r="Y148" s="6">
        <f t="shared" si="21"/>
        <v>0</v>
      </c>
      <c r="Z148" s="6">
        <f t="shared" si="22"/>
        <v>0</v>
      </c>
      <c r="AA148" s="6">
        <f t="shared" si="23"/>
        <v>0</v>
      </c>
      <c r="AB148" s="6">
        <f t="shared" si="24"/>
        <v>0</v>
      </c>
      <c r="AC148" t="s">
        <v>16</v>
      </c>
      <c r="AD148" s="3" t="s">
        <v>168</v>
      </c>
    </row>
    <row r="149" spans="1:30" ht="15.75" customHeight="1" x14ac:dyDescent="0.25">
      <c r="A149" s="7" t="str">
        <f t="shared" si="19"/>
        <v>CYJ510New Buy</v>
      </c>
      <c r="B149" s="7" t="str">
        <f t="shared" si="20"/>
        <v>iPadNew Buy</v>
      </c>
      <c r="C149">
        <v>408839</v>
      </c>
      <c r="D149" s="19" t="s">
        <v>172</v>
      </c>
      <c r="E149" s="20" t="s">
        <v>166</v>
      </c>
      <c r="F149" s="20" t="s">
        <v>173</v>
      </c>
      <c r="G149" t="s">
        <v>68</v>
      </c>
      <c r="H149" t="s">
        <v>167</v>
      </c>
      <c r="I149" t="s">
        <v>175</v>
      </c>
      <c r="J149" t="s">
        <v>330</v>
      </c>
      <c r="L149" t="s">
        <v>331</v>
      </c>
      <c r="M149" s="25">
        <v>195</v>
      </c>
      <c r="N149" s="4">
        <v>78</v>
      </c>
      <c r="O149" s="24" t="s">
        <v>175</v>
      </c>
      <c r="Q149" s="20">
        <v>4</v>
      </c>
      <c r="T149" s="23" t="s">
        <v>178</v>
      </c>
      <c r="U149" s="23" t="s">
        <v>116</v>
      </c>
      <c r="V149" s="4">
        <v>78</v>
      </c>
      <c r="Y149" s="6">
        <f t="shared" si="21"/>
        <v>0</v>
      </c>
      <c r="Z149" s="6">
        <f t="shared" si="22"/>
        <v>0</v>
      </c>
      <c r="AA149" s="6">
        <f t="shared" si="23"/>
        <v>0</v>
      </c>
      <c r="AB149" s="6">
        <f t="shared" si="24"/>
        <v>0</v>
      </c>
      <c r="AC149" t="s">
        <v>33</v>
      </c>
      <c r="AD149" s="3" t="s">
        <v>168</v>
      </c>
    </row>
    <row r="150" spans="1:30" ht="15.75" customHeight="1" x14ac:dyDescent="0.25">
      <c r="A150" s="7" t="str">
        <f t="shared" si="19"/>
        <v>CYJ510New Buy</v>
      </c>
      <c r="B150" s="7" t="str">
        <f t="shared" si="20"/>
        <v>iPadNew Buy</v>
      </c>
      <c r="C150">
        <v>408838</v>
      </c>
      <c r="D150" s="19" t="s">
        <v>172</v>
      </c>
      <c r="E150" s="20" t="s">
        <v>166</v>
      </c>
      <c r="F150" s="20" t="s">
        <v>173</v>
      </c>
      <c r="G150" t="s">
        <v>68</v>
      </c>
      <c r="H150" t="s">
        <v>167</v>
      </c>
      <c r="I150" t="s">
        <v>175</v>
      </c>
      <c r="J150" t="s">
        <v>330</v>
      </c>
      <c r="L150" t="s">
        <v>331</v>
      </c>
      <c r="M150" s="25">
        <v>130</v>
      </c>
      <c r="N150" s="4">
        <v>78</v>
      </c>
      <c r="O150" s="24" t="s">
        <v>175</v>
      </c>
      <c r="Q150" s="20">
        <v>4</v>
      </c>
      <c r="T150" s="23" t="s">
        <v>178</v>
      </c>
      <c r="U150" s="23" t="s">
        <v>66</v>
      </c>
      <c r="V150" s="4">
        <v>78</v>
      </c>
      <c r="Y150" s="6">
        <f t="shared" si="21"/>
        <v>0</v>
      </c>
      <c r="Z150" s="6">
        <f t="shared" si="22"/>
        <v>0</v>
      </c>
      <c r="AA150" s="6">
        <f t="shared" si="23"/>
        <v>0</v>
      </c>
      <c r="AB150" s="6">
        <f t="shared" si="24"/>
        <v>0</v>
      </c>
      <c r="AC150" t="s">
        <v>16</v>
      </c>
      <c r="AD150" s="3" t="s">
        <v>168</v>
      </c>
    </row>
    <row r="151" spans="1:30" ht="15.75" customHeight="1" x14ac:dyDescent="0.25">
      <c r="A151" s="7" t="str">
        <f t="shared" si="19"/>
        <v>CYJ510New Buy</v>
      </c>
      <c r="B151" s="7" t="str">
        <f t="shared" si="20"/>
        <v>iPadNew Buy</v>
      </c>
      <c r="C151">
        <v>408833</v>
      </c>
      <c r="D151" s="19" t="s">
        <v>172</v>
      </c>
      <c r="E151" s="20" t="s">
        <v>166</v>
      </c>
      <c r="F151" s="20" t="s">
        <v>173</v>
      </c>
      <c r="G151" t="s">
        <v>68</v>
      </c>
      <c r="H151" t="s">
        <v>167</v>
      </c>
      <c r="I151" t="s">
        <v>175</v>
      </c>
      <c r="J151" t="s">
        <v>332</v>
      </c>
      <c r="L151" t="s">
        <v>333</v>
      </c>
      <c r="M151" s="25">
        <v>195</v>
      </c>
      <c r="N151" s="4">
        <v>78</v>
      </c>
      <c r="O151" s="24" t="s">
        <v>175</v>
      </c>
      <c r="Q151" s="20">
        <v>4</v>
      </c>
      <c r="T151" s="23" t="s">
        <v>178</v>
      </c>
      <c r="U151" s="23" t="s">
        <v>116</v>
      </c>
      <c r="V151" s="4">
        <v>78</v>
      </c>
      <c r="Y151" s="6">
        <f t="shared" si="21"/>
        <v>0</v>
      </c>
      <c r="Z151" s="6">
        <f t="shared" si="22"/>
        <v>0</v>
      </c>
      <c r="AA151" s="6">
        <f t="shared" si="23"/>
        <v>0</v>
      </c>
      <c r="AB151" s="6">
        <f t="shared" si="24"/>
        <v>0</v>
      </c>
      <c r="AC151" t="s">
        <v>33</v>
      </c>
      <c r="AD151" s="3" t="s">
        <v>168</v>
      </c>
    </row>
    <row r="152" spans="1:30" ht="15.75" customHeight="1" x14ac:dyDescent="0.25">
      <c r="A152" s="7" t="str">
        <f t="shared" si="19"/>
        <v>CYJ510New Buy</v>
      </c>
      <c r="B152" s="7" t="str">
        <f t="shared" si="20"/>
        <v>iPadNew Buy</v>
      </c>
      <c r="C152">
        <v>408832</v>
      </c>
      <c r="D152" s="19" t="s">
        <v>172</v>
      </c>
      <c r="E152" s="20" t="s">
        <v>166</v>
      </c>
      <c r="F152" s="20" t="s">
        <v>173</v>
      </c>
      <c r="G152" t="s">
        <v>68</v>
      </c>
      <c r="H152" t="s">
        <v>167</v>
      </c>
      <c r="I152" t="s">
        <v>175</v>
      </c>
      <c r="J152" t="s">
        <v>332</v>
      </c>
      <c r="L152" t="s">
        <v>333</v>
      </c>
      <c r="M152" s="25">
        <v>130</v>
      </c>
      <c r="N152" s="4">
        <v>78</v>
      </c>
      <c r="O152" s="24" t="s">
        <v>175</v>
      </c>
      <c r="Q152" s="20">
        <v>4</v>
      </c>
      <c r="T152" s="23" t="s">
        <v>178</v>
      </c>
      <c r="U152" s="23" t="s">
        <v>66</v>
      </c>
      <c r="V152" s="4">
        <v>78</v>
      </c>
      <c r="Y152" s="6">
        <f t="shared" si="21"/>
        <v>0</v>
      </c>
      <c r="Z152" s="6">
        <f t="shared" si="22"/>
        <v>0</v>
      </c>
      <c r="AA152" s="6">
        <f t="shared" si="23"/>
        <v>0</v>
      </c>
      <c r="AB152" s="6">
        <f t="shared" si="24"/>
        <v>0</v>
      </c>
      <c r="AC152" t="s">
        <v>16</v>
      </c>
      <c r="AD152" s="3" t="s">
        <v>168</v>
      </c>
    </row>
    <row r="153" spans="1:30" ht="15.75" customHeight="1" x14ac:dyDescent="0.25">
      <c r="A153" s="7" t="str">
        <f t="shared" si="19"/>
        <v>CYJ510New Buy</v>
      </c>
      <c r="B153" s="7" t="str">
        <f t="shared" si="20"/>
        <v>iPadNew Buy</v>
      </c>
      <c r="C153">
        <v>408758</v>
      </c>
      <c r="D153" s="19" t="s">
        <v>172</v>
      </c>
      <c r="E153" s="20" t="s">
        <v>166</v>
      </c>
      <c r="F153" s="20" t="s">
        <v>173</v>
      </c>
      <c r="G153" t="s">
        <v>68</v>
      </c>
      <c r="H153" t="s">
        <v>167</v>
      </c>
      <c r="I153" t="s">
        <v>175</v>
      </c>
      <c r="J153" t="s">
        <v>334</v>
      </c>
      <c r="L153" t="s">
        <v>335</v>
      </c>
      <c r="M153" s="25">
        <v>350</v>
      </c>
      <c r="N153" s="4">
        <v>210</v>
      </c>
      <c r="O153" s="24">
        <v>1</v>
      </c>
      <c r="Q153" s="20">
        <v>4</v>
      </c>
      <c r="T153" s="23" t="s">
        <v>178</v>
      </c>
      <c r="U153" s="23" t="s">
        <v>66</v>
      </c>
      <c r="V153" s="4">
        <v>210</v>
      </c>
      <c r="Y153" s="6">
        <f t="shared" si="21"/>
        <v>350</v>
      </c>
      <c r="Z153" s="6">
        <f t="shared" si="22"/>
        <v>210</v>
      </c>
      <c r="AA153" s="6">
        <f t="shared" si="23"/>
        <v>210</v>
      </c>
      <c r="AB153" s="6">
        <f t="shared" si="24"/>
        <v>140</v>
      </c>
      <c r="AC153" t="s">
        <v>16</v>
      </c>
      <c r="AD153" s="3" t="s">
        <v>168</v>
      </c>
    </row>
    <row r="154" spans="1:30" ht="15.75" customHeight="1" x14ac:dyDescent="0.25">
      <c r="A154" s="7" t="str">
        <f t="shared" si="19"/>
        <v>CYJ510New Buy</v>
      </c>
      <c r="B154" s="7" t="str">
        <f t="shared" si="20"/>
        <v>iPadNew Buy</v>
      </c>
      <c r="C154">
        <v>408724</v>
      </c>
      <c r="D154" s="19" t="s">
        <v>172</v>
      </c>
      <c r="E154" s="20" t="s">
        <v>166</v>
      </c>
      <c r="F154" s="20" t="s">
        <v>173</v>
      </c>
      <c r="G154" t="s">
        <v>68</v>
      </c>
      <c r="H154" t="s">
        <v>167</v>
      </c>
      <c r="I154" t="s">
        <v>175</v>
      </c>
      <c r="J154" t="s">
        <v>336</v>
      </c>
      <c r="L154" t="s">
        <v>337</v>
      </c>
      <c r="M154" s="25">
        <v>100</v>
      </c>
      <c r="N154" s="4">
        <v>60</v>
      </c>
      <c r="O154" s="24">
        <v>16</v>
      </c>
      <c r="Q154" s="20">
        <v>4</v>
      </c>
      <c r="T154" s="23" t="s">
        <v>178</v>
      </c>
      <c r="U154" s="23" t="s">
        <v>66</v>
      </c>
      <c r="V154" s="4">
        <v>60</v>
      </c>
      <c r="Y154" s="6">
        <f t="shared" si="21"/>
        <v>1600</v>
      </c>
      <c r="Z154" s="6">
        <f t="shared" si="22"/>
        <v>960</v>
      </c>
      <c r="AA154" s="6">
        <f t="shared" si="23"/>
        <v>960</v>
      </c>
      <c r="AB154" s="6">
        <f t="shared" si="24"/>
        <v>640</v>
      </c>
      <c r="AC154" t="s">
        <v>16</v>
      </c>
      <c r="AD154" s="3" t="s">
        <v>168</v>
      </c>
    </row>
    <row r="155" spans="1:30" ht="15.75" customHeight="1" x14ac:dyDescent="0.25">
      <c r="A155" s="7" t="str">
        <f t="shared" si="19"/>
        <v>CYJ510New Buy</v>
      </c>
      <c r="B155" s="7" t="str">
        <f t="shared" si="20"/>
        <v>iPadNew Buy</v>
      </c>
      <c r="C155">
        <v>408699</v>
      </c>
      <c r="D155" s="19" t="s">
        <v>172</v>
      </c>
      <c r="E155" s="20" t="s">
        <v>166</v>
      </c>
      <c r="F155" s="20" t="s">
        <v>173</v>
      </c>
      <c r="G155" t="s">
        <v>68</v>
      </c>
      <c r="H155" t="s">
        <v>167</v>
      </c>
      <c r="I155" t="s">
        <v>175</v>
      </c>
      <c r="J155" t="s">
        <v>338</v>
      </c>
      <c r="L155" t="s">
        <v>339</v>
      </c>
      <c r="M155" s="25">
        <v>180</v>
      </c>
      <c r="N155" s="4">
        <v>95</v>
      </c>
      <c r="O155" s="24">
        <v>40</v>
      </c>
      <c r="Q155" s="20">
        <v>4</v>
      </c>
      <c r="T155" s="23" t="s">
        <v>178</v>
      </c>
      <c r="U155" s="23" t="s">
        <v>116</v>
      </c>
      <c r="V155" s="4">
        <v>72</v>
      </c>
      <c r="Y155" s="6">
        <f t="shared" si="21"/>
        <v>7200</v>
      </c>
      <c r="Z155" s="6">
        <f t="shared" si="22"/>
        <v>2880</v>
      </c>
      <c r="AA155" s="6">
        <f t="shared" si="23"/>
        <v>3800</v>
      </c>
      <c r="AB155" s="6">
        <f t="shared" si="24"/>
        <v>3400</v>
      </c>
      <c r="AC155" t="s">
        <v>33</v>
      </c>
      <c r="AD155" s="3" t="s">
        <v>168</v>
      </c>
    </row>
    <row r="156" spans="1:30" ht="15.75" customHeight="1" x14ac:dyDescent="0.25">
      <c r="A156" s="7" t="str">
        <f t="shared" si="19"/>
        <v>CYJ510New Buy</v>
      </c>
      <c r="B156" s="7" t="str">
        <f t="shared" si="20"/>
        <v>iPadNew Buy</v>
      </c>
      <c r="C156">
        <v>408698</v>
      </c>
      <c r="D156" s="19" t="s">
        <v>172</v>
      </c>
      <c r="E156" s="20" t="s">
        <v>166</v>
      </c>
      <c r="F156" s="20" t="s">
        <v>173</v>
      </c>
      <c r="G156" t="s">
        <v>68</v>
      </c>
      <c r="H156" t="s">
        <v>167</v>
      </c>
      <c r="I156" t="s">
        <v>175</v>
      </c>
      <c r="J156" t="s">
        <v>338</v>
      </c>
      <c r="L156" t="s">
        <v>339</v>
      </c>
      <c r="M156" s="25">
        <v>120</v>
      </c>
      <c r="N156" s="4">
        <v>95</v>
      </c>
      <c r="O156" s="24">
        <v>40</v>
      </c>
      <c r="Q156" s="20">
        <v>4</v>
      </c>
      <c r="T156" s="23" t="s">
        <v>178</v>
      </c>
      <c r="U156" s="23" t="s">
        <v>66</v>
      </c>
      <c r="V156" s="4">
        <v>72</v>
      </c>
      <c r="Y156" s="6">
        <f t="shared" si="21"/>
        <v>4800</v>
      </c>
      <c r="Z156" s="6">
        <f t="shared" si="22"/>
        <v>2880</v>
      </c>
      <c r="AA156" s="6">
        <f t="shared" si="23"/>
        <v>3800</v>
      </c>
      <c r="AB156" s="6">
        <f t="shared" si="24"/>
        <v>1000</v>
      </c>
      <c r="AC156" t="s">
        <v>16</v>
      </c>
      <c r="AD156" s="3" t="s">
        <v>168</v>
      </c>
    </row>
    <row r="157" spans="1:30" ht="15.75" customHeight="1" x14ac:dyDescent="0.25">
      <c r="A157" s="7" t="str">
        <f t="shared" ref="A157:A174" si="25">CONCATENATE(D157,G157,H157,K157)</f>
        <v>BOZHON PRECISION INDUSTRY TECHNOLOGY CO., LTD.J510New Buy</v>
      </c>
      <c r="B157" s="7" t="str">
        <f t="shared" ref="B157:B174" si="26">_xlfn.CONCAT(F157,K157,"New Buy")</f>
        <v>iPadNew Buy</v>
      </c>
      <c r="C157">
        <v>408249</v>
      </c>
      <c r="D157" t="s">
        <v>340</v>
      </c>
      <c r="E157" t="s">
        <v>166</v>
      </c>
      <c r="F157" t="s">
        <v>173</v>
      </c>
      <c r="G157" t="s">
        <v>68</v>
      </c>
      <c r="H157" t="s">
        <v>167</v>
      </c>
      <c r="J157" t="s">
        <v>341</v>
      </c>
      <c r="L157" t="s">
        <v>297</v>
      </c>
      <c r="N157" s="4">
        <v>0</v>
      </c>
      <c r="O157">
        <v>60</v>
      </c>
      <c r="T157" t="s">
        <v>178</v>
      </c>
      <c r="U157" s="27" t="s">
        <v>66</v>
      </c>
      <c r="V157" s="4">
        <v>0</v>
      </c>
      <c r="Y157" s="6">
        <f t="shared" ref="Y157:Y174" si="27">IFERROR(O157*M157,0)</f>
        <v>0</v>
      </c>
      <c r="Z157" s="6">
        <f t="shared" ref="Z157:Z174" si="28">IFERROR(O157*V157,0)</f>
        <v>0</v>
      </c>
      <c r="AA157" s="6">
        <f t="shared" ref="AA157:AA174" si="29">IFERROR(N157*O157,0)</f>
        <v>0</v>
      </c>
      <c r="AB157" s="6">
        <f t="shared" ref="AB157:AB172" si="30">IF(AA157=0,0,Y157-AA157)</f>
        <v>0</v>
      </c>
      <c r="AC157" t="s">
        <v>16</v>
      </c>
      <c r="AD157" s="3" t="s">
        <v>168</v>
      </c>
    </row>
    <row r="158" spans="1:30" ht="15.75" customHeight="1" x14ac:dyDescent="0.25">
      <c r="A158" s="7" t="str">
        <f t="shared" si="25"/>
        <v>BOZHON PRECISION INDUSTRY TECHNOLOGY CO., LTD.J510New Buy</v>
      </c>
      <c r="B158" s="7" t="str">
        <f t="shared" si="26"/>
        <v>iPadNew Buy</v>
      </c>
      <c r="C158">
        <v>408245</v>
      </c>
      <c r="D158" t="s">
        <v>340</v>
      </c>
      <c r="E158" t="s">
        <v>166</v>
      </c>
      <c r="F158" t="s">
        <v>173</v>
      </c>
      <c r="G158" t="s">
        <v>68</v>
      </c>
      <c r="H158" t="s">
        <v>167</v>
      </c>
      <c r="J158" t="s">
        <v>342</v>
      </c>
      <c r="L158" t="s">
        <v>343</v>
      </c>
      <c r="M158" s="4">
        <v>280</v>
      </c>
      <c r="N158" s="4">
        <v>196</v>
      </c>
      <c r="O158">
        <v>2</v>
      </c>
      <c r="T158" t="s">
        <v>178</v>
      </c>
      <c r="U158" s="27" t="s">
        <v>66</v>
      </c>
      <c r="V158" s="4">
        <v>196</v>
      </c>
      <c r="Y158" s="6">
        <f t="shared" si="27"/>
        <v>560</v>
      </c>
      <c r="Z158" s="6">
        <f t="shared" si="28"/>
        <v>392</v>
      </c>
      <c r="AA158" s="6">
        <f t="shared" si="29"/>
        <v>392</v>
      </c>
      <c r="AB158" s="6">
        <f t="shared" si="30"/>
        <v>168</v>
      </c>
      <c r="AC158" t="s">
        <v>16</v>
      </c>
      <c r="AD158" s="3" t="s">
        <v>168</v>
      </c>
    </row>
    <row r="159" spans="1:30" ht="15.75" customHeight="1" x14ac:dyDescent="0.25">
      <c r="A159" s="7" t="str">
        <f t="shared" si="25"/>
        <v>BOZHON PRECISION INDUSTRY TECHNOLOGY CO., LTD.J510New Buy</v>
      </c>
      <c r="B159" s="7" t="str">
        <f t="shared" si="26"/>
        <v>iPadNew Buy</v>
      </c>
      <c r="C159">
        <v>408242</v>
      </c>
      <c r="D159" t="s">
        <v>340</v>
      </c>
      <c r="E159" t="s">
        <v>166</v>
      </c>
      <c r="F159" t="s">
        <v>173</v>
      </c>
      <c r="G159" t="s">
        <v>68</v>
      </c>
      <c r="H159" t="s">
        <v>167</v>
      </c>
      <c r="J159" t="s">
        <v>344</v>
      </c>
      <c r="L159" t="s">
        <v>345</v>
      </c>
      <c r="M159" s="4">
        <v>280</v>
      </c>
      <c r="N159" s="4">
        <v>196</v>
      </c>
      <c r="O159">
        <v>1</v>
      </c>
      <c r="T159" t="s">
        <v>178</v>
      </c>
      <c r="U159" s="27" t="s">
        <v>66</v>
      </c>
      <c r="V159" s="4">
        <v>196</v>
      </c>
      <c r="Y159" s="6">
        <f t="shared" si="27"/>
        <v>280</v>
      </c>
      <c r="Z159" s="6">
        <f t="shared" si="28"/>
        <v>196</v>
      </c>
      <c r="AA159" s="6">
        <f t="shared" si="29"/>
        <v>196</v>
      </c>
      <c r="AB159" s="6">
        <f t="shared" si="30"/>
        <v>84</v>
      </c>
      <c r="AC159" t="s">
        <v>16</v>
      </c>
      <c r="AD159" s="3" t="s">
        <v>168</v>
      </c>
    </row>
    <row r="160" spans="1:30" ht="15.75" customHeight="1" x14ac:dyDescent="0.25">
      <c r="A160" s="7" t="str">
        <f t="shared" si="25"/>
        <v>BOZHON PRECISION INDUSTRY TECHNOLOGY CO., LTD.J510New Buy</v>
      </c>
      <c r="B160" s="7" t="str">
        <f t="shared" si="26"/>
        <v>iPadNew Buy</v>
      </c>
      <c r="C160">
        <v>408241</v>
      </c>
      <c r="D160" t="s">
        <v>340</v>
      </c>
      <c r="E160" t="s">
        <v>166</v>
      </c>
      <c r="F160" t="s">
        <v>173</v>
      </c>
      <c r="G160" t="s">
        <v>68</v>
      </c>
      <c r="H160" t="s">
        <v>167</v>
      </c>
      <c r="J160" t="s">
        <v>346</v>
      </c>
      <c r="L160" t="s">
        <v>347</v>
      </c>
      <c r="M160" s="4">
        <v>280</v>
      </c>
      <c r="N160" s="4">
        <v>196</v>
      </c>
      <c r="O160">
        <v>1</v>
      </c>
      <c r="T160" t="s">
        <v>178</v>
      </c>
      <c r="U160" s="27" t="s">
        <v>66</v>
      </c>
      <c r="V160" s="4">
        <v>196</v>
      </c>
      <c r="Y160" s="6">
        <f t="shared" si="27"/>
        <v>280</v>
      </c>
      <c r="Z160" s="6">
        <f t="shared" si="28"/>
        <v>196</v>
      </c>
      <c r="AA160" s="6">
        <f t="shared" si="29"/>
        <v>196</v>
      </c>
      <c r="AB160" s="6">
        <f t="shared" si="30"/>
        <v>84</v>
      </c>
      <c r="AC160" t="s">
        <v>16</v>
      </c>
      <c r="AD160" s="3" t="s">
        <v>168</v>
      </c>
    </row>
    <row r="161" spans="1:30" ht="15.75" customHeight="1" x14ac:dyDescent="0.25">
      <c r="A161" s="7" t="str">
        <f t="shared" si="25"/>
        <v>BOZHON PRECISION INDUSTRY TECHNOLOGY CO., LTD.J510New Buy</v>
      </c>
      <c r="B161" s="7" t="str">
        <f t="shared" si="26"/>
        <v>iPadNew Buy</v>
      </c>
      <c r="C161">
        <v>408240</v>
      </c>
      <c r="D161" t="s">
        <v>340</v>
      </c>
      <c r="E161" t="s">
        <v>166</v>
      </c>
      <c r="F161" t="s">
        <v>173</v>
      </c>
      <c r="G161" t="s">
        <v>68</v>
      </c>
      <c r="H161" t="s">
        <v>167</v>
      </c>
      <c r="J161" t="s">
        <v>348</v>
      </c>
      <c r="L161" t="s">
        <v>349</v>
      </c>
      <c r="M161" s="4">
        <v>280</v>
      </c>
      <c r="N161" s="4">
        <v>196</v>
      </c>
      <c r="O161">
        <v>1</v>
      </c>
      <c r="T161" t="s">
        <v>178</v>
      </c>
      <c r="U161" s="27" t="s">
        <v>66</v>
      </c>
      <c r="V161" s="4">
        <v>196</v>
      </c>
      <c r="Y161" s="6">
        <f t="shared" si="27"/>
        <v>280</v>
      </c>
      <c r="Z161" s="6">
        <f t="shared" si="28"/>
        <v>196</v>
      </c>
      <c r="AA161" s="6">
        <f t="shared" si="29"/>
        <v>196</v>
      </c>
      <c r="AB161" s="6">
        <f t="shared" si="30"/>
        <v>84</v>
      </c>
      <c r="AC161" t="s">
        <v>16</v>
      </c>
      <c r="AD161" s="3" t="s">
        <v>168</v>
      </c>
    </row>
    <row r="162" spans="1:30" ht="15.75" customHeight="1" x14ac:dyDescent="0.25">
      <c r="A162" s="7" t="str">
        <f t="shared" si="25"/>
        <v>BOZHON PRECISION INDUSTRY TECHNOLOGY CO., LTD.J510New Buy</v>
      </c>
      <c r="B162" s="7" t="str">
        <f t="shared" si="26"/>
        <v>iPadNew Buy</v>
      </c>
      <c r="C162">
        <v>408239</v>
      </c>
      <c r="D162" t="s">
        <v>340</v>
      </c>
      <c r="E162" t="s">
        <v>166</v>
      </c>
      <c r="F162" t="s">
        <v>173</v>
      </c>
      <c r="G162" t="s">
        <v>68</v>
      </c>
      <c r="H162" t="s">
        <v>167</v>
      </c>
      <c r="J162" t="s">
        <v>350</v>
      </c>
      <c r="L162" t="s">
        <v>351</v>
      </c>
      <c r="M162" s="4">
        <v>280</v>
      </c>
      <c r="N162" s="4">
        <v>196</v>
      </c>
      <c r="O162">
        <v>1</v>
      </c>
      <c r="T162" t="s">
        <v>178</v>
      </c>
      <c r="U162" s="27" t="s">
        <v>66</v>
      </c>
      <c r="V162" s="4">
        <v>196</v>
      </c>
      <c r="Y162" s="6">
        <f t="shared" si="27"/>
        <v>280</v>
      </c>
      <c r="Z162" s="6">
        <f t="shared" si="28"/>
        <v>196</v>
      </c>
      <c r="AA162" s="6">
        <f t="shared" si="29"/>
        <v>196</v>
      </c>
      <c r="AB162" s="6">
        <f t="shared" si="30"/>
        <v>84</v>
      </c>
      <c r="AC162" t="s">
        <v>16</v>
      </c>
      <c r="AD162" s="3" t="s">
        <v>168</v>
      </c>
    </row>
    <row r="163" spans="1:30" ht="15.75" customHeight="1" x14ac:dyDescent="0.25">
      <c r="A163" s="7" t="str">
        <f t="shared" si="25"/>
        <v>BOZHON PRECISION INDUSTRY TECHNOLOGY CO., LTD.J510New Buy</v>
      </c>
      <c r="B163" s="7" t="str">
        <f t="shared" si="26"/>
        <v>iPadNew Buy</v>
      </c>
      <c r="C163">
        <v>408197</v>
      </c>
      <c r="D163" t="s">
        <v>340</v>
      </c>
      <c r="E163" t="s">
        <v>166</v>
      </c>
      <c r="F163" t="s">
        <v>173</v>
      </c>
      <c r="G163" t="s">
        <v>68</v>
      </c>
      <c r="H163" t="s">
        <v>167</v>
      </c>
      <c r="J163" t="s">
        <v>352</v>
      </c>
      <c r="L163" t="s">
        <v>353</v>
      </c>
      <c r="M163" s="4">
        <v>350</v>
      </c>
      <c r="N163" s="4">
        <v>339.5</v>
      </c>
      <c r="O163">
        <v>48</v>
      </c>
      <c r="T163" t="s">
        <v>178</v>
      </c>
      <c r="U163" s="27" t="s">
        <v>66</v>
      </c>
      <c r="V163" s="4">
        <v>245</v>
      </c>
      <c r="Y163" s="6">
        <f t="shared" si="27"/>
        <v>16800</v>
      </c>
      <c r="Z163" s="6">
        <f t="shared" si="28"/>
        <v>11760</v>
      </c>
      <c r="AA163" s="6">
        <f t="shared" si="29"/>
        <v>16296</v>
      </c>
      <c r="AB163" s="6">
        <f t="shared" si="30"/>
        <v>504</v>
      </c>
      <c r="AC163" t="s">
        <v>16</v>
      </c>
      <c r="AD163" s="3" t="s">
        <v>168</v>
      </c>
    </row>
    <row r="164" spans="1:30" ht="15.75" customHeight="1" x14ac:dyDescent="0.25">
      <c r="A164" s="7" t="str">
        <f t="shared" si="25"/>
        <v>BOZHON PRECISION INDUSTRY TECHNOLOGY CO., LTD.J510New Buy</v>
      </c>
      <c r="B164" s="7" t="str">
        <f t="shared" si="26"/>
        <v>iPadNew Buy</v>
      </c>
      <c r="C164">
        <v>408109</v>
      </c>
      <c r="D164" t="s">
        <v>340</v>
      </c>
      <c r="E164" t="s">
        <v>166</v>
      </c>
      <c r="F164" t="s">
        <v>173</v>
      </c>
      <c r="G164" t="s">
        <v>68</v>
      </c>
      <c r="H164" t="s">
        <v>167</v>
      </c>
      <c r="J164" t="s">
        <v>354</v>
      </c>
      <c r="L164" t="s">
        <v>327</v>
      </c>
      <c r="M164" s="4">
        <v>350</v>
      </c>
      <c r="N164" s="4">
        <v>339.5</v>
      </c>
      <c r="O164">
        <v>32</v>
      </c>
      <c r="T164" t="s">
        <v>178</v>
      </c>
      <c r="U164" s="27" t="s">
        <v>66</v>
      </c>
      <c r="V164" s="4">
        <v>245</v>
      </c>
      <c r="Y164" s="6">
        <f t="shared" si="27"/>
        <v>11200</v>
      </c>
      <c r="Z164" s="6">
        <f t="shared" si="28"/>
        <v>7840</v>
      </c>
      <c r="AA164" s="6">
        <f t="shared" si="29"/>
        <v>10864</v>
      </c>
      <c r="AB164" s="6">
        <f t="shared" si="30"/>
        <v>336</v>
      </c>
      <c r="AC164" t="s">
        <v>16</v>
      </c>
      <c r="AD164" s="3" t="s">
        <v>168</v>
      </c>
    </row>
    <row r="165" spans="1:30" ht="15.75" customHeight="1" x14ac:dyDescent="0.25">
      <c r="A165" s="7" t="str">
        <f t="shared" si="25"/>
        <v>BOZHON PRECISION INDUSTRY TECHNOLOGY CO., LTD.J510New Buy</v>
      </c>
      <c r="B165" s="7" t="str">
        <f t="shared" si="26"/>
        <v>iPadNew Buy</v>
      </c>
      <c r="C165">
        <v>408107</v>
      </c>
      <c r="D165" t="s">
        <v>340</v>
      </c>
      <c r="E165" t="s">
        <v>166</v>
      </c>
      <c r="F165" t="s">
        <v>173</v>
      </c>
      <c r="G165" t="s">
        <v>68</v>
      </c>
      <c r="H165" t="s">
        <v>167</v>
      </c>
      <c r="J165" t="s">
        <v>355</v>
      </c>
      <c r="L165" t="s">
        <v>329</v>
      </c>
      <c r="M165" s="4">
        <v>350</v>
      </c>
      <c r="N165" s="4">
        <v>339.5</v>
      </c>
      <c r="O165">
        <v>32</v>
      </c>
      <c r="T165" t="s">
        <v>178</v>
      </c>
      <c r="U165" s="27" t="s">
        <v>66</v>
      </c>
      <c r="V165" s="4">
        <v>245</v>
      </c>
      <c r="Y165" s="6">
        <f t="shared" si="27"/>
        <v>11200</v>
      </c>
      <c r="Z165" s="6">
        <f t="shared" si="28"/>
        <v>7840</v>
      </c>
      <c r="AA165" s="6">
        <f t="shared" si="29"/>
        <v>10864</v>
      </c>
      <c r="AB165" s="6">
        <f t="shared" si="30"/>
        <v>336</v>
      </c>
      <c r="AC165" t="s">
        <v>16</v>
      </c>
      <c r="AD165" s="3" t="s">
        <v>168</v>
      </c>
    </row>
    <row r="166" spans="1:30" ht="15.75" customHeight="1" x14ac:dyDescent="0.25">
      <c r="A166" s="7" t="str">
        <f t="shared" si="25"/>
        <v>BOZHON PRECISION INDUSTRY TECHNOLOGY CO., LTD.J581New Buy</v>
      </c>
      <c r="B166" s="7" t="str">
        <f t="shared" si="26"/>
        <v>iPadNew Buy</v>
      </c>
      <c r="C166">
        <v>407896</v>
      </c>
      <c r="D166" t="s">
        <v>340</v>
      </c>
      <c r="E166" t="s">
        <v>166</v>
      </c>
      <c r="F166" t="s">
        <v>173</v>
      </c>
      <c r="G166" t="s">
        <v>174</v>
      </c>
      <c r="H166" t="s">
        <v>167</v>
      </c>
      <c r="J166" t="s">
        <v>356</v>
      </c>
      <c r="L166" t="s">
        <v>357</v>
      </c>
      <c r="M166" s="4">
        <v>1875.05</v>
      </c>
      <c r="N166" s="4">
        <v>1312.5</v>
      </c>
      <c r="O166">
        <v>1</v>
      </c>
      <c r="T166" t="s">
        <v>178</v>
      </c>
      <c r="U166" s="27" t="s">
        <v>66</v>
      </c>
      <c r="V166" s="4">
        <v>1312.5</v>
      </c>
      <c r="Y166" s="6">
        <f t="shared" si="27"/>
        <v>1875.05</v>
      </c>
      <c r="Z166" s="6">
        <f t="shared" si="28"/>
        <v>1312.5</v>
      </c>
      <c r="AA166" s="6">
        <f t="shared" si="29"/>
        <v>1312.5</v>
      </c>
      <c r="AB166" s="6">
        <f t="shared" si="30"/>
        <v>562.54999999999995</v>
      </c>
      <c r="AC166" t="s">
        <v>16</v>
      </c>
      <c r="AD166" s="3" t="s">
        <v>168</v>
      </c>
    </row>
    <row r="167" spans="1:30" ht="15.75" customHeight="1" x14ac:dyDescent="0.25">
      <c r="A167" s="7" t="str">
        <f t="shared" si="25"/>
        <v>BOZHON PRECISION INDUSTRY TECHNOLOGY CO., LTD.J581New Buy</v>
      </c>
      <c r="B167" s="7" t="str">
        <f t="shared" si="26"/>
        <v>iPadNew Buy</v>
      </c>
      <c r="C167">
        <v>407225</v>
      </c>
      <c r="D167" t="s">
        <v>340</v>
      </c>
      <c r="E167" t="s">
        <v>166</v>
      </c>
      <c r="F167" t="s">
        <v>173</v>
      </c>
      <c r="G167" t="s">
        <v>174</v>
      </c>
      <c r="H167" t="s">
        <v>167</v>
      </c>
      <c r="J167" t="s">
        <v>358</v>
      </c>
      <c r="L167" t="s">
        <v>359</v>
      </c>
      <c r="N167" s="4">
        <v>0</v>
      </c>
      <c r="O167">
        <v>180</v>
      </c>
      <c r="T167" t="s">
        <v>178</v>
      </c>
      <c r="U167" s="27" t="s">
        <v>66</v>
      </c>
      <c r="V167" s="4">
        <v>0</v>
      </c>
      <c r="Y167" s="6">
        <f t="shared" si="27"/>
        <v>0</v>
      </c>
      <c r="Z167" s="6">
        <f t="shared" si="28"/>
        <v>0</v>
      </c>
      <c r="AA167" s="6">
        <f t="shared" si="29"/>
        <v>0</v>
      </c>
      <c r="AB167" s="6">
        <f t="shared" si="30"/>
        <v>0</v>
      </c>
      <c r="AC167" t="s">
        <v>16</v>
      </c>
      <c r="AD167" s="3" t="s">
        <v>168</v>
      </c>
    </row>
    <row r="168" spans="1:30" ht="15.75" customHeight="1" x14ac:dyDescent="0.25">
      <c r="A168" s="7" t="str">
        <f t="shared" si="25"/>
        <v>BOZHON PRECISION INDUSTRY TECHNOLOGY CO., LTD.J581New Buy</v>
      </c>
      <c r="B168" s="7" t="str">
        <f t="shared" si="26"/>
        <v>iPadNew Buy</v>
      </c>
      <c r="C168">
        <v>407891</v>
      </c>
      <c r="D168" t="s">
        <v>340</v>
      </c>
      <c r="E168" t="s">
        <v>166</v>
      </c>
      <c r="F168" t="s">
        <v>173</v>
      </c>
      <c r="G168" t="s">
        <v>174</v>
      </c>
      <c r="H168" t="s">
        <v>167</v>
      </c>
      <c r="J168" t="s">
        <v>360</v>
      </c>
      <c r="L168" t="s">
        <v>361</v>
      </c>
      <c r="M168" s="4">
        <v>4650.43</v>
      </c>
      <c r="N168" s="4">
        <v>3255.3009999999999</v>
      </c>
      <c r="O168">
        <v>1</v>
      </c>
      <c r="T168" t="s">
        <v>178</v>
      </c>
      <c r="U168" s="27" t="s">
        <v>66</v>
      </c>
      <c r="V168" s="4">
        <v>3255.3009999999999</v>
      </c>
      <c r="Y168" s="6">
        <f t="shared" si="27"/>
        <v>4650.43</v>
      </c>
      <c r="Z168" s="6">
        <f t="shared" si="28"/>
        <v>3255.3009999999999</v>
      </c>
      <c r="AA168" s="6">
        <f t="shared" si="29"/>
        <v>3255.3009999999999</v>
      </c>
      <c r="AB168" s="6">
        <f t="shared" si="30"/>
        <v>1395.1290000000004</v>
      </c>
      <c r="AC168" t="s">
        <v>16</v>
      </c>
      <c r="AD168" s="3" t="s">
        <v>168</v>
      </c>
    </row>
    <row r="169" spans="1:30" ht="15.75" customHeight="1" x14ac:dyDescent="0.25">
      <c r="A169" s="7" t="str">
        <f t="shared" si="25"/>
        <v>BOZHON PRECISION INDUSTRY TECHNOLOGY CO., LTD.J581New Buy</v>
      </c>
      <c r="B169" s="7" t="str">
        <f t="shared" si="26"/>
        <v>iPadNew Buy</v>
      </c>
      <c r="C169">
        <v>407892</v>
      </c>
      <c r="D169" t="s">
        <v>340</v>
      </c>
      <c r="E169" t="s">
        <v>166</v>
      </c>
      <c r="F169" t="s">
        <v>173</v>
      </c>
      <c r="G169" t="s">
        <v>174</v>
      </c>
      <c r="H169" t="s">
        <v>167</v>
      </c>
      <c r="J169" t="s">
        <v>360</v>
      </c>
      <c r="L169" t="s">
        <v>361</v>
      </c>
      <c r="M169" s="4">
        <v>4650.43</v>
      </c>
      <c r="N169" s="4">
        <v>3255.3009999999999</v>
      </c>
      <c r="O169">
        <v>1</v>
      </c>
      <c r="T169" t="s">
        <v>178</v>
      </c>
      <c r="U169" s="27" t="s">
        <v>66</v>
      </c>
      <c r="V169" s="4">
        <v>3255.3009999999999</v>
      </c>
      <c r="Y169" s="6">
        <f t="shared" si="27"/>
        <v>4650.43</v>
      </c>
      <c r="Z169" s="6">
        <f t="shared" si="28"/>
        <v>3255.3009999999999</v>
      </c>
      <c r="AA169" s="6">
        <f t="shared" si="29"/>
        <v>3255.3009999999999</v>
      </c>
      <c r="AB169" s="6">
        <f t="shared" si="30"/>
        <v>1395.1290000000004</v>
      </c>
      <c r="AC169" t="s">
        <v>16</v>
      </c>
      <c r="AD169" s="3" t="s">
        <v>168</v>
      </c>
    </row>
    <row r="170" spans="1:30" ht="15.75" customHeight="1" x14ac:dyDescent="0.25">
      <c r="A170" s="7" t="str">
        <f t="shared" si="25"/>
        <v>BOZHON PRECISION INDUSTRY TECHNOLOGY CO., LTD.J581New Buy</v>
      </c>
      <c r="B170" s="7" t="str">
        <f t="shared" si="26"/>
        <v>iPadNew Buy</v>
      </c>
      <c r="C170">
        <v>407893</v>
      </c>
      <c r="D170" t="s">
        <v>340</v>
      </c>
      <c r="E170" t="s">
        <v>166</v>
      </c>
      <c r="F170" t="s">
        <v>173</v>
      </c>
      <c r="G170" t="s">
        <v>174</v>
      </c>
      <c r="H170" t="s">
        <v>167</v>
      </c>
      <c r="J170" t="s">
        <v>362</v>
      </c>
      <c r="L170" t="s">
        <v>363</v>
      </c>
      <c r="M170" s="4">
        <v>1875.05</v>
      </c>
      <c r="N170" s="4">
        <v>1312.5350000000001</v>
      </c>
      <c r="O170">
        <v>1</v>
      </c>
      <c r="T170" t="s">
        <v>178</v>
      </c>
      <c r="U170" s="27" t="s">
        <v>66</v>
      </c>
      <c r="V170" s="4">
        <v>1312.5350000000001</v>
      </c>
      <c r="Y170" s="6">
        <f t="shared" si="27"/>
        <v>1875.05</v>
      </c>
      <c r="Z170" s="6">
        <f t="shared" si="28"/>
        <v>1312.5350000000001</v>
      </c>
      <c r="AA170" s="6">
        <f t="shared" si="29"/>
        <v>1312.5350000000001</v>
      </c>
      <c r="AB170" s="6">
        <f t="shared" si="30"/>
        <v>562.51499999999987</v>
      </c>
      <c r="AC170" t="s">
        <v>16</v>
      </c>
      <c r="AD170" s="3" t="s">
        <v>168</v>
      </c>
    </row>
    <row r="171" spans="1:30" ht="15.75" customHeight="1" x14ac:dyDescent="0.25">
      <c r="A171" s="7" t="str">
        <f t="shared" si="25"/>
        <v>BOZHON PRECISION INDUSTRY TECHNOLOGY CO., LTD.J581New Buy</v>
      </c>
      <c r="B171" s="7" t="str">
        <f t="shared" si="26"/>
        <v>iPadNew Buy</v>
      </c>
      <c r="C171">
        <v>407894</v>
      </c>
      <c r="D171" t="s">
        <v>340</v>
      </c>
      <c r="E171" t="s">
        <v>166</v>
      </c>
      <c r="F171" t="s">
        <v>173</v>
      </c>
      <c r="G171" t="s">
        <v>174</v>
      </c>
      <c r="H171" t="s">
        <v>167</v>
      </c>
      <c r="J171" t="s">
        <v>362</v>
      </c>
      <c r="L171" t="s">
        <v>363</v>
      </c>
      <c r="M171" s="4">
        <v>1875.05</v>
      </c>
      <c r="N171" s="4">
        <v>1312.5350000000001</v>
      </c>
      <c r="O171">
        <v>1</v>
      </c>
      <c r="T171" t="s">
        <v>178</v>
      </c>
      <c r="U171" s="27" t="s">
        <v>66</v>
      </c>
      <c r="V171" s="4">
        <v>1312.5350000000001</v>
      </c>
      <c r="Y171" s="6">
        <f t="shared" si="27"/>
        <v>1875.05</v>
      </c>
      <c r="Z171" s="6">
        <f t="shared" si="28"/>
        <v>1312.5350000000001</v>
      </c>
      <c r="AA171" s="6">
        <f t="shared" si="29"/>
        <v>1312.5350000000001</v>
      </c>
      <c r="AB171" s="6">
        <f t="shared" si="30"/>
        <v>562.51499999999987</v>
      </c>
      <c r="AC171" t="s">
        <v>16</v>
      </c>
      <c r="AD171" s="3" t="s">
        <v>168</v>
      </c>
    </row>
    <row r="172" spans="1:30" ht="15.75" customHeight="1" x14ac:dyDescent="0.25">
      <c r="A172" s="7" t="str">
        <f t="shared" si="25"/>
        <v>BOZHON PRECISION INDUSTRY TECHNOLOGY CO., LTD.J581New Buy</v>
      </c>
      <c r="B172" s="7" t="str">
        <f t="shared" si="26"/>
        <v>iPadNew Buy</v>
      </c>
      <c r="C172">
        <v>407895</v>
      </c>
      <c r="D172" t="s">
        <v>340</v>
      </c>
      <c r="E172" t="s">
        <v>166</v>
      </c>
      <c r="F172" t="s">
        <v>173</v>
      </c>
      <c r="G172" t="s">
        <v>174</v>
      </c>
      <c r="H172" t="s">
        <v>167</v>
      </c>
      <c r="J172" t="s">
        <v>356</v>
      </c>
      <c r="L172" t="s">
        <v>357</v>
      </c>
      <c r="M172" s="4">
        <v>1875.05</v>
      </c>
      <c r="N172" s="4">
        <v>1312.5350000000001</v>
      </c>
      <c r="O172">
        <v>1</v>
      </c>
      <c r="T172" t="s">
        <v>178</v>
      </c>
      <c r="U172" s="27" t="s">
        <v>66</v>
      </c>
      <c r="V172" s="4">
        <v>1312.5350000000001</v>
      </c>
      <c r="Y172" s="6">
        <f t="shared" si="27"/>
        <v>1875.05</v>
      </c>
      <c r="Z172" s="6">
        <f t="shared" si="28"/>
        <v>1312.5350000000001</v>
      </c>
      <c r="AA172" s="6">
        <f t="shared" si="29"/>
        <v>1312.5350000000001</v>
      </c>
      <c r="AB172" s="6">
        <f t="shared" si="30"/>
        <v>562.51499999999987</v>
      </c>
      <c r="AC172" t="s">
        <v>16</v>
      </c>
      <c r="AD172" s="3" t="s">
        <v>168</v>
      </c>
    </row>
    <row r="173" spans="1:30" ht="15.75" customHeight="1" x14ac:dyDescent="0.2">
      <c r="A173" s="7" t="str">
        <f t="shared" si="25"/>
        <v>JUSTECH (JIANGSU) PRECISION INDUSTRY CO., LTD.J581Retrofit</v>
      </c>
      <c r="B173" s="7" t="str">
        <f t="shared" si="26"/>
        <v>iPadNew Buy</v>
      </c>
      <c r="C173">
        <v>407901</v>
      </c>
      <c r="D173" t="s">
        <v>364</v>
      </c>
      <c r="E173" t="s">
        <v>166</v>
      </c>
      <c r="F173" t="s">
        <v>173</v>
      </c>
      <c r="G173" t="s">
        <v>174</v>
      </c>
      <c r="H173" t="s">
        <v>170</v>
      </c>
      <c r="I173" t="s">
        <v>131</v>
      </c>
      <c r="J173" t="s">
        <v>365</v>
      </c>
      <c r="L173" t="s">
        <v>366</v>
      </c>
      <c r="O173">
        <v>20</v>
      </c>
      <c r="T173" t="s">
        <v>178</v>
      </c>
      <c r="U173" t="s">
        <v>104</v>
      </c>
      <c r="Y173" s="6">
        <f t="shared" si="27"/>
        <v>0</v>
      </c>
      <c r="Z173" s="6">
        <f t="shared" si="28"/>
        <v>0</v>
      </c>
      <c r="AA173" s="6">
        <f t="shared" si="29"/>
        <v>0</v>
      </c>
      <c r="AB173" s="6">
        <f t="shared" ref="AB173" si="31">IF(AA173=0,0,Y173-AA173)</f>
        <v>0</v>
      </c>
      <c r="AC173" t="s">
        <v>16</v>
      </c>
      <c r="AD173" s="3" t="s">
        <v>171</v>
      </c>
    </row>
    <row r="174" spans="1:30" ht="15.75" customHeight="1" x14ac:dyDescent="0.2">
      <c r="A174" s="7" t="str">
        <f t="shared" si="25"/>
        <v>JUSTECH (JIANGSU) PRECISION INDUSTRY CO., LTD.J581New Buy</v>
      </c>
      <c r="B174" s="7" t="str">
        <f t="shared" si="26"/>
        <v>iPadNew Buy</v>
      </c>
      <c r="C174">
        <v>407900</v>
      </c>
      <c r="D174" t="s">
        <v>364</v>
      </c>
      <c r="E174" t="s">
        <v>166</v>
      </c>
      <c r="F174" t="s">
        <v>173</v>
      </c>
      <c r="G174" t="s">
        <v>174</v>
      </c>
      <c r="H174" t="s">
        <v>167</v>
      </c>
      <c r="J174" t="s">
        <v>365</v>
      </c>
      <c r="L174" t="s">
        <v>366</v>
      </c>
      <c r="N174" s="25">
        <v>1250</v>
      </c>
      <c r="O174">
        <v>20</v>
      </c>
      <c r="T174" t="s">
        <v>178</v>
      </c>
      <c r="U174" t="s">
        <v>104</v>
      </c>
      <c r="Y174" s="6">
        <f t="shared" si="27"/>
        <v>0</v>
      </c>
      <c r="Z174" s="6">
        <f t="shared" si="28"/>
        <v>0</v>
      </c>
      <c r="AA174" s="6">
        <f t="shared" si="29"/>
        <v>25000</v>
      </c>
      <c r="AB174" s="6"/>
      <c r="AC174" t="s">
        <v>16</v>
      </c>
      <c r="AD174" s="3" t="s">
        <v>168</v>
      </c>
    </row>
    <row r="175" spans="1:30" ht="15.75" customHeight="1" x14ac:dyDescent="0.2">
      <c r="A175" s="7" t="str">
        <f t="shared" ref="A175:A226" si="32">CONCATENATE(D175,G175,H175,K175)</f>
        <v>SHENZHEN STRONG TECHNOLOGY CO., LTD.J581New Buy</v>
      </c>
      <c r="B175" s="7" t="str">
        <f t="shared" ref="B175:B226" si="33">_xlfn.CONCAT(F175,K175,"New Buy")</f>
        <v>iPadNew Buy</v>
      </c>
      <c r="C175">
        <v>407885</v>
      </c>
      <c r="D175" t="s">
        <v>76</v>
      </c>
      <c r="E175" t="s">
        <v>166</v>
      </c>
      <c r="F175" t="s">
        <v>173</v>
      </c>
      <c r="G175" t="s">
        <v>174</v>
      </c>
      <c r="H175" t="s">
        <v>167</v>
      </c>
      <c r="J175" t="s">
        <v>368</v>
      </c>
      <c r="L175" t="s">
        <v>369</v>
      </c>
      <c r="M175" s="25">
        <v>85</v>
      </c>
      <c r="N175" s="4">
        <v>65</v>
      </c>
      <c r="O175">
        <v>1</v>
      </c>
      <c r="T175" t="s">
        <v>178</v>
      </c>
      <c r="U175" t="s">
        <v>104</v>
      </c>
      <c r="V175" s="25">
        <v>64.599999999999994</v>
      </c>
      <c r="W175" s="18" t="s">
        <v>367</v>
      </c>
      <c r="Y175" s="6">
        <f t="shared" ref="Y175:Y226" si="34">IFERROR(O175*M175,0)</f>
        <v>85</v>
      </c>
      <c r="Z175" s="6">
        <f t="shared" ref="Z175:Z226" si="35">IFERROR(O175*V175,0)</f>
        <v>64.599999999999994</v>
      </c>
      <c r="AA175" s="6">
        <f t="shared" ref="AA175:AA226" si="36">IFERROR(N175*O175,0)</f>
        <v>65</v>
      </c>
      <c r="AB175" s="6">
        <f t="shared" ref="AB175:AB210" si="37">IF(AA175=0,0,Y175-AA175)</f>
        <v>20</v>
      </c>
      <c r="AC175" t="s">
        <v>16</v>
      </c>
      <c r="AD175" s="3" t="s">
        <v>168</v>
      </c>
    </row>
    <row r="176" spans="1:30" ht="15.75" customHeight="1" x14ac:dyDescent="0.2">
      <c r="A176" s="7" t="str">
        <f t="shared" si="32"/>
        <v>SHENZHEN STRONG TECHNOLOGY CO., LTD.J581New Buy</v>
      </c>
      <c r="B176" s="7" t="str">
        <f t="shared" si="33"/>
        <v>iPadNew Buy</v>
      </c>
      <c r="C176">
        <v>407884</v>
      </c>
      <c r="D176" t="s">
        <v>76</v>
      </c>
      <c r="E176" t="s">
        <v>166</v>
      </c>
      <c r="F176" t="s">
        <v>173</v>
      </c>
      <c r="G176" t="s">
        <v>174</v>
      </c>
      <c r="H176" t="s">
        <v>167</v>
      </c>
      <c r="I176" t="s">
        <v>175</v>
      </c>
      <c r="J176" t="s">
        <v>370</v>
      </c>
      <c r="L176" t="s">
        <v>371</v>
      </c>
      <c r="M176" s="25">
        <v>2925</v>
      </c>
      <c r="N176" s="4">
        <v>2062</v>
      </c>
      <c r="O176">
        <v>33</v>
      </c>
      <c r="T176" t="s">
        <v>178</v>
      </c>
      <c r="U176" t="s">
        <v>116</v>
      </c>
      <c r="V176" s="25">
        <v>1482</v>
      </c>
      <c r="W176" s="18" t="s">
        <v>367</v>
      </c>
      <c r="Y176" s="6">
        <f t="shared" si="34"/>
        <v>96525</v>
      </c>
      <c r="Z176" s="6">
        <f t="shared" si="35"/>
        <v>48906</v>
      </c>
      <c r="AA176" s="6">
        <f t="shared" si="36"/>
        <v>68046</v>
      </c>
      <c r="AB176" s="6">
        <f t="shared" si="37"/>
        <v>28479</v>
      </c>
      <c r="AC176" t="s">
        <v>33</v>
      </c>
      <c r="AD176" s="3" t="s">
        <v>168</v>
      </c>
    </row>
    <row r="177" spans="1:30" ht="15.75" customHeight="1" x14ac:dyDescent="0.2">
      <c r="A177" s="7" t="str">
        <f t="shared" si="32"/>
        <v>SHENZHEN STRONG TECHNOLOGY CO., LTD.J581New Buy</v>
      </c>
      <c r="B177" s="7" t="str">
        <f t="shared" si="33"/>
        <v>iPadNew Buy</v>
      </c>
      <c r="C177">
        <v>407883</v>
      </c>
      <c r="D177" t="s">
        <v>76</v>
      </c>
      <c r="E177" t="s">
        <v>166</v>
      </c>
      <c r="F177" t="s">
        <v>173</v>
      </c>
      <c r="G177" t="s">
        <v>174</v>
      </c>
      <c r="H177" t="s">
        <v>167</v>
      </c>
      <c r="I177" t="s">
        <v>175</v>
      </c>
      <c r="J177" t="s">
        <v>370</v>
      </c>
      <c r="L177" t="s">
        <v>371</v>
      </c>
      <c r="M177" s="25">
        <v>2062</v>
      </c>
      <c r="N177" s="4">
        <v>2062</v>
      </c>
      <c r="O177">
        <v>15</v>
      </c>
      <c r="T177" t="s">
        <v>178</v>
      </c>
      <c r="U177" t="s">
        <v>66</v>
      </c>
      <c r="V177" s="25">
        <v>1482</v>
      </c>
      <c r="W177" s="18" t="s">
        <v>367</v>
      </c>
      <c r="Y177" s="6">
        <f t="shared" si="34"/>
        <v>30930</v>
      </c>
      <c r="Z177" s="6">
        <f t="shared" si="35"/>
        <v>22230</v>
      </c>
      <c r="AA177" s="6">
        <f t="shared" si="36"/>
        <v>30930</v>
      </c>
      <c r="AB177" s="6">
        <f t="shared" si="37"/>
        <v>0</v>
      </c>
      <c r="AC177" t="s">
        <v>16</v>
      </c>
      <c r="AD177" s="3" t="s">
        <v>168</v>
      </c>
    </row>
    <row r="178" spans="1:30" ht="15.75" customHeight="1" x14ac:dyDescent="0.2">
      <c r="A178" s="7" t="str">
        <f t="shared" si="32"/>
        <v>SHENZHEN STRONG TECHNOLOGY CO., LTD.J581New Buy</v>
      </c>
      <c r="B178" s="7" t="str">
        <f t="shared" si="33"/>
        <v>iPadNew Buy</v>
      </c>
      <c r="C178">
        <v>407882</v>
      </c>
      <c r="D178" t="s">
        <v>76</v>
      </c>
      <c r="E178" t="s">
        <v>166</v>
      </c>
      <c r="F178" t="s">
        <v>173</v>
      </c>
      <c r="G178" t="s">
        <v>174</v>
      </c>
      <c r="H178" t="s">
        <v>167</v>
      </c>
      <c r="I178" t="s">
        <v>175</v>
      </c>
      <c r="J178" t="s">
        <v>372</v>
      </c>
      <c r="L178" t="s">
        <v>373</v>
      </c>
      <c r="M178" s="25">
        <v>1755</v>
      </c>
      <c r="N178" s="4">
        <v>1384</v>
      </c>
      <c r="O178">
        <v>48</v>
      </c>
      <c r="T178" t="s">
        <v>178</v>
      </c>
      <c r="U178" t="s">
        <v>116</v>
      </c>
      <c r="V178" s="25">
        <v>889.2</v>
      </c>
      <c r="W178" s="18" t="s">
        <v>367</v>
      </c>
      <c r="Y178" s="6">
        <f t="shared" si="34"/>
        <v>84240</v>
      </c>
      <c r="Z178" s="6">
        <f t="shared" si="35"/>
        <v>42681.600000000006</v>
      </c>
      <c r="AA178" s="6">
        <f t="shared" si="36"/>
        <v>66432</v>
      </c>
      <c r="AB178" s="6">
        <f t="shared" si="37"/>
        <v>17808</v>
      </c>
      <c r="AC178" t="s">
        <v>33</v>
      </c>
      <c r="AD178" s="3" t="s">
        <v>168</v>
      </c>
    </row>
    <row r="179" spans="1:30" ht="15.75" customHeight="1" x14ac:dyDescent="0.2">
      <c r="A179" s="7" t="str">
        <f t="shared" si="32"/>
        <v>SHENZHEN STRONG TECHNOLOGY CO., LTD.J581New Buy</v>
      </c>
      <c r="B179" s="7" t="str">
        <f t="shared" si="33"/>
        <v>iPadNew Buy</v>
      </c>
      <c r="C179">
        <v>407881</v>
      </c>
      <c r="D179" t="s">
        <v>76</v>
      </c>
      <c r="E179" t="s">
        <v>166</v>
      </c>
      <c r="F179" t="s">
        <v>173</v>
      </c>
      <c r="G179" t="s">
        <v>174</v>
      </c>
      <c r="H179" t="s">
        <v>167</v>
      </c>
      <c r="I179" t="s">
        <v>175</v>
      </c>
      <c r="J179" t="s">
        <v>372</v>
      </c>
      <c r="L179" t="s">
        <v>373</v>
      </c>
      <c r="M179" s="25">
        <v>1384</v>
      </c>
      <c r="N179" s="4">
        <v>1384</v>
      </c>
      <c r="O179">
        <v>24</v>
      </c>
      <c r="T179" t="s">
        <v>178</v>
      </c>
      <c r="U179" t="s">
        <v>66</v>
      </c>
      <c r="V179" s="25">
        <v>889.2</v>
      </c>
      <c r="W179" s="18" t="s">
        <v>367</v>
      </c>
      <c r="Y179" s="6">
        <f t="shared" si="34"/>
        <v>33216</v>
      </c>
      <c r="Z179" s="6">
        <f t="shared" si="35"/>
        <v>21340.800000000003</v>
      </c>
      <c r="AA179" s="6">
        <f t="shared" si="36"/>
        <v>33216</v>
      </c>
      <c r="AB179" s="6">
        <f t="shared" si="37"/>
        <v>0</v>
      </c>
      <c r="AC179" t="s">
        <v>16</v>
      </c>
      <c r="AD179" s="3" t="s">
        <v>168</v>
      </c>
    </row>
    <row r="180" spans="1:30" ht="15.75" customHeight="1" x14ac:dyDescent="0.2">
      <c r="A180" s="7" t="str">
        <f t="shared" si="32"/>
        <v>SHENZHEN STRONG TECHNOLOGY CO., LTD.J581New Buy</v>
      </c>
      <c r="B180" s="7" t="str">
        <f t="shared" si="33"/>
        <v>iPadNew Buy</v>
      </c>
      <c r="C180">
        <v>407880</v>
      </c>
      <c r="D180" t="s">
        <v>76</v>
      </c>
      <c r="E180" t="s">
        <v>166</v>
      </c>
      <c r="F180" t="s">
        <v>173</v>
      </c>
      <c r="G180" t="s">
        <v>174</v>
      </c>
      <c r="H180" t="s">
        <v>167</v>
      </c>
      <c r="I180" t="s">
        <v>175</v>
      </c>
      <c r="J180" t="s">
        <v>372</v>
      </c>
      <c r="L180" t="s">
        <v>373</v>
      </c>
      <c r="M180" s="25">
        <v>1384</v>
      </c>
      <c r="N180" s="4">
        <v>1384</v>
      </c>
      <c r="O180">
        <v>6</v>
      </c>
      <c r="T180" t="s">
        <v>178</v>
      </c>
      <c r="U180" t="s">
        <v>104</v>
      </c>
      <c r="V180" s="25">
        <v>889.2</v>
      </c>
      <c r="W180" s="18" t="s">
        <v>367</v>
      </c>
      <c r="Y180" s="6">
        <f t="shared" si="34"/>
        <v>8304</v>
      </c>
      <c r="Z180" s="6">
        <f t="shared" si="35"/>
        <v>5335.2000000000007</v>
      </c>
      <c r="AA180" s="6">
        <f t="shared" si="36"/>
        <v>8304</v>
      </c>
      <c r="AB180" s="6">
        <f t="shared" si="37"/>
        <v>0</v>
      </c>
      <c r="AC180" t="s">
        <v>16</v>
      </c>
      <c r="AD180" s="3" t="s">
        <v>168</v>
      </c>
    </row>
    <row r="181" spans="1:30" ht="15.75" customHeight="1" x14ac:dyDescent="0.2">
      <c r="A181" s="7" t="str">
        <f t="shared" si="32"/>
        <v>SHENZHEN STRONG TECHNOLOGY CO., LTD.J581New Buy</v>
      </c>
      <c r="B181" s="7" t="str">
        <f t="shared" si="33"/>
        <v>iPadNew Buy</v>
      </c>
      <c r="C181">
        <v>407879</v>
      </c>
      <c r="D181" t="s">
        <v>76</v>
      </c>
      <c r="E181" t="s">
        <v>166</v>
      </c>
      <c r="F181" t="s">
        <v>173</v>
      </c>
      <c r="G181" t="s">
        <v>174</v>
      </c>
      <c r="H181" t="s">
        <v>167</v>
      </c>
      <c r="I181" t="s">
        <v>175</v>
      </c>
      <c r="J181" t="s">
        <v>374</v>
      </c>
      <c r="L181" t="s">
        <v>375</v>
      </c>
      <c r="M181" s="25">
        <v>30</v>
      </c>
      <c r="N181" s="4">
        <v>21</v>
      </c>
      <c r="O181">
        <v>48</v>
      </c>
      <c r="T181" t="s">
        <v>178</v>
      </c>
      <c r="U181" t="s">
        <v>116</v>
      </c>
      <c r="V181" s="25">
        <v>15.2</v>
      </c>
      <c r="W181" s="18" t="s">
        <v>367</v>
      </c>
      <c r="Y181" s="6">
        <f t="shared" si="34"/>
        <v>1440</v>
      </c>
      <c r="Z181" s="6">
        <f t="shared" si="35"/>
        <v>729.59999999999991</v>
      </c>
      <c r="AA181" s="6">
        <f t="shared" si="36"/>
        <v>1008</v>
      </c>
      <c r="AB181" s="6">
        <f t="shared" si="37"/>
        <v>432</v>
      </c>
      <c r="AC181" t="s">
        <v>33</v>
      </c>
      <c r="AD181" s="3" t="s">
        <v>168</v>
      </c>
    </row>
    <row r="182" spans="1:30" ht="15.75" customHeight="1" x14ac:dyDescent="0.2">
      <c r="A182" s="7" t="str">
        <f t="shared" si="32"/>
        <v>SHENZHEN STRONG TECHNOLOGY CO., LTD.J581New Buy</v>
      </c>
      <c r="B182" s="7" t="str">
        <f t="shared" si="33"/>
        <v>iPadNew Buy</v>
      </c>
      <c r="C182">
        <v>407878</v>
      </c>
      <c r="D182" t="s">
        <v>76</v>
      </c>
      <c r="E182" t="s">
        <v>166</v>
      </c>
      <c r="F182" t="s">
        <v>173</v>
      </c>
      <c r="G182" t="s">
        <v>174</v>
      </c>
      <c r="H182" t="s">
        <v>167</v>
      </c>
      <c r="I182" t="s">
        <v>175</v>
      </c>
      <c r="J182" t="s">
        <v>374</v>
      </c>
      <c r="L182" t="s">
        <v>375</v>
      </c>
      <c r="M182" s="25">
        <v>21</v>
      </c>
      <c r="N182" s="4">
        <v>21</v>
      </c>
      <c r="O182">
        <v>6</v>
      </c>
      <c r="T182" t="s">
        <v>178</v>
      </c>
      <c r="U182" t="s">
        <v>66</v>
      </c>
      <c r="V182" s="25">
        <v>15.2</v>
      </c>
      <c r="W182" s="18" t="s">
        <v>367</v>
      </c>
      <c r="Y182" s="6">
        <f t="shared" si="34"/>
        <v>126</v>
      </c>
      <c r="Z182" s="6">
        <f t="shared" si="35"/>
        <v>91.199999999999989</v>
      </c>
      <c r="AA182" s="6">
        <f t="shared" si="36"/>
        <v>126</v>
      </c>
      <c r="AB182" s="6">
        <f t="shared" si="37"/>
        <v>0</v>
      </c>
      <c r="AC182" t="s">
        <v>16</v>
      </c>
      <c r="AD182" s="3" t="s">
        <v>168</v>
      </c>
    </row>
    <row r="183" spans="1:30" ht="15.75" customHeight="1" x14ac:dyDescent="0.2">
      <c r="A183" s="7" t="str">
        <f t="shared" si="32"/>
        <v>SHENZHEN STRONG TECHNOLOGY CO., LTD.J581New Buy</v>
      </c>
      <c r="B183" s="7" t="str">
        <f t="shared" si="33"/>
        <v>iPadNew Buy</v>
      </c>
      <c r="C183">
        <v>407877</v>
      </c>
      <c r="D183" t="s">
        <v>76</v>
      </c>
      <c r="E183" t="s">
        <v>166</v>
      </c>
      <c r="F183" t="s">
        <v>173</v>
      </c>
      <c r="G183" t="s">
        <v>174</v>
      </c>
      <c r="H183" t="s">
        <v>167</v>
      </c>
      <c r="I183" t="s">
        <v>175</v>
      </c>
      <c r="J183" t="s">
        <v>374</v>
      </c>
      <c r="L183" t="s">
        <v>375</v>
      </c>
      <c r="M183" s="25">
        <v>21</v>
      </c>
      <c r="N183" s="4">
        <v>21</v>
      </c>
      <c r="O183">
        <v>6</v>
      </c>
      <c r="T183" t="s">
        <v>178</v>
      </c>
      <c r="U183" t="s">
        <v>104</v>
      </c>
      <c r="V183" s="25">
        <v>15.2</v>
      </c>
      <c r="W183" s="18" t="s">
        <v>367</v>
      </c>
      <c r="Y183" s="6">
        <f t="shared" si="34"/>
        <v>126</v>
      </c>
      <c r="Z183" s="6">
        <f t="shared" si="35"/>
        <v>91.199999999999989</v>
      </c>
      <c r="AA183" s="6">
        <f t="shared" si="36"/>
        <v>126</v>
      </c>
      <c r="AB183" s="6">
        <f t="shared" si="37"/>
        <v>0</v>
      </c>
      <c r="AC183" t="s">
        <v>16</v>
      </c>
      <c r="AD183" s="3" t="s">
        <v>168</v>
      </c>
    </row>
    <row r="184" spans="1:30" ht="15.75" customHeight="1" x14ac:dyDescent="0.2">
      <c r="A184" s="7" t="str">
        <f t="shared" si="32"/>
        <v>SHENZHEN STRONG TECHNOLOGY CO., LTD.J581New Buy</v>
      </c>
      <c r="B184" s="7" t="str">
        <f t="shared" si="33"/>
        <v>iPadNew Buy</v>
      </c>
      <c r="C184">
        <v>407876</v>
      </c>
      <c r="D184" t="s">
        <v>76</v>
      </c>
      <c r="E184" t="s">
        <v>166</v>
      </c>
      <c r="F184" t="s">
        <v>173</v>
      </c>
      <c r="G184" t="s">
        <v>174</v>
      </c>
      <c r="H184" t="s">
        <v>167</v>
      </c>
      <c r="I184" t="s">
        <v>175</v>
      </c>
      <c r="J184" t="s">
        <v>376</v>
      </c>
      <c r="L184" t="s">
        <v>377</v>
      </c>
      <c r="M184" s="25">
        <v>10020</v>
      </c>
      <c r="N184" s="4">
        <v>6935</v>
      </c>
      <c r="O184">
        <v>41</v>
      </c>
      <c r="T184" t="s">
        <v>178</v>
      </c>
      <c r="U184" t="s">
        <v>116</v>
      </c>
      <c r="V184" s="25">
        <v>5076.8</v>
      </c>
      <c r="W184" s="18" t="s">
        <v>367</v>
      </c>
      <c r="Y184" s="6">
        <f t="shared" si="34"/>
        <v>410820</v>
      </c>
      <c r="Z184" s="6">
        <f t="shared" si="35"/>
        <v>208148.80000000002</v>
      </c>
      <c r="AA184" s="6">
        <f t="shared" si="36"/>
        <v>284335</v>
      </c>
      <c r="AB184" s="6">
        <f t="shared" si="37"/>
        <v>126485</v>
      </c>
      <c r="AC184" t="s">
        <v>33</v>
      </c>
      <c r="AD184" s="3" t="s">
        <v>168</v>
      </c>
    </row>
    <row r="185" spans="1:30" ht="15.75" customHeight="1" x14ac:dyDescent="0.2">
      <c r="A185" s="7" t="str">
        <f t="shared" si="32"/>
        <v>SHENZHEN STRONG TECHNOLOGY CO., LTD.J581New Buy</v>
      </c>
      <c r="B185" s="7" t="str">
        <f t="shared" si="33"/>
        <v>iPadNew Buy</v>
      </c>
      <c r="C185">
        <v>407875</v>
      </c>
      <c r="D185" t="s">
        <v>76</v>
      </c>
      <c r="E185" t="s">
        <v>166</v>
      </c>
      <c r="F185" t="s">
        <v>173</v>
      </c>
      <c r="G185" t="s">
        <v>174</v>
      </c>
      <c r="H185" t="s">
        <v>167</v>
      </c>
      <c r="I185" t="s">
        <v>175</v>
      </c>
      <c r="J185" t="s">
        <v>376</v>
      </c>
      <c r="L185" t="s">
        <v>377</v>
      </c>
      <c r="M185" s="25">
        <v>6935</v>
      </c>
      <c r="N185" s="4">
        <v>6935</v>
      </c>
      <c r="O185">
        <v>21</v>
      </c>
      <c r="T185" t="s">
        <v>178</v>
      </c>
      <c r="U185" t="s">
        <v>66</v>
      </c>
      <c r="V185" s="25">
        <v>5076.8</v>
      </c>
      <c r="W185" s="18" t="s">
        <v>367</v>
      </c>
      <c r="Y185" s="6">
        <f t="shared" si="34"/>
        <v>145635</v>
      </c>
      <c r="Z185" s="6">
        <f t="shared" si="35"/>
        <v>106612.8</v>
      </c>
      <c r="AA185" s="6">
        <f t="shared" si="36"/>
        <v>145635</v>
      </c>
      <c r="AB185" s="6">
        <f t="shared" si="37"/>
        <v>0</v>
      </c>
      <c r="AC185" t="s">
        <v>16</v>
      </c>
      <c r="AD185" s="3" t="s">
        <v>168</v>
      </c>
    </row>
    <row r="186" spans="1:30" ht="15.75" customHeight="1" x14ac:dyDescent="0.2">
      <c r="A186" s="7" t="str">
        <f t="shared" si="32"/>
        <v>SHENZHEN STRONG TECHNOLOGY CO., LTD.J581New Buy</v>
      </c>
      <c r="B186" s="7" t="str">
        <f t="shared" si="33"/>
        <v>iPadNew Buy</v>
      </c>
      <c r="C186">
        <v>407874</v>
      </c>
      <c r="D186" t="s">
        <v>76</v>
      </c>
      <c r="E186" t="s">
        <v>166</v>
      </c>
      <c r="F186" t="s">
        <v>173</v>
      </c>
      <c r="G186" t="s">
        <v>174</v>
      </c>
      <c r="H186" t="s">
        <v>167</v>
      </c>
      <c r="I186" t="s">
        <v>175</v>
      </c>
      <c r="J186" t="s">
        <v>376</v>
      </c>
      <c r="L186" t="s">
        <v>377</v>
      </c>
      <c r="M186" s="25">
        <v>6935</v>
      </c>
      <c r="N186" s="4">
        <v>6935</v>
      </c>
      <c r="O186">
        <v>26</v>
      </c>
      <c r="T186" t="s">
        <v>178</v>
      </c>
      <c r="U186" t="s">
        <v>104</v>
      </c>
      <c r="V186" s="25">
        <v>5076.8</v>
      </c>
      <c r="W186" s="18" t="s">
        <v>367</v>
      </c>
      <c r="Y186" s="6">
        <f t="shared" si="34"/>
        <v>180310</v>
      </c>
      <c r="Z186" s="6">
        <f t="shared" si="35"/>
        <v>131996.80000000002</v>
      </c>
      <c r="AA186" s="6">
        <f t="shared" si="36"/>
        <v>180310</v>
      </c>
      <c r="AB186" s="6">
        <f t="shared" si="37"/>
        <v>0</v>
      </c>
      <c r="AC186" t="s">
        <v>16</v>
      </c>
      <c r="AD186" s="3" t="s">
        <v>168</v>
      </c>
    </row>
    <row r="187" spans="1:30" ht="15.75" customHeight="1" x14ac:dyDescent="0.2">
      <c r="A187" s="7" t="str">
        <f t="shared" si="32"/>
        <v>SHENZHEN STRONG TECHNOLOGY CO., LTD.J581New Buy</v>
      </c>
      <c r="B187" s="7" t="str">
        <f t="shared" si="33"/>
        <v>iPadNew Buy</v>
      </c>
      <c r="C187">
        <v>407873</v>
      </c>
      <c r="D187" t="s">
        <v>76</v>
      </c>
      <c r="E187" t="s">
        <v>166</v>
      </c>
      <c r="F187" t="s">
        <v>173</v>
      </c>
      <c r="G187" t="s">
        <v>174</v>
      </c>
      <c r="H187" t="s">
        <v>167</v>
      </c>
      <c r="I187" t="s">
        <v>175</v>
      </c>
      <c r="J187" t="s">
        <v>378</v>
      </c>
      <c r="L187" t="s">
        <v>379</v>
      </c>
      <c r="M187" s="25">
        <v>10020</v>
      </c>
      <c r="N187" s="4">
        <v>6388</v>
      </c>
      <c r="O187">
        <v>7</v>
      </c>
      <c r="T187" t="s">
        <v>178</v>
      </c>
      <c r="U187" t="s">
        <v>116</v>
      </c>
      <c r="V187" s="25">
        <v>5076.8</v>
      </c>
      <c r="W187" s="18" t="s">
        <v>367</v>
      </c>
      <c r="Y187" s="6">
        <f t="shared" si="34"/>
        <v>70140</v>
      </c>
      <c r="Z187" s="6">
        <f t="shared" si="35"/>
        <v>35537.599999999999</v>
      </c>
      <c r="AA187" s="6">
        <f t="shared" si="36"/>
        <v>44716</v>
      </c>
      <c r="AB187" s="6">
        <f t="shared" si="37"/>
        <v>25424</v>
      </c>
      <c r="AC187" t="s">
        <v>33</v>
      </c>
      <c r="AD187" s="3" t="s">
        <v>168</v>
      </c>
    </row>
    <row r="188" spans="1:30" ht="15.75" customHeight="1" x14ac:dyDescent="0.2">
      <c r="A188" s="7" t="str">
        <f t="shared" si="32"/>
        <v>SHENZHEN STRONG TECHNOLOGY CO., LTD.J581New Buy</v>
      </c>
      <c r="B188" s="7" t="str">
        <f t="shared" si="33"/>
        <v>iPadNew Buy</v>
      </c>
      <c r="C188">
        <v>407872</v>
      </c>
      <c r="D188" t="s">
        <v>76</v>
      </c>
      <c r="E188" t="s">
        <v>166</v>
      </c>
      <c r="F188" t="s">
        <v>173</v>
      </c>
      <c r="G188" t="s">
        <v>174</v>
      </c>
      <c r="H188" t="s">
        <v>167</v>
      </c>
      <c r="I188" t="s">
        <v>175</v>
      </c>
      <c r="J188" t="s">
        <v>378</v>
      </c>
      <c r="L188" t="s">
        <v>379</v>
      </c>
      <c r="M188" s="25">
        <v>6680</v>
      </c>
      <c r="N188" s="4">
        <v>6388</v>
      </c>
      <c r="O188">
        <v>11</v>
      </c>
      <c r="T188" t="s">
        <v>178</v>
      </c>
      <c r="U188" t="s">
        <v>66</v>
      </c>
      <c r="V188" s="25">
        <v>5076.8</v>
      </c>
      <c r="W188" s="18" t="s">
        <v>367</v>
      </c>
      <c r="Y188" s="6">
        <f t="shared" si="34"/>
        <v>73480</v>
      </c>
      <c r="Z188" s="6">
        <f t="shared" si="35"/>
        <v>55844.800000000003</v>
      </c>
      <c r="AA188" s="6">
        <f t="shared" si="36"/>
        <v>70268</v>
      </c>
      <c r="AB188" s="6">
        <f t="shared" si="37"/>
        <v>3212</v>
      </c>
      <c r="AC188" t="s">
        <v>16</v>
      </c>
      <c r="AD188" s="3" t="s">
        <v>168</v>
      </c>
    </row>
    <row r="189" spans="1:30" ht="15.75" customHeight="1" x14ac:dyDescent="0.2">
      <c r="A189" s="7" t="str">
        <f t="shared" si="32"/>
        <v>SHENZHEN STRONG TECHNOLOGY CO., LTD.J581New Buy</v>
      </c>
      <c r="B189" s="7" t="str">
        <f t="shared" si="33"/>
        <v>iPadNew Buy</v>
      </c>
      <c r="C189">
        <v>407871</v>
      </c>
      <c r="D189" t="s">
        <v>76</v>
      </c>
      <c r="E189" t="s">
        <v>166</v>
      </c>
      <c r="F189" t="s">
        <v>173</v>
      </c>
      <c r="G189" t="s">
        <v>174</v>
      </c>
      <c r="H189" t="s">
        <v>167</v>
      </c>
      <c r="I189" t="s">
        <v>175</v>
      </c>
      <c r="J189" t="s">
        <v>378</v>
      </c>
      <c r="L189" t="s">
        <v>379</v>
      </c>
      <c r="M189" s="25">
        <v>6680</v>
      </c>
      <c r="N189" s="4">
        <v>6388</v>
      </c>
      <c r="O189">
        <v>11</v>
      </c>
      <c r="T189" t="s">
        <v>178</v>
      </c>
      <c r="U189" t="s">
        <v>104</v>
      </c>
      <c r="V189" s="25">
        <v>5076.8</v>
      </c>
      <c r="W189" s="18" t="s">
        <v>367</v>
      </c>
      <c r="Y189" s="6">
        <f t="shared" si="34"/>
        <v>73480</v>
      </c>
      <c r="Z189" s="6">
        <f t="shared" si="35"/>
        <v>55844.800000000003</v>
      </c>
      <c r="AA189" s="6">
        <f t="shared" si="36"/>
        <v>70268</v>
      </c>
      <c r="AB189" s="6">
        <f t="shared" si="37"/>
        <v>3212</v>
      </c>
      <c r="AC189" t="s">
        <v>16</v>
      </c>
      <c r="AD189" s="3" t="s">
        <v>168</v>
      </c>
    </row>
    <row r="190" spans="1:30" ht="15.75" customHeight="1" x14ac:dyDescent="0.2">
      <c r="A190" s="7" t="str">
        <f t="shared" si="32"/>
        <v>SHENZHEN STRONG TECHNOLOGY CO., LTD.J581New Buy</v>
      </c>
      <c r="B190" s="7" t="str">
        <f t="shared" si="33"/>
        <v>iPadNew Buy</v>
      </c>
      <c r="C190">
        <v>407870</v>
      </c>
      <c r="D190" t="s">
        <v>76</v>
      </c>
      <c r="E190" t="s">
        <v>166</v>
      </c>
      <c r="F190" t="s">
        <v>173</v>
      </c>
      <c r="G190" t="s">
        <v>174</v>
      </c>
      <c r="H190" t="s">
        <v>167</v>
      </c>
      <c r="I190" t="s">
        <v>175</v>
      </c>
      <c r="J190" t="s">
        <v>380</v>
      </c>
      <c r="L190" t="s">
        <v>381</v>
      </c>
      <c r="M190" s="25">
        <v>96</v>
      </c>
      <c r="N190" s="4">
        <v>56</v>
      </c>
      <c r="O190">
        <v>1</v>
      </c>
      <c r="T190" t="s">
        <v>178</v>
      </c>
      <c r="U190" t="s">
        <v>116</v>
      </c>
      <c r="V190" s="25">
        <v>48.64</v>
      </c>
      <c r="W190" s="18" t="s">
        <v>367</v>
      </c>
      <c r="Y190" s="6">
        <f t="shared" si="34"/>
        <v>96</v>
      </c>
      <c r="Z190" s="6">
        <f t="shared" si="35"/>
        <v>48.64</v>
      </c>
      <c r="AA190" s="6">
        <f t="shared" si="36"/>
        <v>56</v>
      </c>
      <c r="AB190" s="6">
        <f t="shared" si="37"/>
        <v>40</v>
      </c>
      <c r="AC190" t="s">
        <v>33</v>
      </c>
      <c r="AD190" s="3" t="s">
        <v>168</v>
      </c>
    </row>
    <row r="191" spans="1:30" ht="15.75" customHeight="1" x14ac:dyDescent="0.2">
      <c r="A191" s="7" t="str">
        <f t="shared" si="32"/>
        <v>SHENZHEN STRONG TECHNOLOGY CO., LTD.J581New Buy</v>
      </c>
      <c r="B191" s="7" t="str">
        <f t="shared" si="33"/>
        <v>iPadNew Buy</v>
      </c>
      <c r="C191">
        <v>407869</v>
      </c>
      <c r="D191" t="s">
        <v>76</v>
      </c>
      <c r="E191" t="s">
        <v>166</v>
      </c>
      <c r="F191" t="s">
        <v>173</v>
      </c>
      <c r="G191" t="s">
        <v>174</v>
      </c>
      <c r="H191" t="s">
        <v>167</v>
      </c>
      <c r="I191" t="s">
        <v>175</v>
      </c>
      <c r="J191" t="s">
        <v>380</v>
      </c>
      <c r="L191" t="s">
        <v>381</v>
      </c>
      <c r="M191" s="25">
        <v>64</v>
      </c>
      <c r="N191" s="4">
        <v>56</v>
      </c>
      <c r="O191">
        <v>1</v>
      </c>
      <c r="T191" t="s">
        <v>178</v>
      </c>
      <c r="U191" t="s">
        <v>66</v>
      </c>
      <c r="V191" s="25">
        <v>48.64</v>
      </c>
      <c r="W191" s="18" t="s">
        <v>367</v>
      </c>
      <c r="Y191" s="6">
        <f t="shared" si="34"/>
        <v>64</v>
      </c>
      <c r="Z191" s="6">
        <f t="shared" si="35"/>
        <v>48.64</v>
      </c>
      <c r="AA191" s="6">
        <f t="shared" si="36"/>
        <v>56</v>
      </c>
      <c r="AB191" s="6">
        <f t="shared" si="37"/>
        <v>8</v>
      </c>
      <c r="AC191" t="s">
        <v>16</v>
      </c>
      <c r="AD191" s="3" t="s">
        <v>168</v>
      </c>
    </row>
    <row r="192" spans="1:30" ht="15.75" customHeight="1" x14ac:dyDescent="0.2">
      <c r="A192" s="7" t="str">
        <f t="shared" si="32"/>
        <v>SHENZHEN STRONG TECHNOLOGY CO., LTD.J581New Buy</v>
      </c>
      <c r="B192" s="7" t="str">
        <f t="shared" si="33"/>
        <v>iPadNew Buy</v>
      </c>
      <c r="C192">
        <v>407868</v>
      </c>
      <c r="D192" t="s">
        <v>76</v>
      </c>
      <c r="E192" t="s">
        <v>166</v>
      </c>
      <c r="F192" t="s">
        <v>173</v>
      </c>
      <c r="G192" t="s">
        <v>174</v>
      </c>
      <c r="H192" t="s">
        <v>167</v>
      </c>
      <c r="I192" t="s">
        <v>175</v>
      </c>
      <c r="J192" t="s">
        <v>380</v>
      </c>
      <c r="L192" t="s">
        <v>381</v>
      </c>
      <c r="M192" s="25">
        <v>64</v>
      </c>
      <c r="N192" s="4">
        <v>56</v>
      </c>
      <c r="O192">
        <v>1</v>
      </c>
      <c r="T192" t="s">
        <v>178</v>
      </c>
      <c r="U192" t="s">
        <v>104</v>
      </c>
      <c r="V192" s="25">
        <v>48.64</v>
      </c>
      <c r="W192" s="18" t="s">
        <v>367</v>
      </c>
      <c r="Y192" s="6">
        <f t="shared" si="34"/>
        <v>64</v>
      </c>
      <c r="Z192" s="6">
        <f t="shared" si="35"/>
        <v>48.64</v>
      </c>
      <c r="AA192" s="6">
        <f t="shared" si="36"/>
        <v>56</v>
      </c>
      <c r="AB192" s="6">
        <f t="shared" si="37"/>
        <v>8</v>
      </c>
      <c r="AC192" t="s">
        <v>16</v>
      </c>
      <c r="AD192" s="3" t="s">
        <v>168</v>
      </c>
    </row>
    <row r="193" spans="1:30" ht="15.75" customHeight="1" x14ac:dyDescent="0.2">
      <c r="A193" s="7" t="str">
        <f t="shared" si="32"/>
        <v>SHENZHEN STRONG TECHNOLOGY CO., LTD.J581New Buy</v>
      </c>
      <c r="B193" s="7" t="str">
        <f t="shared" si="33"/>
        <v>iPadNew Buy</v>
      </c>
      <c r="C193">
        <v>407867</v>
      </c>
      <c r="D193" t="s">
        <v>76</v>
      </c>
      <c r="E193" t="s">
        <v>166</v>
      </c>
      <c r="F193" t="s">
        <v>173</v>
      </c>
      <c r="G193" t="s">
        <v>174</v>
      </c>
      <c r="H193" t="s">
        <v>167</v>
      </c>
      <c r="I193" t="s">
        <v>175</v>
      </c>
      <c r="J193" t="s">
        <v>382</v>
      </c>
      <c r="L193" t="s">
        <v>383</v>
      </c>
      <c r="M193" s="25">
        <v>750</v>
      </c>
      <c r="N193" s="4">
        <v>750</v>
      </c>
      <c r="O193">
        <v>1</v>
      </c>
      <c r="T193" t="s">
        <v>178</v>
      </c>
      <c r="U193" t="s">
        <v>66</v>
      </c>
      <c r="V193" s="25">
        <v>570</v>
      </c>
      <c r="W193" s="18" t="s">
        <v>367</v>
      </c>
      <c r="Y193" s="6">
        <f t="shared" si="34"/>
        <v>750</v>
      </c>
      <c r="Z193" s="6">
        <f t="shared" si="35"/>
        <v>570</v>
      </c>
      <c r="AA193" s="6">
        <f t="shared" si="36"/>
        <v>750</v>
      </c>
      <c r="AB193" s="6">
        <f t="shared" si="37"/>
        <v>0</v>
      </c>
      <c r="AC193" t="s">
        <v>16</v>
      </c>
      <c r="AD193" s="3" t="s">
        <v>168</v>
      </c>
    </row>
    <row r="194" spans="1:30" ht="15.75" customHeight="1" x14ac:dyDescent="0.2">
      <c r="A194" s="7" t="str">
        <f t="shared" si="32"/>
        <v>SHENZHEN STRONG TECHNOLOGY CO., LTD.J581Retrofit</v>
      </c>
      <c r="B194" s="7" t="str">
        <f t="shared" si="33"/>
        <v>iPadNew Buy</v>
      </c>
      <c r="C194">
        <v>407866</v>
      </c>
      <c r="D194" t="s">
        <v>76</v>
      </c>
      <c r="E194" t="s">
        <v>166</v>
      </c>
      <c r="F194" t="s">
        <v>173</v>
      </c>
      <c r="G194" t="s">
        <v>174</v>
      </c>
      <c r="H194" t="s">
        <v>170</v>
      </c>
      <c r="I194" t="s">
        <v>175</v>
      </c>
      <c r="J194" t="s">
        <v>382</v>
      </c>
      <c r="L194" t="s">
        <v>383</v>
      </c>
      <c r="M194" s="25">
        <v>750</v>
      </c>
      <c r="N194" s="4">
        <v>750</v>
      </c>
      <c r="O194">
        <v>42</v>
      </c>
      <c r="T194" t="s">
        <v>178</v>
      </c>
      <c r="U194" t="s">
        <v>104</v>
      </c>
      <c r="V194" s="25">
        <v>570</v>
      </c>
      <c r="W194" s="18" t="s">
        <v>367</v>
      </c>
      <c r="Y194" s="6">
        <f t="shared" si="34"/>
        <v>31500</v>
      </c>
      <c r="Z194" s="6">
        <f t="shared" si="35"/>
        <v>23940</v>
      </c>
      <c r="AA194" s="6">
        <f t="shared" si="36"/>
        <v>31500</v>
      </c>
      <c r="AB194" s="6">
        <f t="shared" si="37"/>
        <v>0</v>
      </c>
      <c r="AC194" t="s">
        <v>16</v>
      </c>
      <c r="AD194" s="3" t="s">
        <v>171</v>
      </c>
    </row>
    <row r="195" spans="1:30" ht="15.75" customHeight="1" x14ac:dyDescent="0.2">
      <c r="A195" s="7" t="str">
        <f t="shared" si="32"/>
        <v>SHENZHEN STRONG TECHNOLOGY CO., LTD.J581New Buy</v>
      </c>
      <c r="B195" s="7" t="str">
        <f t="shared" si="33"/>
        <v>iPadNew Buy</v>
      </c>
      <c r="C195">
        <v>407865</v>
      </c>
      <c r="D195" t="s">
        <v>76</v>
      </c>
      <c r="E195" t="s">
        <v>166</v>
      </c>
      <c r="F195" t="s">
        <v>173</v>
      </c>
      <c r="G195" t="s">
        <v>174</v>
      </c>
      <c r="H195" t="s">
        <v>167</v>
      </c>
      <c r="I195" t="s">
        <v>131</v>
      </c>
      <c r="J195" t="s">
        <v>384</v>
      </c>
      <c r="L195" t="s">
        <v>385</v>
      </c>
      <c r="M195" s="25">
        <v>97.5</v>
      </c>
      <c r="N195" s="4">
        <v>63</v>
      </c>
      <c r="O195">
        <v>9</v>
      </c>
      <c r="T195" t="s">
        <v>178</v>
      </c>
      <c r="U195" t="s">
        <v>116</v>
      </c>
      <c r="V195" s="25">
        <v>49.4</v>
      </c>
      <c r="W195" s="18" t="s">
        <v>367</v>
      </c>
      <c r="Y195" s="6">
        <f t="shared" si="34"/>
        <v>877.5</v>
      </c>
      <c r="Z195" s="6">
        <f t="shared" si="35"/>
        <v>444.59999999999997</v>
      </c>
      <c r="AA195" s="6">
        <f t="shared" si="36"/>
        <v>567</v>
      </c>
      <c r="AB195" s="6">
        <f t="shared" si="37"/>
        <v>310.5</v>
      </c>
      <c r="AC195" t="s">
        <v>33</v>
      </c>
      <c r="AD195" s="3" t="s">
        <v>168</v>
      </c>
    </row>
    <row r="196" spans="1:30" ht="15.75" customHeight="1" x14ac:dyDescent="0.2">
      <c r="A196" s="7" t="str">
        <f t="shared" si="32"/>
        <v>SHENZHEN STRONG TECHNOLOGY CO., LTD.J581New Buy</v>
      </c>
      <c r="B196" s="7" t="str">
        <f t="shared" si="33"/>
        <v>iPadNew Buy</v>
      </c>
      <c r="C196">
        <v>407864</v>
      </c>
      <c r="D196" t="s">
        <v>76</v>
      </c>
      <c r="E196" t="s">
        <v>166</v>
      </c>
      <c r="F196" t="s">
        <v>173</v>
      </c>
      <c r="G196" t="s">
        <v>174</v>
      </c>
      <c r="H196" t="s">
        <v>167</v>
      </c>
      <c r="I196" t="s">
        <v>175</v>
      </c>
      <c r="J196" t="s">
        <v>384</v>
      </c>
      <c r="L196" t="s">
        <v>385</v>
      </c>
      <c r="M196" s="25">
        <v>65</v>
      </c>
      <c r="N196" s="4">
        <v>63</v>
      </c>
      <c r="O196">
        <v>4</v>
      </c>
      <c r="T196" t="s">
        <v>178</v>
      </c>
      <c r="U196" t="s">
        <v>66</v>
      </c>
      <c r="V196" s="25">
        <v>49.4</v>
      </c>
      <c r="W196" s="18" t="s">
        <v>367</v>
      </c>
      <c r="Y196" s="6">
        <f t="shared" si="34"/>
        <v>260</v>
      </c>
      <c r="Z196" s="6">
        <f t="shared" si="35"/>
        <v>197.6</v>
      </c>
      <c r="AA196" s="6">
        <f t="shared" si="36"/>
        <v>252</v>
      </c>
      <c r="AB196" s="6">
        <f t="shared" si="37"/>
        <v>8</v>
      </c>
      <c r="AC196" t="s">
        <v>16</v>
      </c>
      <c r="AD196" s="3" t="s">
        <v>168</v>
      </c>
    </row>
    <row r="197" spans="1:30" ht="15.75" customHeight="1" x14ac:dyDescent="0.2">
      <c r="A197" s="7" t="str">
        <f t="shared" si="32"/>
        <v>SHENZHEN STRONG TECHNOLOGY CO., LTD.J581New Buy</v>
      </c>
      <c r="B197" s="7" t="str">
        <f t="shared" si="33"/>
        <v>iPadNew Buy</v>
      </c>
      <c r="C197">
        <v>407863</v>
      </c>
      <c r="D197" t="s">
        <v>76</v>
      </c>
      <c r="E197" t="s">
        <v>166</v>
      </c>
      <c r="F197" t="s">
        <v>173</v>
      </c>
      <c r="G197" t="s">
        <v>174</v>
      </c>
      <c r="H197" t="s">
        <v>167</v>
      </c>
      <c r="I197" t="s">
        <v>175</v>
      </c>
      <c r="J197" t="s">
        <v>384</v>
      </c>
      <c r="L197" t="s">
        <v>385</v>
      </c>
      <c r="M197" s="25">
        <v>65</v>
      </c>
      <c r="N197" s="4">
        <v>63</v>
      </c>
      <c r="O197">
        <v>1</v>
      </c>
      <c r="T197" t="s">
        <v>178</v>
      </c>
      <c r="U197" t="s">
        <v>104</v>
      </c>
      <c r="V197" s="25">
        <v>49.4</v>
      </c>
      <c r="W197" s="18" t="s">
        <v>367</v>
      </c>
      <c r="Y197" s="6">
        <f t="shared" si="34"/>
        <v>65</v>
      </c>
      <c r="Z197" s="6">
        <f t="shared" si="35"/>
        <v>49.4</v>
      </c>
      <c r="AA197" s="6">
        <f t="shared" si="36"/>
        <v>63</v>
      </c>
      <c r="AB197" s="6">
        <f t="shared" si="37"/>
        <v>2</v>
      </c>
      <c r="AC197" t="s">
        <v>16</v>
      </c>
      <c r="AD197" s="3" t="s">
        <v>168</v>
      </c>
    </row>
    <row r="198" spans="1:30" ht="15.75" customHeight="1" x14ac:dyDescent="0.2">
      <c r="A198" s="7" t="str">
        <f t="shared" si="32"/>
        <v>SHENZHEN STRONG TECHNOLOGY CO., LTD.J581New Buy</v>
      </c>
      <c r="B198" s="7" t="str">
        <f t="shared" si="33"/>
        <v>iPadNew Buy</v>
      </c>
      <c r="C198">
        <v>407862</v>
      </c>
      <c r="D198" t="s">
        <v>76</v>
      </c>
      <c r="E198" t="s">
        <v>166</v>
      </c>
      <c r="F198" t="s">
        <v>173</v>
      </c>
      <c r="G198" t="s">
        <v>174</v>
      </c>
      <c r="H198" t="s">
        <v>167</v>
      </c>
      <c r="I198" t="s">
        <v>175</v>
      </c>
      <c r="J198" t="s">
        <v>386</v>
      </c>
      <c r="L198" t="s">
        <v>387</v>
      </c>
      <c r="M198" s="25">
        <v>97.5</v>
      </c>
      <c r="N198" s="4">
        <v>75</v>
      </c>
      <c r="O198">
        <v>9</v>
      </c>
      <c r="T198" t="s">
        <v>178</v>
      </c>
      <c r="U198" t="s">
        <v>116</v>
      </c>
      <c r="V198" s="25">
        <v>49.4</v>
      </c>
      <c r="W198" s="18" t="s">
        <v>367</v>
      </c>
      <c r="Y198" s="6">
        <f t="shared" si="34"/>
        <v>877.5</v>
      </c>
      <c r="Z198" s="6">
        <f t="shared" si="35"/>
        <v>444.59999999999997</v>
      </c>
      <c r="AA198" s="6">
        <f t="shared" si="36"/>
        <v>675</v>
      </c>
      <c r="AB198" s="6">
        <f t="shared" si="37"/>
        <v>202.5</v>
      </c>
      <c r="AC198" t="s">
        <v>33</v>
      </c>
      <c r="AD198" s="3" t="s">
        <v>168</v>
      </c>
    </row>
    <row r="199" spans="1:30" ht="15.75" customHeight="1" x14ac:dyDescent="0.2">
      <c r="A199" s="7" t="str">
        <f t="shared" si="32"/>
        <v>SHENZHEN STRONG TECHNOLOGY CO., LTD.J581New Buy</v>
      </c>
      <c r="B199" s="7" t="str">
        <f t="shared" si="33"/>
        <v>iPadNew Buy</v>
      </c>
      <c r="C199">
        <v>407861</v>
      </c>
      <c r="D199" t="s">
        <v>76</v>
      </c>
      <c r="E199" t="s">
        <v>166</v>
      </c>
      <c r="F199" t="s">
        <v>173</v>
      </c>
      <c r="G199" t="s">
        <v>174</v>
      </c>
      <c r="H199" t="s">
        <v>167</v>
      </c>
      <c r="I199" t="s">
        <v>175</v>
      </c>
      <c r="J199" t="s">
        <v>386</v>
      </c>
      <c r="L199" t="s">
        <v>387</v>
      </c>
      <c r="M199" s="25">
        <v>75</v>
      </c>
      <c r="N199" s="4">
        <v>75</v>
      </c>
      <c r="O199">
        <v>3</v>
      </c>
      <c r="T199" t="s">
        <v>178</v>
      </c>
      <c r="U199" t="s">
        <v>66</v>
      </c>
      <c r="V199" s="25">
        <v>49.4</v>
      </c>
      <c r="W199" s="18" t="s">
        <v>367</v>
      </c>
      <c r="Y199" s="6">
        <f t="shared" si="34"/>
        <v>225</v>
      </c>
      <c r="Z199" s="6">
        <f t="shared" si="35"/>
        <v>148.19999999999999</v>
      </c>
      <c r="AA199" s="6">
        <f t="shared" si="36"/>
        <v>225</v>
      </c>
      <c r="AB199" s="6">
        <f t="shared" si="37"/>
        <v>0</v>
      </c>
      <c r="AC199" t="s">
        <v>16</v>
      </c>
      <c r="AD199" s="3" t="s">
        <v>168</v>
      </c>
    </row>
    <row r="200" spans="1:30" ht="15.75" customHeight="1" x14ac:dyDescent="0.2">
      <c r="A200" s="7" t="str">
        <f t="shared" si="32"/>
        <v>SHENZHEN STRONG TECHNOLOGY CO., LTD.J581New Buy</v>
      </c>
      <c r="B200" s="7" t="str">
        <f t="shared" si="33"/>
        <v>iPadNew Buy</v>
      </c>
      <c r="C200">
        <v>407860</v>
      </c>
      <c r="D200" t="s">
        <v>76</v>
      </c>
      <c r="E200" t="s">
        <v>166</v>
      </c>
      <c r="F200" t="s">
        <v>173</v>
      </c>
      <c r="G200" t="s">
        <v>174</v>
      </c>
      <c r="H200" t="s">
        <v>167</v>
      </c>
      <c r="I200" t="s">
        <v>175</v>
      </c>
      <c r="J200" t="s">
        <v>386</v>
      </c>
      <c r="L200" t="s">
        <v>387</v>
      </c>
      <c r="M200" s="25">
        <v>75</v>
      </c>
      <c r="N200" s="4">
        <v>75</v>
      </c>
      <c r="O200">
        <v>3</v>
      </c>
      <c r="T200" t="s">
        <v>178</v>
      </c>
      <c r="U200" t="s">
        <v>104</v>
      </c>
      <c r="V200" s="25">
        <v>49.4</v>
      </c>
      <c r="W200" s="18" t="s">
        <v>367</v>
      </c>
      <c r="Y200" s="6">
        <f t="shared" si="34"/>
        <v>225</v>
      </c>
      <c r="Z200" s="6">
        <f t="shared" si="35"/>
        <v>148.19999999999999</v>
      </c>
      <c r="AA200" s="6">
        <f t="shared" si="36"/>
        <v>225</v>
      </c>
      <c r="AB200" s="6">
        <f t="shared" si="37"/>
        <v>0</v>
      </c>
      <c r="AC200" t="s">
        <v>16</v>
      </c>
      <c r="AD200" s="3" t="s">
        <v>168</v>
      </c>
    </row>
    <row r="201" spans="1:30" ht="15.75" customHeight="1" x14ac:dyDescent="0.2">
      <c r="A201" s="7" t="str">
        <f t="shared" si="32"/>
        <v>SHENZHEN STRONG TECHNOLOGY CO., LTD.J581New Buy</v>
      </c>
      <c r="B201" s="7" t="str">
        <f t="shared" si="33"/>
        <v>iPadNew Buy</v>
      </c>
      <c r="C201">
        <v>407859</v>
      </c>
      <c r="D201" t="s">
        <v>76</v>
      </c>
      <c r="E201" t="s">
        <v>166</v>
      </c>
      <c r="F201" t="s">
        <v>173</v>
      </c>
      <c r="G201" t="s">
        <v>174</v>
      </c>
      <c r="H201" t="s">
        <v>167</v>
      </c>
      <c r="I201" t="s">
        <v>175</v>
      </c>
      <c r="J201" t="s">
        <v>388</v>
      </c>
      <c r="L201" t="s">
        <v>389</v>
      </c>
      <c r="M201" s="25">
        <v>97.5</v>
      </c>
      <c r="N201" s="4">
        <v>70</v>
      </c>
      <c r="O201">
        <v>4</v>
      </c>
      <c r="T201" t="s">
        <v>178</v>
      </c>
      <c r="U201" t="s">
        <v>116</v>
      </c>
      <c r="V201" s="25">
        <v>49.4</v>
      </c>
      <c r="W201" s="18" t="s">
        <v>367</v>
      </c>
      <c r="Y201" s="6">
        <f t="shared" si="34"/>
        <v>390</v>
      </c>
      <c r="Z201" s="6">
        <f t="shared" si="35"/>
        <v>197.6</v>
      </c>
      <c r="AA201" s="6">
        <f t="shared" si="36"/>
        <v>280</v>
      </c>
      <c r="AB201" s="6">
        <f t="shared" si="37"/>
        <v>110</v>
      </c>
      <c r="AC201" t="s">
        <v>33</v>
      </c>
      <c r="AD201" s="3" t="s">
        <v>168</v>
      </c>
    </row>
    <row r="202" spans="1:30" ht="15.75" customHeight="1" x14ac:dyDescent="0.2">
      <c r="A202" s="7" t="str">
        <f t="shared" si="32"/>
        <v>SHENZHEN STRONG TECHNOLOGY CO., LTD.J581New Buy</v>
      </c>
      <c r="B202" s="7" t="str">
        <f t="shared" si="33"/>
        <v>iPadNew Buy</v>
      </c>
      <c r="C202">
        <v>407858</v>
      </c>
      <c r="D202" t="s">
        <v>76</v>
      </c>
      <c r="E202" t="s">
        <v>166</v>
      </c>
      <c r="F202" t="s">
        <v>173</v>
      </c>
      <c r="G202" t="s">
        <v>174</v>
      </c>
      <c r="H202" t="s">
        <v>167</v>
      </c>
      <c r="I202" t="s">
        <v>175</v>
      </c>
      <c r="J202" t="s">
        <v>388</v>
      </c>
      <c r="L202" t="s">
        <v>389</v>
      </c>
      <c r="M202" s="25">
        <v>70</v>
      </c>
      <c r="N202" s="4">
        <v>70</v>
      </c>
      <c r="O202">
        <v>3</v>
      </c>
      <c r="T202" t="s">
        <v>178</v>
      </c>
      <c r="U202" t="s">
        <v>66</v>
      </c>
      <c r="V202" s="25">
        <v>49.4</v>
      </c>
      <c r="W202" s="18" t="s">
        <v>367</v>
      </c>
      <c r="Y202" s="6">
        <f t="shared" si="34"/>
        <v>210</v>
      </c>
      <c r="Z202" s="6">
        <f t="shared" si="35"/>
        <v>148.19999999999999</v>
      </c>
      <c r="AA202" s="6">
        <f t="shared" si="36"/>
        <v>210</v>
      </c>
      <c r="AB202" s="6">
        <f t="shared" si="37"/>
        <v>0</v>
      </c>
      <c r="AC202" t="s">
        <v>16</v>
      </c>
      <c r="AD202" s="3" t="s">
        <v>168</v>
      </c>
    </row>
    <row r="203" spans="1:30" ht="15.75" customHeight="1" x14ac:dyDescent="0.2">
      <c r="A203" s="7" t="str">
        <f t="shared" si="32"/>
        <v>SHENZHEN STRONG TECHNOLOGY CO., LTD.J581New Buy</v>
      </c>
      <c r="B203" s="7" t="str">
        <f t="shared" si="33"/>
        <v>iPadNew Buy</v>
      </c>
      <c r="C203">
        <v>407857</v>
      </c>
      <c r="D203" t="s">
        <v>76</v>
      </c>
      <c r="E203" t="s">
        <v>166</v>
      </c>
      <c r="F203" t="s">
        <v>173</v>
      </c>
      <c r="G203" t="s">
        <v>174</v>
      </c>
      <c r="H203" t="s">
        <v>167</v>
      </c>
      <c r="I203" t="s">
        <v>175</v>
      </c>
      <c r="J203" t="s">
        <v>388</v>
      </c>
      <c r="L203" t="s">
        <v>389</v>
      </c>
      <c r="M203" s="25">
        <v>70</v>
      </c>
      <c r="N203" s="4">
        <v>70</v>
      </c>
      <c r="O203">
        <v>3</v>
      </c>
      <c r="T203" t="s">
        <v>178</v>
      </c>
      <c r="U203" t="s">
        <v>104</v>
      </c>
      <c r="V203" s="25">
        <v>49.4</v>
      </c>
      <c r="W203" s="18" t="s">
        <v>367</v>
      </c>
      <c r="Y203" s="6">
        <f t="shared" si="34"/>
        <v>210</v>
      </c>
      <c r="Z203" s="6">
        <f t="shared" si="35"/>
        <v>148.19999999999999</v>
      </c>
      <c r="AA203" s="6">
        <f t="shared" si="36"/>
        <v>210</v>
      </c>
      <c r="AB203" s="6">
        <f t="shared" si="37"/>
        <v>0</v>
      </c>
      <c r="AC203" t="s">
        <v>16</v>
      </c>
      <c r="AD203" s="3" t="s">
        <v>168</v>
      </c>
    </row>
    <row r="204" spans="1:30" ht="15.75" customHeight="1" x14ac:dyDescent="0.2">
      <c r="A204" s="7" t="str">
        <f t="shared" si="32"/>
        <v>SHENZHEN STRONG TECHNOLOGY CO., LTD.J581New Buy</v>
      </c>
      <c r="B204" s="7" t="str">
        <f t="shared" si="33"/>
        <v>iPadNew Buy</v>
      </c>
      <c r="C204">
        <v>407856</v>
      </c>
      <c r="D204" t="s">
        <v>76</v>
      </c>
      <c r="E204" t="s">
        <v>166</v>
      </c>
      <c r="F204" t="s">
        <v>173</v>
      </c>
      <c r="G204" t="s">
        <v>174</v>
      </c>
      <c r="H204" t="s">
        <v>167</v>
      </c>
      <c r="I204" t="s">
        <v>175</v>
      </c>
      <c r="J204" t="s">
        <v>390</v>
      </c>
      <c r="L204" t="s">
        <v>391</v>
      </c>
      <c r="M204" s="25">
        <v>90</v>
      </c>
      <c r="N204" s="4">
        <v>57</v>
      </c>
      <c r="O204">
        <v>8</v>
      </c>
      <c r="T204" t="s">
        <v>178</v>
      </c>
      <c r="U204" t="s">
        <v>116</v>
      </c>
      <c r="V204" s="25">
        <v>45.6</v>
      </c>
      <c r="W204" s="18" t="s">
        <v>367</v>
      </c>
      <c r="Y204" s="6">
        <f t="shared" si="34"/>
        <v>720</v>
      </c>
      <c r="Z204" s="6">
        <f t="shared" si="35"/>
        <v>364.8</v>
      </c>
      <c r="AA204" s="6">
        <f t="shared" si="36"/>
        <v>456</v>
      </c>
      <c r="AB204" s="6">
        <f t="shared" si="37"/>
        <v>264</v>
      </c>
      <c r="AC204" t="s">
        <v>33</v>
      </c>
      <c r="AD204" s="3" t="s">
        <v>168</v>
      </c>
    </row>
    <row r="205" spans="1:30" ht="15.75" customHeight="1" x14ac:dyDescent="0.2">
      <c r="A205" s="7" t="str">
        <f t="shared" si="32"/>
        <v>SHENZHEN STRONG TECHNOLOGY CO., LTD.J581New Buy</v>
      </c>
      <c r="B205" s="7" t="str">
        <f t="shared" si="33"/>
        <v>iPadNew Buy</v>
      </c>
      <c r="C205">
        <v>407855</v>
      </c>
      <c r="D205" t="s">
        <v>76</v>
      </c>
      <c r="E205" t="s">
        <v>166</v>
      </c>
      <c r="F205" t="s">
        <v>173</v>
      </c>
      <c r="G205" t="s">
        <v>174</v>
      </c>
      <c r="H205" t="s">
        <v>167</v>
      </c>
      <c r="I205" t="s">
        <v>175</v>
      </c>
      <c r="J205" t="s">
        <v>390</v>
      </c>
      <c r="L205" t="s">
        <v>391</v>
      </c>
      <c r="M205" s="25">
        <v>60</v>
      </c>
      <c r="N205" s="4">
        <v>57</v>
      </c>
      <c r="O205">
        <v>2</v>
      </c>
      <c r="T205" t="s">
        <v>178</v>
      </c>
      <c r="U205" t="s">
        <v>66</v>
      </c>
      <c r="V205" s="25">
        <v>45.6</v>
      </c>
      <c r="W205" s="18" t="s">
        <v>367</v>
      </c>
      <c r="Y205" s="6">
        <f t="shared" si="34"/>
        <v>120</v>
      </c>
      <c r="Z205" s="6">
        <f t="shared" si="35"/>
        <v>91.2</v>
      </c>
      <c r="AA205" s="6">
        <f t="shared" si="36"/>
        <v>114</v>
      </c>
      <c r="AB205" s="6">
        <f t="shared" si="37"/>
        <v>6</v>
      </c>
      <c r="AC205" t="s">
        <v>16</v>
      </c>
      <c r="AD205" s="3" t="s">
        <v>168</v>
      </c>
    </row>
    <row r="206" spans="1:30" ht="15.75" customHeight="1" x14ac:dyDescent="0.2">
      <c r="A206" s="7" t="str">
        <f t="shared" si="32"/>
        <v>SHENZHEN STRONG TECHNOLOGY CO., LTD.J581New Buy</v>
      </c>
      <c r="B206" s="7" t="str">
        <f t="shared" si="33"/>
        <v>iPadNew Buy</v>
      </c>
      <c r="C206">
        <v>407854</v>
      </c>
      <c r="D206" t="s">
        <v>76</v>
      </c>
      <c r="E206" t="s">
        <v>166</v>
      </c>
      <c r="F206" t="s">
        <v>173</v>
      </c>
      <c r="G206" t="s">
        <v>174</v>
      </c>
      <c r="H206" t="s">
        <v>167</v>
      </c>
      <c r="I206" t="s">
        <v>175</v>
      </c>
      <c r="J206" t="s">
        <v>390</v>
      </c>
      <c r="L206" t="s">
        <v>391</v>
      </c>
      <c r="M206" s="25">
        <v>60</v>
      </c>
      <c r="N206" s="4">
        <v>57</v>
      </c>
      <c r="O206">
        <v>3</v>
      </c>
      <c r="T206" t="s">
        <v>178</v>
      </c>
      <c r="U206" t="s">
        <v>104</v>
      </c>
      <c r="V206" s="25">
        <v>45.6</v>
      </c>
      <c r="W206" s="18" t="s">
        <v>367</v>
      </c>
      <c r="Y206" s="6">
        <f t="shared" si="34"/>
        <v>180</v>
      </c>
      <c r="Z206" s="6">
        <f t="shared" si="35"/>
        <v>136.80000000000001</v>
      </c>
      <c r="AA206" s="6">
        <f t="shared" si="36"/>
        <v>171</v>
      </c>
      <c r="AB206" s="6">
        <f t="shared" si="37"/>
        <v>9</v>
      </c>
      <c r="AC206" t="s">
        <v>16</v>
      </c>
      <c r="AD206" s="3" t="s">
        <v>168</v>
      </c>
    </row>
    <row r="207" spans="1:30" ht="15.75" customHeight="1" x14ac:dyDescent="0.2">
      <c r="A207" s="7" t="str">
        <f t="shared" si="32"/>
        <v>SHENZHEN STRONG TECHNOLOGY CO., LTD.J581New Buy</v>
      </c>
      <c r="B207" s="7" t="str">
        <f t="shared" si="33"/>
        <v>iPadNew Buy</v>
      </c>
      <c r="C207">
        <v>407847</v>
      </c>
      <c r="D207" t="s">
        <v>76</v>
      </c>
      <c r="E207" t="s">
        <v>166</v>
      </c>
      <c r="F207" t="s">
        <v>173</v>
      </c>
      <c r="G207" t="s">
        <v>174</v>
      </c>
      <c r="H207" t="s">
        <v>167</v>
      </c>
      <c r="I207" t="s">
        <v>175</v>
      </c>
      <c r="J207" t="s">
        <v>392</v>
      </c>
      <c r="L207" t="s">
        <v>393</v>
      </c>
      <c r="M207" s="25">
        <v>292.5</v>
      </c>
      <c r="N207" s="4">
        <v>169</v>
      </c>
      <c r="O207">
        <v>1</v>
      </c>
      <c r="T207" t="s">
        <v>178</v>
      </c>
      <c r="U207" t="s">
        <v>116</v>
      </c>
      <c r="V207" s="25">
        <v>148.19999999999999</v>
      </c>
      <c r="W207" s="18" t="s">
        <v>367</v>
      </c>
      <c r="Y207" s="6">
        <f t="shared" si="34"/>
        <v>292.5</v>
      </c>
      <c r="Z207" s="6">
        <f t="shared" si="35"/>
        <v>148.19999999999999</v>
      </c>
      <c r="AA207" s="6">
        <f t="shared" si="36"/>
        <v>169</v>
      </c>
      <c r="AB207" s="6">
        <f t="shared" si="37"/>
        <v>123.5</v>
      </c>
      <c r="AC207" t="s">
        <v>33</v>
      </c>
      <c r="AD207" s="3" t="s">
        <v>168</v>
      </c>
    </row>
    <row r="208" spans="1:30" ht="15.75" customHeight="1" x14ac:dyDescent="0.2">
      <c r="A208" s="7" t="str">
        <f t="shared" si="32"/>
        <v>SHENZHEN STRONG TECHNOLOGY CO., LTD.J581New Buy</v>
      </c>
      <c r="B208" s="7" t="str">
        <f t="shared" si="33"/>
        <v>iPadNew Buy</v>
      </c>
      <c r="C208">
        <v>407846</v>
      </c>
      <c r="D208" t="s">
        <v>76</v>
      </c>
      <c r="E208" t="s">
        <v>166</v>
      </c>
      <c r="F208" t="s">
        <v>173</v>
      </c>
      <c r="G208" t="s">
        <v>174</v>
      </c>
      <c r="H208" t="s">
        <v>167</v>
      </c>
      <c r="I208" t="s">
        <v>175</v>
      </c>
      <c r="J208" t="s">
        <v>392</v>
      </c>
      <c r="L208" t="s">
        <v>393</v>
      </c>
      <c r="M208" s="25">
        <v>195</v>
      </c>
      <c r="N208" s="4">
        <v>169</v>
      </c>
      <c r="O208">
        <v>1</v>
      </c>
      <c r="T208" t="s">
        <v>178</v>
      </c>
      <c r="U208" t="s">
        <v>66</v>
      </c>
      <c r="V208" s="25">
        <v>148.19999999999999</v>
      </c>
      <c r="W208" s="18" t="s">
        <v>367</v>
      </c>
      <c r="Y208" s="6">
        <f t="shared" si="34"/>
        <v>195</v>
      </c>
      <c r="Z208" s="6">
        <f t="shared" si="35"/>
        <v>148.19999999999999</v>
      </c>
      <c r="AA208" s="6">
        <f t="shared" si="36"/>
        <v>169</v>
      </c>
      <c r="AB208" s="6">
        <f t="shared" si="37"/>
        <v>26</v>
      </c>
      <c r="AC208" t="s">
        <v>16</v>
      </c>
      <c r="AD208" s="3" t="s">
        <v>168</v>
      </c>
    </row>
    <row r="209" spans="1:30" ht="15.75" customHeight="1" x14ac:dyDescent="0.2">
      <c r="A209" s="7" t="str">
        <f t="shared" si="32"/>
        <v>SHENZHEN STRONG TECHNOLOGY CO., LTD.J581Retrofit</v>
      </c>
      <c r="B209" s="7" t="str">
        <f t="shared" si="33"/>
        <v>iPadNew Buy</v>
      </c>
      <c r="C209">
        <v>407845</v>
      </c>
      <c r="D209" t="s">
        <v>76</v>
      </c>
      <c r="E209" t="s">
        <v>166</v>
      </c>
      <c r="F209" t="s">
        <v>173</v>
      </c>
      <c r="G209" t="s">
        <v>174</v>
      </c>
      <c r="H209" t="s">
        <v>170</v>
      </c>
      <c r="I209" t="s">
        <v>175</v>
      </c>
      <c r="J209" t="s">
        <v>392</v>
      </c>
      <c r="L209" t="s">
        <v>393</v>
      </c>
      <c r="M209" s="25">
        <v>195</v>
      </c>
      <c r="N209" s="4">
        <v>169</v>
      </c>
      <c r="O209">
        <v>1</v>
      </c>
      <c r="T209" t="s">
        <v>178</v>
      </c>
      <c r="U209" t="s">
        <v>104</v>
      </c>
      <c r="V209" s="25">
        <v>148.19999999999999</v>
      </c>
      <c r="W209" s="18" t="s">
        <v>367</v>
      </c>
      <c r="Y209" s="6">
        <f t="shared" si="34"/>
        <v>195</v>
      </c>
      <c r="Z209" s="6">
        <f t="shared" si="35"/>
        <v>148.19999999999999</v>
      </c>
      <c r="AA209" s="6">
        <f t="shared" si="36"/>
        <v>169</v>
      </c>
      <c r="AB209" s="6">
        <f t="shared" si="37"/>
        <v>26</v>
      </c>
      <c r="AC209" t="s">
        <v>16</v>
      </c>
      <c r="AD209" s="3" t="s">
        <v>171</v>
      </c>
    </row>
    <row r="210" spans="1:30" ht="15.75" customHeight="1" x14ac:dyDescent="0.2">
      <c r="A210" s="7" t="str">
        <f t="shared" si="32"/>
        <v>SHENZHEN STRONG TECHNOLOGY CO., LTD.J581New Buy</v>
      </c>
      <c r="B210" s="7" t="str">
        <f t="shared" si="33"/>
        <v>iPadNew Buy</v>
      </c>
      <c r="C210">
        <v>407838</v>
      </c>
      <c r="D210" t="s">
        <v>76</v>
      </c>
      <c r="E210" t="s">
        <v>166</v>
      </c>
      <c r="F210" t="s">
        <v>173</v>
      </c>
      <c r="G210" t="s">
        <v>174</v>
      </c>
      <c r="H210" t="s">
        <v>167</v>
      </c>
      <c r="I210" t="s">
        <v>131</v>
      </c>
      <c r="J210" t="s">
        <v>394</v>
      </c>
      <c r="L210" t="s">
        <v>395</v>
      </c>
      <c r="M210" s="25">
        <v>35</v>
      </c>
      <c r="N210" s="4">
        <v>32</v>
      </c>
      <c r="O210">
        <v>33</v>
      </c>
      <c r="T210" t="s">
        <v>178</v>
      </c>
      <c r="U210" t="s">
        <v>66</v>
      </c>
      <c r="V210" s="25">
        <v>26.6</v>
      </c>
      <c r="W210" s="18" t="s">
        <v>367</v>
      </c>
      <c r="Y210" s="6">
        <f t="shared" si="34"/>
        <v>1155</v>
      </c>
      <c r="Z210" s="6">
        <f t="shared" si="35"/>
        <v>877.80000000000007</v>
      </c>
      <c r="AA210" s="6">
        <f t="shared" si="36"/>
        <v>1056</v>
      </c>
      <c r="AB210" s="6">
        <f t="shared" si="37"/>
        <v>99</v>
      </c>
      <c r="AC210" t="s">
        <v>16</v>
      </c>
      <c r="AD210" s="3" t="s">
        <v>168</v>
      </c>
    </row>
    <row r="211" spans="1:30" ht="15.75" customHeight="1" x14ac:dyDescent="0.2">
      <c r="A211" s="7" t="str">
        <f t="shared" si="32"/>
        <v>SHENZHEN STRONG TECHNOLOGY CO., LTD.J581New Buy</v>
      </c>
      <c r="B211" s="7" t="str">
        <f t="shared" si="33"/>
        <v>iPadNew Buy</v>
      </c>
      <c r="C211">
        <v>407837</v>
      </c>
      <c r="D211" t="s">
        <v>76</v>
      </c>
      <c r="E211" t="s">
        <v>166</v>
      </c>
      <c r="F211" t="s">
        <v>173</v>
      </c>
      <c r="G211" t="s">
        <v>174</v>
      </c>
      <c r="H211" t="s">
        <v>167</v>
      </c>
      <c r="I211" t="s">
        <v>175</v>
      </c>
      <c r="J211" t="s">
        <v>394</v>
      </c>
      <c r="L211" t="s">
        <v>395</v>
      </c>
      <c r="M211" s="25">
        <v>52.5</v>
      </c>
      <c r="N211" s="4">
        <v>32</v>
      </c>
      <c r="O211">
        <v>65</v>
      </c>
      <c r="T211" t="s">
        <v>178</v>
      </c>
      <c r="U211" t="s">
        <v>116</v>
      </c>
      <c r="V211" s="25">
        <v>26.6</v>
      </c>
      <c r="W211" s="18" t="s">
        <v>367</v>
      </c>
      <c r="Y211" s="6">
        <f t="shared" si="34"/>
        <v>3412.5</v>
      </c>
      <c r="Z211" s="6">
        <f t="shared" si="35"/>
        <v>1729</v>
      </c>
      <c r="AA211" s="6">
        <f t="shared" si="36"/>
        <v>2080</v>
      </c>
      <c r="AB211" s="6">
        <f t="shared" ref="AB211:AB274" si="38">IF(AA211=0,0,Y211-AA211)</f>
        <v>1332.5</v>
      </c>
      <c r="AC211" t="s">
        <v>33</v>
      </c>
      <c r="AD211" s="3" t="s">
        <v>168</v>
      </c>
    </row>
    <row r="212" spans="1:30" ht="15.75" customHeight="1" x14ac:dyDescent="0.2">
      <c r="A212" s="7" t="str">
        <f t="shared" si="32"/>
        <v>SHENZHEN STRONG TECHNOLOGY CO., LTD.J581New Buy</v>
      </c>
      <c r="B212" s="7" t="str">
        <f t="shared" si="33"/>
        <v>iPadNew Buy</v>
      </c>
      <c r="C212">
        <v>407836</v>
      </c>
      <c r="D212" t="s">
        <v>76</v>
      </c>
      <c r="E212" t="s">
        <v>166</v>
      </c>
      <c r="F212" t="s">
        <v>173</v>
      </c>
      <c r="G212" t="s">
        <v>174</v>
      </c>
      <c r="H212" t="s">
        <v>167</v>
      </c>
      <c r="I212" t="s">
        <v>175</v>
      </c>
      <c r="J212" t="s">
        <v>394</v>
      </c>
      <c r="L212" t="s">
        <v>395</v>
      </c>
      <c r="M212" s="25">
        <v>35</v>
      </c>
      <c r="N212" s="4">
        <v>32</v>
      </c>
      <c r="O212">
        <v>41</v>
      </c>
      <c r="T212" t="s">
        <v>178</v>
      </c>
      <c r="U212" t="s">
        <v>104</v>
      </c>
      <c r="V212" s="25">
        <v>26.6</v>
      </c>
      <c r="W212" s="18" t="s">
        <v>367</v>
      </c>
      <c r="Y212" s="6">
        <f t="shared" si="34"/>
        <v>1435</v>
      </c>
      <c r="Z212" s="6">
        <f t="shared" si="35"/>
        <v>1090.6000000000001</v>
      </c>
      <c r="AA212" s="6">
        <f t="shared" si="36"/>
        <v>1312</v>
      </c>
      <c r="AB212" s="6">
        <f t="shared" si="38"/>
        <v>123</v>
      </c>
      <c r="AC212" t="s">
        <v>16</v>
      </c>
      <c r="AD212" s="3" t="s">
        <v>168</v>
      </c>
    </row>
    <row r="213" spans="1:30" ht="15.75" customHeight="1" x14ac:dyDescent="0.2">
      <c r="A213" s="7" t="str">
        <f t="shared" si="32"/>
        <v>SHENZHEN STRONG TECHNOLOGY CO., LTD.J581Retrofit</v>
      </c>
      <c r="B213" s="7" t="str">
        <f t="shared" si="33"/>
        <v>iPadNew Buy</v>
      </c>
      <c r="C213">
        <v>407835</v>
      </c>
      <c r="D213" t="s">
        <v>76</v>
      </c>
      <c r="E213" t="s">
        <v>166</v>
      </c>
      <c r="F213" t="s">
        <v>173</v>
      </c>
      <c r="G213" t="s">
        <v>174</v>
      </c>
      <c r="H213" t="s">
        <v>170</v>
      </c>
      <c r="I213" t="s">
        <v>175</v>
      </c>
      <c r="J213" t="s">
        <v>396</v>
      </c>
      <c r="L213" t="s">
        <v>397</v>
      </c>
      <c r="M213" s="25">
        <v>2450</v>
      </c>
      <c r="N213" s="4">
        <v>2340</v>
      </c>
      <c r="O213">
        <v>1</v>
      </c>
      <c r="T213" t="s">
        <v>178</v>
      </c>
      <c r="U213" t="s">
        <v>104</v>
      </c>
      <c r="V213" s="25">
        <v>1862</v>
      </c>
      <c r="W213" s="18" t="s">
        <v>367</v>
      </c>
      <c r="Y213" s="6">
        <f t="shared" si="34"/>
        <v>2450</v>
      </c>
      <c r="Z213" s="6">
        <f t="shared" si="35"/>
        <v>1862</v>
      </c>
      <c r="AA213" s="6">
        <f t="shared" si="36"/>
        <v>2340</v>
      </c>
      <c r="AB213" s="6">
        <f t="shared" si="38"/>
        <v>110</v>
      </c>
      <c r="AC213" t="s">
        <v>16</v>
      </c>
      <c r="AD213" s="3" t="s">
        <v>171</v>
      </c>
    </row>
    <row r="214" spans="1:30" ht="15.75" customHeight="1" x14ac:dyDescent="0.2">
      <c r="A214" s="7" t="str">
        <f t="shared" si="32"/>
        <v>SHENZHEN STRONG TECHNOLOGY CO., LTD.J581Retrofit</v>
      </c>
      <c r="B214" s="7" t="str">
        <f t="shared" si="33"/>
        <v>iPadNew Buy</v>
      </c>
      <c r="C214">
        <v>407834</v>
      </c>
      <c r="D214" t="s">
        <v>76</v>
      </c>
      <c r="E214" t="s">
        <v>166</v>
      </c>
      <c r="F214" t="s">
        <v>173</v>
      </c>
      <c r="G214" t="s">
        <v>174</v>
      </c>
      <c r="H214" t="s">
        <v>170</v>
      </c>
      <c r="I214" t="s">
        <v>131</v>
      </c>
      <c r="J214" t="s">
        <v>398</v>
      </c>
      <c r="L214" t="s">
        <v>399</v>
      </c>
      <c r="M214" s="25">
        <v>2450</v>
      </c>
      <c r="N214" s="4">
        <v>2340</v>
      </c>
      <c r="O214">
        <v>1</v>
      </c>
      <c r="T214" t="s">
        <v>178</v>
      </c>
      <c r="U214" t="s">
        <v>104</v>
      </c>
      <c r="V214" s="25">
        <v>1862</v>
      </c>
      <c r="W214" s="18" t="s">
        <v>367</v>
      </c>
      <c r="Y214" s="6">
        <f t="shared" si="34"/>
        <v>2450</v>
      </c>
      <c r="Z214" s="6">
        <f t="shared" si="35"/>
        <v>1862</v>
      </c>
      <c r="AA214" s="6">
        <f t="shared" si="36"/>
        <v>2340</v>
      </c>
      <c r="AB214" s="6">
        <f t="shared" si="38"/>
        <v>110</v>
      </c>
      <c r="AC214" t="s">
        <v>16</v>
      </c>
      <c r="AD214" s="3" t="s">
        <v>171</v>
      </c>
    </row>
    <row r="215" spans="1:30" ht="15.75" customHeight="1" x14ac:dyDescent="0.2">
      <c r="A215" s="7" t="str">
        <f t="shared" si="32"/>
        <v>SHENZHEN STRONG TECHNOLOGY CO., LTD.J581Retrofit</v>
      </c>
      <c r="B215" s="7" t="str">
        <f t="shared" si="33"/>
        <v>iPadNew Buy</v>
      </c>
      <c r="C215">
        <v>407833</v>
      </c>
      <c r="D215" t="s">
        <v>76</v>
      </c>
      <c r="E215" t="s">
        <v>166</v>
      </c>
      <c r="F215" t="s">
        <v>173</v>
      </c>
      <c r="G215" t="s">
        <v>174</v>
      </c>
      <c r="H215" t="s">
        <v>170</v>
      </c>
      <c r="I215" t="s">
        <v>131</v>
      </c>
      <c r="J215" t="s">
        <v>400</v>
      </c>
      <c r="L215" t="s">
        <v>401</v>
      </c>
      <c r="M215" s="25">
        <v>2860</v>
      </c>
      <c r="N215" s="4">
        <v>2760</v>
      </c>
      <c r="O215">
        <v>1</v>
      </c>
      <c r="T215" t="s">
        <v>178</v>
      </c>
      <c r="U215" t="s">
        <v>104</v>
      </c>
      <c r="V215" s="25">
        <v>2173.6</v>
      </c>
      <c r="W215" s="18" t="s">
        <v>367</v>
      </c>
      <c r="Y215" s="6">
        <f t="shared" si="34"/>
        <v>2860</v>
      </c>
      <c r="Z215" s="6">
        <f t="shared" si="35"/>
        <v>2173.6</v>
      </c>
      <c r="AA215" s="6">
        <f t="shared" si="36"/>
        <v>2760</v>
      </c>
      <c r="AB215" s="6">
        <f t="shared" si="38"/>
        <v>100</v>
      </c>
      <c r="AC215" t="s">
        <v>16</v>
      </c>
      <c r="AD215" s="3" t="s">
        <v>171</v>
      </c>
    </row>
    <row r="216" spans="1:30" ht="15.75" customHeight="1" x14ac:dyDescent="0.2">
      <c r="A216" s="7" t="str">
        <f t="shared" si="32"/>
        <v>SHENZHEN STRONG TECHNOLOGY CO., LTD.J581New Buy</v>
      </c>
      <c r="B216" s="7" t="str">
        <f t="shared" si="33"/>
        <v>iPadNew Buy</v>
      </c>
      <c r="C216">
        <v>407831</v>
      </c>
      <c r="D216" t="s">
        <v>76</v>
      </c>
      <c r="E216" t="s">
        <v>166</v>
      </c>
      <c r="F216" t="s">
        <v>173</v>
      </c>
      <c r="G216" t="s">
        <v>174</v>
      </c>
      <c r="H216" t="s">
        <v>167</v>
      </c>
      <c r="I216" t="s">
        <v>131</v>
      </c>
      <c r="J216" t="s">
        <v>402</v>
      </c>
      <c r="L216" t="s">
        <v>403</v>
      </c>
      <c r="M216" s="25">
        <v>336</v>
      </c>
      <c r="N216" s="4">
        <v>336</v>
      </c>
      <c r="O216">
        <v>1</v>
      </c>
      <c r="T216" t="s">
        <v>178</v>
      </c>
      <c r="U216" t="s">
        <v>104</v>
      </c>
      <c r="V216" s="25">
        <v>224.2</v>
      </c>
      <c r="W216" s="18" t="s">
        <v>367</v>
      </c>
      <c r="Y216" s="6">
        <f t="shared" si="34"/>
        <v>336</v>
      </c>
      <c r="Z216" s="6">
        <f t="shared" si="35"/>
        <v>224.2</v>
      </c>
      <c r="AA216" s="6">
        <f t="shared" si="36"/>
        <v>336</v>
      </c>
      <c r="AB216" s="6">
        <f t="shared" si="38"/>
        <v>0</v>
      </c>
      <c r="AC216" t="s">
        <v>16</v>
      </c>
      <c r="AD216" s="3" t="s">
        <v>168</v>
      </c>
    </row>
    <row r="217" spans="1:30" ht="15.75" customHeight="1" x14ac:dyDescent="0.2">
      <c r="A217" s="7" t="str">
        <f t="shared" si="32"/>
        <v>SHENZHEN STRONG TECHNOLOGY CO., LTD.J581New Buy</v>
      </c>
      <c r="B217" s="7" t="str">
        <f t="shared" si="33"/>
        <v>iPadNew Buy</v>
      </c>
      <c r="C217">
        <v>407830</v>
      </c>
      <c r="D217" t="s">
        <v>76</v>
      </c>
      <c r="E217" t="s">
        <v>166</v>
      </c>
      <c r="F217" t="s">
        <v>173</v>
      </c>
      <c r="G217" t="s">
        <v>174</v>
      </c>
      <c r="H217" t="s">
        <v>167</v>
      </c>
      <c r="I217" t="s">
        <v>175</v>
      </c>
      <c r="J217" t="s">
        <v>402</v>
      </c>
      <c r="L217" t="s">
        <v>403</v>
      </c>
      <c r="M217" s="25">
        <v>442.5</v>
      </c>
      <c r="N217" s="4">
        <v>336</v>
      </c>
      <c r="O217">
        <v>1</v>
      </c>
      <c r="T217" t="s">
        <v>178</v>
      </c>
      <c r="U217" t="s">
        <v>116</v>
      </c>
      <c r="V217" s="25">
        <v>224.2</v>
      </c>
      <c r="W217" s="18" t="s">
        <v>367</v>
      </c>
      <c r="Y217" s="6">
        <f t="shared" si="34"/>
        <v>442.5</v>
      </c>
      <c r="Z217" s="6">
        <f t="shared" si="35"/>
        <v>224.2</v>
      </c>
      <c r="AA217" s="6">
        <f t="shared" si="36"/>
        <v>336</v>
      </c>
      <c r="AB217" s="6">
        <f t="shared" si="38"/>
        <v>106.5</v>
      </c>
      <c r="AC217" t="s">
        <v>33</v>
      </c>
      <c r="AD217" s="3" t="s">
        <v>168</v>
      </c>
    </row>
    <row r="218" spans="1:30" ht="15.75" customHeight="1" x14ac:dyDescent="0.2">
      <c r="A218" s="7" t="str">
        <f t="shared" si="32"/>
        <v>SHENZHEN STRONG TECHNOLOGY CO., LTD.J581New Buy</v>
      </c>
      <c r="B218" s="7" t="str">
        <f t="shared" si="33"/>
        <v>iPadNew Buy</v>
      </c>
      <c r="C218">
        <v>407829</v>
      </c>
      <c r="D218" t="s">
        <v>76</v>
      </c>
      <c r="E218" t="s">
        <v>166</v>
      </c>
      <c r="F218" t="s">
        <v>173</v>
      </c>
      <c r="G218" t="s">
        <v>174</v>
      </c>
      <c r="H218" t="s">
        <v>167</v>
      </c>
      <c r="I218" t="s">
        <v>175</v>
      </c>
      <c r="J218" t="s">
        <v>402</v>
      </c>
      <c r="L218" t="s">
        <v>403</v>
      </c>
      <c r="M218" s="25">
        <v>336</v>
      </c>
      <c r="N218" s="4">
        <v>336</v>
      </c>
      <c r="O218">
        <v>1</v>
      </c>
      <c r="T218" t="s">
        <v>178</v>
      </c>
      <c r="U218" t="s">
        <v>66</v>
      </c>
      <c r="V218" s="25">
        <v>224.2</v>
      </c>
      <c r="W218" s="18" t="s">
        <v>367</v>
      </c>
      <c r="Y218" s="6">
        <f t="shared" si="34"/>
        <v>336</v>
      </c>
      <c r="Z218" s="6">
        <f t="shared" si="35"/>
        <v>224.2</v>
      </c>
      <c r="AA218" s="6">
        <f t="shared" si="36"/>
        <v>336</v>
      </c>
      <c r="AB218" s="6">
        <f t="shared" si="38"/>
        <v>0</v>
      </c>
      <c r="AC218" t="s">
        <v>16</v>
      </c>
      <c r="AD218" s="3" t="s">
        <v>168</v>
      </c>
    </row>
    <row r="219" spans="1:30" ht="15.75" customHeight="1" x14ac:dyDescent="0.2">
      <c r="A219" s="7" t="str">
        <f t="shared" si="32"/>
        <v>SHENZHEN STRONG TECHNOLOGY CO., LTD.J581New Buy</v>
      </c>
      <c r="B219" s="7" t="str">
        <f t="shared" si="33"/>
        <v>iPadNew Buy</v>
      </c>
      <c r="C219">
        <v>407825</v>
      </c>
      <c r="D219" t="s">
        <v>76</v>
      </c>
      <c r="E219" t="s">
        <v>166</v>
      </c>
      <c r="F219" t="s">
        <v>173</v>
      </c>
      <c r="G219" t="s">
        <v>174</v>
      </c>
      <c r="H219" t="s">
        <v>167</v>
      </c>
      <c r="I219" t="s">
        <v>175</v>
      </c>
      <c r="J219" t="s">
        <v>404</v>
      </c>
      <c r="L219" t="s">
        <v>405</v>
      </c>
      <c r="M219" s="25">
        <v>880.5</v>
      </c>
      <c r="N219" s="4">
        <v>533</v>
      </c>
      <c r="O219">
        <v>33</v>
      </c>
      <c r="T219" t="s">
        <v>178</v>
      </c>
      <c r="U219" t="s">
        <v>116</v>
      </c>
      <c r="V219" s="25">
        <v>446.12</v>
      </c>
      <c r="W219" s="18" t="s">
        <v>367</v>
      </c>
      <c r="Y219" s="6">
        <f t="shared" si="34"/>
        <v>29056.5</v>
      </c>
      <c r="Z219" s="6">
        <f t="shared" si="35"/>
        <v>14721.960000000001</v>
      </c>
      <c r="AA219" s="6">
        <f t="shared" si="36"/>
        <v>17589</v>
      </c>
      <c r="AB219" s="6">
        <f t="shared" si="38"/>
        <v>11467.5</v>
      </c>
      <c r="AC219" t="s">
        <v>33</v>
      </c>
      <c r="AD219" s="3" t="s">
        <v>168</v>
      </c>
    </row>
    <row r="220" spans="1:30" ht="15.75" customHeight="1" x14ac:dyDescent="0.2">
      <c r="A220" s="7" t="str">
        <f t="shared" si="32"/>
        <v>SHENZHEN STRONG TECHNOLOGY CO., LTD.J581New Buy</v>
      </c>
      <c r="B220" s="7" t="str">
        <f t="shared" si="33"/>
        <v>iPadNew Buy</v>
      </c>
      <c r="C220">
        <v>407824</v>
      </c>
      <c r="D220" t="s">
        <v>76</v>
      </c>
      <c r="E220" t="s">
        <v>166</v>
      </c>
      <c r="F220" t="s">
        <v>173</v>
      </c>
      <c r="G220" t="s">
        <v>174</v>
      </c>
      <c r="H220" t="s">
        <v>167</v>
      </c>
      <c r="I220" t="s">
        <v>175</v>
      </c>
      <c r="J220" t="s">
        <v>404</v>
      </c>
      <c r="L220" t="s">
        <v>405</v>
      </c>
      <c r="M220" s="25">
        <v>587</v>
      </c>
      <c r="N220" s="4">
        <v>533</v>
      </c>
      <c r="O220">
        <v>21</v>
      </c>
      <c r="T220" t="s">
        <v>178</v>
      </c>
      <c r="U220" t="s">
        <v>104</v>
      </c>
      <c r="V220" s="25">
        <v>446.12</v>
      </c>
      <c r="W220" s="18" t="s">
        <v>367</v>
      </c>
      <c r="Y220" s="6">
        <f t="shared" si="34"/>
        <v>12327</v>
      </c>
      <c r="Z220" s="6">
        <f t="shared" si="35"/>
        <v>9368.52</v>
      </c>
      <c r="AA220" s="6">
        <f t="shared" si="36"/>
        <v>11193</v>
      </c>
      <c r="AB220" s="6">
        <f t="shared" si="38"/>
        <v>1134</v>
      </c>
      <c r="AC220" t="s">
        <v>16</v>
      </c>
      <c r="AD220" s="3" t="s">
        <v>168</v>
      </c>
    </row>
    <row r="221" spans="1:30" ht="15.75" customHeight="1" x14ac:dyDescent="0.2">
      <c r="A221" s="7" t="str">
        <f t="shared" si="32"/>
        <v>SHENZHEN STRONG TECHNOLOGY CO., LTD.J581New Buy</v>
      </c>
      <c r="B221" s="7" t="str">
        <f t="shared" si="33"/>
        <v>iPadNew Buy</v>
      </c>
      <c r="C221">
        <v>407823</v>
      </c>
      <c r="D221" t="s">
        <v>76</v>
      </c>
      <c r="E221" t="s">
        <v>166</v>
      </c>
      <c r="F221" t="s">
        <v>173</v>
      </c>
      <c r="G221" t="s">
        <v>174</v>
      </c>
      <c r="H221" t="s">
        <v>167</v>
      </c>
      <c r="I221" t="s">
        <v>175</v>
      </c>
      <c r="J221" t="s">
        <v>404</v>
      </c>
      <c r="L221" t="s">
        <v>405</v>
      </c>
      <c r="M221" s="25">
        <v>587</v>
      </c>
      <c r="N221" s="4">
        <v>533</v>
      </c>
      <c r="O221">
        <v>17</v>
      </c>
      <c r="T221" t="s">
        <v>178</v>
      </c>
      <c r="U221" t="s">
        <v>66</v>
      </c>
      <c r="V221" s="25">
        <v>446.12</v>
      </c>
      <c r="W221" s="18" t="s">
        <v>367</v>
      </c>
      <c r="Y221" s="6">
        <f t="shared" si="34"/>
        <v>9979</v>
      </c>
      <c r="Z221" s="6">
        <f t="shared" si="35"/>
        <v>7584.04</v>
      </c>
      <c r="AA221" s="6">
        <f t="shared" si="36"/>
        <v>9061</v>
      </c>
      <c r="AB221" s="6">
        <f t="shared" si="38"/>
        <v>918</v>
      </c>
      <c r="AC221" t="s">
        <v>16</v>
      </c>
      <c r="AD221" s="3" t="s">
        <v>168</v>
      </c>
    </row>
    <row r="222" spans="1:30" ht="15.75" customHeight="1" x14ac:dyDescent="0.2">
      <c r="A222" s="7" t="str">
        <f t="shared" si="32"/>
        <v>SHENZHEN STRONG TECHNOLOGY CO., LTD.J581New Buy</v>
      </c>
      <c r="B222" s="7" t="str">
        <f t="shared" si="33"/>
        <v>iPadNew Buy</v>
      </c>
      <c r="C222">
        <v>407806</v>
      </c>
      <c r="D222" t="s">
        <v>76</v>
      </c>
      <c r="E222" t="s">
        <v>166</v>
      </c>
      <c r="F222" t="s">
        <v>173</v>
      </c>
      <c r="G222" t="s">
        <v>174</v>
      </c>
      <c r="H222" t="s">
        <v>167</v>
      </c>
      <c r="I222" t="s">
        <v>175</v>
      </c>
      <c r="J222" t="s">
        <v>406</v>
      </c>
      <c r="L222" t="s">
        <v>407</v>
      </c>
      <c r="M222" s="25">
        <v>60</v>
      </c>
      <c r="N222" s="4">
        <v>52</v>
      </c>
      <c r="O222">
        <v>1</v>
      </c>
      <c r="T222" t="s">
        <v>178</v>
      </c>
      <c r="U222" t="s">
        <v>104</v>
      </c>
      <c r="V222" s="25">
        <v>45.6</v>
      </c>
      <c r="W222" s="18" t="s">
        <v>367</v>
      </c>
      <c r="Y222" s="6">
        <f t="shared" si="34"/>
        <v>60</v>
      </c>
      <c r="Z222" s="6">
        <f t="shared" si="35"/>
        <v>45.6</v>
      </c>
      <c r="AA222" s="6">
        <f t="shared" si="36"/>
        <v>52</v>
      </c>
      <c r="AB222" s="6">
        <f t="shared" si="38"/>
        <v>8</v>
      </c>
      <c r="AC222" t="s">
        <v>16</v>
      </c>
      <c r="AD222" s="3" t="s">
        <v>168</v>
      </c>
    </row>
    <row r="223" spans="1:30" ht="15.75" customHeight="1" x14ac:dyDescent="0.2">
      <c r="A223" s="7" t="str">
        <f t="shared" si="32"/>
        <v>SHENZHEN STRONG TECHNOLOGY CO., LTD.J581New Buy</v>
      </c>
      <c r="B223" s="7" t="str">
        <f t="shared" si="33"/>
        <v>iPadNew Buy</v>
      </c>
      <c r="C223">
        <v>407805</v>
      </c>
      <c r="D223" t="s">
        <v>76</v>
      </c>
      <c r="E223" t="s">
        <v>166</v>
      </c>
      <c r="F223" t="s">
        <v>173</v>
      </c>
      <c r="G223" t="s">
        <v>174</v>
      </c>
      <c r="H223" t="s">
        <v>167</v>
      </c>
      <c r="I223" t="s">
        <v>175</v>
      </c>
      <c r="J223" t="s">
        <v>406</v>
      </c>
      <c r="L223" t="s">
        <v>407</v>
      </c>
      <c r="M223" s="25">
        <v>90</v>
      </c>
      <c r="N223" s="4">
        <v>52</v>
      </c>
      <c r="O223">
        <v>1</v>
      </c>
      <c r="T223" t="s">
        <v>178</v>
      </c>
      <c r="U223" t="s">
        <v>116</v>
      </c>
      <c r="V223" s="25">
        <v>45.6</v>
      </c>
      <c r="W223" s="18" t="s">
        <v>367</v>
      </c>
      <c r="Y223" s="6">
        <f t="shared" si="34"/>
        <v>90</v>
      </c>
      <c r="Z223" s="6">
        <f t="shared" si="35"/>
        <v>45.6</v>
      </c>
      <c r="AA223" s="6">
        <f t="shared" si="36"/>
        <v>52</v>
      </c>
      <c r="AB223" s="6">
        <f t="shared" si="38"/>
        <v>38</v>
      </c>
      <c r="AC223" t="s">
        <v>33</v>
      </c>
      <c r="AD223" s="3" t="s">
        <v>168</v>
      </c>
    </row>
    <row r="224" spans="1:30" ht="15.75" customHeight="1" x14ac:dyDescent="0.2">
      <c r="A224" s="7" t="str">
        <f t="shared" si="32"/>
        <v>SHENZHEN STRONG TECHNOLOGY CO., LTD.J581New Buy</v>
      </c>
      <c r="B224" s="7" t="str">
        <f t="shared" si="33"/>
        <v>iPadNew Buy</v>
      </c>
      <c r="C224">
        <v>407804</v>
      </c>
      <c r="D224" t="s">
        <v>76</v>
      </c>
      <c r="E224" t="s">
        <v>166</v>
      </c>
      <c r="F224" t="s">
        <v>173</v>
      </c>
      <c r="G224" t="s">
        <v>174</v>
      </c>
      <c r="H224" t="s">
        <v>167</v>
      </c>
      <c r="I224" t="s">
        <v>175</v>
      </c>
      <c r="J224" t="s">
        <v>406</v>
      </c>
      <c r="L224" t="s">
        <v>407</v>
      </c>
      <c r="M224" s="25">
        <v>60</v>
      </c>
      <c r="N224" s="4">
        <v>52</v>
      </c>
      <c r="O224">
        <v>1</v>
      </c>
      <c r="T224" t="s">
        <v>178</v>
      </c>
      <c r="U224" t="s">
        <v>66</v>
      </c>
      <c r="V224" s="25">
        <v>45.6</v>
      </c>
      <c r="W224" s="18" t="s">
        <v>367</v>
      </c>
      <c r="Y224" s="6">
        <f t="shared" si="34"/>
        <v>60</v>
      </c>
      <c r="Z224" s="6">
        <f t="shared" si="35"/>
        <v>45.6</v>
      </c>
      <c r="AA224" s="6">
        <f t="shared" si="36"/>
        <v>52</v>
      </c>
      <c r="AB224" s="6">
        <f t="shared" si="38"/>
        <v>8</v>
      </c>
      <c r="AC224" t="s">
        <v>16</v>
      </c>
      <c r="AD224" s="3" t="s">
        <v>168</v>
      </c>
    </row>
    <row r="225" spans="1:39" ht="15.75" customHeight="1" x14ac:dyDescent="0.2">
      <c r="A225" s="7" t="str">
        <f t="shared" si="32"/>
        <v>SHENZHEN STRONG TECHNOLOGY CO., LTD.J581New Buy</v>
      </c>
      <c r="B225" s="7" t="str">
        <f t="shared" si="33"/>
        <v>iPadNew Buy</v>
      </c>
      <c r="C225">
        <v>407803</v>
      </c>
      <c r="D225" t="s">
        <v>76</v>
      </c>
      <c r="E225" t="s">
        <v>166</v>
      </c>
      <c r="F225" t="s">
        <v>173</v>
      </c>
      <c r="G225" t="s">
        <v>174</v>
      </c>
      <c r="H225" t="s">
        <v>167</v>
      </c>
      <c r="I225" t="s">
        <v>175</v>
      </c>
      <c r="J225" t="s">
        <v>408</v>
      </c>
      <c r="L225" t="s">
        <v>409</v>
      </c>
      <c r="M225" s="25">
        <v>2070</v>
      </c>
      <c r="N225" s="4">
        <v>2031</v>
      </c>
      <c r="O225">
        <v>3</v>
      </c>
      <c r="T225" t="s">
        <v>178</v>
      </c>
      <c r="U225" t="s">
        <v>104</v>
      </c>
      <c r="V225" s="25">
        <v>1573.2</v>
      </c>
      <c r="W225" s="18" t="s">
        <v>367</v>
      </c>
      <c r="Y225" s="6">
        <f t="shared" si="34"/>
        <v>6210</v>
      </c>
      <c r="Z225" s="6">
        <f t="shared" si="35"/>
        <v>4719.6000000000004</v>
      </c>
      <c r="AA225" s="6">
        <f t="shared" si="36"/>
        <v>6093</v>
      </c>
      <c r="AB225" s="6">
        <f t="shared" si="38"/>
        <v>117</v>
      </c>
      <c r="AC225" t="s">
        <v>16</v>
      </c>
      <c r="AD225" s="3" t="s">
        <v>168</v>
      </c>
    </row>
    <row r="226" spans="1:39" ht="15.75" customHeight="1" x14ac:dyDescent="0.2">
      <c r="A226" s="7" t="str">
        <f t="shared" si="32"/>
        <v>SHENZHEN STRONG TECHNOLOGY CO., LTD.J581New Buy</v>
      </c>
      <c r="B226" s="7" t="str">
        <f t="shared" si="33"/>
        <v>iPadNew Buy</v>
      </c>
      <c r="C226">
        <v>407802</v>
      </c>
      <c r="D226" t="s">
        <v>76</v>
      </c>
      <c r="E226" t="s">
        <v>166</v>
      </c>
      <c r="F226" t="s">
        <v>173</v>
      </c>
      <c r="G226" t="s">
        <v>174</v>
      </c>
      <c r="H226" t="s">
        <v>167</v>
      </c>
      <c r="I226" t="s">
        <v>175</v>
      </c>
      <c r="J226" t="s">
        <v>408</v>
      </c>
      <c r="L226" t="s">
        <v>409</v>
      </c>
      <c r="M226" s="25">
        <v>3105</v>
      </c>
      <c r="N226" s="4">
        <v>2031</v>
      </c>
      <c r="O226">
        <v>9</v>
      </c>
      <c r="T226" t="s">
        <v>178</v>
      </c>
      <c r="U226" t="s">
        <v>116</v>
      </c>
      <c r="V226" s="25">
        <v>1573.2</v>
      </c>
      <c r="W226" s="18" t="s">
        <v>367</v>
      </c>
      <c r="Y226" s="6">
        <f t="shared" si="34"/>
        <v>27945</v>
      </c>
      <c r="Z226" s="6">
        <f t="shared" si="35"/>
        <v>14158.800000000001</v>
      </c>
      <c r="AA226" s="6">
        <f t="shared" si="36"/>
        <v>18279</v>
      </c>
      <c r="AB226" s="6">
        <f t="shared" si="38"/>
        <v>9666</v>
      </c>
      <c r="AC226" t="s">
        <v>33</v>
      </c>
      <c r="AD226" s="3" t="s">
        <v>168</v>
      </c>
    </row>
    <row r="227" spans="1:39" ht="15.75" customHeight="1" x14ac:dyDescent="0.2">
      <c r="A227" s="7" t="str">
        <f t="shared" ref="A227:A290" si="39">CONCATENATE(D227,G227,H227,K227)</f>
        <v>SHENZHEN STRONG TECHNOLOGY CO., LTD.J581New Buy</v>
      </c>
      <c r="B227" s="7" t="str">
        <f t="shared" ref="B227:B290" si="40">_xlfn.CONCAT(F227,K227,"New Buy")</f>
        <v>iPadNew Buy</v>
      </c>
      <c r="C227">
        <v>407801</v>
      </c>
      <c r="D227" t="s">
        <v>76</v>
      </c>
      <c r="E227" t="s">
        <v>166</v>
      </c>
      <c r="F227" t="s">
        <v>173</v>
      </c>
      <c r="G227" t="s">
        <v>174</v>
      </c>
      <c r="H227" t="s">
        <v>167</v>
      </c>
      <c r="I227" t="s">
        <v>175</v>
      </c>
      <c r="J227" t="s">
        <v>408</v>
      </c>
      <c r="L227" t="s">
        <v>409</v>
      </c>
      <c r="M227" s="25">
        <v>2070</v>
      </c>
      <c r="N227" s="4">
        <v>2031</v>
      </c>
      <c r="O227">
        <v>1</v>
      </c>
      <c r="T227" t="s">
        <v>178</v>
      </c>
      <c r="U227" t="s">
        <v>66</v>
      </c>
      <c r="V227" s="25">
        <v>1573.2</v>
      </c>
      <c r="W227" s="18" t="s">
        <v>367</v>
      </c>
      <c r="Y227" s="6">
        <f t="shared" ref="Y227:Y290" si="41">IFERROR(O227*M227,0)</f>
        <v>2070</v>
      </c>
      <c r="Z227" s="6">
        <f t="shared" ref="Z227:Z290" si="42">IFERROR(O227*V227,0)</f>
        <v>1573.2</v>
      </c>
      <c r="AA227" s="6">
        <f t="shared" ref="AA227:AA290" si="43">IFERROR(N227*O227,0)</f>
        <v>2031</v>
      </c>
      <c r="AB227" s="6">
        <f t="shared" si="38"/>
        <v>39</v>
      </c>
      <c r="AC227" t="s">
        <v>16</v>
      </c>
      <c r="AD227" s="3" t="s">
        <v>168</v>
      </c>
    </row>
    <row r="228" spans="1:39" ht="15.75" customHeight="1" x14ac:dyDescent="0.2">
      <c r="A228" s="7" t="str">
        <f t="shared" si="39"/>
        <v>SHENZHEN STRONG TECHNOLOGY CO., LTD.J581New Buy</v>
      </c>
      <c r="B228" s="7" t="str">
        <f t="shared" si="40"/>
        <v>iPadNew Buy</v>
      </c>
      <c r="C228">
        <v>407800</v>
      </c>
      <c r="D228" t="s">
        <v>76</v>
      </c>
      <c r="E228" t="s">
        <v>166</v>
      </c>
      <c r="F228" t="s">
        <v>173</v>
      </c>
      <c r="G228" t="s">
        <v>174</v>
      </c>
      <c r="H228" t="s">
        <v>167</v>
      </c>
      <c r="I228" t="s">
        <v>175</v>
      </c>
      <c r="J228" t="s">
        <v>410</v>
      </c>
      <c r="L228" t="s">
        <v>411</v>
      </c>
      <c r="M228" s="25">
        <v>2070</v>
      </c>
      <c r="N228" s="4">
        <v>1951</v>
      </c>
      <c r="O228">
        <v>2</v>
      </c>
      <c r="T228" t="s">
        <v>178</v>
      </c>
      <c r="U228" t="s">
        <v>104</v>
      </c>
      <c r="V228" s="25">
        <v>1573.2</v>
      </c>
      <c r="W228" s="18" t="s">
        <v>367</v>
      </c>
      <c r="Y228" s="6">
        <f t="shared" si="41"/>
        <v>4140</v>
      </c>
      <c r="Z228" s="6">
        <f t="shared" si="42"/>
        <v>3146.4</v>
      </c>
      <c r="AA228" s="6">
        <f t="shared" si="43"/>
        <v>3902</v>
      </c>
      <c r="AB228" s="6">
        <f t="shared" si="38"/>
        <v>238</v>
      </c>
      <c r="AC228" t="s">
        <v>16</v>
      </c>
      <c r="AD228" s="3" t="s">
        <v>168</v>
      </c>
    </row>
    <row r="229" spans="1:39" ht="15.75" customHeight="1" x14ac:dyDescent="0.2">
      <c r="A229" s="7" t="str">
        <f t="shared" si="39"/>
        <v>SHENZHEN STRONG TECHNOLOGY CO., LTD.J581New Buy</v>
      </c>
      <c r="B229" s="7" t="str">
        <f t="shared" si="40"/>
        <v>iPadNew Buy</v>
      </c>
      <c r="C229">
        <v>407799</v>
      </c>
      <c r="D229" t="s">
        <v>76</v>
      </c>
      <c r="E229" t="s">
        <v>166</v>
      </c>
      <c r="F229" t="s">
        <v>173</v>
      </c>
      <c r="G229" t="s">
        <v>174</v>
      </c>
      <c r="H229" t="s">
        <v>167</v>
      </c>
      <c r="I229" t="s">
        <v>175</v>
      </c>
      <c r="J229" t="s">
        <v>410</v>
      </c>
      <c r="L229" t="s">
        <v>411</v>
      </c>
      <c r="M229" s="25">
        <v>3105</v>
      </c>
      <c r="N229" s="4">
        <v>1951</v>
      </c>
      <c r="O229">
        <v>4</v>
      </c>
      <c r="T229" t="s">
        <v>178</v>
      </c>
      <c r="U229" t="s">
        <v>116</v>
      </c>
      <c r="V229" s="25">
        <v>1573.2</v>
      </c>
      <c r="W229" s="18" t="s">
        <v>367</v>
      </c>
      <c r="Y229" s="6">
        <f t="shared" si="41"/>
        <v>12420</v>
      </c>
      <c r="Z229" s="6">
        <f t="shared" si="42"/>
        <v>6292.8</v>
      </c>
      <c r="AA229" s="6">
        <f t="shared" si="43"/>
        <v>7804</v>
      </c>
      <c r="AB229" s="6">
        <f t="shared" si="38"/>
        <v>4616</v>
      </c>
      <c r="AC229" t="s">
        <v>33</v>
      </c>
      <c r="AD229" s="3" t="s">
        <v>168</v>
      </c>
    </row>
    <row r="230" spans="1:39" ht="15.75" customHeight="1" x14ac:dyDescent="0.2">
      <c r="A230" s="7" t="str">
        <f t="shared" si="39"/>
        <v>SHENZHEN STRONG TECHNOLOGY CO., LTD.J581New Buy</v>
      </c>
      <c r="B230" s="7" t="str">
        <f t="shared" si="40"/>
        <v>iPadNew Buy</v>
      </c>
      <c r="C230">
        <v>407798</v>
      </c>
      <c r="D230" t="s">
        <v>76</v>
      </c>
      <c r="E230" t="s">
        <v>166</v>
      </c>
      <c r="F230" t="s">
        <v>173</v>
      </c>
      <c r="G230" t="s">
        <v>174</v>
      </c>
      <c r="H230" t="s">
        <v>167</v>
      </c>
      <c r="I230" t="s">
        <v>175</v>
      </c>
      <c r="J230" t="s">
        <v>410</v>
      </c>
      <c r="L230" t="s">
        <v>411</v>
      </c>
      <c r="M230" s="25">
        <v>2070</v>
      </c>
      <c r="N230" s="4">
        <v>1951</v>
      </c>
      <c r="O230">
        <v>1</v>
      </c>
      <c r="T230" t="s">
        <v>178</v>
      </c>
      <c r="U230" t="s">
        <v>66</v>
      </c>
      <c r="V230" s="25">
        <v>1573.2</v>
      </c>
      <c r="W230" s="18" t="s">
        <v>367</v>
      </c>
      <c r="Y230" s="6">
        <f t="shared" si="41"/>
        <v>2070</v>
      </c>
      <c r="Z230" s="6">
        <f t="shared" si="42"/>
        <v>1573.2</v>
      </c>
      <c r="AA230" s="6">
        <f t="shared" si="43"/>
        <v>1951</v>
      </c>
      <c r="AB230" s="6">
        <f t="shared" si="38"/>
        <v>119</v>
      </c>
      <c r="AC230" t="s">
        <v>16</v>
      </c>
      <c r="AD230" s="3" t="s">
        <v>168</v>
      </c>
    </row>
    <row r="231" spans="1:39" ht="15.75" customHeight="1" x14ac:dyDescent="0.2">
      <c r="A231" s="7" t="str">
        <f t="shared" si="39"/>
        <v>SHENZHEN STRONG TECHNOLOGY CO., LTD.J581New Buy</v>
      </c>
      <c r="B231" s="7" t="str">
        <f t="shared" si="40"/>
        <v>iPadNew Buy</v>
      </c>
      <c r="C231">
        <v>407794</v>
      </c>
      <c r="D231" t="s">
        <v>76</v>
      </c>
      <c r="E231" t="s">
        <v>166</v>
      </c>
      <c r="F231" t="s">
        <v>173</v>
      </c>
      <c r="G231" t="s">
        <v>174</v>
      </c>
      <c r="H231" t="s">
        <v>167</v>
      </c>
      <c r="I231" t="s">
        <v>175</v>
      </c>
      <c r="J231" t="s">
        <v>412</v>
      </c>
      <c r="L231" t="s">
        <v>413</v>
      </c>
      <c r="M231" s="25">
        <v>21.75</v>
      </c>
      <c r="N231" s="4">
        <v>14</v>
      </c>
      <c r="O231">
        <v>62</v>
      </c>
      <c r="T231" t="s">
        <v>178</v>
      </c>
      <c r="U231" t="s">
        <v>116</v>
      </c>
      <c r="V231" s="25">
        <v>11.02</v>
      </c>
      <c r="W231" s="18" t="s">
        <v>367</v>
      </c>
      <c r="Y231" s="6">
        <f t="shared" si="41"/>
        <v>1348.5</v>
      </c>
      <c r="Z231" s="6">
        <f t="shared" si="42"/>
        <v>683.24</v>
      </c>
      <c r="AA231" s="6">
        <f t="shared" si="43"/>
        <v>868</v>
      </c>
      <c r="AB231" s="6">
        <f t="shared" si="38"/>
        <v>480.5</v>
      </c>
      <c r="AC231" t="s">
        <v>33</v>
      </c>
      <c r="AD231" s="3" t="s">
        <v>168</v>
      </c>
    </row>
    <row r="232" spans="1:39" ht="15.75" customHeight="1" x14ac:dyDescent="0.2">
      <c r="A232" s="7" t="str">
        <f t="shared" si="39"/>
        <v>SHENZHEN STRONG TECHNOLOGY CO., LTD.J581New Buy</v>
      </c>
      <c r="B232" s="7" t="str">
        <f t="shared" si="40"/>
        <v>iPadNew Buy</v>
      </c>
      <c r="C232">
        <v>407793</v>
      </c>
      <c r="D232" t="s">
        <v>76</v>
      </c>
      <c r="E232" t="s">
        <v>166</v>
      </c>
      <c r="F232" t="s">
        <v>173</v>
      </c>
      <c r="G232" t="s">
        <v>174</v>
      </c>
      <c r="H232" t="s">
        <v>167</v>
      </c>
      <c r="I232" t="s">
        <v>175</v>
      </c>
      <c r="J232" t="s">
        <v>412</v>
      </c>
      <c r="L232" t="s">
        <v>413</v>
      </c>
      <c r="M232" s="25">
        <v>14.5</v>
      </c>
      <c r="N232" s="4">
        <v>14</v>
      </c>
      <c r="O232">
        <v>21</v>
      </c>
      <c r="T232" t="s">
        <v>178</v>
      </c>
      <c r="U232" t="s">
        <v>66</v>
      </c>
      <c r="V232" s="25">
        <v>11.02</v>
      </c>
      <c r="W232" s="18" t="s">
        <v>367</v>
      </c>
      <c r="Y232" s="6">
        <f t="shared" si="41"/>
        <v>304.5</v>
      </c>
      <c r="Z232" s="6">
        <f t="shared" si="42"/>
        <v>231.42</v>
      </c>
      <c r="AA232" s="6">
        <f t="shared" si="43"/>
        <v>294</v>
      </c>
      <c r="AB232" s="6">
        <f t="shared" si="38"/>
        <v>10.5</v>
      </c>
      <c r="AC232" t="s">
        <v>16</v>
      </c>
      <c r="AD232" s="3" t="s">
        <v>168</v>
      </c>
    </row>
    <row r="233" spans="1:39" ht="15.75" customHeight="1" x14ac:dyDescent="0.2">
      <c r="A233" s="7" t="str">
        <f t="shared" si="39"/>
        <v>SHENZHEN STRONG TECHNOLOGY CO., LTD.J581New Buy</v>
      </c>
      <c r="B233" s="7" t="str">
        <f t="shared" si="40"/>
        <v>iPadNew Buy</v>
      </c>
      <c r="C233">
        <v>407792</v>
      </c>
      <c r="D233" t="s">
        <v>76</v>
      </c>
      <c r="E233" t="s">
        <v>166</v>
      </c>
      <c r="F233" t="s">
        <v>173</v>
      </c>
      <c r="G233" t="s">
        <v>174</v>
      </c>
      <c r="H233" t="s">
        <v>167</v>
      </c>
      <c r="I233" t="s">
        <v>175</v>
      </c>
      <c r="J233" t="s">
        <v>412</v>
      </c>
      <c r="L233" t="s">
        <v>413</v>
      </c>
      <c r="M233" s="25">
        <v>14.5</v>
      </c>
      <c r="N233" s="4">
        <v>14</v>
      </c>
      <c r="O233">
        <v>21</v>
      </c>
      <c r="T233" t="s">
        <v>178</v>
      </c>
      <c r="U233" t="s">
        <v>104</v>
      </c>
      <c r="V233" s="25">
        <v>11.02</v>
      </c>
      <c r="W233" s="18" t="s">
        <v>367</v>
      </c>
      <c r="Y233" s="6">
        <f t="shared" si="41"/>
        <v>304.5</v>
      </c>
      <c r="Z233" s="6">
        <f t="shared" si="42"/>
        <v>231.42</v>
      </c>
      <c r="AA233" s="6">
        <f t="shared" si="43"/>
        <v>294</v>
      </c>
      <c r="AB233" s="6">
        <f t="shared" si="38"/>
        <v>10.5</v>
      </c>
      <c r="AC233" t="s">
        <v>16</v>
      </c>
      <c r="AD233" s="3" t="s">
        <v>168</v>
      </c>
    </row>
    <row r="234" spans="1:39" ht="15.75" customHeight="1" x14ac:dyDescent="0.2">
      <c r="A234" s="7" t="str">
        <f t="shared" si="39"/>
        <v>SHENZHEN STRONG TECHNOLOGY CO., LTD.J581New Buy</v>
      </c>
      <c r="B234" s="7" t="str">
        <f t="shared" si="40"/>
        <v>iPadNew Buy</v>
      </c>
      <c r="C234">
        <v>407791</v>
      </c>
      <c r="D234" t="s">
        <v>76</v>
      </c>
      <c r="E234" t="s">
        <v>166</v>
      </c>
      <c r="F234" t="s">
        <v>173</v>
      </c>
      <c r="G234" t="s">
        <v>174</v>
      </c>
      <c r="H234" t="s">
        <v>167</v>
      </c>
      <c r="I234" t="s">
        <v>175</v>
      </c>
      <c r="J234" t="s">
        <v>414</v>
      </c>
      <c r="L234" t="s">
        <v>415</v>
      </c>
      <c r="M234" s="4" t="s">
        <v>416</v>
      </c>
      <c r="N234" s="4" t="s">
        <v>367</v>
      </c>
      <c r="O234">
        <v>1</v>
      </c>
      <c r="T234" t="s">
        <v>178</v>
      </c>
      <c r="U234" t="s">
        <v>104</v>
      </c>
      <c r="V234" s="4" t="s">
        <v>417</v>
      </c>
      <c r="W234" s="18" t="s">
        <v>367</v>
      </c>
      <c r="Y234" s="6">
        <f t="shared" si="41"/>
        <v>0</v>
      </c>
      <c r="Z234" s="6">
        <f t="shared" si="42"/>
        <v>0</v>
      </c>
      <c r="AA234" s="6">
        <f t="shared" si="43"/>
        <v>0</v>
      </c>
      <c r="AB234" s="6">
        <f t="shared" si="38"/>
        <v>0</v>
      </c>
      <c r="AC234" t="s">
        <v>16</v>
      </c>
      <c r="AD234" s="3" t="s">
        <v>168</v>
      </c>
    </row>
    <row r="235" spans="1:39" ht="15.75" customHeight="1" x14ac:dyDescent="0.2">
      <c r="A235" s="7" t="str">
        <f t="shared" si="39"/>
        <v>SHENZHEN STRONG TECHNOLOGY CO., LTD.J581New Buy</v>
      </c>
      <c r="B235" s="7" t="str">
        <f t="shared" si="40"/>
        <v>iPadNew Buy</v>
      </c>
      <c r="C235">
        <v>407787</v>
      </c>
      <c r="D235" t="s">
        <v>76</v>
      </c>
      <c r="E235" t="s">
        <v>166</v>
      </c>
      <c r="F235" t="s">
        <v>173</v>
      </c>
      <c r="G235" t="s">
        <v>174</v>
      </c>
      <c r="H235" t="s">
        <v>167</v>
      </c>
      <c r="I235" t="s">
        <v>175</v>
      </c>
      <c r="J235" t="s">
        <v>418</v>
      </c>
      <c r="L235" t="s">
        <v>419</v>
      </c>
      <c r="M235" s="25">
        <v>130</v>
      </c>
      <c r="N235" s="4">
        <v>130</v>
      </c>
      <c r="O235">
        <v>2</v>
      </c>
      <c r="T235" t="s">
        <v>178</v>
      </c>
      <c r="U235" t="s">
        <v>104</v>
      </c>
      <c r="V235" s="25">
        <v>98.8</v>
      </c>
      <c r="W235" s="18">
        <v>130</v>
      </c>
      <c r="Y235" s="6">
        <f t="shared" si="41"/>
        <v>260</v>
      </c>
      <c r="Z235" s="6">
        <f t="shared" si="42"/>
        <v>197.6</v>
      </c>
      <c r="AA235" s="6">
        <f t="shared" si="43"/>
        <v>260</v>
      </c>
      <c r="AB235" s="6">
        <f t="shared" si="38"/>
        <v>0</v>
      </c>
      <c r="AC235" t="s">
        <v>16</v>
      </c>
      <c r="AD235" s="3" t="s">
        <v>168</v>
      </c>
      <c r="AM235" s="1">
        <f t="shared" ref="AM235:AM285" si="44">MAX(0, (W235*O235)-AA235)</f>
        <v>0</v>
      </c>
    </row>
    <row r="236" spans="1:39" ht="15.75" customHeight="1" x14ac:dyDescent="0.2">
      <c r="A236" s="7" t="str">
        <f t="shared" si="39"/>
        <v>SHENZHEN STRONG TECHNOLOGY CO., LTD.J581New Buy</v>
      </c>
      <c r="B236" s="7" t="str">
        <f t="shared" si="40"/>
        <v>iPadNew Buy</v>
      </c>
      <c r="C236">
        <v>407786</v>
      </c>
      <c r="D236" t="s">
        <v>76</v>
      </c>
      <c r="E236" t="s">
        <v>166</v>
      </c>
      <c r="F236" t="s">
        <v>173</v>
      </c>
      <c r="G236" t="s">
        <v>174</v>
      </c>
      <c r="H236" t="s">
        <v>167</v>
      </c>
      <c r="I236" t="s">
        <v>175</v>
      </c>
      <c r="J236" t="s">
        <v>420</v>
      </c>
      <c r="L236" t="s">
        <v>421</v>
      </c>
      <c r="M236" s="25">
        <v>130</v>
      </c>
      <c r="N236" s="4">
        <v>130</v>
      </c>
      <c r="O236">
        <v>2</v>
      </c>
      <c r="T236" t="s">
        <v>178</v>
      </c>
      <c r="U236" t="s">
        <v>104</v>
      </c>
      <c r="V236" s="25">
        <v>98.8</v>
      </c>
      <c r="W236" s="18">
        <v>130</v>
      </c>
      <c r="Y236" s="6">
        <f t="shared" si="41"/>
        <v>260</v>
      </c>
      <c r="Z236" s="6">
        <f t="shared" si="42"/>
        <v>197.6</v>
      </c>
      <c r="AA236" s="6">
        <f t="shared" si="43"/>
        <v>260</v>
      </c>
      <c r="AB236" s="6">
        <f t="shared" si="38"/>
        <v>0</v>
      </c>
      <c r="AC236" t="s">
        <v>16</v>
      </c>
      <c r="AD236" s="3" t="s">
        <v>168</v>
      </c>
      <c r="AM236" s="1">
        <f t="shared" si="44"/>
        <v>0</v>
      </c>
    </row>
    <row r="237" spans="1:39" ht="15.75" customHeight="1" x14ac:dyDescent="0.2">
      <c r="A237" s="7" t="str">
        <f t="shared" si="39"/>
        <v>SHENZHEN STRONG TECHNOLOGY CO., LTD.J581New Buy</v>
      </c>
      <c r="B237" s="7" t="str">
        <f t="shared" si="40"/>
        <v>iPadNew Buy</v>
      </c>
      <c r="C237">
        <v>407785</v>
      </c>
      <c r="D237" t="s">
        <v>76</v>
      </c>
      <c r="E237" t="s">
        <v>166</v>
      </c>
      <c r="F237" t="s">
        <v>173</v>
      </c>
      <c r="G237" t="s">
        <v>174</v>
      </c>
      <c r="H237" t="s">
        <v>167</v>
      </c>
      <c r="I237" t="s">
        <v>175</v>
      </c>
      <c r="J237" t="s">
        <v>422</v>
      </c>
      <c r="L237" t="s">
        <v>423</v>
      </c>
      <c r="M237" s="25">
        <v>130</v>
      </c>
      <c r="N237" s="4">
        <v>130</v>
      </c>
      <c r="O237">
        <v>2</v>
      </c>
      <c r="T237" t="s">
        <v>178</v>
      </c>
      <c r="U237" t="s">
        <v>104</v>
      </c>
      <c r="V237" s="25">
        <v>98.8</v>
      </c>
      <c r="W237" s="18">
        <v>130</v>
      </c>
      <c r="Y237" s="6">
        <f t="shared" si="41"/>
        <v>260</v>
      </c>
      <c r="Z237" s="6">
        <f t="shared" si="42"/>
        <v>197.6</v>
      </c>
      <c r="AA237" s="6">
        <f t="shared" si="43"/>
        <v>260</v>
      </c>
      <c r="AB237" s="6">
        <f t="shared" si="38"/>
        <v>0</v>
      </c>
      <c r="AC237" t="s">
        <v>16</v>
      </c>
      <c r="AD237" s="3" t="s">
        <v>168</v>
      </c>
      <c r="AM237" s="1">
        <f t="shared" si="44"/>
        <v>0</v>
      </c>
    </row>
    <row r="238" spans="1:39" ht="15.75" customHeight="1" x14ac:dyDescent="0.2">
      <c r="A238" s="7" t="str">
        <f t="shared" si="39"/>
        <v>SHENZHEN STRONG TECHNOLOGY CO., LTD.J581New Buy</v>
      </c>
      <c r="B238" s="7" t="str">
        <f t="shared" si="40"/>
        <v>iPadNew Buy</v>
      </c>
      <c r="C238">
        <v>407784</v>
      </c>
      <c r="D238" t="s">
        <v>76</v>
      </c>
      <c r="E238" t="s">
        <v>166</v>
      </c>
      <c r="F238" t="s">
        <v>173</v>
      </c>
      <c r="G238" t="s">
        <v>174</v>
      </c>
      <c r="H238" t="s">
        <v>167</v>
      </c>
      <c r="I238" t="s">
        <v>175</v>
      </c>
      <c r="J238" t="s">
        <v>424</v>
      </c>
      <c r="L238" t="s">
        <v>425</v>
      </c>
      <c r="M238" s="25">
        <v>130</v>
      </c>
      <c r="N238" s="4">
        <v>130</v>
      </c>
      <c r="O238">
        <v>2</v>
      </c>
      <c r="T238" t="s">
        <v>178</v>
      </c>
      <c r="U238" t="s">
        <v>104</v>
      </c>
      <c r="V238" s="25">
        <v>98.8</v>
      </c>
      <c r="W238" s="18">
        <v>130</v>
      </c>
      <c r="Y238" s="6">
        <f t="shared" si="41"/>
        <v>260</v>
      </c>
      <c r="Z238" s="6">
        <f t="shared" si="42"/>
        <v>197.6</v>
      </c>
      <c r="AA238" s="6">
        <f t="shared" si="43"/>
        <v>260</v>
      </c>
      <c r="AB238" s="6">
        <f t="shared" si="38"/>
        <v>0</v>
      </c>
      <c r="AC238" t="s">
        <v>16</v>
      </c>
      <c r="AD238" s="3" t="s">
        <v>168</v>
      </c>
      <c r="AM238" s="1">
        <f t="shared" si="44"/>
        <v>0</v>
      </c>
    </row>
    <row r="239" spans="1:39" ht="15.75" customHeight="1" x14ac:dyDescent="0.2">
      <c r="A239" s="7" t="str">
        <f t="shared" si="39"/>
        <v>SHENZHEN STRONG TECHNOLOGY CO., LTD.J581New Buy</v>
      </c>
      <c r="B239" s="7" t="str">
        <f t="shared" si="40"/>
        <v>iPadNew Buy</v>
      </c>
      <c r="C239">
        <v>407773</v>
      </c>
      <c r="D239" t="s">
        <v>76</v>
      </c>
      <c r="E239" t="s">
        <v>166</v>
      </c>
      <c r="F239" t="s">
        <v>173</v>
      </c>
      <c r="G239" t="s">
        <v>174</v>
      </c>
      <c r="H239" t="s">
        <v>167</v>
      </c>
      <c r="I239" t="s">
        <v>175</v>
      </c>
      <c r="J239" t="s">
        <v>426</v>
      </c>
      <c r="L239" t="s">
        <v>427</v>
      </c>
      <c r="M239" s="25">
        <v>266</v>
      </c>
      <c r="N239" s="4">
        <v>153.35</v>
      </c>
      <c r="O239">
        <v>2</v>
      </c>
      <c r="T239" t="s">
        <v>178</v>
      </c>
      <c r="U239" t="s">
        <v>116</v>
      </c>
      <c r="V239" s="25">
        <v>134.52000000000001</v>
      </c>
      <c r="W239" s="18">
        <v>195</v>
      </c>
      <c r="Y239" s="6">
        <f t="shared" si="41"/>
        <v>532</v>
      </c>
      <c r="Z239" s="6">
        <f t="shared" si="42"/>
        <v>269.04000000000002</v>
      </c>
      <c r="AA239" s="6">
        <f t="shared" si="43"/>
        <v>306.7</v>
      </c>
      <c r="AB239" s="6">
        <f t="shared" si="38"/>
        <v>225.3</v>
      </c>
      <c r="AC239" t="s">
        <v>33</v>
      </c>
      <c r="AD239" s="3" t="s">
        <v>168</v>
      </c>
      <c r="AM239" s="1">
        <f t="shared" si="44"/>
        <v>83.300000000000011</v>
      </c>
    </row>
    <row r="240" spans="1:39" ht="15.75" customHeight="1" x14ac:dyDescent="0.2">
      <c r="A240" s="7" t="str">
        <f t="shared" si="39"/>
        <v>SHENZHEN STRONG TECHNOLOGY CO., LTD.J581New Buy</v>
      </c>
      <c r="B240" s="7" t="str">
        <f t="shared" si="40"/>
        <v>iPadNew Buy</v>
      </c>
      <c r="C240">
        <v>407772</v>
      </c>
      <c r="D240" t="s">
        <v>76</v>
      </c>
      <c r="E240" t="s">
        <v>166</v>
      </c>
      <c r="F240" t="s">
        <v>173</v>
      </c>
      <c r="G240" t="s">
        <v>174</v>
      </c>
      <c r="H240" t="s">
        <v>167</v>
      </c>
      <c r="I240" t="s">
        <v>175</v>
      </c>
      <c r="J240" t="s">
        <v>426</v>
      </c>
      <c r="L240" t="s">
        <v>428</v>
      </c>
      <c r="M240" s="25">
        <v>177</v>
      </c>
      <c r="N240" s="4">
        <v>153.35</v>
      </c>
      <c r="O240">
        <v>3</v>
      </c>
      <c r="T240" t="s">
        <v>178</v>
      </c>
      <c r="U240" t="s">
        <v>104</v>
      </c>
      <c r="V240" s="25">
        <v>134.52000000000001</v>
      </c>
      <c r="W240" s="18">
        <v>195</v>
      </c>
      <c r="Y240" s="6">
        <f t="shared" si="41"/>
        <v>531</v>
      </c>
      <c r="Z240" s="6">
        <f t="shared" si="42"/>
        <v>403.56000000000006</v>
      </c>
      <c r="AA240" s="6">
        <f t="shared" si="43"/>
        <v>460.04999999999995</v>
      </c>
      <c r="AB240" s="6">
        <f t="shared" si="38"/>
        <v>70.950000000000045</v>
      </c>
      <c r="AC240" t="s">
        <v>16</v>
      </c>
      <c r="AD240" s="3" t="s">
        <v>168</v>
      </c>
      <c r="AM240" s="1">
        <f t="shared" si="44"/>
        <v>124.95000000000005</v>
      </c>
    </row>
    <row r="241" spans="1:39" ht="15.75" customHeight="1" x14ac:dyDescent="0.2">
      <c r="A241" s="7" t="str">
        <f t="shared" si="39"/>
        <v>SHENZHEN STRONG TECHNOLOGY CO., LTD.J581New Buy</v>
      </c>
      <c r="B241" s="7" t="str">
        <f t="shared" si="40"/>
        <v>iPadNew Buy</v>
      </c>
      <c r="C241">
        <v>407771</v>
      </c>
      <c r="D241" t="s">
        <v>76</v>
      </c>
      <c r="E241" t="s">
        <v>166</v>
      </c>
      <c r="F241" t="s">
        <v>173</v>
      </c>
      <c r="G241" t="s">
        <v>174</v>
      </c>
      <c r="H241" t="s">
        <v>167</v>
      </c>
      <c r="I241" t="s">
        <v>175</v>
      </c>
      <c r="J241" t="s">
        <v>426</v>
      </c>
      <c r="L241" t="s">
        <v>428</v>
      </c>
      <c r="M241" s="25">
        <v>177</v>
      </c>
      <c r="N241" s="4">
        <v>153.35</v>
      </c>
      <c r="O241">
        <v>1</v>
      </c>
      <c r="T241" t="s">
        <v>178</v>
      </c>
      <c r="U241" t="s">
        <v>66</v>
      </c>
      <c r="V241" s="25">
        <v>134.52000000000001</v>
      </c>
      <c r="W241" s="18">
        <v>195</v>
      </c>
      <c r="Y241" s="6">
        <f t="shared" si="41"/>
        <v>177</v>
      </c>
      <c r="Z241" s="6">
        <f t="shared" si="42"/>
        <v>134.52000000000001</v>
      </c>
      <c r="AA241" s="6">
        <f t="shared" si="43"/>
        <v>153.35</v>
      </c>
      <c r="AB241" s="6">
        <f t="shared" si="38"/>
        <v>23.650000000000006</v>
      </c>
      <c r="AC241" t="s">
        <v>16</v>
      </c>
      <c r="AD241" s="3" t="s">
        <v>168</v>
      </c>
      <c r="AM241" s="1">
        <f t="shared" si="44"/>
        <v>41.650000000000006</v>
      </c>
    </row>
    <row r="242" spans="1:39" ht="15.75" customHeight="1" x14ac:dyDescent="0.2">
      <c r="A242" s="7" t="str">
        <f t="shared" si="39"/>
        <v>SHENZHEN STRONG TECHNOLOGY CO., LTD.J581New Buy</v>
      </c>
      <c r="B242" s="7" t="str">
        <f t="shared" si="40"/>
        <v>iPadNew Buy</v>
      </c>
      <c r="C242">
        <v>407770</v>
      </c>
      <c r="D242" t="s">
        <v>76</v>
      </c>
      <c r="E242" t="s">
        <v>166</v>
      </c>
      <c r="F242" t="s">
        <v>173</v>
      </c>
      <c r="G242" t="s">
        <v>174</v>
      </c>
      <c r="H242" t="s">
        <v>167</v>
      </c>
      <c r="I242" t="s">
        <v>175</v>
      </c>
      <c r="J242" t="s">
        <v>429</v>
      </c>
      <c r="L242" t="s">
        <v>430</v>
      </c>
      <c r="M242" s="25">
        <v>266</v>
      </c>
      <c r="N242" s="4">
        <v>145.82</v>
      </c>
      <c r="O242">
        <v>1</v>
      </c>
      <c r="T242" t="s">
        <v>178</v>
      </c>
      <c r="U242" t="s">
        <v>116</v>
      </c>
      <c r="V242" s="25">
        <v>134.52000000000001</v>
      </c>
      <c r="W242" s="18">
        <v>240</v>
      </c>
      <c r="Y242" s="6">
        <f t="shared" si="41"/>
        <v>266</v>
      </c>
      <c r="Z242" s="6">
        <f t="shared" si="42"/>
        <v>134.52000000000001</v>
      </c>
      <c r="AA242" s="6">
        <f t="shared" si="43"/>
        <v>145.82</v>
      </c>
      <c r="AB242" s="6">
        <f t="shared" si="38"/>
        <v>120.18</v>
      </c>
      <c r="AC242" t="s">
        <v>33</v>
      </c>
      <c r="AD242" s="3" t="s">
        <v>168</v>
      </c>
      <c r="AM242" s="1">
        <f t="shared" si="44"/>
        <v>94.18</v>
      </c>
    </row>
    <row r="243" spans="1:39" ht="15.75" customHeight="1" x14ac:dyDescent="0.2">
      <c r="A243" s="7" t="str">
        <f t="shared" si="39"/>
        <v>SHENZHEN STRONG TECHNOLOGY CO., LTD.J581New Buy</v>
      </c>
      <c r="B243" s="7" t="str">
        <f t="shared" si="40"/>
        <v>iPadNew Buy</v>
      </c>
      <c r="C243">
        <v>407769</v>
      </c>
      <c r="D243" t="s">
        <v>76</v>
      </c>
      <c r="E243" t="s">
        <v>166</v>
      </c>
      <c r="F243" t="s">
        <v>173</v>
      </c>
      <c r="G243" t="s">
        <v>174</v>
      </c>
      <c r="H243" t="s">
        <v>167</v>
      </c>
      <c r="I243" t="s">
        <v>175</v>
      </c>
      <c r="J243" t="s">
        <v>429</v>
      </c>
      <c r="L243" t="s">
        <v>431</v>
      </c>
      <c r="M243" s="25">
        <v>177</v>
      </c>
      <c r="N243" s="4">
        <v>145.82</v>
      </c>
      <c r="O243">
        <v>3</v>
      </c>
      <c r="T243" t="s">
        <v>178</v>
      </c>
      <c r="U243" t="s">
        <v>104</v>
      </c>
      <c r="V243" s="25">
        <v>134.52000000000001</v>
      </c>
      <c r="W243" s="18">
        <v>240</v>
      </c>
      <c r="Y243" s="6">
        <f t="shared" si="41"/>
        <v>531</v>
      </c>
      <c r="Z243" s="6">
        <f t="shared" si="42"/>
        <v>403.56000000000006</v>
      </c>
      <c r="AA243" s="6">
        <f t="shared" si="43"/>
        <v>437.46</v>
      </c>
      <c r="AB243" s="6">
        <f t="shared" si="38"/>
        <v>93.54000000000002</v>
      </c>
      <c r="AC243" t="s">
        <v>16</v>
      </c>
      <c r="AD243" s="3" t="s">
        <v>168</v>
      </c>
      <c r="AM243" s="1">
        <f t="shared" si="44"/>
        <v>282.54000000000002</v>
      </c>
    </row>
    <row r="244" spans="1:39" ht="15.75" customHeight="1" x14ac:dyDescent="0.2">
      <c r="A244" s="7" t="str">
        <f t="shared" si="39"/>
        <v>SHENZHEN STRONG TECHNOLOGY CO., LTD.J581New Buy</v>
      </c>
      <c r="B244" s="7" t="str">
        <f t="shared" si="40"/>
        <v>iPadNew Buy</v>
      </c>
      <c r="C244">
        <v>407768</v>
      </c>
      <c r="D244" t="s">
        <v>76</v>
      </c>
      <c r="E244" t="s">
        <v>166</v>
      </c>
      <c r="F244" t="s">
        <v>173</v>
      </c>
      <c r="G244" t="s">
        <v>174</v>
      </c>
      <c r="H244" t="s">
        <v>167</v>
      </c>
      <c r="I244" t="s">
        <v>175</v>
      </c>
      <c r="J244" t="s">
        <v>429</v>
      </c>
      <c r="L244" t="s">
        <v>431</v>
      </c>
      <c r="M244" s="25">
        <v>177</v>
      </c>
      <c r="N244" s="4">
        <v>145.82</v>
      </c>
      <c r="O244">
        <v>1</v>
      </c>
      <c r="T244" t="s">
        <v>178</v>
      </c>
      <c r="U244" t="s">
        <v>66</v>
      </c>
      <c r="V244" s="25">
        <v>134.52000000000001</v>
      </c>
      <c r="W244" s="18">
        <v>240</v>
      </c>
      <c r="Y244" s="6">
        <f t="shared" si="41"/>
        <v>177</v>
      </c>
      <c r="Z244" s="6">
        <f t="shared" si="42"/>
        <v>134.52000000000001</v>
      </c>
      <c r="AA244" s="6">
        <f t="shared" si="43"/>
        <v>145.82</v>
      </c>
      <c r="AB244" s="6">
        <f t="shared" si="38"/>
        <v>31.180000000000007</v>
      </c>
      <c r="AC244" t="s">
        <v>16</v>
      </c>
      <c r="AD244" s="3" t="s">
        <v>168</v>
      </c>
      <c r="AM244" s="1">
        <f t="shared" si="44"/>
        <v>94.18</v>
      </c>
    </row>
    <row r="245" spans="1:39" ht="15.75" customHeight="1" x14ac:dyDescent="0.2">
      <c r="A245" s="7" t="str">
        <f t="shared" si="39"/>
        <v>SHENZHEN STRONG TECHNOLOGY CO., LTD.J581Retrofit</v>
      </c>
      <c r="B245" s="7" t="str">
        <f t="shared" si="40"/>
        <v>iPadNew Buy</v>
      </c>
      <c r="C245">
        <v>407765</v>
      </c>
      <c r="D245" t="s">
        <v>76</v>
      </c>
      <c r="E245" t="s">
        <v>166</v>
      </c>
      <c r="F245" t="s">
        <v>173</v>
      </c>
      <c r="G245" t="s">
        <v>174</v>
      </c>
      <c r="H245" t="s">
        <v>170</v>
      </c>
      <c r="I245" t="s">
        <v>175</v>
      </c>
      <c r="J245" t="s">
        <v>432</v>
      </c>
      <c r="L245" t="s">
        <v>433</v>
      </c>
      <c r="M245" s="25">
        <v>43</v>
      </c>
      <c r="N245" s="4">
        <v>32.68</v>
      </c>
      <c r="O245">
        <v>340</v>
      </c>
      <c r="T245" t="s">
        <v>178</v>
      </c>
      <c r="U245" t="s">
        <v>104</v>
      </c>
      <c r="V245" s="25">
        <v>32.68</v>
      </c>
      <c r="W245" s="18" t="s">
        <v>367</v>
      </c>
      <c r="Y245" s="6">
        <f t="shared" si="41"/>
        <v>14620</v>
      </c>
      <c r="Z245" s="6">
        <f t="shared" si="42"/>
        <v>11111.2</v>
      </c>
      <c r="AA245" s="6">
        <f t="shared" si="43"/>
        <v>11111.2</v>
      </c>
      <c r="AB245" s="6">
        <f t="shared" si="38"/>
        <v>3508.7999999999993</v>
      </c>
      <c r="AC245" t="s">
        <v>16</v>
      </c>
      <c r="AD245" s="3" t="s">
        <v>171</v>
      </c>
    </row>
    <row r="246" spans="1:39" ht="15.75" customHeight="1" x14ac:dyDescent="0.2">
      <c r="A246" s="7" t="str">
        <f t="shared" si="39"/>
        <v>SHENZHEN STRONG TECHNOLOGY CO., LTD.J581Retrofit</v>
      </c>
      <c r="B246" s="7" t="str">
        <f t="shared" si="40"/>
        <v>iPadNew Buy</v>
      </c>
      <c r="C246">
        <v>407763</v>
      </c>
      <c r="D246" t="s">
        <v>76</v>
      </c>
      <c r="E246" t="s">
        <v>166</v>
      </c>
      <c r="F246" t="s">
        <v>173</v>
      </c>
      <c r="G246" t="s">
        <v>174</v>
      </c>
      <c r="H246" t="s">
        <v>170</v>
      </c>
      <c r="I246" t="s">
        <v>131</v>
      </c>
      <c r="J246" t="s">
        <v>434</v>
      </c>
      <c r="L246" t="s">
        <v>435</v>
      </c>
      <c r="M246" s="25">
        <v>27</v>
      </c>
      <c r="N246" s="4">
        <v>20.52</v>
      </c>
      <c r="O246">
        <v>756</v>
      </c>
      <c r="T246" t="s">
        <v>178</v>
      </c>
      <c r="U246" t="s">
        <v>104</v>
      </c>
      <c r="V246" s="25">
        <v>20.52</v>
      </c>
      <c r="W246" s="18" t="s">
        <v>367</v>
      </c>
      <c r="Y246" s="6">
        <f t="shared" si="41"/>
        <v>20412</v>
      </c>
      <c r="Z246" s="6">
        <f t="shared" si="42"/>
        <v>15513.119999999999</v>
      </c>
      <c r="AA246" s="6">
        <f t="shared" si="43"/>
        <v>15513.119999999999</v>
      </c>
      <c r="AB246" s="6">
        <f t="shared" si="38"/>
        <v>4898.880000000001</v>
      </c>
      <c r="AC246" t="s">
        <v>16</v>
      </c>
      <c r="AD246" s="3" t="s">
        <v>171</v>
      </c>
    </row>
    <row r="247" spans="1:39" ht="15.75" customHeight="1" x14ac:dyDescent="0.2">
      <c r="A247" s="7" t="str">
        <f t="shared" si="39"/>
        <v>SHENZHEN STRONG TECHNOLOGY CO., LTD.J581New Buy</v>
      </c>
      <c r="B247" s="7" t="str">
        <f t="shared" si="40"/>
        <v>iPadNew Buy</v>
      </c>
      <c r="C247">
        <v>407754</v>
      </c>
      <c r="D247" t="s">
        <v>76</v>
      </c>
      <c r="E247" t="s">
        <v>166</v>
      </c>
      <c r="F247" t="s">
        <v>173</v>
      </c>
      <c r="G247" t="s">
        <v>174</v>
      </c>
      <c r="H247" t="s">
        <v>167</v>
      </c>
      <c r="I247" t="s">
        <v>131</v>
      </c>
      <c r="J247" t="s">
        <v>436</v>
      </c>
      <c r="L247" t="s">
        <v>437</v>
      </c>
      <c r="M247" s="4" t="s">
        <v>416</v>
      </c>
      <c r="N247" s="4" t="s">
        <v>367</v>
      </c>
      <c r="O247">
        <v>5.3333333300000003</v>
      </c>
      <c r="T247" t="s">
        <v>178</v>
      </c>
      <c r="U247" t="s">
        <v>116</v>
      </c>
      <c r="V247" s="4" t="s">
        <v>417</v>
      </c>
      <c r="W247" s="18" t="s">
        <v>367</v>
      </c>
      <c r="Y247" s="6">
        <f t="shared" si="41"/>
        <v>0</v>
      </c>
      <c r="Z247" s="6">
        <f t="shared" si="42"/>
        <v>0</v>
      </c>
      <c r="AA247" s="6">
        <f t="shared" si="43"/>
        <v>0</v>
      </c>
      <c r="AB247" s="6">
        <f t="shared" si="38"/>
        <v>0</v>
      </c>
      <c r="AC247" t="s">
        <v>33</v>
      </c>
      <c r="AD247" s="3" t="s">
        <v>168</v>
      </c>
    </row>
    <row r="248" spans="1:39" ht="15.75" customHeight="1" x14ac:dyDescent="0.2">
      <c r="A248" s="7" t="str">
        <f t="shared" si="39"/>
        <v>SHENZHEN STRONG TECHNOLOGY CO., LTD.J581New Buy</v>
      </c>
      <c r="B248" s="7" t="str">
        <f t="shared" si="40"/>
        <v>iPadNew Buy</v>
      </c>
      <c r="C248">
        <v>407753</v>
      </c>
      <c r="D248" t="s">
        <v>76</v>
      </c>
      <c r="E248" t="s">
        <v>166</v>
      </c>
      <c r="F248" t="s">
        <v>173</v>
      </c>
      <c r="G248" t="s">
        <v>174</v>
      </c>
      <c r="H248" t="s">
        <v>167</v>
      </c>
      <c r="I248" t="s">
        <v>175</v>
      </c>
      <c r="J248" t="s">
        <v>436</v>
      </c>
      <c r="L248" t="s">
        <v>437</v>
      </c>
      <c r="M248" s="4" t="s">
        <v>416</v>
      </c>
      <c r="N248" s="4" t="s">
        <v>367</v>
      </c>
      <c r="O248">
        <v>1.3333333300000001</v>
      </c>
      <c r="T248" t="s">
        <v>178</v>
      </c>
      <c r="U248" t="s">
        <v>66</v>
      </c>
      <c r="V248" s="4" t="s">
        <v>417</v>
      </c>
      <c r="W248" s="18" t="s">
        <v>367</v>
      </c>
      <c r="Y248" s="6">
        <f t="shared" si="41"/>
        <v>0</v>
      </c>
      <c r="Z248" s="6">
        <f t="shared" si="42"/>
        <v>0</v>
      </c>
      <c r="AA248" s="6">
        <f t="shared" si="43"/>
        <v>0</v>
      </c>
      <c r="AB248" s="6">
        <f t="shared" si="38"/>
        <v>0</v>
      </c>
      <c r="AC248" t="s">
        <v>16</v>
      </c>
      <c r="AD248" s="3" t="s">
        <v>168</v>
      </c>
    </row>
    <row r="249" spans="1:39" ht="15.75" customHeight="1" x14ac:dyDescent="0.2">
      <c r="A249" s="7" t="str">
        <f t="shared" si="39"/>
        <v>SHENZHEN STRONG TECHNOLOGY CO., LTD.J581New Buy</v>
      </c>
      <c r="B249" s="7" t="str">
        <f t="shared" si="40"/>
        <v>iPadNew Buy</v>
      </c>
      <c r="C249">
        <v>407747</v>
      </c>
      <c r="D249" t="s">
        <v>76</v>
      </c>
      <c r="E249" t="s">
        <v>166</v>
      </c>
      <c r="F249" t="s">
        <v>173</v>
      </c>
      <c r="G249" t="s">
        <v>174</v>
      </c>
      <c r="H249" t="s">
        <v>167</v>
      </c>
      <c r="I249" t="s">
        <v>175</v>
      </c>
      <c r="J249" t="s">
        <v>438</v>
      </c>
      <c r="L249" t="s">
        <v>439</v>
      </c>
      <c r="M249" s="4" t="s">
        <v>416</v>
      </c>
      <c r="N249" s="4" t="s">
        <v>367</v>
      </c>
      <c r="O249">
        <v>1.3333333300000001</v>
      </c>
      <c r="T249" t="s">
        <v>178</v>
      </c>
      <c r="U249" t="s">
        <v>116</v>
      </c>
      <c r="V249" s="4" t="s">
        <v>417</v>
      </c>
      <c r="W249" s="18" t="s">
        <v>367</v>
      </c>
      <c r="Y249" s="6">
        <f t="shared" si="41"/>
        <v>0</v>
      </c>
      <c r="Z249" s="6">
        <f t="shared" si="42"/>
        <v>0</v>
      </c>
      <c r="AA249" s="6">
        <f t="shared" si="43"/>
        <v>0</v>
      </c>
      <c r="AB249" s="6">
        <f t="shared" si="38"/>
        <v>0</v>
      </c>
      <c r="AC249" t="s">
        <v>33</v>
      </c>
      <c r="AD249" s="3" t="s">
        <v>168</v>
      </c>
    </row>
    <row r="250" spans="1:39" ht="15.75" customHeight="1" x14ac:dyDescent="0.2">
      <c r="A250" s="7" t="str">
        <f t="shared" si="39"/>
        <v>SHENZHEN STRONG TECHNOLOGY CO., LTD.J581New Buy</v>
      </c>
      <c r="B250" s="7" t="str">
        <f t="shared" si="40"/>
        <v>iPadNew Buy</v>
      </c>
      <c r="C250">
        <v>407746</v>
      </c>
      <c r="D250" t="s">
        <v>76</v>
      </c>
      <c r="E250" t="s">
        <v>166</v>
      </c>
      <c r="F250" t="s">
        <v>173</v>
      </c>
      <c r="G250" t="s">
        <v>174</v>
      </c>
      <c r="H250" t="s">
        <v>167</v>
      </c>
      <c r="I250" t="s">
        <v>175</v>
      </c>
      <c r="J250" t="s">
        <v>438</v>
      </c>
      <c r="L250" t="s">
        <v>439</v>
      </c>
      <c r="M250" s="4" t="s">
        <v>416</v>
      </c>
      <c r="N250" s="4" t="s">
        <v>367</v>
      </c>
      <c r="O250">
        <v>0.66666667000000002</v>
      </c>
      <c r="T250" t="s">
        <v>178</v>
      </c>
      <c r="U250" t="s">
        <v>66</v>
      </c>
      <c r="V250" s="4" t="s">
        <v>417</v>
      </c>
      <c r="W250" s="18" t="s">
        <v>367</v>
      </c>
      <c r="Y250" s="6">
        <f t="shared" si="41"/>
        <v>0</v>
      </c>
      <c r="Z250" s="6">
        <f t="shared" si="42"/>
        <v>0</v>
      </c>
      <c r="AA250" s="6">
        <f t="shared" si="43"/>
        <v>0</v>
      </c>
      <c r="AB250" s="6">
        <f t="shared" si="38"/>
        <v>0</v>
      </c>
      <c r="AC250" t="s">
        <v>16</v>
      </c>
      <c r="AD250" s="3" t="s">
        <v>168</v>
      </c>
    </row>
    <row r="251" spans="1:39" ht="15.75" customHeight="1" x14ac:dyDescent="0.2">
      <c r="A251" s="7" t="str">
        <f t="shared" si="39"/>
        <v>SHENZHEN STRONG TECHNOLOGY CO., LTD.J581New Buy</v>
      </c>
      <c r="B251" s="7" t="str">
        <f t="shared" si="40"/>
        <v>iPadNew Buy</v>
      </c>
      <c r="C251">
        <v>407741</v>
      </c>
      <c r="D251" t="s">
        <v>76</v>
      </c>
      <c r="E251" t="s">
        <v>166</v>
      </c>
      <c r="F251" t="s">
        <v>173</v>
      </c>
      <c r="G251" t="s">
        <v>174</v>
      </c>
      <c r="H251" t="s">
        <v>167</v>
      </c>
      <c r="I251" t="s">
        <v>175</v>
      </c>
      <c r="J251" t="s">
        <v>440</v>
      </c>
      <c r="L251" t="s">
        <v>441</v>
      </c>
      <c r="M251" s="25">
        <v>119</v>
      </c>
      <c r="N251" s="4">
        <v>76.680000000000007</v>
      </c>
      <c r="O251">
        <v>1.3333333300000001</v>
      </c>
      <c r="T251" t="s">
        <v>178</v>
      </c>
      <c r="U251" t="s">
        <v>116</v>
      </c>
      <c r="V251" s="25">
        <v>60.04</v>
      </c>
      <c r="W251" s="18">
        <v>79</v>
      </c>
      <c r="Y251" s="6">
        <f t="shared" si="41"/>
        <v>158.66666627000001</v>
      </c>
      <c r="Z251" s="6">
        <f t="shared" si="42"/>
        <v>80.053333133199999</v>
      </c>
      <c r="AA251" s="6">
        <f t="shared" si="43"/>
        <v>102.23999974440001</v>
      </c>
      <c r="AB251" s="6">
        <f t="shared" si="38"/>
        <v>56.426666525599998</v>
      </c>
      <c r="AC251" t="s">
        <v>33</v>
      </c>
      <c r="AD251" s="3" t="s">
        <v>168</v>
      </c>
      <c r="AM251" s="1">
        <f t="shared" si="44"/>
        <v>3.0933333255999997</v>
      </c>
    </row>
    <row r="252" spans="1:39" ht="15.75" customHeight="1" x14ac:dyDescent="0.2">
      <c r="A252" s="7" t="str">
        <f t="shared" si="39"/>
        <v>SHENZHEN STRONG TECHNOLOGY CO., LTD.J581New Buy</v>
      </c>
      <c r="B252" s="7" t="str">
        <f t="shared" si="40"/>
        <v>iPadNew Buy</v>
      </c>
      <c r="C252">
        <v>407740</v>
      </c>
      <c r="D252" t="s">
        <v>76</v>
      </c>
      <c r="E252" t="s">
        <v>166</v>
      </c>
      <c r="F252" t="s">
        <v>173</v>
      </c>
      <c r="G252" t="s">
        <v>174</v>
      </c>
      <c r="H252" t="s">
        <v>167</v>
      </c>
      <c r="I252" t="s">
        <v>175</v>
      </c>
      <c r="J252" t="s">
        <v>440</v>
      </c>
      <c r="L252" t="s">
        <v>441</v>
      </c>
      <c r="M252" s="25">
        <v>79</v>
      </c>
      <c r="N252" s="4">
        <v>76.680000000000007</v>
      </c>
      <c r="O252">
        <v>0.66666667000000002</v>
      </c>
      <c r="T252" t="s">
        <v>178</v>
      </c>
      <c r="U252" t="s">
        <v>66</v>
      </c>
      <c r="V252" s="25">
        <v>60.04</v>
      </c>
      <c r="W252" s="18">
        <v>79</v>
      </c>
      <c r="Y252" s="6">
        <f t="shared" si="41"/>
        <v>52.666666929999998</v>
      </c>
      <c r="Z252" s="6">
        <f t="shared" si="42"/>
        <v>40.026666866799999</v>
      </c>
      <c r="AA252" s="6">
        <f t="shared" si="43"/>
        <v>51.120000255600004</v>
      </c>
      <c r="AB252" s="6">
        <f t="shared" si="38"/>
        <v>1.5466666743999937</v>
      </c>
      <c r="AC252" t="s">
        <v>16</v>
      </c>
      <c r="AD252" s="3" t="s">
        <v>168</v>
      </c>
      <c r="AM252" s="1">
        <f t="shared" si="44"/>
        <v>1.5466666743999937</v>
      </c>
    </row>
    <row r="253" spans="1:39" ht="15.75" customHeight="1" x14ac:dyDescent="0.2">
      <c r="A253" s="7" t="str">
        <f t="shared" si="39"/>
        <v>SHENZHEN STRONG TECHNOLOGY CO., LTD.J581New Buy</v>
      </c>
      <c r="B253" s="7" t="str">
        <f t="shared" si="40"/>
        <v>iPadNew Buy</v>
      </c>
      <c r="C253">
        <v>407735</v>
      </c>
      <c r="D253" t="s">
        <v>76</v>
      </c>
      <c r="E253" t="s">
        <v>166</v>
      </c>
      <c r="F253" t="s">
        <v>173</v>
      </c>
      <c r="G253" t="s">
        <v>174</v>
      </c>
      <c r="H253" t="s">
        <v>167</v>
      </c>
      <c r="I253" t="s">
        <v>175</v>
      </c>
      <c r="J253" t="s">
        <v>442</v>
      </c>
      <c r="L253" t="s">
        <v>443</v>
      </c>
      <c r="M253" s="25">
        <v>160</v>
      </c>
      <c r="N253" s="4">
        <v>158.1</v>
      </c>
      <c r="O253">
        <v>2</v>
      </c>
      <c r="T253" t="s">
        <v>178</v>
      </c>
      <c r="U253" t="s">
        <v>104</v>
      </c>
      <c r="V253" s="25">
        <v>120</v>
      </c>
      <c r="W253" s="18">
        <v>160</v>
      </c>
      <c r="Y253" s="6">
        <f t="shared" si="41"/>
        <v>320</v>
      </c>
      <c r="Z253" s="6">
        <f t="shared" si="42"/>
        <v>240</v>
      </c>
      <c r="AA253" s="6">
        <f t="shared" si="43"/>
        <v>316.2</v>
      </c>
      <c r="AB253" s="6">
        <f t="shared" si="38"/>
        <v>3.8000000000000114</v>
      </c>
      <c r="AC253" t="s">
        <v>16</v>
      </c>
      <c r="AD253" s="3" t="s">
        <v>168</v>
      </c>
      <c r="AM253" s="1">
        <f t="shared" si="44"/>
        <v>3.8000000000000114</v>
      </c>
    </row>
    <row r="254" spans="1:39" ht="15.75" customHeight="1" x14ac:dyDescent="0.2">
      <c r="A254" s="7" t="str">
        <f t="shared" si="39"/>
        <v>SHENZHEN STRONG TECHNOLOGY CO., LTD.J581New Buy</v>
      </c>
      <c r="B254" s="7" t="str">
        <f t="shared" si="40"/>
        <v>iPadNew Buy</v>
      </c>
      <c r="C254">
        <v>407734</v>
      </c>
      <c r="D254" t="s">
        <v>76</v>
      </c>
      <c r="E254" t="s">
        <v>166</v>
      </c>
      <c r="F254" t="s">
        <v>173</v>
      </c>
      <c r="G254" t="s">
        <v>174</v>
      </c>
      <c r="H254" t="s">
        <v>167</v>
      </c>
      <c r="I254" t="s">
        <v>175</v>
      </c>
      <c r="J254" t="s">
        <v>442</v>
      </c>
      <c r="L254" t="s">
        <v>443</v>
      </c>
      <c r="M254" s="25">
        <v>240</v>
      </c>
      <c r="N254" s="4">
        <v>158.1</v>
      </c>
      <c r="O254">
        <v>10.6666667</v>
      </c>
      <c r="T254" t="s">
        <v>178</v>
      </c>
      <c r="U254" t="s">
        <v>116</v>
      </c>
      <c r="V254" s="25">
        <v>120</v>
      </c>
      <c r="W254" s="18">
        <v>160</v>
      </c>
      <c r="Y254" s="6">
        <f t="shared" si="41"/>
        <v>2560.000008</v>
      </c>
      <c r="Z254" s="6">
        <f t="shared" si="42"/>
        <v>1280.000004</v>
      </c>
      <c r="AA254" s="6">
        <f t="shared" si="43"/>
        <v>1686.4000052700001</v>
      </c>
      <c r="AB254" s="6">
        <f t="shared" si="38"/>
        <v>873.60000272999991</v>
      </c>
      <c r="AC254" t="s">
        <v>33</v>
      </c>
      <c r="AD254" s="3" t="s">
        <v>168</v>
      </c>
      <c r="AM254" s="1">
        <f t="shared" si="44"/>
        <v>20.266666729999997</v>
      </c>
    </row>
    <row r="255" spans="1:39" ht="15.75" customHeight="1" x14ac:dyDescent="0.2">
      <c r="A255" s="7" t="str">
        <f t="shared" si="39"/>
        <v>SHENZHEN STRONG TECHNOLOGY CO., LTD.J581New Buy</v>
      </c>
      <c r="B255" s="7" t="str">
        <f t="shared" si="40"/>
        <v>iPadNew Buy</v>
      </c>
      <c r="C255">
        <v>407733</v>
      </c>
      <c r="D255" t="s">
        <v>76</v>
      </c>
      <c r="E255" t="s">
        <v>166</v>
      </c>
      <c r="F255" t="s">
        <v>173</v>
      </c>
      <c r="G255" t="s">
        <v>174</v>
      </c>
      <c r="H255" t="s">
        <v>167</v>
      </c>
      <c r="I255" t="s">
        <v>175</v>
      </c>
      <c r="J255" t="s">
        <v>442</v>
      </c>
      <c r="L255" t="s">
        <v>443</v>
      </c>
      <c r="M255" s="25">
        <v>160</v>
      </c>
      <c r="N255" s="4">
        <v>158.1</v>
      </c>
      <c r="O255">
        <v>1.3333333300000001</v>
      </c>
      <c r="T255" t="s">
        <v>178</v>
      </c>
      <c r="U255" t="s">
        <v>66</v>
      </c>
      <c r="V255" s="25">
        <v>120</v>
      </c>
      <c r="W255" s="18">
        <v>160</v>
      </c>
      <c r="Y255" s="6">
        <f t="shared" si="41"/>
        <v>213.33333280000002</v>
      </c>
      <c r="Z255" s="6">
        <f t="shared" si="42"/>
        <v>159.99999960000002</v>
      </c>
      <c r="AA255" s="6">
        <f t="shared" si="43"/>
        <v>210.79999947300001</v>
      </c>
      <c r="AB255" s="6">
        <f t="shared" si="38"/>
        <v>2.5333333270000082</v>
      </c>
      <c r="AC255" t="s">
        <v>16</v>
      </c>
      <c r="AD255" s="3" t="s">
        <v>168</v>
      </c>
      <c r="AM255" s="1">
        <f t="shared" si="44"/>
        <v>2.5333333270000082</v>
      </c>
    </row>
    <row r="256" spans="1:39" ht="15.75" customHeight="1" x14ac:dyDescent="0.2">
      <c r="A256" s="7" t="str">
        <f t="shared" si="39"/>
        <v>SHENZHEN STRONG TECHNOLOGY CO., LTD.J581New Buy</v>
      </c>
      <c r="B256" s="7" t="str">
        <f t="shared" si="40"/>
        <v>iPadNew Buy</v>
      </c>
      <c r="C256">
        <v>407728</v>
      </c>
      <c r="D256" t="s">
        <v>76</v>
      </c>
      <c r="E256" t="s">
        <v>166</v>
      </c>
      <c r="F256" t="s">
        <v>173</v>
      </c>
      <c r="G256" t="s">
        <v>174</v>
      </c>
      <c r="H256" t="s">
        <v>167</v>
      </c>
      <c r="I256" t="s">
        <v>175</v>
      </c>
      <c r="J256" t="s">
        <v>444</v>
      </c>
      <c r="L256" t="s">
        <v>445</v>
      </c>
      <c r="M256" s="4" t="s">
        <v>416</v>
      </c>
      <c r="N256" s="4" t="s">
        <v>367</v>
      </c>
      <c r="O256">
        <v>5.3333333300000003</v>
      </c>
      <c r="T256" t="s">
        <v>178</v>
      </c>
      <c r="U256" t="s">
        <v>116</v>
      </c>
      <c r="V256" s="4" t="s">
        <v>417</v>
      </c>
      <c r="W256" s="18" t="s">
        <v>367</v>
      </c>
      <c r="Y256" s="6">
        <f t="shared" si="41"/>
        <v>0</v>
      </c>
      <c r="Z256" s="6">
        <f t="shared" si="42"/>
        <v>0</v>
      </c>
      <c r="AA256" s="6">
        <f t="shared" si="43"/>
        <v>0</v>
      </c>
      <c r="AB256" s="6">
        <f t="shared" si="38"/>
        <v>0</v>
      </c>
      <c r="AC256" t="s">
        <v>33</v>
      </c>
      <c r="AD256" s="3" t="s">
        <v>168</v>
      </c>
    </row>
    <row r="257" spans="1:39" ht="15.75" customHeight="1" x14ac:dyDescent="0.2">
      <c r="A257" s="7" t="str">
        <f t="shared" si="39"/>
        <v>SHENZHEN STRONG TECHNOLOGY CO., LTD.J581New Buy</v>
      </c>
      <c r="B257" s="7" t="str">
        <f t="shared" si="40"/>
        <v>iPadNew Buy</v>
      </c>
      <c r="C257">
        <v>407727</v>
      </c>
      <c r="D257" t="s">
        <v>76</v>
      </c>
      <c r="E257" t="s">
        <v>166</v>
      </c>
      <c r="F257" t="s">
        <v>173</v>
      </c>
      <c r="G257" t="s">
        <v>174</v>
      </c>
      <c r="H257" t="s">
        <v>167</v>
      </c>
      <c r="I257" t="s">
        <v>175</v>
      </c>
      <c r="J257" t="s">
        <v>444</v>
      </c>
      <c r="L257" t="s">
        <v>445</v>
      </c>
      <c r="M257" s="4" t="s">
        <v>416</v>
      </c>
      <c r="N257" s="4" t="s">
        <v>367</v>
      </c>
      <c r="O257">
        <v>1.3333333300000001</v>
      </c>
      <c r="T257" t="s">
        <v>178</v>
      </c>
      <c r="U257" t="s">
        <v>66</v>
      </c>
      <c r="V257" s="4" t="s">
        <v>417</v>
      </c>
      <c r="W257" s="18" t="s">
        <v>367</v>
      </c>
      <c r="Y257" s="6">
        <f t="shared" si="41"/>
        <v>0</v>
      </c>
      <c r="Z257" s="6">
        <f t="shared" si="42"/>
        <v>0</v>
      </c>
      <c r="AA257" s="6">
        <f t="shared" si="43"/>
        <v>0</v>
      </c>
      <c r="AB257" s="6">
        <f t="shared" si="38"/>
        <v>0</v>
      </c>
      <c r="AC257" t="s">
        <v>16</v>
      </c>
      <c r="AD257" s="3" t="s">
        <v>168</v>
      </c>
    </row>
    <row r="258" spans="1:39" ht="15.75" customHeight="1" x14ac:dyDescent="0.2">
      <c r="A258" s="7" t="str">
        <f t="shared" si="39"/>
        <v>SHENZHEN STRONG TECHNOLOGY CO., LTD.J581New Buy</v>
      </c>
      <c r="B258" s="7" t="str">
        <f t="shared" si="40"/>
        <v>iPadNew Buy</v>
      </c>
      <c r="C258">
        <v>407722</v>
      </c>
      <c r="D258" t="s">
        <v>76</v>
      </c>
      <c r="E258" t="s">
        <v>166</v>
      </c>
      <c r="F258" t="s">
        <v>173</v>
      </c>
      <c r="G258" t="s">
        <v>174</v>
      </c>
      <c r="H258" t="s">
        <v>167</v>
      </c>
      <c r="I258" t="s">
        <v>175</v>
      </c>
      <c r="J258" t="s">
        <v>446</v>
      </c>
      <c r="L258" t="s">
        <v>447</v>
      </c>
      <c r="M258" s="4" t="s">
        <v>416</v>
      </c>
      <c r="N258" s="4" t="s">
        <v>367</v>
      </c>
      <c r="O258">
        <v>1</v>
      </c>
      <c r="T258" t="s">
        <v>178</v>
      </c>
      <c r="U258" t="s">
        <v>116</v>
      </c>
      <c r="V258" s="4" t="s">
        <v>417</v>
      </c>
      <c r="W258" s="18" t="s">
        <v>367</v>
      </c>
      <c r="Y258" s="6">
        <f t="shared" si="41"/>
        <v>0</v>
      </c>
      <c r="Z258" s="6">
        <f t="shared" si="42"/>
        <v>0</v>
      </c>
      <c r="AA258" s="6">
        <f t="shared" si="43"/>
        <v>0</v>
      </c>
      <c r="AB258" s="6">
        <f t="shared" si="38"/>
        <v>0</v>
      </c>
      <c r="AC258" t="s">
        <v>33</v>
      </c>
      <c r="AD258" s="3" t="s">
        <v>168</v>
      </c>
    </row>
    <row r="259" spans="1:39" ht="15.75" customHeight="1" x14ac:dyDescent="0.2">
      <c r="A259" s="7" t="str">
        <f t="shared" si="39"/>
        <v>SHENZHEN STRONG TECHNOLOGY CO., LTD.J581New Buy</v>
      </c>
      <c r="B259" s="7" t="str">
        <f t="shared" si="40"/>
        <v>iPadNew Buy</v>
      </c>
      <c r="C259">
        <v>407721</v>
      </c>
      <c r="D259" t="s">
        <v>76</v>
      </c>
      <c r="E259" t="s">
        <v>166</v>
      </c>
      <c r="F259" t="s">
        <v>173</v>
      </c>
      <c r="G259" t="s">
        <v>174</v>
      </c>
      <c r="H259" t="s">
        <v>167</v>
      </c>
      <c r="I259" t="s">
        <v>175</v>
      </c>
      <c r="J259" t="s">
        <v>446</v>
      </c>
      <c r="L259" t="s">
        <v>447</v>
      </c>
      <c r="M259" s="4" t="s">
        <v>416</v>
      </c>
      <c r="N259" s="4" t="s">
        <v>367</v>
      </c>
      <c r="O259">
        <v>1.3333333300000001</v>
      </c>
      <c r="T259" t="s">
        <v>178</v>
      </c>
      <c r="U259" t="s">
        <v>66</v>
      </c>
      <c r="V259" s="4" t="s">
        <v>417</v>
      </c>
      <c r="W259" s="18" t="s">
        <v>367</v>
      </c>
      <c r="Y259" s="6">
        <f t="shared" si="41"/>
        <v>0</v>
      </c>
      <c r="Z259" s="6">
        <f t="shared" si="42"/>
        <v>0</v>
      </c>
      <c r="AA259" s="6">
        <f t="shared" si="43"/>
        <v>0</v>
      </c>
      <c r="AB259" s="6">
        <f t="shared" si="38"/>
        <v>0</v>
      </c>
      <c r="AC259" t="s">
        <v>16</v>
      </c>
      <c r="AD259" s="3" t="s">
        <v>168</v>
      </c>
    </row>
    <row r="260" spans="1:39" ht="15.75" customHeight="1" x14ac:dyDescent="0.2">
      <c r="A260" s="7" t="str">
        <f t="shared" si="39"/>
        <v>SHENZHEN STRONG TECHNOLOGY CO., LTD.J581New Buy</v>
      </c>
      <c r="B260" s="7" t="str">
        <f t="shared" si="40"/>
        <v>iPadNew Buy</v>
      </c>
      <c r="C260">
        <v>407716</v>
      </c>
      <c r="D260" t="s">
        <v>76</v>
      </c>
      <c r="E260" t="s">
        <v>166</v>
      </c>
      <c r="F260" t="s">
        <v>173</v>
      </c>
      <c r="G260" t="s">
        <v>174</v>
      </c>
      <c r="H260" t="s">
        <v>167</v>
      </c>
      <c r="I260" t="s">
        <v>175</v>
      </c>
      <c r="J260" t="s">
        <v>448</v>
      </c>
      <c r="L260" t="s">
        <v>449</v>
      </c>
      <c r="M260" s="4" t="s">
        <v>416</v>
      </c>
      <c r="N260" s="4" t="s">
        <v>367</v>
      </c>
      <c r="O260">
        <v>2.6666666700000001</v>
      </c>
      <c r="T260" t="s">
        <v>178</v>
      </c>
      <c r="U260" t="s">
        <v>116</v>
      </c>
      <c r="V260" s="4" t="s">
        <v>417</v>
      </c>
      <c r="W260" s="18" t="s">
        <v>367</v>
      </c>
      <c r="Y260" s="6">
        <f t="shared" si="41"/>
        <v>0</v>
      </c>
      <c r="Z260" s="6">
        <f t="shared" si="42"/>
        <v>0</v>
      </c>
      <c r="AA260" s="6">
        <f t="shared" si="43"/>
        <v>0</v>
      </c>
      <c r="AB260" s="6">
        <f t="shared" si="38"/>
        <v>0</v>
      </c>
      <c r="AC260" t="s">
        <v>33</v>
      </c>
      <c r="AD260" s="3" t="s">
        <v>168</v>
      </c>
    </row>
    <row r="261" spans="1:39" ht="15.75" customHeight="1" x14ac:dyDescent="0.2">
      <c r="A261" s="7" t="str">
        <f t="shared" si="39"/>
        <v>SHENZHEN STRONG TECHNOLOGY CO., LTD.J581New Buy</v>
      </c>
      <c r="B261" s="7" t="str">
        <f t="shared" si="40"/>
        <v>iPadNew Buy</v>
      </c>
      <c r="C261">
        <v>407715</v>
      </c>
      <c r="D261" t="s">
        <v>76</v>
      </c>
      <c r="E261" t="s">
        <v>166</v>
      </c>
      <c r="F261" t="s">
        <v>173</v>
      </c>
      <c r="G261" t="s">
        <v>174</v>
      </c>
      <c r="H261" t="s">
        <v>167</v>
      </c>
      <c r="I261" t="s">
        <v>175</v>
      </c>
      <c r="J261" t="s">
        <v>448</v>
      </c>
      <c r="L261" t="s">
        <v>449</v>
      </c>
      <c r="M261" s="4" t="s">
        <v>416</v>
      </c>
      <c r="N261" s="4" t="s">
        <v>367</v>
      </c>
      <c r="O261">
        <v>2.6666666700000001</v>
      </c>
      <c r="T261" t="s">
        <v>178</v>
      </c>
      <c r="U261" t="s">
        <v>66</v>
      </c>
      <c r="V261" s="4" t="s">
        <v>417</v>
      </c>
      <c r="W261" s="18" t="s">
        <v>367</v>
      </c>
      <c r="Y261" s="6">
        <f t="shared" si="41"/>
        <v>0</v>
      </c>
      <c r="Z261" s="6">
        <f t="shared" si="42"/>
        <v>0</v>
      </c>
      <c r="AA261" s="6">
        <f t="shared" si="43"/>
        <v>0</v>
      </c>
      <c r="AB261" s="6">
        <f t="shared" si="38"/>
        <v>0</v>
      </c>
      <c r="AC261" t="s">
        <v>16</v>
      </c>
      <c r="AD261" s="3" t="s">
        <v>168</v>
      </c>
    </row>
    <row r="262" spans="1:39" ht="15.75" customHeight="1" x14ac:dyDescent="0.2">
      <c r="A262" s="7" t="str">
        <f t="shared" si="39"/>
        <v>SHENZHEN STRONG TECHNOLOGY CO., LTD.J581Retrofit</v>
      </c>
      <c r="B262" s="7" t="str">
        <f t="shared" si="40"/>
        <v>iPadNew Buy</v>
      </c>
      <c r="C262">
        <v>407710</v>
      </c>
      <c r="D262" t="s">
        <v>76</v>
      </c>
      <c r="E262" t="s">
        <v>166</v>
      </c>
      <c r="F262" t="s">
        <v>173</v>
      </c>
      <c r="G262" t="s">
        <v>174</v>
      </c>
      <c r="H262" t="s">
        <v>170</v>
      </c>
      <c r="I262" t="s">
        <v>175</v>
      </c>
      <c r="J262" t="s">
        <v>450</v>
      </c>
      <c r="L262" t="s">
        <v>451</v>
      </c>
      <c r="M262" s="4" t="s">
        <v>416</v>
      </c>
      <c r="N262" s="4" t="s">
        <v>367</v>
      </c>
      <c r="O262">
        <v>7</v>
      </c>
      <c r="T262" t="s">
        <v>178</v>
      </c>
      <c r="U262" t="s">
        <v>116</v>
      </c>
      <c r="V262" s="4" t="s">
        <v>417</v>
      </c>
      <c r="W262" s="18" t="s">
        <v>367</v>
      </c>
      <c r="Y262" s="6">
        <f t="shared" si="41"/>
        <v>0</v>
      </c>
      <c r="Z262" s="6">
        <f t="shared" si="42"/>
        <v>0</v>
      </c>
      <c r="AA262" s="6">
        <f t="shared" si="43"/>
        <v>0</v>
      </c>
      <c r="AB262" s="6">
        <f t="shared" si="38"/>
        <v>0</v>
      </c>
      <c r="AC262" t="s">
        <v>33</v>
      </c>
      <c r="AD262" s="3" t="s">
        <v>171</v>
      </c>
    </row>
    <row r="263" spans="1:39" ht="15.75" customHeight="1" x14ac:dyDescent="0.2">
      <c r="A263" s="7" t="str">
        <f t="shared" si="39"/>
        <v>SHENZHEN STRONG TECHNOLOGY CO., LTD.J581Retrofit</v>
      </c>
      <c r="B263" s="7" t="str">
        <f t="shared" si="40"/>
        <v>iPadNew Buy</v>
      </c>
      <c r="C263">
        <v>407709</v>
      </c>
      <c r="D263" t="s">
        <v>76</v>
      </c>
      <c r="E263" t="s">
        <v>166</v>
      </c>
      <c r="F263" t="s">
        <v>173</v>
      </c>
      <c r="G263" t="s">
        <v>174</v>
      </c>
      <c r="H263" t="s">
        <v>170</v>
      </c>
      <c r="I263" t="s">
        <v>131</v>
      </c>
      <c r="J263" t="s">
        <v>450</v>
      </c>
      <c r="L263" t="s">
        <v>452</v>
      </c>
      <c r="M263" s="4" t="s">
        <v>416</v>
      </c>
      <c r="N263" s="4" t="s">
        <v>367</v>
      </c>
      <c r="O263">
        <v>4</v>
      </c>
      <c r="T263" t="s">
        <v>178</v>
      </c>
      <c r="U263" t="s">
        <v>66</v>
      </c>
      <c r="V263" s="4" t="s">
        <v>417</v>
      </c>
      <c r="W263" s="18" t="s">
        <v>367</v>
      </c>
      <c r="Y263" s="6">
        <f t="shared" si="41"/>
        <v>0</v>
      </c>
      <c r="Z263" s="6">
        <f t="shared" si="42"/>
        <v>0</v>
      </c>
      <c r="AA263" s="6">
        <f t="shared" si="43"/>
        <v>0</v>
      </c>
      <c r="AB263" s="6">
        <f t="shared" si="38"/>
        <v>0</v>
      </c>
      <c r="AC263" t="s">
        <v>16</v>
      </c>
      <c r="AD263" s="3" t="s">
        <v>171</v>
      </c>
    </row>
    <row r="264" spans="1:39" ht="15.75" customHeight="1" x14ac:dyDescent="0.2">
      <c r="A264" s="7" t="str">
        <f t="shared" si="39"/>
        <v>SHENZHEN STRONG TECHNOLOGY CO., LTD.J581Retrofit</v>
      </c>
      <c r="B264" s="7" t="str">
        <f t="shared" si="40"/>
        <v>iPadNew Buy</v>
      </c>
      <c r="C264">
        <v>407664</v>
      </c>
      <c r="D264" t="s">
        <v>76</v>
      </c>
      <c r="E264" t="s">
        <v>166</v>
      </c>
      <c r="F264" t="s">
        <v>173</v>
      </c>
      <c r="G264" t="s">
        <v>174</v>
      </c>
      <c r="H264" t="s">
        <v>170</v>
      </c>
      <c r="I264" t="s">
        <v>131</v>
      </c>
      <c r="J264" t="s">
        <v>453</v>
      </c>
      <c r="L264" t="s">
        <v>454</v>
      </c>
      <c r="M264" s="25">
        <v>27</v>
      </c>
      <c r="N264" s="4">
        <v>20.52</v>
      </c>
      <c r="O264">
        <v>1614</v>
      </c>
      <c r="T264" t="s">
        <v>178</v>
      </c>
      <c r="U264" t="s">
        <v>104</v>
      </c>
      <c r="V264" s="25">
        <v>20.52</v>
      </c>
      <c r="W264" s="18" t="s">
        <v>367</v>
      </c>
      <c r="Y264" s="6">
        <f t="shared" si="41"/>
        <v>43578</v>
      </c>
      <c r="Z264" s="6">
        <f t="shared" si="42"/>
        <v>33119.279999999999</v>
      </c>
      <c r="AA264" s="6">
        <f t="shared" si="43"/>
        <v>33119.279999999999</v>
      </c>
      <c r="AB264" s="6">
        <f t="shared" si="38"/>
        <v>10458.720000000001</v>
      </c>
      <c r="AC264" t="s">
        <v>16</v>
      </c>
      <c r="AD264" s="3" t="s">
        <v>171</v>
      </c>
    </row>
    <row r="265" spans="1:39" ht="15.75" customHeight="1" x14ac:dyDescent="0.2">
      <c r="A265" s="7" t="str">
        <f t="shared" si="39"/>
        <v>SHENZHEN STRONG TECHNOLOGY CO., LTD.J581New Buy</v>
      </c>
      <c r="B265" s="7" t="str">
        <f t="shared" si="40"/>
        <v>iPadNew Buy</v>
      </c>
      <c r="C265">
        <v>407657</v>
      </c>
      <c r="D265" t="s">
        <v>76</v>
      </c>
      <c r="E265" t="s">
        <v>166</v>
      </c>
      <c r="F265" t="s">
        <v>173</v>
      </c>
      <c r="G265" t="s">
        <v>174</v>
      </c>
      <c r="H265" t="s">
        <v>167</v>
      </c>
      <c r="I265" t="s">
        <v>131</v>
      </c>
      <c r="J265" t="s">
        <v>455</v>
      </c>
      <c r="L265" t="s">
        <v>456</v>
      </c>
      <c r="M265" s="25">
        <v>195</v>
      </c>
      <c r="N265" s="4">
        <v>132</v>
      </c>
      <c r="O265">
        <v>2</v>
      </c>
      <c r="T265" t="s">
        <v>178</v>
      </c>
      <c r="U265" t="s">
        <v>116</v>
      </c>
      <c r="V265" s="25">
        <v>98.04</v>
      </c>
      <c r="W265" s="18">
        <v>125</v>
      </c>
      <c r="Y265" s="6">
        <f t="shared" si="41"/>
        <v>390</v>
      </c>
      <c r="Z265" s="6">
        <f t="shared" si="42"/>
        <v>196.08</v>
      </c>
      <c r="AA265" s="6">
        <f t="shared" si="43"/>
        <v>264</v>
      </c>
      <c r="AB265" s="6">
        <f t="shared" si="38"/>
        <v>126</v>
      </c>
      <c r="AC265" t="s">
        <v>33</v>
      </c>
      <c r="AD265" s="3" t="s">
        <v>168</v>
      </c>
      <c r="AM265" s="1">
        <f t="shared" si="44"/>
        <v>0</v>
      </c>
    </row>
    <row r="266" spans="1:39" ht="15.75" customHeight="1" x14ac:dyDescent="0.2">
      <c r="A266" s="7" t="str">
        <f t="shared" si="39"/>
        <v>SHENZHEN STRONG TECHNOLOGY CO., LTD.J581New Buy</v>
      </c>
      <c r="B266" s="7" t="str">
        <f t="shared" si="40"/>
        <v>iPadNew Buy</v>
      </c>
      <c r="C266">
        <v>407656</v>
      </c>
      <c r="D266" t="s">
        <v>76</v>
      </c>
      <c r="E266" t="s">
        <v>166</v>
      </c>
      <c r="F266" t="s">
        <v>173</v>
      </c>
      <c r="G266" t="s">
        <v>174</v>
      </c>
      <c r="H266" t="s">
        <v>167</v>
      </c>
      <c r="I266" t="s">
        <v>175</v>
      </c>
      <c r="J266" t="s">
        <v>455</v>
      </c>
      <c r="L266" t="s">
        <v>457</v>
      </c>
      <c r="M266" s="25">
        <v>132</v>
      </c>
      <c r="N266" s="4">
        <v>132</v>
      </c>
      <c r="O266">
        <v>2</v>
      </c>
      <c r="T266" t="s">
        <v>178</v>
      </c>
      <c r="U266" t="s">
        <v>104</v>
      </c>
      <c r="V266" s="25">
        <v>98.04</v>
      </c>
      <c r="W266" s="18">
        <v>125</v>
      </c>
      <c r="Y266" s="6">
        <f t="shared" si="41"/>
        <v>264</v>
      </c>
      <c r="Z266" s="6">
        <f t="shared" si="42"/>
        <v>196.08</v>
      </c>
      <c r="AA266" s="6">
        <f t="shared" si="43"/>
        <v>264</v>
      </c>
      <c r="AB266" s="6">
        <f t="shared" si="38"/>
        <v>0</v>
      </c>
      <c r="AC266" t="s">
        <v>16</v>
      </c>
      <c r="AD266" s="3" t="s">
        <v>168</v>
      </c>
      <c r="AM266" s="1">
        <f t="shared" si="44"/>
        <v>0</v>
      </c>
    </row>
    <row r="267" spans="1:39" ht="15.75" customHeight="1" x14ac:dyDescent="0.2">
      <c r="A267" s="7" t="str">
        <f t="shared" si="39"/>
        <v>SHENZHEN STRONG TECHNOLOGY CO., LTD.J581New Buy</v>
      </c>
      <c r="B267" s="7" t="str">
        <f t="shared" si="40"/>
        <v>iPadNew Buy</v>
      </c>
      <c r="C267">
        <v>407655</v>
      </c>
      <c r="D267" t="s">
        <v>76</v>
      </c>
      <c r="E267" t="s">
        <v>166</v>
      </c>
      <c r="F267" t="s">
        <v>173</v>
      </c>
      <c r="G267" t="s">
        <v>174</v>
      </c>
      <c r="H267" t="s">
        <v>167</v>
      </c>
      <c r="I267" t="s">
        <v>175</v>
      </c>
      <c r="J267" t="s">
        <v>455</v>
      </c>
      <c r="L267" t="s">
        <v>457</v>
      </c>
      <c r="M267" s="25">
        <v>132</v>
      </c>
      <c r="N267" s="4">
        <v>132</v>
      </c>
      <c r="O267">
        <v>2</v>
      </c>
      <c r="T267" t="s">
        <v>178</v>
      </c>
      <c r="U267" t="s">
        <v>66</v>
      </c>
      <c r="V267" s="25">
        <v>98.04</v>
      </c>
      <c r="W267" s="18">
        <v>125</v>
      </c>
      <c r="Y267" s="6">
        <f t="shared" si="41"/>
        <v>264</v>
      </c>
      <c r="Z267" s="6">
        <f t="shared" si="42"/>
        <v>196.08</v>
      </c>
      <c r="AA267" s="6">
        <f t="shared" si="43"/>
        <v>264</v>
      </c>
      <c r="AB267" s="6">
        <f t="shared" si="38"/>
        <v>0</v>
      </c>
      <c r="AC267" t="s">
        <v>16</v>
      </c>
      <c r="AD267" s="3" t="s">
        <v>168</v>
      </c>
      <c r="AM267" s="1">
        <f t="shared" si="44"/>
        <v>0</v>
      </c>
    </row>
    <row r="268" spans="1:39" ht="15.75" customHeight="1" x14ac:dyDescent="0.2">
      <c r="A268" s="7" t="str">
        <f t="shared" si="39"/>
        <v>SHENZHEN STRONG TECHNOLOGY CO., LTD.J581New Buy</v>
      </c>
      <c r="B268" s="7" t="str">
        <f t="shared" si="40"/>
        <v>iPadNew Buy</v>
      </c>
      <c r="C268">
        <v>407648</v>
      </c>
      <c r="D268" t="s">
        <v>76</v>
      </c>
      <c r="E268" t="s">
        <v>166</v>
      </c>
      <c r="F268" t="s">
        <v>173</v>
      </c>
      <c r="G268" t="s">
        <v>174</v>
      </c>
      <c r="H268" t="s">
        <v>167</v>
      </c>
      <c r="I268" t="s">
        <v>175</v>
      </c>
      <c r="J268" t="s">
        <v>458</v>
      </c>
      <c r="L268" t="s">
        <v>459</v>
      </c>
      <c r="M268" s="25">
        <v>195</v>
      </c>
      <c r="N268" s="4">
        <v>128</v>
      </c>
      <c r="O268">
        <v>2</v>
      </c>
      <c r="T268" t="s">
        <v>178</v>
      </c>
      <c r="U268" t="s">
        <v>116</v>
      </c>
      <c r="V268" s="25">
        <v>98.04</v>
      </c>
      <c r="W268" s="18">
        <v>125</v>
      </c>
      <c r="Y268" s="6">
        <f t="shared" si="41"/>
        <v>390</v>
      </c>
      <c r="Z268" s="6">
        <f t="shared" si="42"/>
        <v>196.08</v>
      </c>
      <c r="AA268" s="6">
        <f t="shared" si="43"/>
        <v>256</v>
      </c>
      <c r="AB268" s="6">
        <f t="shared" si="38"/>
        <v>134</v>
      </c>
      <c r="AC268" t="s">
        <v>33</v>
      </c>
      <c r="AD268" s="3" t="s">
        <v>168</v>
      </c>
      <c r="AM268" s="1">
        <f t="shared" si="44"/>
        <v>0</v>
      </c>
    </row>
    <row r="269" spans="1:39" ht="15.75" customHeight="1" x14ac:dyDescent="0.2">
      <c r="A269" s="7" t="str">
        <f t="shared" si="39"/>
        <v>SHENZHEN STRONG TECHNOLOGY CO., LTD.J581New Buy</v>
      </c>
      <c r="B269" s="7" t="str">
        <f t="shared" si="40"/>
        <v>iPadNew Buy</v>
      </c>
      <c r="C269">
        <v>407647</v>
      </c>
      <c r="D269" t="s">
        <v>76</v>
      </c>
      <c r="E269" t="s">
        <v>166</v>
      </c>
      <c r="F269" t="s">
        <v>173</v>
      </c>
      <c r="G269" t="s">
        <v>174</v>
      </c>
      <c r="H269" t="s">
        <v>167</v>
      </c>
      <c r="I269" t="s">
        <v>175</v>
      </c>
      <c r="J269" t="s">
        <v>458</v>
      </c>
      <c r="L269" t="s">
        <v>460</v>
      </c>
      <c r="M269" s="25">
        <v>129</v>
      </c>
      <c r="N269" s="4">
        <v>128</v>
      </c>
      <c r="O269">
        <v>4</v>
      </c>
      <c r="T269" t="s">
        <v>178</v>
      </c>
      <c r="U269" t="s">
        <v>104</v>
      </c>
      <c r="V269" s="25">
        <v>98.04</v>
      </c>
      <c r="W269" s="18">
        <v>125</v>
      </c>
      <c r="Y269" s="6">
        <f t="shared" si="41"/>
        <v>516</v>
      </c>
      <c r="Z269" s="6">
        <f t="shared" si="42"/>
        <v>392.16</v>
      </c>
      <c r="AA269" s="6">
        <f t="shared" si="43"/>
        <v>512</v>
      </c>
      <c r="AB269" s="6">
        <f t="shared" si="38"/>
        <v>4</v>
      </c>
      <c r="AC269" t="s">
        <v>16</v>
      </c>
      <c r="AD269" s="3" t="s">
        <v>168</v>
      </c>
      <c r="AM269" s="1">
        <f t="shared" si="44"/>
        <v>0</v>
      </c>
    </row>
    <row r="270" spans="1:39" ht="15.75" customHeight="1" x14ac:dyDescent="0.2">
      <c r="A270" s="7" t="str">
        <f t="shared" si="39"/>
        <v>SHENZHEN STRONG TECHNOLOGY CO., LTD.J581New Buy</v>
      </c>
      <c r="B270" s="7" t="str">
        <f t="shared" si="40"/>
        <v>iPadNew Buy</v>
      </c>
      <c r="C270">
        <v>407646</v>
      </c>
      <c r="D270" t="s">
        <v>76</v>
      </c>
      <c r="E270" t="s">
        <v>166</v>
      </c>
      <c r="F270" t="s">
        <v>173</v>
      </c>
      <c r="G270" t="s">
        <v>174</v>
      </c>
      <c r="H270" t="s">
        <v>167</v>
      </c>
      <c r="I270" t="s">
        <v>175</v>
      </c>
      <c r="J270" t="s">
        <v>458</v>
      </c>
      <c r="L270" t="s">
        <v>460</v>
      </c>
      <c r="M270" s="25">
        <v>129</v>
      </c>
      <c r="N270" s="4">
        <v>128</v>
      </c>
      <c r="O270">
        <v>2</v>
      </c>
      <c r="T270" t="s">
        <v>178</v>
      </c>
      <c r="U270" t="s">
        <v>66</v>
      </c>
      <c r="V270" s="25">
        <v>98.04</v>
      </c>
      <c r="W270" s="18">
        <v>125</v>
      </c>
      <c r="Y270" s="6">
        <f t="shared" si="41"/>
        <v>258</v>
      </c>
      <c r="Z270" s="6">
        <f t="shared" si="42"/>
        <v>196.08</v>
      </c>
      <c r="AA270" s="6">
        <f t="shared" si="43"/>
        <v>256</v>
      </c>
      <c r="AB270" s="6">
        <f t="shared" si="38"/>
        <v>2</v>
      </c>
      <c r="AC270" t="s">
        <v>16</v>
      </c>
      <c r="AD270" s="3" t="s">
        <v>168</v>
      </c>
      <c r="AM270" s="1">
        <f t="shared" si="44"/>
        <v>0</v>
      </c>
    </row>
    <row r="271" spans="1:39" ht="15.75" customHeight="1" x14ac:dyDescent="0.2">
      <c r="A271" s="7" t="str">
        <f t="shared" si="39"/>
        <v>SHENZHEN STRONG TECHNOLOGY CO., LTD.J581New Buy</v>
      </c>
      <c r="B271" s="7" t="str">
        <f t="shared" si="40"/>
        <v>iPadNew Buy</v>
      </c>
      <c r="C271">
        <v>407642</v>
      </c>
      <c r="D271" t="s">
        <v>76</v>
      </c>
      <c r="E271" t="s">
        <v>166</v>
      </c>
      <c r="F271" t="s">
        <v>173</v>
      </c>
      <c r="G271" t="s">
        <v>174</v>
      </c>
      <c r="H271" t="s">
        <v>167</v>
      </c>
      <c r="I271" t="s">
        <v>175</v>
      </c>
      <c r="J271" t="s">
        <v>461</v>
      </c>
      <c r="L271" t="s">
        <v>462</v>
      </c>
      <c r="M271" s="25">
        <v>266</v>
      </c>
      <c r="N271" s="4">
        <v>157.11000000000001</v>
      </c>
      <c r="O271">
        <v>2</v>
      </c>
      <c r="T271" t="s">
        <v>178</v>
      </c>
      <c r="U271" t="s">
        <v>116</v>
      </c>
      <c r="V271" s="25">
        <v>134.52000000000001</v>
      </c>
      <c r="W271" s="18">
        <v>195</v>
      </c>
      <c r="Y271" s="6">
        <f t="shared" si="41"/>
        <v>532</v>
      </c>
      <c r="Z271" s="6">
        <f t="shared" si="42"/>
        <v>269.04000000000002</v>
      </c>
      <c r="AA271" s="6">
        <f t="shared" si="43"/>
        <v>314.22000000000003</v>
      </c>
      <c r="AB271" s="6">
        <f t="shared" si="38"/>
        <v>217.77999999999997</v>
      </c>
      <c r="AC271" t="s">
        <v>33</v>
      </c>
      <c r="AD271" s="3" t="s">
        <v>168</v>
      </c>
      <c r="AM271" s="1">
        <f t="shared" si="44"/>
        <v>75.779999999999973</v>
      </c>
    </row>
    <row r="272" spans="1:39" ht="15.75" customHeight="1" x14ac:dyDescent="0.2">
      <c r="A272" s="7" t="str">
        <f t="shared" si="39"/>
        <v>SHENZHEN STRONG TECHNOLOGY CO., LTD.J581New Buy</v>
      </c>
      <c r="B272" s="7" t="str">
        <f t="shared" si="40"/>
        <v>iPadNew Buy</v>
      </c>
      <c r="C272">
        <v>407641</v>
      </c>
      <c r="D272" t="s">
        <v>76</v>
      </c>
      <c r="E272" t="s">
        <v>166</v>
      </c>
      <c r="F272" t="s">
        <v>173</v>
      </c>
      <c r="G272" t="s">
        <v>174</v>
      </c>
      <c r="H272" t="s">
        <v>167</v>
      </c>
      <c r="I272" t="s">
        <v>175</v>
      </c>
      <c r="J272" t="s">
        <v>461</v>
      </c>
      <c r="L272" t="s">
        <v>463</v>
      </c>
      <c r="M272" s="25">
        <v>177</v>
      </c>
      <c r="N272" s="4">
        <v>157.11000000000001</v>
      </c>
      <c r="O272">
        <v>2</v>
      </c>
      <c r="T272" t="s">
        <v>178</v>
      </c>
      <c r="U272" t="s">
        <v>104</v>
      </c>
      <c r="V272" s="25">
        <v>134.52000000000001</v>
      </c>
      <c r="W272" s="18">
        <v>195</v>
      </c>
      <c r="Y272" s="6">
        <f t="shared" si="41"/>
        <v>354</v>
      </c>
      <c r="Z272" s="6">
        <f t="shared" si="42"/>
        <v>269.04000000000002</v>
      </c>
      <c r="AA272" s="6">
        <f t="shared" si="43"/>
        <v>314.22000000000003</v>
      </c>
      <c r="AB272" s="6">
        <f t="shared" si="38"/>
        <v>39.779999999999973</v>
      </c>
      <c r="AC272" t="s">
        <v>16</v>
      </c>
      <c r="AD272" s="3" t="s">
        <v>168</v>
      </c>
      <c r="AM272" s="1">
        <f t="shared" si="44"/>
        <v>75.779999999999973</v>
      </c>
    </row>
    <row r="273" spans="1:39" ht="15.75" customHeight="1" x14ac:dyDescent="0.2">
      <c r="A273" s="7" t="str">
        <f t="shared" si="39"/>
        <v>SHENZHEN STRONG TECHNOLOGY CO., LTD.J581New Buy</v>
      </c>
      <c r="B273" s="7" t="str">
        <f t="shared" si="40"/>
        <v>iPadNew Buy</v>
      </c>
      <c r="C273">
        <v>407640</v>
      </c>
      <c r="D273" t="s">
        <v>76</v>
      </c>
      <c r="E273" t="s">
        <v>166</v>
      </c>
      <c r="F273" t="s">
        <v>173</v>
      </c>
      <c r="G273" t="s">
        <v>174</v>
      </c>
      <c r="H273" t="s">
        <v>167</v>
      </c>
      <c r="I273" t="s">
        <v>175</v>
      </c>
      <c r="J273" t="s">
        <v>461</v>
      </c>
      <c r="L273" t="s">
        <v>463</v>
      </c>
      <c r="M273" s="25">
        <v>177</v>
      </c>
      <c r="N273" s="4">
        <v>157.11000000000001</v>
      </c>
      <c r="O273">
        <v>1</v>
      </c>
      <c r="T273" t="s">
        <v>178</v>
      </c>
      <c r="U273" t="s">
        <v>66</v>
      </c>
      <c r="V273" s="25">
        <v>134.52000000000001</v>
      </c>
      <c r="W273" s="18">
        <v>195</v>
      </c>
      <c r="Y273" s="6">
        <f t="shared" si="41"/>
        <v>177</v>
      </c>
      <c r="Z273" s="6">
        <f t="shared" si="42"/>
        <v>134.52000000000001</v>
      </c>
      <c r="AA273" s="6">
        <f t="shared" si="43"/>
        <v>157.11000000000001</v>
      </c>
      <c r="AB273" s="6">
        <f t="shared" si="38"/>
        <v>19.889999999999986</v>
      </c>
      <c r="AC273" t="s">
        <v>16</v>
      </c>
      <c r="AD273" s="3" t="s">
        <v>168</v>
      </c>
      <c r="AM273" s="1">
        <f t="shared" si="44"/>
        <v>37.889999999999986</v>
      </c>
    </row>
    <row r="274" spans="1:39" ht="15.75" customHeight="1" x14ac:dyDescent="0.2">
      <c r="A274" s="7" t="str">
        <f t="shared" si="39"/>
        <v>SHENZHEN STRONG TECHNOLOGY CO., LTD.J581New Buy</v>
      </c>
      <c r="B274" s="7" t="str">
        <f t="shared" si="40"/>
        <v>iPadNew Buy</v>
      </c>
      <c r="C274">
        <v>407639</v>
      </c>
      <c r="D274" t="s">
        <v>76</v>
      </c>
      <c r="E274" t="s">
        <v>166</v>
      </c>
      <c r="F274" t="s">
        <v>173</v>
      </c>
      <c r="G274" t="s">
        <v>174</v>
      </c>
      <c r="H274" t="s">
        <v>167</v>
      </c>
      <c r="I274" t="s">
        <v>175</v>
      </c>
      <c r="J274" t="s">
        <v>464</v>
      </c>
      <c r="L274" t="s">
        <v>465</v>
      </c>
      <c r="M274" s="25">
        <v>266</v>
      </c>
      <c r="N274" s="4">
        <v>148.63999999999999</v>
      </c>
      <c r="O274">
        <v>1</v>
      </c>
      <c r="T274" t="s">
        <v>178</v>
      </c>
      <c r="U274" t="s">
        <v>116</v>
      </c>
      <c r="V274" s="25">
        <v>134.52000000000001</v>
      </c>
      <c r="W274" s="18">
        <v>240</v>
      </c>
      <c r="Y274" s="6">
        <f t="shared" si="41"/>
        <v>266</v>
      </c>
      <c r="Z274" s="6">
        <f t="shared" si="42"/>
        <v>134.52000000000001</v>
      </c>
      <c r="AA274" s="6">
        <f t="shared" si="43"/>
        <v>148.63999999999999</v>
      </c>
      <c r="AB274" s="6">
        <f t="shared" si="38"/>
        <v>117.36000000000001</v>
      </c>
      <c r="AC274" t="s">
        <v>33</v>
      </c>
      <c r="AD274" s="3" t="s">
        <v>168</v>
      </c>
      <c r="AM274" s="1">
        <f t="shared" si="44"/>
        <v>91.360000000000014</v>
      </c>
    </row>
    <row r="275" spans="1:39" ht="15.75" customHeight="1" x14ac:dyDescent="0.2">
      <c r="A275" s="7" t="str">
        <f t="shared" si="39"/>
        <v>SHENZHEN STRONG TECHNOLOGY CO., LTD.J581New Buy</v>
      </c>
      <c r="B275" s="7" t="str">
        <f t="shared" si="40"/>
        <v>iPadNew Buy</v>
      </c>
      <c r="C275">
        <v>407638</v>
      </c>
      <c r="D275" t="s">
        <v>76</v>
      </c>
      <c r="E275" t="s">
        <v>166</v>
      </c>
      <c r="F275" t="s">
        <v>173</v>
      </c>
      <c r="G275" t="s">
        <v>174</v>
      </c>
      <c r="H275" t="s">
        <v>167</v>
      </c>
      <c r="I275" t="s">
        <v>175</v>
      </c>
      <c r="J275" t="s">
        <v>464</v>
      </c>
      <c r="L275" t="s">
        <v>466</v>
      </c>
      <c r="M275" s="25">
        <v>177</v>
      </c>
      <c r="N275" s="4">
        <v>148.63999999999999</v>
      </c>
      <c r="O275">
        <v>2</v>
      </c>
      <c r="T275" t="s">
        <v>178</v>
      </c>
      <c r="U275" t="s">
        <v>104</v>
      </c>
      <c r="V275" s="25">
        <v>134.52000000000001</v>
      </c>
      <c r="W275" s="18">
        <v>240</v>
      </c>
      <c r="Y275" s="6">
        <f t="shared" si="41"/>
        <v>354</v>
      </c>
      <c r="Z275" s="6">
        <f t="shared" si="42"/>
        <v>269.04000000000002</v>
      </c>
      <c r="AA275" s="6">
        <f t="shared" si="43"/>
        <v>297.27999999999997</v>
      </c>
      <c r="AB275" s="6">
        <f t="shared" ref="AB275:AB338" si="45">IF(AA275=0,0,Y275-AA275)</f>
        <v>56.720000000000027</v>
      </c>
      <c r="AC275" t="s">
        <v>16</v>
      </c>
      <c r="AD275" s="3" t="s">
        <v>168</v>
      </c>
      <c r="AM275" s="1">
        <f t="shared" si="44"/>
        <v>182.72000000000003</v>
      </c>
    </row>
    <row r="276" spans="1:39" ht="15.75" customHeight="1" x14ac:dyDescent="0.2">
      <c r="A276" s="7" t="str">
        <f t="shared" si="39"/>
        <v>SHENZHEN STRONG TECHNOLOGY CO., LTD.J581New Buy</v>
      </c>
      <c r="B276" s="7" t="str">
        <f t="shared" si="40"/>
        <v>iPadNew Buy</v>
      </c>
      <c r="C276">
        <v>407637</v>
      </c>
      <c r="D276" t="s">
        <v>76</v>
      </c>
      <c r="E276" t="s">
        <v>166</v>
      </c>
      <c r="F276" t="s">
        <v>173</v>
      </c>
      <c r="G276" t="s">
        <v>174</v>
      </c>
      <c r="H276" t="s">
        <v>167</v>
      </c>
      <c r="I276" t="s">
        <v>175</v>
      </c>
      <c r="J276" t="s">
        <v>464</v>
      </c>
      <c r="L276" t="s">
        <v>466</v>
      </c>
      <c r="M276" s="25">
        <v>177</v>
      </c>
      <c r="N276" s="4">
        <v>148.63999999999999</v>
      </c>
      <c r="O276">
        <v>1</v>
      </c>
      <c r="T276" t="s">
        <v>178</v>
      </c>
      <c r="U276" t="s">
        <v>66</v>
      </c>
      <c r="V276" s="25">
        <v>134.52000000000001</v>
      </c>
      <c r="W276" s="18">
        <v>240</v>
      </c>
      <c r="Y276" s="6">
        <f t="shared" si="41"/>
        <v>177</v>
      </c>
      <c r="Z276" s="6">
        <f t="shared" si="42"/>
        <v>134.52000000000001</v>
      </c>
      <c r="AA276" s="6">
        <f t="shared" si="43"/>
        <v>148.63999999999999</v>
      </c>
      <c r="AB276" s="6">
        <f t="shared" si="45"/>
        <v>28.360000000000014</v>
      </c>
      <c r="AC276" t="s">
        <v>16</v>
      </c>
      <c r="AD276" s="3" t="s">
        <v>168</v>
      </c>
      <c r="AM276" s="1">
        <f t="shared" si="44"/>
        <v>91.360000000000014</v>
      </c>
    </row>
    <row r="277" spans="1:39" ht="15.75" customHeight="1" x14ac:dyDescent="0.2">
      <c r="A277" s="7" t="str">
        <f t="shared" si="39"/>
        <v>SHENZHEN STRONG TECHNOLOGY CO., LTD.J581New Buy</v>
      </c>
      <c r="B277" s="7" t="str">
        <f t="shared" si="40"/>
        <v>iPadNew Buy</v>
      </c>
      <c r="C277">
        <v>407633</v>
      </c>
      <c r="D277" t="s">
        <v>76</v>
      </c>
      <c r="E277" t="s">
        <v>166</v>
      </c>
      <c r="F277" t="s">
        <v>173</v>
      </c>
      <c r="G277" t="s">
        <v>174</v>
      </c>
      <c r="H277" t="s">
        <v>167</v>
      </c>
      <c r="I277" t="s">
        <v>175</v>
      </c>
      <c r="J277" t="s">
        <v>467</v>
      </c>
      <c r="L277" t="s">
        <v>468</v>
      </c>
      <c r="M277" s="25">
        <v>123</v>
      </c>
      <c r="N277" s="4">
        <v>70.88</v>
      </c>
      <c r="O277">
        <v>1</v>
      </c>
      <c r="T277" t="s">
        <v>178</v>
      </c>
      <c r="U277" t="s">
        <v>116</v>
      </c>
      <c r="V277" s="25">
        <v>62.32</v>
      </c>
      <c r="W277" s="18" t="s">
        <v>367</v>
      </c>
      <c r="Y277" s="6">
        <f t="shared" si="41"/>
        <v>123</v>
      </c>
      <c r="Z277" s="6">
        <f t="shared" si="42"/>
        <v>62.32</v>
      </c>
      <c r="AA277" s="6">
        <f t="shared" si="43"/>
        <v>70.88</v>
      </c>
      <c r="AB277" s="6">
        <f t="shared" si="45"/>
        <v>52.120000000000005</v>
      </c>
      <c r="AC277" t="s">
        <v>33</v>
      </c>
      <c r="AD277" s="3" t="s">
        <v>168</v>
      </c>
    </row>
    <row r="278" spans="1:39" ht="15.75" customHeight="1" x14ac:dyDescent="0.2">
      <c r="A278" s="7" t="str">
        <f t="shared" si="39"/>
        <v>SHENZHEN STRONG TECHNOLOGY CO., LTD.J581New Buy</v>
      </c>
      <c r="B278" s="7" t="str">
        <f t="shared" si="40"/>
        <v>iPadNew Buy</v>
      </c>
      <c r="C278">
        <v>407632</v>
      </c>
      <c r="D278" t="s">
        <v>76</v>
      </c>
      <c r="E278" t="s">
        <v>166</v>
      </c>
      <c r="F278" t="s">
        <v>173</v>
      </c>
      <c r="G278" t="s">
        <v>174</v>
      </c>
      <c r="H278" t="s">
        <v>167</v>
      </c>
      <c r="I278" t="s">
        <v>175</v>
      </c>
      <c r="J278" t="s">
        <v>467</v>
      </c>
      <c r="L278" t="s">
        <v>469</v>
      </c>
      <c r="M278" s="25">
        <v>82</v>
      </c>
      <c r="N278" s="4">
        <v>70.88</v>
      </c>
      <c r="O278">
        <v>1</v>
      </c>
      <c r="T278" t="s">
        <v>178</v>
      </c>
      <c r="U278" t="s">
        <v>104</v>
      </c>
      <c r="V278" s="25">
        <v>62.32</v>
      </c>
      <c r="W278" s="18" t="s">
        <v>367</v>
      </c>
      <c r="Y278" s="6">
        <f t="shared" si="41"/>
        <v>82</v>
      </c>
      <c r="Z278" s="6">
        <f t="shared" si="42"/>
        <v>62.32</v>
      </c>
      <c r="AA278" s="6">
        <f t="shared" si="43"/>
        <v>70.88</v>
      </c>
      <c r="AB278" s="6">
        <f t="shared" si="45"/>
        <v>11.120000000000005</v>
      </c>
      <c r="AC278" t="s">
        <v>16</v>
      </c>
      <c r="AD278" s="3" t="s">
        <v>168</v>
      </c>
    </row>
    <row r="279" spans="1:39" ht="15.75" customHeight="1" x14ac:dyDescent="0.2">
      <c r="A279" s="7" t="str">
        <f t="shared" si="39"/>
        <v>SHENZHEN STRONG TECHNOLOGY CO., LTD.J581New Buy</v>
      </c>
      <c r="B279" s="7" t="str">
        <f t="shared" si="40"/>
        <v>iPadNew Buy</v>
      </c>
      <c r="C279">
        <v>407631</v>
      </c>
      <c r="D279" t="s">
        <v>76</v>
      </c>
      <c r="E279" t="s">
        <v>166</v>
      </c>
      <c r="F279" t="s">
        <v>173</v>
      </c>
      <c r="G279" t="s">
        <v>174</v>
      </c>
      <c r="H279" t="s">
        <v>167</v>
      </c>
      <c r="I279" t="s">
        <v>175</v>
      </c>
      <c r="J279" t="s">
        <v>467</v>
      </c>
      <c r="L279" t="s">
        <v>469</v>
      </c>
      <c r="M279" s="25">
        <v>82</v>
      </c>
      <c r="N279" s="4">
        <v>70.88</v>
      </c>
      <c r="O279">
        <v>1</v>
      </c>
      <c r="T279" t="s">
        <v>178</v>
      </c>
      <c r="U279" t="s">
        <v>66</v>
      </c>
      <c r="V279" s="25">
        <v>62.32</v>
      </c>
      <c r="W279" s="18" t="s">
        <v>367</v>
      </c>
      <c r="Y279" s="6">
        <f t="shared" si="41"/>
        <v>82</v>
      </c>
      <c r="Z279" s="6">
        <f t="shared" si="42"/>
        <v>62.32</v>
      </c>
      <c r="AA279" s="6">
        <f t="shared" si="43"/>
        <v>70.88</v>
      </c>
      <c r="AB279" s="6">
        <f t="shared" si="45"/>
        <v>11.120000000000005</v>
      </c>
      <c r="AC279" t="s">
        <v>16</v>
      </c>
      <c r="AD279" s="3" t="s">
        <v>168</v>
      </c>
    </row>
    <row r="280" spans="1:39" ht="15.75" customHeight="1" x14ac:dyDescent="0.2">
      <c r="A280" s="7" t="str">
        <f t="shared" si="39"/>
        <v>SHENZHEN STRONG TECHNOLOGY CO., LTD.J581New Buy</v>
      </c>
      <c r="B280" s="7" t="str">
        <f t="shared" si="40"/>
        <v>iPadNew Buy</v>
      </c>
      <c r="C280">
        <v>407630</v>
      </c>
      <c r="D280" t="s">
        <v>76</v>
      </c>
      <c r="E280" t="s">
        <v>166</v>
      </c>
      <c r="F280" t="s">
        <v>173</v>
      </c>
      <c r="G280" t="s">
        <v>174</v>
      </c>
      <c r="H280" t="s">
        <v>167</v>
      </c>
      <c r="I280" t="s">
        <v>175</v>
      </c>
      <c r="J280" t="s">
        <v>470</v>
      </c>
      <c r="L280" t="s">
        <v>471</v>
      </c>
      <c r="M280" s="25">
        <v>427</v>
      </c>
      <c r="N280" s="4">
        <v>414.67</v>
      </c>
      <c r="O280">
        <v>1</v>
      </c>
      <c r="T280" t="s">
        <v>178</v>
      </c>
      <c r="U280" t="s">
        <v>104</v>
      </c>
      <c r="V280" s="25">
        <v>324.52</v>
      </c>
      <c r="W280" s="18">
        <v>320</v>
      </c>
      <c r="Y280" s="6">
        <f t="shared" si="41"/>
        <v>427</v>
      </c>
      <c r="Z280" s="6">
        <f t="shared" si="42"/>
        <v>324.52</v>
      </c>
      <c r="AA280" s="6">
        <f t="shared" si="43"/>
        <v>414.67</v>
      </c>
      <c r="AB280" s="6">
        <f t="shared" si="45"/>
        <v>12.329999999999984</v>
      </c>
      <c r="AC280" t="s">
        <v>16</v>
      </c>
      <c r="AD280" s="3" t="s">
        <v>168</v>
      </c>
      <c r="AM280" s="1">
        <f t="shared" si="44"/>
        <v>0</v>
      </c>
    </row>
    <row r="281" spans="1:39" ht="15.75" customHeight="1" x14ac:dyDescent="0.2">
      <c r="A281" s="7" t="str">
        <f t="shared" si="39"/>
        <v>SHENZHEN STRONG TECHNOLOGY CO., LTD.J581New Buy</v>
      </c>
      <c r="B281" s="7" t="str">
        <f t="shared" si="40"/>
        <v>iPadNew Buy</v>
      </c>
      <c r="C281">
        <v>407629</v>
      </c>
      <c r="D281" t="s">
        <v>76</v>
      </c>
      <c r="E281" t="s">
        <v>166</v>
      </c>
      <c r="F281" t="s">
        <v>173</v>
      </c>
      <c r="G281" t="s">
        <v>174</v>
      </c>
      <c r="H281" t="s">
        <v>167</v>
      </c>
      <c r="I281" t="s">
        <v>175</v>
      </c>
      <c r="J281" t="s">
        <v>470</v>
      </c>
      <c r="L281" t="s">
        <v>471</v>
      </c>
      <c r="M281" s="25">
        <v>640</v>
      </c>
      <c r="N281" s="4">
        <v>414.67</v>
      </c>
      <c r="O281">
        <v>1</v>
      </c>
      <c r="T281" t="s">
        <v>178</v>
      </c>
      <c r="U281" t="s">
        <v>116</v>
      </c>
      <c r="V281" s="25">
        <v>324.52</v>
      </c>
      <c r="W281" s="18">
        <v>320</v>
      </c>
      <c r="Y281" s="6">
        <f t="shared" si="41"/>
        <v>640</v>
      </c>
      <c r="Z281" s="6">
        <f t="shared" si="42"/>
        <v>324.52</v>
      </c>
      <c r="AA281" s="6">
        <f t="shared" si="43"/>
        <v>414.67</v>
      </c>
      <c r="AB281" s="6">
        <f t="shared" si="45"/>
        <v>225.32999999999998</v>
      </c>
      <c r="AC281" t="s">
        <v>33</v>
      </c>
      <c r="AD281" s="3" t="s">
        <v>168</v>
      </c>
      <c r="AM281" s="1">
        <f t="shared" si="44"/>
        <v>0</v>
      </c>
    </row>
    <row r="282" spans="1:39" ht="15.75" customHeight="1" x14ac:dyDescent="0.2">
      <c r="A282" s="7" t="str">
        <f t="shared" si="39"/>
        <v>SHENZHEN STRONG TECHNOLOGY CO., LTD.J581New Buy</v>
      </c>
      <c r="B282" s="7" t="str">
        <f t="shared" si="40"/>
        <v>iPadNew Buy</v>
      </c>
      <c r="C282">
        <v>407628</v>
      </c>
      <c r="D282" t="s">
        <v>76</v>
      </c>
      <c r="E282" t="s">
        <v>166</v>
      </c>
      <c r="F282" t="s">
        <v>173</v>
      </c>
      <c r="G282" t="s">
        <v>174</v>
      </c>
      <c r="H282" t="s">
        <v>167</v>
      </c>
      <c r="I282" t="s">
        <v>175</v>
      </c>
      <c r="J282" t="s">
        <v>470</v>
      </c>
      <c r="L282" t="s">
        <v>471</v>
      </c>
      <c r="M282" s="25">
        <v>427</v>
      </c>
      <c r="N282" s="4">
        <v>414.67</v>
      </c>
      <c r="O282">
        <v>1</v>
      </c>
      <c r="T282" t="s">
        <v>178</v>
      </c>
      <c r="U282" t="s">
        <v>66</v>
      </c>
      <c r="V282" s="25">
        <v>324.52</v>
      </c>
      <c r="W282" s="18">
        <v>320</v>
      </c>
      <c r="Y282" s="6">
        <f t="shared" si="41"/>
        <v>427</v>
      </c>
      <c r="Z282" s="6">
        <f t="shared" si="42"/>
        <v>324.52</v>
      </c>
      <c r="AA282" s="6">
        <f t="shared" si="43"/>
        <v>414.67</v>
      </c>
      <c r="AB282" s="6">
        <f t="shared" si="45"/>
        <v>12.329999999999984</v>
      </c>
      <c r="AC282" t="s">
        <v>16</v>
      </c>
      <c r="AD282" s="3" t="s">
        <v>168</v>
      </c>
      <c r="AM282" s="1">
        <f t="shared" si="44"/>
        <v>0</v>
      </c>
    </row>
    <row r="283" spans="1:39" ht="15.75" customHeight="1" x14ac:dyDescent="0.2">
      <c r="A283" s="7" t="str">
        <f t="shared" si="39"/>
        <v>SHENZHEN STRONG TECHNOLOGY CO., LTD.J581New Buy</v>
      </c>
      <c r="B283" s="7" t="str">
        <f t="shared" si="40"/>
        <v>iPadNew Buy</v>
      </c>
      <c r="C283">
        <v>407627</v>
      </c>
      <c r="D283" t="s">
        <v>76</v>
      </c>
      <c r="E283" t="s">
        <v>166</v>
      </c>
      <c r="F283" t="s">
        <v>173</v>
      </c>
      <c r="G283" t="s">
        <v>174</v>
      </c>
      <c r="H283" t="s">
        <v>167</v>
      </c>
      <c r="I283" t="s">
        <v>175</v>
      </c>
      <c r="J283" t="s">
        <v>472</v>
      </c>
      <c r="L283" t="s">
        <v>473</v>
      </c>
      <c r="M283" s="25">
        <v>123</v>
      </c>
      <c r="N283" s="4">
        <v>70.88</v>
      </c>
      <c r="O283">
        <v>1</v>
      </c>
      <c r="T283" t="s">
        <v>178</v>
      </c>
      <c r="U283" t="s">
        <v>116</v>
      </c>
      <c r="V283" s="25">
        <v>62.32</v>
      </c>
      <c r="W283" s="18">
        <v>82</v>
      </c>
      <c r="Y283" s="6">
        <f t="shared" si="41"/>
        <v>123</v>
      </c>
      <c r="Z283" s="6">
        <f t="shared" si="42"/>
        <v>62.32</v>
      </c>
      <c r="AA283" s="6">
        <f t="shared" si="43"/>
        <v>70.88</v>
      </c>
      <c r="AB283" s="6">
        <f t="shared" si="45"/>
        <v>52.120000000000005</v>
      </c>
      <c r="AC283" t="s">
        <v>33</v>
      </c>
      <c r="AD283" s="3" t="s">
        <v>168</v>
      </c>
      <c r="AM283" s="1">
        <f t="shared" si="44"/>
        <v>11.120000000000005</v>
      </c>
    </row>
    <row r="284" spans="1:39" ht="15.75" customHeight="1" x14ac:dyDescent="0.2">
      <c r="A284" s="7" t="str">
        <f t="shared" si="39"/>
        <v>SHENZHEN STRONG TECHNOLOGY CO., LTD.J581New Buy</v>
      </c>
      <c r="B284" s="7" t="str">
        <f t="shared" si="40"/>
        <v>iPadNew Buy</v>
      </c>
      <c r="C284">
        <v>407626</v>
      </c>
      <c r="D284" t="s">
        <v>76</v>
      </c>
      <c r="E284" t="s">
        <v>166</v>
      </c>
      <c r="F284" t="s">
        <v>173</v>
      </c>
      <c r="G284" t="s">
        <v>174</v>
      </c>
      <c r="H284" t="s">
        <v>167</v>
      </c>
      <c r="I284" t="s">
        <v>175</v>
      </c>
      <c r="J284" t="s">
        <v>472</v>
      </c>
      <c r="L284" t="s">
        <v>474</v>
      </c>
      <c r="M284" s="25">
        <v>82</v>
      </c>
      <c r="N284" s="4">
        <v>70.88</v>
      </c>
      <c r="O284">
        <v>1</v>
      </c>
      <c r="T284" t="s">
        <v>178</v>
      </c>
      <c r="U284" t="s">
        <v>104</v>
      </c>
      <c r="V284" s="25">
        <v>62.32</v>
      </c>
      <c r="W284" s="18">
        <v>82</v>
      </c>
      <c r="Y284" s="6">
        <f t="shared" si="41"/>
        <v>82</v>
      </c>
      <c r="Z284" s="6">
        <f t="shared" si="42"/>
        <v>62.32</v>
      </c>
      <c r="AA284" s="6">
        <f t="shared" si="43"/>
        <v>70.88</v>
      </c>
      <c r="AB284" s="6">
        <f t="shared" si="45"/>
        <v>11.120000000000005</v>
      </c>
      <c r="AC284" t="s">
        <v>16</v>
      </c>
      <c r="AD284" s="3" t="s">
        <v>168</v>
      </c>
      <c r="AM284" s="1">
        <f t="shared" si="44"/>
        <v>11.120000000000005</v>
      </c>
    </row>
    <row r="285" spans="1:39" ht="15.75" customHeight="1" x14ac:dyDescent="0.2">
      <c r="A285" s="7" t="str">
        <f t="shared" si="39"/>
        <v>SHENZHEN STRONG TECHNOLOGY CO., LTD.J581New Buy</v>
      </c>
      <c r="B285" s="7" t="str">
        <f t="shared" si="40"/>
        <v>iPadNew Buy</v>
      </c>
      <c r="C285">
        <v>407625</v>
      </c>
      <c r="D285" t="s">
        <v>76</v>
      </c>
      <c r="E285" t="s">
        <v>166</v>
      </c>
      <c r="F285" t="s">
        <v>173</v>
      </c>
      <c r="G285" t="s">
        <v>174</v>
      </c>
      <c r="H285" t="s">
        <v>167</v>
      </c>
      <c r="I285" t="s">
        <v>175</v>
      </c>
      <c r="J285" t="s">
        <v>472</v>
      </c>
      <c r="L285" t="s">
        <v>474</v>
      </c>
      <c r="M285" s="25">
        <v>82</v>
      </c>
      <c r="N285" s="4">
        <v>70.88</v>
      </c>
      <c r="O285">
        <v>1</v>
      </c>
      <c r="T285" t="s">
        <v>178</v>
      </c>
      <c r="U285" t="s">
        <v>66</v>
      </c>
      <c r="V285" s="25">
        <v>62.32</v>
      </c>
      <c r="W285" s="18">
        <v>82</v>
      </c>
      <c r="Y285" s="6">
        <f t="shared" si="41"/>
        <v>82</v>
      </c>
      <c r="Z285" s="6">
        <f t="shared" si="42"/>
        <v>62.32</v>
      </c>
      <c r="AA285" s="6">
        <f t="shared" si="43"/>
        <v>70.88</v>
      </c>
      <c r="AB285" s="6">
        <f t="shared" si="45"/>
        <v>11.120000000000005</v>
      </c>
      <c r="AC285" t="s">
        <v>16</v>
      </c>
      <c r="AD285" s="3" t="s">
        <v>168</v>
      </c>
      <c r="AM285" s="1">
        <f t="shared" si="44"/>
        <v>11.120000000000005</v>
      </c>
    </row>
    <row r="286" spans="1:39" ht="15.75" customHeight="1" x14ac:dyDescent="0.2">
      <c r="A286" s="7" t="str">
        <f t="shared" si="39"/>
        <v>SHENZHEN STRONG TECHNOLOGY CO., LTD.J581New Buy</v>
      </c>
      <c r="B286" s="7" t="str">
        <f t="shared" si="40"/>
        <v>iPadNew Buy</v>
      </c>
      <c r="C286">
        <v>407624</v>
      </c>
      <c r="D286" t="s">
        <v>76</v>
      </c>
      <c r="E286" t="s">
        <v>166</v>
      </c>
      <c r="F286" t="s">
        <v>173</v>
      </c>
      <c r="G286" t="s">
        <v>174</v>
      </c>
      <c r="H286" t="s">
        <v>167</v>
      </c>
      <c r="I286" t="s">
        <v>175</v>
      </c>
      <c r="J286" t="s">
        <v>475</v>
      </c>
      <c r="L286" t="s">
        <v>476</v>
      </c>
      <c r="M286" s="25">
        <v>123</v>
      </c>
      <c r="N286" s="4">
        <v>70.88</v>
      </c>
      <c r="O286">
        <v>1</v>
      </c>
      <c r="T286" t="s">
        <v>178</v>
      </c>
      <c r="U286" t="s">
        <v>116</v>
      </c>
      <c r="V286" s="25">
        <v>62.32</v>
      </c>
      <c r="W286" s="18" t="s">
        <v>367</v>
      </c>
      <c r="Y286" s="6">
        <f t="shared" si="41"/>
        <v>123</v>
      </c>
      <c r="Z286" s="6">
        <f t="shared" si="42"/>
        <v>62.32</v>
      </c>
      <c r="AA286" s="6">
        <f t="shared" si="43"/>
        <v>70.88</v>
      </c>
      <c r="AB286" s="6">
        <f t="shared" si="45"/>
        <v>52.120000000000005</v>
      </c>
      <c r="AC286" t="s">
        <v>33</v>
      </c>
      <c r="AD286" s="3" t="s">
        <v>168</v>
      </c>
    </row>
    <row r="287" spans="1:39" ht="15.75" customHeight="1" x14ac:dyDescent="0.2">
      <c r="A287" s="7" t="str">
        <f t="shared" si="39"/>
        <v>SHENZHEN STRONG TECHNOLOGY CO., LTD.J581New Buy</v>
      </c>
      <c r="B287" s="7" t="str">
        <f t="shared" si="40"/>
        <v>iPadNew Buy</v>
      </c>
      <c r="C287">
        <v>407623</v>
      </c>
      <c r="D287" t="s">
        <v>76</v>
      </c>
      <c r="E287" t="s">
        <v>166</v>
      </c>
      <c r="F287" t="s">
        <v>173</v>
      </c>
      <c r="G287" t="s">
        <v>174</v>
      </c>
      <c r="H287" t="s">
        <v>167</v>
      </c>
      <c r="I287" t="s">
        <v>175</v>
      </c>
      <c r="J287" t="s">
        <v>475</v>
      </c>
      <c r="L287" t="s">
        <v>477</v>
      </c>
      <c r="M287" s="25">
        <v>82</v>
      </c>
      <c r="N287" s="4">
        <v>70.88</v>
      </c>
      <c r="O287">
        <v>1</v>
      </c>
      <c r="T287" t="s">
        <v>178</v>
      </c>
      <c r="U287" t="s">
        <v>104</v>
      </c>
      <c r="V287" s="25">
        <v>62.32</v>
      </c>
      <c r="W287" s="18" t="s">
        <v>367</v>
      </c>
      <c r="Y287" s="6">
        <f t="shared" si="41"/>
        <v>82</v>
      </c>
      <c r="Z287" s="6">
        <f t="shared" si="42"/>
        <v>62.32</v>
      </c>
      <c r="AA287" s="6">
        <f t="shared" si="43"/>
        <v>70.88</v>
      </c>
      <c r="AB287" s="6">
        <f t="shared" si="45"/>
        <v>11.120000000000005</v>
      </c>
      <c r="AC287" t="s">
        <v>16</v>
      </c>
      <c r="AD287" s="3" t="s">
        <v>168</v>
      </c>
    </row>
    <row r="288" spans="1:39" ht="15.75" customHeight="1" x14ac:dyDescent="0.2">
      <c r="A288" s="7" t="str">
        <f t="shared" si="39"/>
        <v>SHENZHEN STRONG TECHNOLOGY CO., LTD.J581New Buy</v>
      </c>
      <c r="B288" s="7" t="str">
        <f t="shared" si="40"/>
        <v>iPadNew Buy</v>
      </c>
      <c r="C288">
        <v>407622</v>
      </c>
      <c r="D288" t="s">
        <v>76</v>
      </c>
      <c r="E288" t="s">
        <v>166</v>
      </c>
      <c r="F288" t="s">
        <v>173</v>
      </c>
      <c r="G288" t="s">
        <v>174</v>
      </c>
      <c r="H288" t="s">
        <v>167</v>
      </c>
      <c r="I288" t="s">
        <v>175</v>
      </c>
      <c r="J288" t="s">
        <v>475</v>
      </c>
      <c r="L288" t="s">
        <v>477</v>
      </c>
      <c r="M288" s="25">
        <v>82</v>
      </c>
      <c r="N288" s="4">
        <v>70.88</v>
      </c>
      <c r="O288">
        <v>1</v>
      </c>
      <c r="T288" t="s">
        <v>178</v>
      </c>
      <c r="U288" t="s">
        <v>66</v>
      </c>
      <c r="V288" s="25">
        <v>62.32</v>
      </c>
      <c r="W288" s="18" t="s">
        <v>367</v>
      </c>
      <c r="Y288" s="6">
        <f t="shared" si="41"/>
        <v>82</v>
      </c>
      <c r="Z288" s="6">
        <f t="shared" si="42"/>
        <v>62.32</v>
      </c>
      <c r="AA288" s="6">
        <f t="shared" si="43"/>
        <v>70.88</v>
      </c>
      <c r="AB288" s="6">
        <f t="shared" si="45"/>
        <v>11.120000000000005</v>
      </c>
      <c r="AC288" t="s">
        <v>16</v>
      </c>
      <c r="AD288" s="3" t="s">
        <v>168</v>
      </c>
    </row>
    <row r="289" spans="1:39" ht="15.75" customHeight="1" x14ac:dyDescent="0.2">
      <c r="A289" s="7" t="str">
        <f t="shared" si="39"/>
        <v>SHENZHEN STRONG TECHNOLOGY CO., LTD.J581New Buy</v>
      </c>
      <c r="B289" s="7" t="str">
        <f t="shared" si="40"/>
        <v>iPadNew Buy</v>
      </c>
      <c r="C289">
        <v>407621</v>
      </c>
      <c r="D289" t="s">
        <v>76</v>
      </c>
      <c r="E289" t="s">
        <v>166</v>
      </c>
      <c r="F289" t="s">
        <v>173</v>
      </c>
      <c r="G289" t="s">
        <v>174</v>
      </c>
      <c r="H289" t="s">
        <v>167</v>
      </c>
      <c r="I289" t="s">
        <v>175</v>
      </c>
      <c r="J289" t="s">
        <v>478</v>
      </c>
      <c r="L289" t="s">
        <v>479</v>
      </c>
      <c r="M289" s="25">
        <v>123</v>
      </c>
      <c r="N289" s="4">
        <v>70.88</v>
      </c>
      <c r="O289">
        <v>1</v>
      </c>
      <c r="T289" t="s">
        <v>178</v>
      </c>
      <c r="U289" t="s">
        <v>116</v>
      </c>
      <c r="V289" s="25">
        <v>62.32</v>
      </c>
      <c r="W289" s="18" t="s">
        <v>367</v>
      </c>
      <c r="Y289" s="6">
        <f t="shared" si="41"/>
        <v>123</v>
      </c>
      <c r="Z289" s="6">
        <f t="shared" si="42"/>
        <v>62.32</v>
      </c>
      <c r="AA289" s="6">
        <f t="shared" si="43"/>
        <v>70.88</v>
      </c>
      <c r="AB289" s="6">
        <f t="shared" si="45"/>
        <v>52.120000000000005</v>
      </c>
      <c r="AC289" t="s">
        <v>33</v>
      </c>
      <c r="AD289" s="3" t="s">
        <v>168</v>
      </c>
    </row>
    <row r="290" spans="1:39" ht="15.75" customHeight="1" x14ac:dyDescent="0.2">
      <c r="A290" s="7" t="str">
        <f t="shared" si="39"/>
        <v>SHENZHEN STRONG TECHNOLOGY CO., LTD.J581New Buy</v>
      </c>
      <c r="B290" s="7" t="str">
        <f t="shared" si="40"/>
        <v>iPadNew Buy</v>
      </c>
      <c r="C290">
        <v>407620</v>
      </c>
      <c r="D290" t="s">
        <v>76</v>
      </c>
      <c r="E290" t="s">
        <v>166</v>
      </c>
      <c r="F290" t="s">
        <v>173</v>
      </c>
      <c r="G290" t="s">
        <v>174</v>
      </c>
      <c r="H290" t="s">
        <v>167</v>
      </c>
      <c r="I290" t="s">
        <v>175</v>
      </c>
      <c r="J290" t="s">
        <v>478</v>
      </c>
      <c r="L290" t="s">
        <v>480</v>
      </c>
      <c r="M290" s="25">
        <v>82</v>
      </c>
      <c r="N290" s="4">
        <v>70.88</v>
      </c>
      <c r="O290">
        <v>1</v>
      </c>
      <c r="T290" t="s">
        <v>178</v>
      </c>
      <c r="U290" t="s">
        <v>104</v>
      </c>
      <c r="V290" s="25">
        <v>62.32</v>
      </c>
      <c r="W290" s="18" t="s">
        <v>367</v>
      </c>
      <c r="Y290" s="6">
        <f t="shared" si="41"/>
        <v>82</v>
      </c>
      <c r="Z290" s="6">
        <f t="shared" si="42"/>
        <v>62.32</v>
      </c>
      <c r="AA290" s="6">
        <f t="shared" si="43"/>
        <v>70.88</v>
      </c>
      <c r="AB290" s="6">
        <f t="shared" si="45"/>
        <v>11.120000000000005</v>
      </c>
      <c r="AC290" t="s">
        <v>16</v>
      </c>
      <c r="AD290" s="3" t="s">
        <v>168</v>
      </c>
    </row>
    <row r="291" spans="1:39" ht="15.75" customHeight="1" x14ac:dyDescent="0.2">
      <c r="A291" s="7" t="str">
        <f t="shared" ref="A291:A354" si="46">CONCATENATE(D291,G291,H291,K291)</f>
        <v>SHENZHEN STRONG TECHNOLOGY CO., LTD.J581New Buy</v>
      </c>
      <c r="B291" s="7" t="str">
        <f t="shared" ref="B291:B354" si="47">_xlfn.CONCAT(F291,K291,"New Buy")</f>
        <v>iPadNew Buy</v>
      </c>
      <c r="C291">
        <v>407619</v>
      </c>
      <c r="D291" t="s">
        <v>76</v>
      </c>
      <c r="E291" t="s">
        <v>166</v>
      </c>
      <c r="F291" t="s">
        <v>173</v>
      </c>
      <c r="G291" t="s">
        <v>174</v>
      </c>
      <c r="H291" t="s">
        <v>167</v>
      </c>
      <c r="I291" t="s">
        <v>175</v>
      </c>
      <c r="J291" t="s">
        <v>478</v>
      </c>
      <c r="L291" t="s">
        <v>480</v>
      </c>
      <c r="M291" s="25">
        <v>82</v>
      </c>
      <c r="N291" s="4">
        <v>70.88</v>
      </c>
      <c r="O291">
        <v>1</v>
      </c>
      <c r="T291" t="s">
        <v>178</v>
      </c>
      <c r="U291" t="s">
        <v>66</v>
      </c>
      <c r="V291" s="25">
        <v>62.32</v>
      </c>
      <c r="W291" s="18" t="s">
        <v>367</v>
      </c>
      <c r="Y291" s="6">
        <f t="shared" ref="Y291:Y354" si="48">IFERROR(O291*M291,0)</f>
        <v>82</v>
      </c>
      <c r="Z291" s="6">
        <f t="shared" ref="Z291:Z354" si="49">IFERROR(O291*V291,0)</f>
        <v>62.32</v>
      </c>
      <c r="AA291" s="6">
        <f t="shared" ref="AA291:AA354" si="50">IFERROR(N291*O291,0)</f>
        <v>70.88</v>
      </c>
      <c r="AB291" s="6">
        <f t="shared" si="45"/>
        <v>11.120000000000005</v>
      </c>
      <c r="AC291" t="s">
        <v>16</v>
      </c>
      <c r="AD291" s="3" t="s">
        <v>168</v>
      </c>
    </row>
    <row r="292" spans="1:39" ht="15.75" customHeight="1" x14ac:dyDescent="0.2">
      <c r="A292" s="7" t="str">
        <f t="shared" si="46"/>
        <v>SHENZHEN STRONG TECHNOLOGY CO., LTD.J581New Buy</v>
      </c>
      <c r="B292" s="7" t="str">
        <f t="shared" si="47"/>
        <v>iPadNew Buy</v>
      </c>
      <c r="C292">
        <v>407618</v>
      </c>
      <c r="D292" t="s">
        <v>76</v>
      </c>
      <c r="E292" t="s">
        <v>166</v>
      </c>
      <c r="F292" t="s">
        <v>173</v>
      </c>
      <c r="G292" t="s">
        <v>174</v>
      </c>
      <c r="H292" t="s">
        <v>167</v>
      </c>
      <c r="I292" t="s">
        <v>175</v>
      </c>
      <c r="J292" t="s">
        <v>481</v>
      </c>
      <c r="L292" t="s">
        <v>482</v>
      </c>
      <c r="M292" s="25">
        <v>123</v>
      </c>
      <c r="N292" s="4">
        <v>70.88</v>
      </c>
      <c r="O292">
        <v>1</v>
      </c>
      <c r="T292" t="s">
        <v>178</v>
      </c>
      <c r="U292" t="s">
        <v>116</v>
      </c>
      <c r="V292" s="25">
        <v>62.32</v>
      </c>
      <c r="W292" s="18" t="s">
        <v>367</v>
      </c>
      <c r="Y292" s="6">
        <f t="shared" si="48"/>
        <v>123</v>
      </c>
      <c r="Z292" s="6">
        <f t="shared" si="49"/>
        <v>62.32</v>
      </c>
      <c r="AA292" s="6">
        <f t="shared" si="50"/>
        <v>70.88</v>
      </c>
      <c r="AB292" s="6">
        <f t="shared" si="45"/>
        <v>52.120000000000005</v>
      </c>
      <c r="AC292" t="s">
        <v>33</v>
      </c>
      <c r="AD292" s="3" t="s">
        <v>168</v>
      </c>
    </row>
    <row r="293" spans="1:39" ht="15.75" customHeight="1" x14ac:dyDescent="0.2">
      <c r="A293" s="7" t="str">
        <f t="shared" si="46"/>
        <v>SHENZHEN STRONG TECHNOLOGY CO., LTD.J581New Buy</v>
      </c>
      <c r="B293" s="7" t="str">
        <f t="shared" si="47"/>
        <v>iPadNew Buy</v>
      </c>
      <c r="C293">
        <v>407617</v>
      </c>
      <c r="D293" t="s">
        <v>76</v>
      </c>
      <c r="E293" t="s">
        <v>166</v>
      </c>
      <c r="F293" t="s">
        <v>173</v>
      </c>
      <c r="G293" t="s">
        <v>174</v>
      </c>
      <c r="H293" t="s">
        <v>167</v>
      </c>
      <c r="I293" t="s">
        <v>175</v>
      </c>
      <c r="J293" t="s">
        <v>481</v>
      </c>
      <c r="L293" t="s">
        <v>483</v>
      </c>
      <c r="M293" s="25">
        <v>82</v>
      </c>
      <c r="N293" s="4">
        <v>70.88</v>
      </c>
      <c r="O293">
        <v>1</v>
      </c>
      <c r="T293" t="s">
        <v>178</v>
      </c>
      <c r="U293" t="s">
        <v>104</v>
      </c>
      <c r="V293" s="25">
        <v>62.32</v>
      </c>
      <c r="W293" s="18" t="s">
        <v>367</v>
      </c>
      <c r="Y293" s="6">
        <f t="shared" si="48"/>
        <v>82</v>
      </c>
      <c r="Z293" s="6">
        <f t="shared" si="49"/>
        <v>62.32</v>
      </c>
      <c r="AA293" s="6">
        <f t="shared" si="50"/>
        <v>70.88</v>
      </c>
      <c r="AB293" s="6">
        <f t="shared" si="45"/>
        <v>11.120000000000005</v>
      </c>
      <c r="AC293" t="s">
        <v>16</v>
      </c>
      <c r="AD293" s="3" t="s">
        <v>168</v>
      </c>
    </row>
    <row r="294" spans="1:39" ht="15.75" customHeight="1" x14ac:dyDescent="0.2">
      <c r="A294" s="7" t="str">
        <f t="shared" si="46"/>
        <v>SHENZHEN STRONG TECHNOLOGY CO., LTD.J581New Buy</v>
      </c>
      <c r="B294" s="7" t="str">
        <f t="shared" si="47"/>
        <v>iPadNew Buy</v>
      </c>
      <c r="C294">
        <v>407616</v>
      </c>
      <c r="D294" t="s">
        <v>76</v>
      </c>
      <c r="E294" t="s">
        <v>166</v>
      </c>
      <c r="F294" t="s">
        <v>173</v>
      </c>
      <c r="G294" t="s">
        <v>174</v>
      </c>
      <c r="H294" t="s">
        <v>167</v>
      </c>
      <c r="I294" t="s">
        <v>175</v>
      </c>
      <c r="J294" t="s">
        <v>481</v>
      </c>
      <c r="L294" t="s">
        <v>483</v>
      </c>
      <c r="M294" s="25">
        <v>82</v>
      </c>
      <c r="N294" s="4">
        <v>70.88</v>
      </c>
      <c r="O294">
        <v>1</v>
      </c>
      <c r="T294" t="s">
        <v>178</v>
      </c>
      <c r="U294" t="s">
        <v>66</v>
      </c>
      <c r="V294" s="25">
        <v>62.32</v>
      </c>
      <c r="W294" s="18" t="s">
        <v>367</v>
      </c>
      <c r="Y294" s="6">
        <f t="shared" si="48"/>
        <v>82</v>
      </c>
      <c r="Z294" s="6">
        <f t="shared" si="49"/>
        <v>62.32</v>
      </c>
      <c r="AA294" s="6">
        <f t="shared" si="50"/>
        <v>70.88</v>
      </c>
      <c r="AB294" s="6">
        <f t="shared" si="45"/>
        <v>11.120000000000005</v>
      </c>
      <c r="AC294" t="s">
        <v>16</v>
      </c>
      <c r="AD294" s="3" t="s">
        <v>168</v>
      </c>
    </row>
    <row r="295" spans="1:39" ht="15.75" customHeight="1" x14ac:dyDescent="0.2">
      <c r="A295" s="7" t="str">
        <f t="shared" si="46"/>
        <v>SHENZHEN STRONG TECHNOLOGY CO., LTD.J581New Buy</v>
      </c>
      <c r="B295" s="7" t="str">
        <f t="shared" si="47"/>
        <v>iPadNew Buy</v>
      </c>
      <c r="C295">
        <v>407615</v>
      </c>
      <c r="D295" t="s">
        <v>76</v>
      </c>
      <c r="E295" t="s">
        <v>166</v>
      </c>
      <c r="F295" t="s">
        <v>173</v>
      </c>
      <c r="G295" t="s">
        <v>174</v>
      </c>
      <c r="H295" t="s">
        <v>167</v>
      </c>
      <c r="I295" t="s">
        <v>175</v>
      </c>
      <c r="J295" t="s">
        <v>484</v>
      </c>
      <c r="L295" t="s">
        <v>485</v>
      </c>
      <c r="M295" s="25">
        <v>123</v>
      </c>
      <c r="N295" s="4">
        <v>70.88</v>
      </c>
      <c r="O295">
        <v>1</v>
      </c>
      <c r="T295" t="s">
        <v>178</v>
      </c>
      <c r="U295" t="s">
        <v>116</v>
      </c>
      <c r="V295" s="25">
        <v>62.32</v>
      </c>
      <c r="W295" s="18" t="s">
        <v>367</v>
      </c>
      <c r="Y295" s="6">
        <f t="shared" si="48"/>
        <v>123</v>
      </c>
      <c r="Z295" s="6">
        <f t="shared" si="49"/>
        <v>62.32</v>
      </c>
      <c r="AA295" s="6">
        <f t="shared" si="50"/>
        <v>70.88</v>
      </c>
      <c r="AB295" s="6">
        <f t="shared" si="45"/>
        <v>52.120000000000005</v>
      </c>
      <c r="AC295" t="s">
        <v>33</v>
      </c>
      <c r="AD295" s="3" t="s">
        <v>168</v>
      </c>
    </row>
    <row r="296" spans="1:39" ht="15.75" customHeight="1" x14ac:dyDescent="0.2">
      <c r="A296" s="7" t="str">
        <f t="shared" si="46"/>
        <v>SHENZHEN STRONG TECHNOLOGY CO., LTD.J581New Buy</v>
      </c>
      <c r="B296" s="7" t="str">
        <f t="shared" si="47"/>
        <v>iPadNew Buy</v>
      </c>
      <c r="C296">
        <v>407614</v>
      </c>
      <c r="D296" t="s">
        <v>76</v>
      </c>
      <c r="E296" t="s">
        <v>166</v>
      </c>
      <c r="F296" t="s">
        <v>173</v>
      </c>
      <c r="G296" t="s">
        <v>174</v>
      </c>
      <c r="H296" t="s">
        <v>167</v>
      </c>
      <c r="I296" t="s">
        <v>175</v>
      </c>
      <c r="J296" t="s">
        <v>484</v>
      </c>
      <c r="L296" t="s">
        <v>486</v>
      </c>
      <c r="M296" s="25">
        <v>82</v>
      </c>
      <c r="N296" s="4">
        <v>70.88</v>
      </c>
      <c r="O296">
        <v>1</v>
      </c>
      <c r="T296" t="s">
        <v>178</v>
      </c>
      <c r="U296" t="s">
        <v>104</v>
      </c>
      <c r="V296" s="25">
        <v>62.32</v>
      </c>
      <c r="W296" s="18" t="s">
        <v>367</v>
      </c>
      <c r="Y296" s="6">
        <f t="shared" si="48"/>
        <v>82</v>
      </c>
      <c r="Z296" s="6">
        <f t="shared" si="49"/>
        <v>62.32</v>
      </c>
      <c r="AA296" s="6">
        <f t="shared" si="50"/>
        <v>70.88</v>
      </c>
      <c r="AB296" s="6">
        <f t="shared" si="45"/>
        <v>11.120000000000005</v>
      </c>
      <c r="AC296" t="s">
        <v>16</v>
      </c>
      <c r="AD296" s="3" t="s">
        <v>168</v>
      </c>
    </row>
    <row r="297" spans="1:39" ht="15.75" customHeight="1" x14ac:dyDescent="0.2">
      <c r="A297" s="7" t="str">
        <f t="shared" si="46"/>
        <v>SHENZHEN STRONG TECHNOLOGY CO., LTD.J581New Buy</v>
      </c>
      <c r="B297" s="7" t="str">
        <f t="shared" si="47"/>
        <v>iPadNew Buy</v>
      </c>
      <c r="C297">
        <v>407613</v>
      </c>
      <c r="D297" t="s">
        <v>76</v>
      </c>
      <c r="E297" t="s">
        <v>166</v>
      </c>
      <c r="F297" t="s">
        <v>173</v>
      </c>
      <c r="G297" t="s">
        <v>174</v>
      </c>
      <c r="H297" t="s">
        <v>167</v>
      </c>
      <c r="I297" t="s">
        <v>175</v>
      </c>
      <c r="J297" t="s">
        <v>484</v>
      </c>
      <c r="L297" t="s">
        <v>486</v>
      </c>
      <c r="M297" s="25">
        <v>82</v>
      </c>
      <c r="N297" s="4">
        <v>70.88</v>
      </c>
      <c r="O297">
        <v>1</v>
      </c>
      <c r="T297" t="s">
        <v>178</v>
      </c>
      <c r="U297" t="s">
        <v>66</v>
      </c>
      <c r="V297" s="25">
        <v>62.32</v>
      </c>
      <c r="W297" s="18" t="s">
        <v>367</v>
      </c>
      <c r="Y297" s="6">
        <f t="shared" si="48"/>
        <v>82</v>
      </c>
      <c r="Z297" s="6">
        <f t="shared" si="49"/>
        <v>62.32</v>
      </c>
      <c r="AA297" s="6">
        <f t="shared" si="50"/>
        <v>70.88</v>
      </c>
      <c r="AB297" s="6">
        <f t="shared" si="45"/>
        <v>11.120000000000005</v>
      </c>
      <c r="AC297" t="s">
        <v>16</v>
      </c>
      <c r="AD297" s="3" t="s">
        <v>168</v>
      </c>
    </row>
    <row r="298" spans="1:39" ht="15.75" customHeight="1" x14ac:dyDescent="0.2">
      <c r="A298" s="7" t="str">
        <f t="shared" si="46"/>
        <v>SHENZHEN STRONG TECHNOLOGY CO., LTD.J581New Buy</v>
      </c>
      <c r="B298" s="7" t="str">
        <f t="shared" si="47"/>
        <v>iPadNew Buy</v>
      </c>
      <c r="C298">
        <v>407612</v>
      </c>
      <c r="D298" t="s">
        <v>76</v>
      </c>
      <c r="E298" t="s">
        <v>166</v>
      </c>
      <c r="F298" t="s">
        <v>173</v>
      </c>
      <c r="G298" t="s">
        <v>174</v>
      </c>
      <c r="H298" t="s">
        <v>167</v>
      </c>
      <c r="I298" t="s">
        <v>175</v>
      </c>
      <c r="J298" t="s">
        <v>487</v>
      </c>
      <c r="L298" t="s">
        <v>488</v>
      </c>
      <c r="M298" s="25">
        <v>123</v>
      </c>
      <c r="N298" s="4">
        <v>70.88</v>
      </c>
      <c r="O298">
        <v>1</v>
      </c>
      <c r="T298" t="s">
        <v>178</v>
      </c>
      <c r="U298" t="s">
        <v>116</v>
      </c>
      <c r="V298" s="25">
        <v>62.32</v>
      </c>
      <c r="W298" s="18">
        <v>82</v>
      </c>
      <c r="Y298" s="6">
        <f t="shared" si="48"/>
        <v>123</v>
      </c>
      <c r="Z298" s="6">
        <f t="shared" si="49"/>
        <v>62.32</v>
      </c>
      <c r="AA298" s="6">
        <f t="shared" si="50"/>
        <v>70.88</v>
      </c>
      <c r="AB298" s="6">
        <f t="shared" si="45"/>
        <v>52.120000000000005</v>
      </c>
      <c r="AC298" t="s">
        <v>33</v>
      </c>
      <c r="AD298" s="3" t="s">
        <v>168</v>
      </c>
      <c r="AM298" s="1">
        <f t="shared" ref="AM298:AM342" si="51">MAX(0, (W298*O298)-AA298)</f>
        <v>11.120000000000005</v>
      </c>
    </row>
    <row r="299" spans="1:39" ht="15.75" customHeight="1" x14ac:dyDescent="0.2">
      <c r="A299" s="7" t="str">
        <f t="shared" si="46"/>
        <v>SHENZHEN STRONG TECHNOLOGY CO., LTD.J581New Buy</v>
      </c>
      <c r="B299" s="7" t="str">
        <f t="shared" si="47"/>
        <v>iPadNew Buy</v>
      </c>
      <c r="C299">
        <v>407611</v>
      </c>
      <c r="D299" t="s">
        <v>76</v>
      </c>
      <c r="E299" t="s">
        <v>166</v>
      </c>
      <c r="F299" t="s">
        <v>173</v>
      </c>
      <c r="G299" t="s">
        <v>174</v>
      </c>
      <c r="H299" t="s">
        <v>167</v>
      </c>
      <c r="I299" t="s">
        <v>175</v>
      </c>
      <c r="J299" t="s">
        <v>487</v>
      </c>
      <c r="L299" t="s">
        <v>489</v>
      </c>
      <c r="M299" s="25">
        <v>82</v>
      </c>
      <c r="N299" s="4">
        <v>70.88</v>
      </c>
      <c r="O299">
        <v>1</v>
      </c>
      <c r="T299" t="s">
        <v>178</v>
      </c>
      <c r="U299" t="s">
        <v>104</v>
      </c>
      <c r="V299" s="25">
        <v>62.32</v>
      </c>
      <c r="W299" s="18">
        <v>82</v>
      </c>
      <c r="Y299" s="6">
        <f t="shared" si="48"/>
        <v>82</v>
      </c>
      <c r="Z299" s="6">
        <f t="shared" si="49"/>
        <v>62.32</v>
      </c>
      <c r="AA299" s="6">
        <f t="shared" si="50"/>
        <v>70.88</v>
      </c>
      <c r="AB299" s="6">
        <f t="shared" si="45"/>
        <v>11.120000000000005</v>
      </c>
      <c r="AC299" t="s">
        <v>16</v>
      </c>
      <c r="AD299" s="3" t="s">
        <v>168</v>
      </c>
      <c r="AM299" s="1">
        <f t="shared" si="51"/>
        <v>11.120000000000005</v>
      </c>
    </row>
    <row r="300" spans="1:39" ht="15.75" customHeight="1" x14ac:dyDescent="0.2">
      <c r="A300" s="7" t="str">
        <f t="shared" si="46"/>
        <v>SHENZHEN STRONG TECHNOLOGY CO., LTD.J581New Buy</v>
      </c>
      <c r="B300" s="7" t="str">
        <f t="shared" si="47"/>
        <v>iPadNew Buy</v>
      </c>
      <c r="C300">
        <v>407610</v>
      </c>
      <c r="D300" t="s">
        <v>76</v>
      </c>
      <c r="E300" t="s">
        <v>166</v>
      </c>
      <c r="F300" t="s">
        <v>173</v>
      </c>
      <c r="G300" t="s">
        <v>174</v>
      </c>
      <c r="H300" t="s">
        <v>167</v>
      </c>
      <c r="I300" t="s">
        <v>175</v>
      </c>
      <c r="J300" t="s">
        <v>487</v>
      </c>
      <c r="L300" t="s">
        <v>489</v>
      </c>
      <c r="M300" s="25">
        <v>82</v>
      </c>
      <c r="N300" s="4">
        <v>70.88</v>
      </c>
      <c r="O300">
        <v>1</v>
      </c>
      <c r="T300" t="s">
        <v>178</v>
      </c>
      <c r="U300" t="s">
        <v>66</v>
      </c>
      <c r="V300" s="25">
        <v>62.32</v>
      </c>
      <c r="W300" s="18">
        <v>82</v>
      </c>
      <c r="Y300" s="6">
        <f t="shared" si="48"/>
        <v>82</v>
      </c>
      <c r="Z300" s="6">
        <f t="shared" si="49"/>
        <v>62.32</v>
      </c>
      <c r="AA300" s="6">
        <f t="shared" si="50"/>
        <v>70.88</v>
      </c>
      <c r="AB300" s="6">
        <f t="shared" si="45"/>
        <v>11.120000000000005</v>
      </c>
      <c r="AC300" t="s">
        <v>16</v>
      </c>
      <c r="AD300" s="3" t="s">
        <v>168</v>
      </c>
      <c r="AM300" s="1">
        <f t="shared" si="51"/>
        <v>11.120000000000005</v>
      </c>
    </row>
    <row r="301" spans="1:39" ht="15.75" customHeight="1" x14ac:dyDescent="0.2">
      <c r="A301" s="7" t="str">
        <f t="shared" si="46"/>
        <v>SHENZHEN STRONG TECHNOLOGY CO., LTD.J581New Buy</v>
      </c>
      <c r="B301" s="7" t="str">
        <f t="shared" si="47"/>
        <v>iPadNew Buy</v>
      </c>
      <c r="C301">
        <v>407609</v>
      </c>
      <c r="D301" t="s">
        <v>76</v>
      </c>
      <c r="E301" t="s">
        <v>166</v>
      </c>
      <c r="F301" t="s">
        <v>173</v>
      </c>
      <c r="G301" t="s">
        <v>174</v>
      </c>
      <c r="H301" t="s">
        <v>167</v>
      </c>
      <c r="I301" t="s">
        <v>175</v>
      </c>
      <c r="J301" t="s">
        <v>490</v>
      </c>
      <c r="L301" t="s">
        <v>491</v>
      </c>
      <c r="M301" s="25">
        <v>123</v>
      </c>
      <c r="N301" s="4">
        <v>70.88</v>
      </c>
      <c r="O301">
        <v>1</v>
      </c>
      <c r="T301" t="s">
        <v>178</v>
      </c>
      <c r="U301" t="s">
        <v>116</v>
      </c>
      <c r="V301" s="25">
        <v>62.32</v>
      </c>
      <c r="W301" s="18" t="s">
        <v>367</v>
      </c>
      <c r="Y301" s="6">
        <f t="shared" si="48"/>
        <v>123</v>
      </c>
      <c r="Z301" s="6">
        <f t="shared" si="49"/>
        <v>62.32</v>
      </c>
      <c r="AA301" s="6">
        <f t="shared" si="50"/>
        <v>70.88</v>
      </c>
      <c r="AB301" s="6">
        <f t="shared" si="45"/>
        <v>52.120000000000005</v>
      </c>
      <c r="AC301" t="s">
        <v>33</v>
      </c>
      <c r="AD301" s="3" t="s">
        <v>168</v>
      </c>
    </row>
    <row r="302" spans="1:39" ht="15.75" customHeight="1" x14ac:dyDescent="0.2">
      <c r="A302" s="7" t="str">
        <f t="shared" si="46"/>
        <v>SHENZHEN STRONG TECHNOLOGY CO., LTD.J581New Buy</v>
      </c>
      <c r="B302" s="7" t="str">
        <f t="shared" si="47"/>
        <v>iPadNew Buy</v>
      </c>
      <c r="C302">
        <v>407608</v>
      </c>
      <c r="D302" t="s">
        <v>76</v>
      </c>
      <c r="E302" t="s">
        <v>166</v>
      </c>
      <c r="F302" t="s">
        <v>173</v>
      </c>
      <c r="G302" t="s">
        <v>174</v>
      </c>
      <c r="H302" t="s">
        <v>167</v>
      </c>
      <c r="I302" t="s">
        <v>175</v>
      </c>
      <c r="J302" t="s">
        <v>490</v>
      </c>
      <c r="L302" t="s">
        <v>492</v>
      </c>
      <c r="M302" s="25">
        <v>82</v>
      </c>
      <c r="N302" s="4">
        <v>70.88</v>
      </c>
      <c r="O302">
        <v>1</v>
      </c>
      <c r="T302" t="s">
        <v>178</v>
      </c>
      <c r="U302" t="s">
        <v>104</v>
      </c>
      <c r="V302" s="25">
        <v>62.32</v>
      </c>
      <c r="W302" s="18" t="s">
        <v>367</v>
      </c>
      <c r="Y302" s="6">
        <f t="shared" si="48"/>
        <v>82</v>
      </c>
      <c r="Z302" s="6">
        <f t="shared" si="49"/>
        <v>62.32</v>
      </c>
      <c r="AA302" s="6">
        <f t="shared" si="50"/>
        <v>70.88</v>
      </c>
      <c r="AB302" s="6">
        <f t="shared" si="45"/>
        <v>11.120000000000005</v>
      </c>
      <c r="AC302" t="s">
        <v>16</v>
      </c>
      <c r="AD302" s="3" t="s">
        <v>168</v>
      </c>
    </row>
    <row r="303" spans="1:39" ht="15.75" customHeight="1" x14ac:dyDescent="0.2">
      <c r="A303" s="7" t="str">
        <f t="shared" si="46"/>
        <v>SHENZHEN STRONG TECHNOLOGY CO., LTD.J581New Buy</v>
      </c>
      <c r="B303" s="7" t="str">
        <f t="shared" si="47"/>
        <v>iPadNew Buy</v>
      </c>
      <c r="C303">
        <v>407607</v>
      </c>
      <c r="D303" t="s">
        <v>76</v>
      </c>
      <c r="E303" t="s">
        <v>166</v>
      </c>
      <c r="F303" t="s">
        <v>173</v>
      </c>
      <c r="G303" t="s">
        <v>174</v>
      </c>
      <c r="H303" t="s">
        <v>167</v>
      </c>
      <c r="I303" t="s">
        <v>175</v>
      </c>
      <c r="J303" t="s">
        <v>490</v>
      </c>
      <c r="L303" t="s">
        <v>492</v>
      </c>
      <c r="M303" s="25">
        <v>82</v>
      </c>
      <c r="N303" s="4">
        <v>70.88</v>
      </c>
      <c r="O303">
        <v>1</v>
      </c>
      <c r="T303" t="s">
        <v>178</v>
      </c>
      <c r="U303" t="s">
        <v>66</v>
      </c>
      <c r="V303" s="25">
        <v>62.32</v>
      </c>
      <c r="W303" s="18" t="s">
        <v>367</v>
      </c>
      <c r="Y303" s="6">
        <f t="shared" si="48"/>
        <v>82</v>
      </c>
      <c r="Z303" s="6">
        <f t="shared" si="49"/>
        <v>62.32</v>
      </c>
      <c r="AA303" s="6">
        <f t="shared" si="50"/>
        <v>70.88</v>
      </c>
      <c r="AB303" s="6">
        <f t="shared" si="45"/>
        <v>11.120000000000005</v>
      </c>
      <c r="AC303" t="s">
        <v>16</v>
      </c>
      <c r="AD303" s="3" t="s">
        <v>168</v>
      </c>
    </row>
    <row r="304" spans="1:39" ht="15.75" customHeight="1" x14ac:dyDescent="0.2">
      <c r="A304" s="7" t="str">
        <f t="shared" si="46"/>
        <v>SHENZHEN STRONG TECHNOLOGY CO., LTD.J581New Buy</v>
      </c>
      <c r="B304" s="7" t="str">
        <f t="shared" si="47"/>
        <v>iPadNew Buy</v>
      </c>
      <c r="C304">
        <v>407606</v>
      </c>
      <c r="D304" t="s">
        <v>76</v>
      </c>
      <c r="E304" t="s">
        <v>166</v>
      </c>
      <c r="F304" t="s">
        <v>173</v>
      </c>
      <c r="G304" t="s">
        <v>174</v>
      </c>
      <c r="H304" t="s">
        <v>167</v>
      </c>
      <c r="I304" t="s">
        <v>175</v>
      </c>
      <c r="J304" t="s">
        <v>493</v>
      </c>
      <c r="L304" t="s">
        <v>494</v>
      </c>
      <c r="M304" s="25">
        <v>123</v>
      </c>
      <c r="N304" s="4">
        <v>70.88</v>
      </c>
      <c r="O304">
        <v>1</v>
      </c>
      <c r="T304" t="s">
        <v>178</v>
      </c>
      <c r="U304" t="s">
        <v>116</v>
      </c>
      <c r="V304" s="25">
        <v>62.32</v>
      </c>
      <c r="W304" s="18" t="s">
        <v>367</v>
      </c>
      <c r="Y304" s="6">
        <f t="shared" si="48"/>
        <v>123</v>
      </c>
      <c r="Z304" s="6">
        <f t="shared" si="49"/>
        <v>62.32</v>
      </c>
      <c r="AA304" s="6">
        <f t="shared" si="50"/>
        <v>70.88</v>
      </c>
      <c r="AB304" s="6">
        <f t="shared" si="45"/>
        <v>52.120000000000005</v>
      </c>
      <c r="AC304" t="s">
        <v>33</v>
      </c>
      <c r="AD304" s="3" t="s">
        <v>168</v>
      </c>
    </row>
    <row r="305" spans="1:30" ht="15.75" customHeight="1" x14ac:dyDescent="0.2">
      <c r="A305" s="7" t="str">
        <f t="shared" si="46"/>
        <v>SHENZHEN STRONG TECHNOLOGY CO., LTD.J581New Buy</v>
      </c>
      <c r="B305" s="7" t="str">
        <f t="shared" si="47"/>
        <v>iPadNew Buy</v>
      </c>
      <c r="C305">
        <v>407605</v>
      </c>
      <c r="D305" t="s">
        <v>76</v>
      </c>
      <c r="E305" t="s">
        <v>166</v>
      </c>
      <c r="F305" t="s">
        <v>173</v>
      </c>
      <c r="G305" t="s">
        <v>174</v>
      </c>
      <c r="H305" t="s">
        <v>167</v>
      </c>
      <c r="I305" t="s">
        <v>175</v>
      </c>
      <c r="J305" t="s">
        <v>493</v>
      </c>
      <c r="L305" t="s">
        <v>495</v>
      </c>
      <c r="M305" s="25">
        <v>82</v>
      </c>
      <c r="N305" s="4">
        <v>70.88</v>
      </c>
      <c r="O305">
        <v>1</v>
      </c>
      <c r="T305" t="s">
        <v>178</v>
      </c>
      <c r="U305" t="s">
        <v>104</v>
      </c>
      <c r="V305" s="25">
        <v>62.32</v>
      </c>
      <c r="W305" s="18" t="s">
        <v>367</v>
      </c>
      <c r="Y305" s="6">
        <f t="shared" si="48"/>
        <v>82</v>
      </c>
      <c r="Z305" s="6">
        <f t="shared" si="49"/>
        <v>62.32</v>
      </c>
      <c r="AA305" s="6">
        <f t="shared" si="50"/>
        <v>70.88</v>
      </c>
      <c r="AB305" s="6">
        <f t="shared" si="45"/>
        <v>11.120000000000005</v>
      </c>
      <c r="AC305" t="s">
        <v>16</v>
      </c>
      <c r="AD305" s="3" t="s">
        <v>168</v>
      </c>
    </row>
    <row r="306" spans="1:30" ht="15.75" customHeight="1" x14ac:dyDescent="0.2">
      <c r="A306" s="7" t="str">
        <f t="shared" si="46"/>
        <v>SHENZHEN STRONG TECHNOLOGY CO., LTD.J581New Buy</v>
      </c>
      <c r="B306" s="7" t="str">
        <f t="shared" si="47"/>
        <v>iPadNew Buy</v>
      </c>
      <c r="C306">
        <v>407604</v>
      </c>
      <c r="D306" t="s">
        <v>76</v>
      </c>
      <c r="E306" t="s">
        <v>166</v>
      </c>
      <c r="F306" t="s">
        <v>173</v>
      </c>
      <c r="G306" t="s">
        <v>174</v>
      </c>
      <c r="H306" t="s">
        <v>167</v>
      </c>
      <c r="I306" t="s">
        <v>175</v>
      </c>
      <c r="J306" t="s">
        <v>493</v>
      </c>
      <c r="L306" t="s">
        <v>495</v>
      </c>
      <c r="M306" s="25">
        <v>82</v>
      </c>
      <c r="N306" s="4">
        <v>70.88</v>
      </c>
      <c r="O306">
        <v>1</v>
      </c>
      <c r="T306" t="s">
        <v>178</v>
      </c>
      <c r="U306" t="s">
        <v>66</v>
      </c>
      <c r="V306" s="25">
        <v>62.32</v>
      </c>
      <c r="W306" s="18" t="s">
        <v>367</v>
      </c>
      <c r="Y306" s="6">
        <f t="shared" si="48"/>
        <v>82</v>
      </c>
      <c r="Z306" s="6">
        <f t="shared" si="49"/>
        <v>62.32</v>
      </c>
      <c r="AA306" s="6">
        <f t="shared" si="50"/>
        <v>70.88</v>
      </c>
      <c r="AB306" s="6">
        <f t="shared" si="45"/>
        <v>11.120000000000005</v>
      </c>
      <c r="AC306" t="s">
        <v>16</v>
      </c>
      <c r="AD306" s="3" t="s">
        <v>168</v>
      </c>
    </row>
    <row r="307" spans="1:30" ht="15.75" customHeight="1" x14ac:dyDescent="0.2">
      <c r="A307" s="7" t="str">
        <f t="shared" si="46"/>
        <v>SHENZHEN STRONG TECHNOLOGY CO., LTD.J581New Buy</v>
      </c>
      <c r="B307" s="7" t="str">
        <f t="shared" si="47"/>
        <v>iPadNew Buy</v>
      </c>
      <c r="C307">
        <v>407603</v>
      </c>
      <c r="D307" t="s">
        <v>76</v>
      </c>
      <c r="E307" t="s">
        <v>166</v>
      </c>
      <c r="F307" t="s">
        <v>173</v>
      </c>
      <c r="G307" t="s">
        <v>174</v>
      </c>
      <c r="H307" t="s">
        <v>167</v>
      </c>
      <c r="I307" t="s">
        <v>175</v>
      </c>
      <c r="J307" t="s">
        <v>496</v>
      </c>
      <c r="L307" t="s">
        <v>497</v>
      </c>
      <c r="M307" s="25">
        <v>123</v>
      </c>
      <c r="N307" s="4">
        <v>70.88</v>
      </c>
      <c r="O307">
        <v>1</v>
      </c>
      <c r="T307" t="s">
        <v>178</v>
      </c>
      <c r="U307" t="s">
        <v>116</v>
      </c>
      <c r="V307" s="25">
        <v>62.32</v>
      </c>
      <c r="W307" s="18" t="s">
        <v>367</v>
      </c>
      <c r="Y307" s="6">
        <f t="shared" si="48"/>
        <v>123</v>
      </c>
      <c r="Z307" s="6">
        <f t="shared" si="49"/>
        <v>62.32</v>
      </c>
      <c r="AA307" s="6">
        <f t="shared" si="50"/>
        <v>70.88</v>
      </c>
      <c r="AB307" s="6">
        <f t="shared" si="45"/>
        <v>52.120000000000005</v>
      </c>
      <c r="AC307" t="s">
        <v>33</v>
      </c>
      <c r="AD307" s="3" t="s">
        <v>168</v>
      </c>
    </row>
    <row r="308" spans="1:30" ht="15.75" customHeight="1" x14ac:dyDescent="0.2">
      <c r="A308" s="7" t="str">
        <f t="shared" si="46"/>
        <v>SHENZHEN STRONG TECHNOLOGY CO., LTD.J581New Buy</v>
      </c>
      <c r="B308" s="7" t="str">
        <f t="shared" si="47"/>
        <v>iPadNew Buy</v>
      </c>
      <c r="C308">
        <v>407602</v>
      </c>
      <c r="D308" t="s">
        <v>76</v>
      </c>
      <c r="E308" t="s">
        <v>166</v>
      </c>
      <c r="F308" t="s">
        <v>173</v>
      </c>
      <c r="G308" t="s">
        <v>174</v>
      </c>
      <c r="H308" t="s">
        <v>167</v>
      </c>
      <c r="I308" t="s">
        <v>175</v>
      </c>
      <c r="J308" t="s">
        <v>496</v>
      </c>
      <c r="L308" t="s">
        <v>498</v>
      </c>
      <c r="M308" s="25">
        <v>82</v>
      </c>
      <c r="N308" s="4">
        <v>70.88</v>
      </c>
      <c r="O308">
        <v>1</v>
      </c>
      <c r="T308" t="s">
        <v>178</v>
      </c>
      <c r="U308" t="s">
        <v>104</v>
      </c>
      <c r="V308" s="25">
        <v>62.32</v>
      </c>
      <c r="W308" s="18" t="s">
        <v>367</v>
      </c>
      <c r="Y308" s="6">
        <f t="shared" si="48"/>
        <v>82</v>
      </c>
      <c r="Z308" s="6">
        <f t="shared" si="49"/>
        <v>62.32</v>
      </c>
      <c r="AA308" s="6">
        <f t="shared" si="50"/>
        <v>70.88</v>
      </c>
      <c r="AB308" s="6">
        <f t="shared" si="45"/>
        <v>11.120000000000005</v>
      </c>
      <c r="AC308" t="s">
        <v>16</v>
      </c>
      <c r="AD308" s="3" t="s">
        <v>168</v>
      </c>
    </row>
    <row r="309" spans="1:30" ht="15.75" customHeight="1" x14ac:dyDescent="0.2">
      <c r="A309" s="7" t="str">
        <f t="shared" si="46"/>
        <v>SHENZHEN STRONG TECHNOLOGY CO., LTD.J581New Buy</v>
      </c>
      <c r="B309" s="7" t="str">
        <f t="shared" si="47"/>
        <v>iPadNew Buy</v>
      </c>
      <c r="C309">
        <v>407601</v>
      </c>
      <c r="D309" t="s">
        <v>76</v>
      </c>
      <c r="E309" t="s">
        <v>166</v>
      </c>
      <c r="F309" t="s">
        <v>173</v>
      </c>
      <c r="G309" t="s">
        <v>174</v>
      </c>
      <c r="H309" t="s">
        <v>167</v>
      </c>
      <c r="I309" t="s">
        <v>175</v>
      </c>
      <c r="J309" t="s">
        <v>496</v>
      </c>
      <c r="L309" t="s">
        <v>498</v>
      </c>
      <c r="M309" s="25">
        <v>82</v>
      </c>
      <c r="N309" s="4">
        <v>70.88</v>
      </c>
      <c r="O309">
        <v>1</v>
      </c>
      <c r="T309" t="s">
        <v>178</v>
      </c>
      <c r="U309" t="s">
        <v>66</v>
      </c>
      <c r="V309" s="25">
        <v>62.32</v>
      </c>
      <c r="W309" s="18" t="s">
        <v>367</v>
      </c>
      <c r="Y309" s="6">
        <f t="shared" si="48"/>
        <v>82</v>
      </c>
      <c r="Z309" s="6">
        <f t="shared" si="49"/>
        <v>62.32</v>
      </c>
      <c r="AA309" s="6">
        <f t="shared" si="50"/>
        <v>70.88</v>
      </c>
      <c r="AB309" s="6">
        <f t="shared" si="45"/>
        <v>11.120000000000005</v>
      </c>
      <c r="AC309" t="s">
        <v>16</v>
      </c>
      <c r="AD309" s="3" t="s">
        <v>168</v>
      </c>
    </row>
    <row r="310" spans="1:30" ht="15.75" customHeight="1" x14ac:dyDescent="0.2">
      <c r="A310" s="7" t="str">
        <f t="shared" si="46"/>
        <v>SHENZHEN STRONG TECHNOLOGY CO., LTD.J581New Buy</v>
      </c>
      <c r="B310" s="7" t="str">
        <f t="shared" si="47"/>
        <v>iPadNew Buy</v>
      </c>
      <c r="C310">
        <v>407600</v>
      </c>
      <c r="D310" t="s">
        <v>76</v>
      </c>
      <c r="E310" t="s">
        <v>166</v>
      </c>
      <c r="F310" t="s">
        <v>173</v>
      </c>
      <c r="G310" t="s">
        <v>174</v>
      </c>
      <c r="H310" t="s">
        <v>167</v>
      </c>
      <c r="I310" t="s">
        <v>175</v>
      </c>
      <c r="J310" t="s">
        <v>499</v>
      </c>
      <c r="L310" t="s">
        <v>500</v>
      </c>
      <c r="M310" s="25">
        <v>123</v>
      </c>
      <c r="N310" s="4">
        <v>70.88</v>
      </c>
      <c r="O310">
        <v>1</v>
      </c>
      <c r="T310" t="s">
        <v>178</v>
      </c>
      <c r="U310" t="s">
        <v>116</v>
      </c>
      <c r="V310" s="25">
        <v>62.32</v>
      </c>
      <c r="W310" s="18" t="s">
        <v>367</v>
      </c>
      <c r="Y310" s="6">
        <f t="shared" si="48"/>
        <v>123</v>
      </c>
      <c r="Z310" s="6">
        <f t="shared" si="49"/>
        <v>62.32</v>
      </c>
      <c r="AA310" s="6">
        <f t="shared" si="50"/>
        <v>70.88</v>
      </c>
      <c r="AB310" s="6">
        <f t="shared" si="45"/>
        <v>52.120000000000005</v>
      </c>
      <c r="AC310" t="s">
        <v>33</v>
      </c>
      <c r="AD310" s="3" t="s">
        <v>168</v>
      </c>
    </row>
    <row r="311" spans="1:30" ht="15.75" customHeight="1" x14ac:dyDescent="0.2">
      <c r="A311" s="7" t="str">
        <f t="shared" si="46"/>
        <v>SHENZHEN STRONG TECHNOLOGY CO., LTD.J581New Buy</v>
      </c>
      <c r="B311" s="7" t="str">
        <f t="shared" si="47"/>
        <v>iPadNew Buy</v>
      </c>
      <c r="C311">
        <v>407599</v>
      </c>
      <c r="D311" t="s">
        <v>76</v>
      </c>
      <c r="E311" t="s">
        <v>166</v>
      </c>
      <c r="F311" t="s">
        <v>173</v>
      </c>
      <c r="G311" t="s">
        <v>174</v>
      </c>
      <c r="H311" t="s">
        <v>167</v>
      </c>
      <c r="I311" t="s">
        <v>175</v>
      </c>
      <c r="J311" t="s">
        <v>499</v>
      </c>
      <c r="L311" t="s">
        <v>501</v>
      </c>
      <c r="M311" s="25">
        <v>82</v>
      </c>
      <c r="N311" s="4">
        <v>70.88</v>
      </c>
      <c r="O311">
        <v>1</v>
      </c>
      <c r="T311" t="s">
        <v>178</v>
      </c>
      <c r="U311" t="s">
        <v>104</v>
      </c>
      <c r="V311" s="25">
        <v>62.32</v>
      </c>
      <c r="W311" s="18" t="s">
        <v>367</v>
      </c>
      <c r="Y311" s="6">
        <f t="shared" si="48"/>
        <v>82</v>
      </c>
      <c r="Z311" s="6">
        <f t="shared" si="49"/>
        <v>62.32</v>
      </c>
      <c r="AA311" s="6">
        <f t="shared" si="50"/>
        <v>70.88</v>
      </c>
      <c r="AB311" s="6">
        <f t="shared" si="45"/>
        <v>11.120000000000005</v>
      </c>
      <c r="AC311" t="s">
        <v>16</v>
      </c>
      <c r="AD311" s="3" t="s">
        <v>168</v>
      </c>
    </row>
    <row r="312" spans="1:30" ht="15.75" customHeight="1" x14ac:dyDescent="0.2">
      <c r="A312" s="7" t="str">
        <f t="shared" si="46"/>
        <v>SHENZHEN STRONG TECHNOLOGY CO., LTD.J581New Buy</v>
      </c>
      <c r="B312" s="7" t="str">
        <f t="shared" si="47"/>
        <v>iPadNew Buy</v>
      </c>
      <c r="C312">
        <v>407598</v>
      </c>
      <c r="D312" t="s">
        <v>76</v>
      </c>
      <c r="E312" t="s">
        <v>166</v>
      </c>
      <c r="F312" t="s">
        <v>173</v>
      </c>
      <c r="G312" t="s">
        <v>174</v>
      </c>
      <c r="H312" t="s">
        <v>167</v>
      </c>
      <c r="I312" t="s">
        <v>175</v>
      </c>
      <c r="J312" t="s">
        <v>499</v>
      </c>
      <c r="L312" t="s">
        <v>501</v>
      </c>
      <c r="M312" s="25">
        <v>82</v>
      </c>
      <c r="N312" s="4">
        <v>70.88</v>
      </c>
      <c r="O312">
        <v>1</v>
      </c>
      <c r="T312" t="s">
        <v>178</v>
      </c>
      <c r="U312" t="s">
        <v>66</v>
      </c>
      <c r="V312" s="25">
        <v>62.32</v>
      </c>
      <c r="W312" s="18" t="s">
        <v>367</v>
      </c>
      <c r="Y312" s="6">
        <f t="shared" si="48"/>
        <v>82</v>
      </c>
      <c r="Z312" s="6">
        <f t="shared" si="49"/>
        <v>62.32</v>
      </c>
      <c r="AA312" s="6">
        <f t="shared" si="50"/>
        <v>70.88</v>
      </c>
      <c r="AB312" s="6">
        <f t="shared" si="45"/>
        <v>11.120000000000005</v>
      </c>
      <c r="AC312" t="s">
        <v>16</v>
      </c>
      <c r="AD312" s="3" t="s">
        <v>168</v>
      </c>
    </row>
    <row r="313" spans="1:30" ht="15.75" customHeight="1" x14ac:dyDescent="0.2">
      <c r="A313" s="7" t="str">
        <f t="shared" si="46"/>
        <v>SHENZHEN STRONG TECHNOLOGY CO., LTD.J581New Buy</v>
      </c>
      <c r="B313" s="7" t="str">
        <f t="shared" si="47"/>
        <v>iPadNew Buy</v>
      </c>
      <c r="C313">
        <v>407597</v>
      </c>
      <c r="D313" t="s">
        <v>76</v>
      </c>
      <c r="E313" t="s">
        <v>166</v>
      </c>
      <c r="F313" t="s">
        <v>173</v>
      </c>
      <c r="G313" t="s">
        <v>174</v>
      </c>
      <c r="H313" t="s">
        <v>167</v>
      </c>
      <c r="I313" t="s">
        <v>175</v>
      </c>
      <c r="J313" t="s">
        <v>502</v>
      </c>
      <c r="L313" t="s">
        <v>503</v>
      </c>
      <c r="M313" s="25">
        <v>123</v>
      </c>
      <c r="N313" s="4">
        <v>70.88</v>
      </c>
      <c r="O313">
        <v>1</v>
      </c>
      <c r="T313" t="s">
        <v>178</v>
      </c>
      <c r="U313" t="s">
        <v>116</v>
      </c>
      <c r="V313" s="25">
        <v>62.32</v>
      </c>
      <c r="W313" s="18" t="s">
        <v>367</v>
      </c>
      <c r="Y313" s="6">
        <f t="shared" si="48"/>
        <v>123</v>
      </c>
      <c r="Z313" s="6">
        <f t="shared" si="49"/>
        <v>62.32</v>
      </c>
      <c r="AA313" s="6">
        <f t="shared" si="50"/>
        <v>70.88</v>
      </c>
      <c r="AB313" s="6">
        <f t="shared" si="45"/>
        <v>52.120000000000005</v>
      </c>
      <c r="AC313" t="s">
        <v>33</v>
      </c>
      <c r="AD313" s="3" t="s">
        <v>168</v>
      </c>
    </row>
    <row r="314" spans="1:30" ht="15.75" customHeight="1" x14ac:dyDescent="0.2">
      <c r="A314" s="7" t="str">
        <f t="shared" si="46"/>
        <v>SHENZHEN STRONG TECHNOLOGY CO., LTD.J581New Buy</v>
      </c>
      <c r="B314" s="7" t="str">
        <f t="shared" si="47"/>
        <v>iPadNew Buy</v>
      </c>
      <c r="C314">
        <v>407596</v>
      </c>
      <c r="D314" t="s">
        <v>76</v>
      </c>
      <c r="E314" t="s">
        <v>166</v>
      </c>
      <c r="F314" t="s">
        <v>173</v>
      </c>
      <c r="G314" t="s">
        <v>174</v>
      </c>
      <c r="H314" t="s">
        <v>167</v>
      </c>
      <c r="I314" t="s">
        <v>175</v>
      </c>
      <c r="J314" t="s">
        <v>502</v>
      </c>
      <c r="L314" t="s">
        <v>504</v>
      </c>
      <c r="M314" s="25">
        <v>82</v>
      </c>
      <c r="N314" s="4">
        <v>70.88</v>
      </c>
      <c r="O314">
        <v>1</v>
      </c>
      <c r="T314" t="s">
        <v>178</v>
      </c>
      <c r="U314" t="s">
        <v>104</v>
      </c>
      <c r="V314" s="25">
        <v>62.32</v>
      </c>
      <c r="W314" s="18" t="s">
        <v>367</v>
      </c>
      <c r="Y314" s="6">
        <f t="shared" si="48"/>
        <v>82</v>
      </c>
      <c r="Z314" s="6">
        <f t="shared" si="49"/>
        <v>62.32</v>
      </c>
      <c r="AA314" s="6">
        <f t="shared" si="50"/>
        <v>70.88</v>
      </c>
      <c r="AB314" s="6">
        <f t="shared" si="45"/>
        <v>11.120000000000005</v>
      </c>
      <c r="AC314" t="s">
        <v>16</v>
      </c>
      <c r="AD314" s="3" t="s">
        <v>168</v>
      </c>
    </row>
    <row r="315" spans="1:30" ht="15.75" customHeight="1" x14ac:dyDescent="0.2">
      <c r="A315" s="7" t="str">
        <f t="shared" si="46"/>
        <v>SHENZHEN STRONG TECHNOLOGY CO., LTD.J581New Buy</v>
      </c>
      <c r="B315" s="7" t="str">
        <f t="shared" si="47"/>
        <v>iPadNew Buy</v>
      </c>
      <c r="C315">
        <v>407595</v>
      </c>
      <c r="D315" t="s">
        <v>76</v>
      </c>
      <c r="E315" t="s">
        <v>166</v>
      </c>
      <c r="F315" t="s">
        <v>173</v>
      </c>
      <c r="G315" t="s">
        <v>174</v>
      </c>
      <c r="H315" t="s">
        <v>167</v>
      </c>
      <c r="I315" t="s">
        <v>175</v>
      </c>
      <c r="J315" t="s">
        <v>502</v>
      </c>
      <c r="L315" t="s">
        <v>504</v>
      </c>
      <c r="M315" s="25">
        <v>82</v>
      </c>
      <c r="N315" s="4">
        <v>70.88</v>
      </c>
      <c r="O315">
        <v>1</v>
      </c>
      <c r="T315" t="s">
        <v>178</v>
      </c>
      <c r="U315" t="s">
        <v>66</v>
      </c>
      <c r="V315" s="25">
        <v>62.32</v>
      </c>
      <c r="W315" s="18" t="s">
        <v>367</v>
      </c>
      <c r="Y315" s="6">
        <f t="shared" si="48"/>
        <v>82</v>
      </c>
      <c r="Z315" s="6">
        <f t="shared" si="49"/>
        <v>62.32</v>
      </c>
      <c r="AA315" s="6">
        <f t="shared" si="50"/>
        <v>70.88</v>
      </c>
      <c r="AB315" s="6">
        <f t="shared" si="45"/>
        <v>11.120000000000005</v>
      </c>
      <c r="AC315" t="s">
        <v>16</v>
      </c>
      <c r="AD315" s="3" t="s">
        <v>168</v>
      </c>
    </row>
    <row r="316" spans="1:30" ht="15.75" customHeight="1" x14ac:dyDescent="0.2">
      <c r="A316" s="7" t="str">
        <f t="shared" si="46"/>
        <v>SHENZHEN STRONG TECHNOLOGY CO., LTD.J581New Buy</v>
      </c>
      <c r="B316" s="7" t="str">
        <f t="shared" si="47"/>
        <v>iPadNew Buy</v>
      </c>
      <c r="C316">
        <v>407594</v>
      </c>
      <c r="D316" t="s">
        <v>76</v>
      </c>
      <c r="E316" t="s">
        <v>166</v>
      </c>
      <c r="F316" t="s">
        <v>173</v>
      </c>
      <c r="G316" t="s">
        <v>174</v>
      </c>
      <c r="H316" t="s">
        <v>167</v>
      </c>
      <c r="I316" t="s">
        <v>175</v>
      </c>
      <c r="J316" t="s">
        <v>505</v>
      </c>
      <c r="L316" t="s">
        <v>506</v>
      </c>
      <c r="M316" s="25">
        <v>123</v>
      </c>
      <c r="N316" s="4">
        <v>70.88</v>
      </c>
      <c r="O316">
        <v>1</v>
      </c>
      <c r="T316" t="s">
        <v>178</v>
      </c>
      <c r="U316" t="s">
        <v>116</v>
      </c>
      <c r="V316" s="25">
        <v>62.32</v>
      </c>
      <c r="W316" s="18" t="s">
        <v>367</v>
      </c>
      <c r="Y316" s="6">
        <f t="shared" si="48"/>
        <v>123</v>
      </c>
      <c r="Z316" s="6">
        <f t="shared" si="49"/>
        <v>62.32</v>
      </c>
      <c r="AA316" s="6">
        <f t="shared" si="50"/>
        <v>70.88</v>
      </c>
      <c r="AB316" s="6">
        <f t="shared" si="45"/>
        <v>52.120000000000005</v>
      </c>
      <c r="AC316" t="s">
        <v>33</v>
      </c>
      <c r="AD316" s="3" t="s">
        <v>168</v>
      </c>
    </row>
    <row r="317" spans="1:30" ht="15.75" customHeight="1" x14ac:dyDescent="0.2">
      <c r="A317" s="7" t="str">
        <f t="shared" si="46"/>
        <v>SHENZHEN STRONG TECHNOLOGY CO., LTD.J581New Buy</v>
      </c>
      <c r="B317" s="7" t="str">
        <f t="shared" si="47"/>
        <v>iPadNew Buy</v>
      </c>
      <c r="C317">
        <v>407593</v>
      </c>
      <c r="D317" t="s">
        <v>76</v>
      </c>
      <c r="E317" t="s">
        <v>166</v>
      </c>
      <c r="F317" t="s">
        <v>173</v>
      </c>
      <c r="G317" t="s">
        <v>174</v>
      </c>
      <c r="H317" t="s">
        <v>167</v>
      </c>
      <c r="I317" t="s">
        <v>175</v>
      </c>
      <c r="J317" t="s">
        <v>505</v>
      </c>
      <c r="L317" t="s">
        <v>507</v>
      </c>
      <c r="M317" s="25">
        <v>82</v>
      </c>
      <c r="N317" s="4">
        <v>70.88</v>
      </c>
      <c r="O317">
        <v>1</v>
      </c>
      <c r="T317" t="s">
        <v>178</v>
      </c>
      <c r="U317" t="s">
        <v>104</v>
      </c>
      <c r="V317" s="25">
        <v>62.32</v>
      </c>
      <c r="W317" s="18" t="s">
        <v>367</v>
      </c>
      <c r="Y317" s="6">
        <f t="shared" si="48"/>
        <v>82</v>
      </c>
      <c r="Z317" s="6">
        <f t="shared" si="49"/>
        <v>62.32</v>
      </c>
      <c r="AA317" s="6">
        <f t="shared" si="50"/>
        <v>70.88</v>
      </c>
      <c r="AB317" s="6">
        <f t="shared" si="45"/>
        <v>11.120000000000005</v>
      </c>
      <c r="AC317" t="s">
        <v>16</v>
      </c>
      <c r="AD317" s="3" t="s">
        <v>168</v>
      </c>
    </row>
    <row r="318" spans="1:30" ht="15.75" customHeight="1" x14ac:dyDescent="0.2">
      <c r="A318" s="7" t="str">
        <f t="shared" si="46"/>
        <v>SHENZHEN STRONG TECHNOLOGY CO., LTD.J581New Buy</v>
      </c>
      <c r="B318" s="7" t="str">
        <f t="shared" si="47"/>
        <v>iPadNew Buy</v>
      </c>
      <c r="C318">
        <v>407592</v>
      </c>
      <c r="D318" t="s">
        <v>76</v>
      </c>
      <c r="E318" t="s">
        <v>166</v>
      </c>
      <c r="F318" t="s">
        <v>173</v>
      </c>
      <c r="G318" t="s">
        <v>174</v>
      </c>
      <c r="H318" t="s">
        <v>167</v>
      </c>
      <c r="I318" t="s">
        <v>175</v>
      </c>
      <c r="J318" t="s">
        <v>505</v>
      </c>
      <c r="L318" t="s">
        <v>507</v>
      </c>
      <c r="M318" s="25">
        <v>82</v>
      </c>
      <c r="N318" s="4">
        <v>70.88</v>
      </c>
      <c r="O318">
        <v>1</v>
      </c>
      <c r="T318" t="s">
        <v>178</v>
      </c>
      <c r="U318" t="s">
        <v>66</v>
      </c>
      <c r="V318" s="25">
        <v>62.32</v>
      </c>
      <c r="W318" s="18" t="s">
        <v>367</v>
      </c>
      <c r="Y318" s="6">
        <f t="shared" si="48"/>
        <v>82</v>
      </c>
      <c r="Z318" s="6">
        <f t="shared" si="49"/>
        <v>62.32</v>
      </c>
      <c r="AA318" s="6">
        <f t="shared" si="50"/>
        <v>70.88</v>
      </c>
      <c r="AB318" s="6">
        <f t="shared" si="45"/>
        <v>11.120000000000005</v>
      </c>
      <c r="AC318" t="s">
        <v>16</v>
      </c>
      <c r="AD318" s="3" t="s">
        <v>168</v>
      </c>
    </row>
    <row r="319" spans="1:30" ht="15.75" customHeight="1" x14ac:dyDescent="0.2">
      <c r="A319" s="7" t="str">
        <f t="shared" si="46"/>
        <v>SHENZHEN STRONG TECHNOLOGY CO., LTD.J581New Buy</v>
      </c>
      <c r="B319" s="7" t="str">
        <f t="shared" si="47"/>
        <v>iPadNew Buy</v>
      </c>
      <c r="C319">
        <v>407591</v>
      </c>
      <c r="D319" t="s">
        <v>76</v>
      </c>
      <c r="E319" t="s">
        <v>166</v>
      </c>
      <c r="F319" t="s">
        <v>173</v>
      </c>
      <c r="G319" t="s">
        <v>174</v>
      </c>
      <c r="H319" t="s">
        <v>167</v>
      </c>
      <c r="I319" t="s">
        <v>175</v>
      </c>
      <c r="J319" t="s">
        <v>508</v>
      </c>
      <c r="L319" t="s">
        <v>509</v>
      </c>
      <c r="M319" s="25">
        <v>123</v>
      </c>
      <c r="N319" s="4">
        <v>70.88</v>
      </c>
      <c r="O319">
        <v>1</v>
      </c>
      <c r="T319" t="s">
        <v>178</v>
      </c>
      <c r="U319" t="s">
        <v>116</v>
      </c>
      <c r="V319" s="25">
        <v>62.32</v>
      </c>
      <c r="W319" s="18" t="s">
        <v>367</v>
      </c>
      <c r="Y319" s="6">
        <f t="shared" si="48"/>
        <v>123</v>
      </c>
      <c r="Z319" s="6">
        <f t="shared" si="49"/>
        <v>62.32</v>
      </c>
      <c r="AA319" s="6">
        <f t="shared" si="50"/>
        <v>70.88</v>
      </c>
      <c r="AB319" s="6">
        <f t="shared" si="45"/>
        <v>52.120000000000005</v>
      </c>
      <c r="AC319" t="s">
        <v>33</v>
      </c>
      <c r="AD319" s="3" t="s">
        <v>168</v>
      </c>
    </row>
    <row r="320" spans="1:30" ht="15.75" customHeight="1" x14ac:dyDescent="0.2">
      <c r="A320" s="7" t="str">
        <f t="shared" si="46"/>
        <v>SHENZHEN STRONG TECHNOLOGY CO., LTD.J581New Buy</v>
      </c>
      <c r="B320" s="7" t="str">
        <f t="shared" si="47"/>
        <v>iPadNew Buy</v>
      </c>
      <c r="C320">
        <v>407590</v>
      </c>
      <c r="D320" t="s">
        <v>76</v>
      </c>
      <c r="E320" t="s">
        <v>166</v>
      </c>
      <c r="F320" t="s">
        <v>173</v>
      </c>
      <c r="G320" t="s">
        <v>174</v>
      </c>
      <c r="H320" t="s">
        <v>167</v>
      </c>
      <c r="I320" t="s">
        <v>175</v>
      </c>
      <c r="J320" t="s">
        <v>508</v>
      </c>
      <c r="L320" t="s">
        <v>510</v>
      </c>
      <c r="M320" s="25">
        <v>82</v>
      </c>
      <c r="N320" s="4">
        <v>70.88</v>
      </c>
      <c r="O320">
        <v>1</v>
      </c>
      <c r="T320" t="s">
        <v>178</v>
      </c>
      <c r="U320" t="s">
        <v>104</v>
      </c>
      <c r="V320" s="25">
        <v>62.32</v>
      </c>
      <c r="W320" s="18" t="s">
        <v>367</v>
      </c>
      <c r="Y320" s="6">
        <f t="shared" si="48"/>
        <v>82</v>
      </c>
      <c r="Z320" s="6">
        <f t="shared" si="49"/>
        <v>62.32</v>
      </c>
      <c r="AA320" s="6">
        <f t="shared" si="50"/>
        <v>70.88</v>
      </c>
      <c r="AB320" s="6">
        <f t="shared" si="45"/>
        <v>11.120000000000005</v>
      </c>
      <c r="AC320" t="s">
        <v>16</v>
      </c>
      <c r="AD320" s="3" t="s">
        <v>168</v>
      </c>
    </row>
    <row r="321" spans="1:39" ht="15.75" customHeight="1" x14ac:dyDescent="0.2">
      <c r="A321" s="7" t="str">
        <f t="shared" si="46"/>
        <v>SHENZHEN STRONG TECHNOLOGY CO., LTD.J581New Buy</v>
      </c>
      <c r="B321" s="7" t="str">
        <f t="shared" si="47"/>
        <v>iPadNew Buy</v>
      </c>
      <c r="C321">
        <v>407589</v>
      </c>
      <c r="D321" t="s">
        <v>76</v>
      </c>
      <c r="E321" t="s">
        <v>166</v>
      </c>
      <c r="F321" t="s">
        <v>173</v>
      </c>
      <c r="G321" t="s">
        <v>174</v>
      </c>
      <c r="H321" t="s">
        <v>167</v>
      </c>
      <c r="I321" t="s">
        <v>175</v>
      </c>
      <c r="J321" t="s">
        <v>508</v>
      </c>
      <c r="L321" t="s">
        <v>510</v>
      </c>
      <c r="M321" s="25">
        <v>82</v>
      </c>
      <c r="N321" s="4">
        <v>70.88</v>
      </c>
      <c r="O321">
        <v>1</v>
      </c>
      <c r="T321" t="s">
        <v>178</v>
      </c>
      <c r="U321" t="s">
        <v>66</v>
      </c>
      <c r="V321" s="25">
        <v>62.32</v>
      </c>
      <c r="W321" s="18" t="s">
        <v>367</v>
      </c>
      <c r="Y321" s="6">
        <f t="shared" si="48"/>
        <v>82</v>
      </c>
      <c r="Z321" s="6">
        <f t="shared" si="49"/>
        <v>62.32</v>
      </c>
      <c r="AA321" s="6">
        <f t="shared" si="50"/>
        <v>70.88</v>
      </c>
      <c r="AB321" s="6">
        <f t="shared" si="45"/>
        <v>11.120000000000005</v>
      </c>
      <c r="AC321" t="s">
        <v>16</v>
      </c>
      <c r="AD321" s="3" t="s">
        <v>168</v>
      </c>
    </row>
    <row r="322" spans="1:39" ht="15.75" customHeight="1" x14ac:dyDescent="0.2">
      <c r="A322" s="7" t="str">
        <f t="shared" si="46"/>
        <v>SHENZHEN STRONG TECHNOLOGY CO., LTD.J581New Buy</v>
      </c>
      <c r="B322" s="7" t="str">
        <f t="shared" si="47"/>
        <v>iPadNew Buy</v>
      </c>
      <c r="C322">
        <v>407588</v>
      </c>
      <c r="D322" t="s">
        <v>76</v>
      </c>
      <c r="E322" t="s">
        <v>166</v>
      </c>
      <c r="F322" t="s">
        <v>173</v>
      </c>
      <c r="G322" t="s">
        <v>174</v>
      </c>
      <c r="H322" t="s">
        <v>167</v>
      </c>
      <c r="I322" t="s">
        <v>175</v>
      </c>
      <c r="J322" t="s">
        <v>511</v>
      </c>
      <c r="L322" t="s">
        <v>512</v>
      </c>
      <c r="M322" s="25">
        <v>123</v>
      </c>
      <c r="N322" s="4">
        <v>70.88</v>
      </c>
      <c r="O322">
        <v>1</v>
      </c>
      <c r="T322" t="s">
        <v>178</v>
      </c>
      <c r="U322" t="s">
        <v>116</v>
      </c>
      <c r="V322" s="25">
        <v>62.32</v>
      </c>
      <c r="W322" s="18" t="s">
        <v>367</v>
      </c>
      <c r="Y322" s="6">
        <f t="shared" si="48"/>
        <v>123</v>
      </c>
      <c r="Z322" s="6">
        <f t="shared" si="49"/>
        <v>62.32</v>
      </c>
      <c r="AA322" s="6">
        <f t="shared" si="50"/>
        <v>70.88</v>
      </c>
      <c r="AB322" s="6">
        <f t="shared" si="45"/>
        <v>52.120000000000005</v>
      </c>
      <c r="AC322" t="s">
        <v>33</v>
      </c>
      <c r="AD322" s="3" t="s">
        <v>168</v>
      </c>
    </row>
    <row r="323" spans="1:39" ht="15.75" customHeight="1" x14ac:dyDescent="0.2">
      <c r="A323" s="7" t="str">
        <f t="shared" si="46"/>
        <v>SHENZHEN STRONG TECHNOLOGY CO., LTD.J581New Buy</v>
      </c>
      <c r="B323" s="7" t="str">
        <f t="shared" si="47"/>
        <v>iPadNew Buy</v>
      </c>
      <c r="C323">
        <v>407587</v>
      </c>
      <c r="D323" t="s">
        <v>76</v>
      </c>
      <c r="E323" t="s">
        <v>166</v>
      </c>
      <c r="F323" t="s">
        <v>173</v>
      </c>
      <c r="G323" t="s">
        <v>174</v>
      </c>
      <c r="H323" t="s">
        <v>167</v>
      </c>
      <c r="I323" t="s">
        <v>175</v>
      </c>
      <c r="J323" t="s">
        <v>511</v>
      </c>
      <c r="L323" t="s">
        <v>513</v>
      </c>
      <c r="M323" s="25">
        <v>82</v>
      </c>
      <c r="N323" s="4">
        <v>70.88</v>
      </c>
      <c r="O323">
        <v>1</v>
      </c>
      <c r="T323" t="s">
        <v>178</v>
      </c>
      <c r="U323" t="s">
        <v>104</v>
      </c>
      <c r="V323" s="25">
        <v>62.32</v>
      </c>
      <c r="W323" s="18" t="s">
        <v>367</v>
      </c>
      <c r="Y323" s="6">
        <f t="shared" si="48"/>
        <v>82</v>
      </c>
      <c r="Z323" s="6">
        <f t="shared" si="49"/>
        <v>62.32</v>
      </c>
      <c r="AA323" s="6">
        <f t="shared" si="50"/>
        <v>70.88</v>
      </c>
      <c r="AB323" s="6">
        <f t="shared" si="45"/>
        <v>11.120000000000005</v>
      </c>
      <c r="AC323" t="s">
        <v>16</v>
      </c>
      <c r="AD323" s="3" t="s">
        <v>168</v>
      </c>
    </row>
    <row r="324" spans="1:39" ht="15.75" customHeight="1" x14ac:dyDescent="0.2">
      <c r="A324" s="7" t="str">
        <f t="shared" si="46"/>
        <v>SHENZHEN STRONG TECHNOLOGY CO., LTD.J581New Buy</v>
      </c>
      <c r="B324" s="7" t="str">
        <f t="shared" si="47"/>
        <v>iPadNew Buy</v>
      </c>
      <c r="C324">
        <v>407586</v>
      </c>
      <c r="D324" t="s">
        <v>76</v>
      </c>
      <c r="E324" t="s">
        <v>166</v>
      </c>
      <c r="F324" t="s">
        <v>173</v>
      </c>
      <c r="G324" t="s">
        <v>174</v>
      </c>
      <c r="H324" t="s">
        <v>167</v>
      </c>
      <c r="I324" t="s">
        <v>175</v>
      </c>
      <c r="J324" t="s">
        <v>511</v>
      </c>
      <c r="L324" t="s">
        <v>513</v>
      </c>
      <c r="M324" s="25">
        <v>82</v>
      </c>
      <c r="N324" s="4">
        <v>70.88</v>
      </c>
      <c r="O324">
        <v>1</v>
      </c>
      <c r="T324" t="s">
        <v>178</v>
      </c>
      <c r="U324" t="s">
        <v>66</v>
      </c>
      <c r="V324" s="25">
        <v>62.32</v>
      </c>
      <c r="W324" s="18" t="s">
        <v>367</v>
      </c>
      <c r="Y324" s="6">
        <f t="shared" si="48"/>
        <v>82</v>
      </c>
      <c r="Z324" s="6">
        <f t="shared" si="49"/>
        <v>62.32</v>
      </c>
      <c r="AA324" s="6">
        <f t="shared" si="50"/>
        <v>70.88</v>
      </c>
      <c r="AB324" s="6">
        <f t="shared" si="45"/>
        <v>11.120000000000005</v>
      </c>
      <c r="AC324" t="s">
        <v>16</v>
      </c>
      <c r="AD324" s="3" t="s">
        <v>168</v>
      </c>
    </row>
    <row r="325" spans="1:39" ht="15.75" customHeight="1" x14ac:dyDescent="0.2">
      <c r="A325" s="7" t="str">
        <f t="shared" si="46"/>
        <v>SHENZHEN STRONG TECHNOLOGY CO., LTD.J581New Buy</v>
      </c>
      <c r="B325" s="7" t="str">
        <f t="shared" si="47"/>
        <v>iPadNew Buy</v>
      </c>
      <c r="C325">
        <v>407585</v>
      </c>
      <c r="D325" t="s">
        <v>76</v>
      </c>
      <c r="E325" t="s">
        <v>166</v>
      </c>
      <c r="F325" t="s">
        <v>173</v>
      </c>
      <c r="G325" t="s">
        <v>174</v>
      </c>
      <c r="H325" t="s">
        <v>167</v>
      </c>
      <c r="I325" t="s">
        <v>175</v>
      </c>
      <c r="J325" t="s">
        <v>514</v>
      </c>
      <c r="L325" t="s">
        <v>515</v>
      </c>
      <c r="M325" s="25">
        <v>123</v>
      </c>
      <c r="N325" s="4">
        <v>70.88</v>
      </c>
      <c r="O325">
        <v>1</v>
      </c>
      <c r="T325" t="s">
        <v>178</v>
      </c>
      <c r="U325" t="s">
        <v>116</v>
      </c>
      <c r="V325" s="25">
        <v>62.32</v>
      </c>
      <c r="W325" s="18" t="s">
        <v>367</v>
      </c>
      <c r="Y325" s="6">
        <f t="shared" si="48"/>
        <v>123</v>
      </c>
      <c r="Z325" s="6">
        <f t="shared" si="49"/>
        <v>62.32</v>
      </c>
      <c r="AA325" s="6">
        <f t="shared" si="50"/>
        <v>70.88</v>
      </c>
      <c r="AB325" s="6">
        <f t="shared" si="45"/>
        <v>52.120000000000005</v>
      </c>
      <c r="AC325" t="s">
        <v>33</v>
      </c>
      <c r="AD325" s="3" t="s">
        <v>168</v>
      </c>
    </row>
    <row r="326" spans="1:39" ht="15.75" customHeight="1" x14ac:dyDescent="0.2">
      <c r="A326" s="7" t="str">
        <f t="shared" si="46"/>
        <v>SHENZHEN STRONG TECHNOLOGY CO., LTD.J581New Buy</v>
      </c>
      <c r="B326" s="7" t="str">
        <f t="shared" si="47"/>
        <v>iPadNew Buy</v>
      </c>
      <c r="C326">
        <v>407584</v>
      </c>
      <c r="D326" t="s">
        <v>76</v>
      </c>
      <c r="E326" t="s">
        <v>166</v>
      </c>
      <c r="F326" t="s">
        <v>173</v>
      </c>
      <c r="G326" t="s">
        <v>174</v>
      </c>
      <c r="H326" t="s">
        <v>167</v>
      </c>
      <c r="I326" t="s">
        <v>175</v>
      </c>
      <c r="J326" t="s">
        <v>514</v>
      </c>
      <c r="L326" t="s">
        <v>516</v>
      </c>
      <c r="M326" s="25">
        <v>82</v>
      </c>
      <c r="N326" s="4">
        <v>70.88</v>
      </c>
      <c r="O326">
        <v>1</v>
      </c>
      <c r="T326" t="s">
        <v>178</v>
      </c>
      <c r="U326" t="s">
        <v>104</v>
      </c>
      <c r="V326" s="25">
        <v>62.32</v>
      </c>
      <c r="W326" s="18" t="s">
        <v>367</v>
      </c>
      <c r="Y326" s="6">
        <f t="shared" si="48"/>
        <v>82</v>
      </c>
      <c r="Z326" s="6">
        <f t="shared" si="49"/>
        <v>62.32</v>
      </c>
      <c r="AA326" s="6">
        <f t="shared" si="50"/>
        <v>70.88</v>
      </c>
      <c r="AB326" s="6">
        <f t="shared" si="45"/>
        <v>11.120000000000005</v>
      </c>
      <c r="AC326" t="s">
        <v>16</v>
      </c>
      <c r="AD326" s="3" t="s">
        <v>168</v>
      </c>
    </row>
    <row r="327" spans="1:39" ht="15.75" customHeight="1" x14ac:dyDescent="0.2">
      <c r="A327" s="7" t="str">
        <f t="shared" si="46"/>
        <v>SHENZHEN STRONG TECHNOLOGY CO., LTD.J581New Buy</v>
      </c>
      <c r="B327" s="7" t="str">
        <f t="shared" si="47"/>
        <v>iPadNew Buy</v>
      </c>
      <c r="C327">
        <v>407583</v>
      </c>
      <c r="D327" t="s">
        <v>76</v>
      </c>
      <c r="E327" t="s">
        <v>166</v>
      </c>
      <c r="F327" t="s">
        <v>173</v>
      </c>
      <c r="G327" t="s">
        <v>174</v>
      </c>
      <c r="H327" t="s">
        <v>167</v>
      </c>
      <c r="I327" t="s">
        <v>175</v>
      </c>
      <c r="J327" t="s">
        <v>514</v>
      </c>
      <c r="L327" t="s">
        <v>516</v>
      </c>
      <c r="M327" s="25">
        <v>82</v>
      </c>
      <c r="N327" s="4">
        <v>70.88</v>
      </c>
      <c r="O327">
        <v>1</v>
      </c>
      <c r="T327" t="s">
        <v>178</v>
      </c>
      <c r="U327" t="s">
        <v>66</v>
      </c>
      <c r="V327" s="25">
        <v>62.32</v>
      </c>
      <c r="W327" s="18" t="s">
        <v>367</v>
      </c>
      <c r="Y327" s="6">
        <f t="shared" si="48"/>
        <v>82</v>
      </c>
      <c r="Z327" s="6">
        <f t="shared" si="49"/>
        <v>62.32</v>
      </c>
      <c r="AA327" s="6">
        <f t="shared" si="50"/>
        <v>70.88</v>
      </c>
      <c r="AB327" s="6">
        <f t="shared" si="45"/>
        <v>11.120000000000005</v>
      </c>
      <c r="AC327" t="s">
        <v>16</v>
      </c>
      <c r="AD327" s="3" t="s">
        <v>168</v>
      </c>
    </row>
    <row r="328" spans="1:39" ht="15.75" customHeight="1" x14ac:dyDescent="0.2">
      <c r="A328" s="7" t="str">
        <f t="shared" si="46"/>
        <v>SHENZHEN STRONG TECHNOLOGY CO., LTD.J581New Buy</v>
      </c>
      <c r="B328" s="7" t="str">
        <f t="shared" si="47"/>
        <v>iPadNew Buy</v>
      </c>
      <c r="C328">
        <v>407582</v>
      </c>
      <c r="D328" t="s">
        <v>76</v>
      </c>
      <c r="E328" t="s">
        <v>166</v>
      </c>
      <c r="F328" t="s">
        <v>173</v>
      </c>
      <c r="G328" t="s">
        <v>174</v>
      </c>
      <c r="H328" t="s">
        <v>167</v>
      </c>
      <c r="I328" t="s">
        <v>175</v>
      </c>
      <c r="J328" t="s">
        <v>517</v>
      </c>
      <c r="L328" t="s">
        <v>518</v>
      </c>
      <c r="M328" s="25">
        <v>123</v>
      </c>
      <c r="N328" s="4">
        <v>70.88</v>
      </c>
      <c r="O328">
        <v>1</v>
      </c>
      <c r="T328" t="s">
        <v>178</v>
      </c>
      <c r="U328" t="s">
        <v>116</v>
      </c>
      <c r="V328" s="25">
        <v>62.32</v>
      </c>
      <c r="W328" s="18">
        <v>82</v>
      </c>
      <c r="Y328" s="6">
        <f t="shared" si="48"/>
        <v>123</v>
      </c>
      <c r="Z328" s="6">
        <f t="shared" si="49"/>
        <v>62.32</v>
      </c>
      <c r="AA328" s="6">
        <f t="shared" si="50"/>
        <v>70.88</v>
      </c>
      <c r="AB328" s="6">
        <f t="shared" si="45"/>
        <v>52.120000000000005</v>
      </c>
      <c r="AC328" t="s">
        <v>33</v>
      </c>
      <c r="AD328" s="3" t="s">
        <v>168</v>
      </c>
      <c r="AM328" s="1">
        <f t="shared" si="51"/>
        <v>11.120000000000005</v>
      </c>
    </row>
    <row r="329" spans="1:39" ht="15.75" customHeight="1" x14ac:dyDescent="0.2">
      <c r="A329" s="7" t="str">
        <f t="shared" si="46"/>
        <v>SHENZHEN STRONG TECHNOLOGY CO., LTD.J581New Buy</v>
      </c>
      <c r="B329" s="7" t="str">
        <f t="shared" si="47"/>
        <v>iPadNew Buy</v>
      </c>
      <c r="C329">
        <v>407581</v>
      </c>
      <c r="D329" t="s">
        <v>76</v>
      </c>
      <c r="E329" t="s">
        <v>166</v>
      </c>
      <c r="F329" t="s">
        <v>173</v>
      </c>
      <c r="G329" t="s">
        <v>174</v>
      </c>
      <c r="H329" t="s">
        <v>167</v>
      </c>
      <c r="I329" t="s">
        <v>175</v>
      </c>
      <c r="J329" t="s">
        <v>517</v>
      </c>
      <c r="L329" t="s">
        <v>519</v>
      </c>
      <c r="M329" s="25">
        <v>82</v>
      </c>
      <c r="N329" s="4">
        <v>70.88</v>
      </c>
      <c r="O329">
        <v>1</v>
      </c>
      <c r="T329" t="s">
        <v>178</v>
      </c>
      <c r="U329" t="s">
        <v>104</v>
      </c>
      <c r="V329" s="25">
        <v>62.32</v>
      </c>
      <c r="W329" s="18">
        <v>82</v>
      </c>
      <c r="Y329" s="6">
        <f t="shared" si="48"/>
        <v>82</v>
      </c>
      <c r="Z329" s="6">
        <f t="shared" si="49"/>
        <v>62.32</v>
      </c>
      <c r="AA329" s="6">
        <f t="shared" si="50"/>
        <v>70.88</v>
      </c>
      <c r="AB329" s="6">
        <f t="shared" si="45"/>
        <v>11.120000000000005</v>
      </c>
      <c r="AC329" t="s">
        <v>16</v>
      </c>
      <c r="AD329" s="3" t="s">
        <v>168</v>
      </c>
      <c r="AM329" s="1">
        <f t="shared" si="51"/>
        <v>11.120000000000005</v>
      </c>
    </row>
    <row r="330" spans="1:39" ht="15.75" customHeight="1" x14ac:dyDescent="0.2">
      <c r="A330" s="7" t="str">
        <f t="shared" si="46"/>
        <v>SHENZHEN STRONG TECHNOLOGY CO., LTD.J581New Buy</v>
      </c>
      <c r="B330" s="7" t="str">
        <f t="shared" si="47"/>
        <v>iPadNew Buy</v>
      </c>
      <c r="C330">
        <v>407580</v>
      </c>
      <c r="D330" t="s">
        <v>76</v>
      </c>
      <c r="E330" t="s">
        <v>166</v>
      </c>
      <c r="F330" t="s">
        <v>173</v>
      </c>
      <c r="G330" t="s">
        <v>174</v>
      </c>
      <c r="H330" t="s">
        <v>167</v>
      </c>
      <c r="I330" t="s">
        <v>175</v>
      </c>
      <c r="J330" t="s">
        <v>517</v>
      </c>
      <c r="L330" t="s">
        <v>519</v>
      </c>
      <c r="M330" s="25">
        <v>82</v>
      </c>
      <c r="N330" s="4">
        <v>70.88</v>
      </c>
      <c r="O330">
        <v>1</v>
      </c>
      <c r="T330" t="s">
        <v>178</v>
      </c>
      <c r="U330" t="s">
        <v>66</v>
      </c>
      <c r="V330" s="25">
        <v>62.32</v>
      </c>
      <c r="W330" s="18">
        <v>82</v>
      </c>
      <c r="Y330" s="6">
        <f t="shared" si="48"/>
        <v>82</v>
      </c>
      <c r="Z330" s="6">
        <f t="shared" si="49"/>
        <v>62.32</v>
      </c>
      <c r="AA330" s="6">
        <f t="shared" si="50"/>
        <v>70.88</v>
      </c>
      <c r="AB330" s="6">
        <f t="shared" si="45"/>
        <v>11.120000000000005</v>
      </c>
      <c r="AC330" t="s">
        <v>16</v>
      </c>
      <c r="AD330" s="3" t="s">
        <v>168</v>
      </c>
      <c r="AM330" s="1">
        <f t="shared" si="51"/>
        <v>11.120000000000005</v>
      </c>
    </row>
    <row r="331" spans="1:39" ht="15.75" customHeight="1" x14ac:dyDescent="0.2">
      <c r="A331" s="7" t="str">
        <f t="shared" si="46"/>
        <v>SHENZHEN STRONG TECHNOLOGY CO., LTD.J581New Buy</v>
      </c>
      <c r="B331" s="7" t="str">
        <f t="shared" si="47"/>
        <v>iPadNew Buy</v>
      </c>
      <c r="C331">
        <v>407579</v>
      </c>
      <c r="D331" t="s">
        <v>76</v>
      </c>
      <c r="E331" t="s">
        <v>166</v>
      </c>
      <c r="F331" t="s">
        <v>173</v>
      </c>
      <c r="G331" t="s">
        <v>174</v>
      </c>
      <c r="H331" t="s">
        <v>167</v>
      </c>
      <c r="I331" t="s">
        <v>175</v>
      </c>
      <c r="J331" t="s">
        <v>520</v>
      </c>
      <c r="L331" t="s">
        <v>521</v>
      </c>
      <c r="M331" s="25">
        <v>123</v>
      </c>
      <c r="N331" s="4">
        <v>70.88</v>
      </c>
      <c r="O331">
        <v>1</v>
      </c>
      <c r="T331" t="s">
        <v>178</v>
      </c>
      <c r="U331" t="s">
        <v>116</v>
      </c>
      <c r="V331" s="25">
        <v>62.32</v>
      </c>
      <c r="W331" s="18" t="s">
        <v>367</v>
      </c>
      <c r="Y331" s="6">
        <f t="shared" si="48"/>
        <v>123</v>
      </c>
      <c r="Z331" s="6">
        <f t="shared" si="49"/>
        <v>62.32</v>
      </c>
      <c r="AA331" s="6">
        <f t="shared" si="50"/>
        <v>70.88</v>
      </c>
      <c r="AB331" s="6">
        <f t="shared" si="45"/>
        <v>52.120000000000005</v>
      </c>
      <c r="AC331" t="s">
        <v>33</v>
      </c>
      <c r="AD331" s="3" t="s">
        <v>168</v>
      </c>
    </row>
    <row r="332" spans="1:39" ht="15.75" customHeight="1" x14ac:dyDescent="0.2">
      <c r="A332" s="7" t="str">
        <f t="shared" si="46"/>
        <v>SHENZHEN STRONG TECHNOLOGY CO., LTD.J581New Buy</v>
      </c>
      <c r="B332" s="7" t="str">
        <f t="shared" si="47"/>
        <v>iPadNew Buy</v>
      </c>
      <c r="C332">
        <v>407578</v>
      </c>
      <c r="D332" t="s">
        <v>76</v>
      </c>
      <c r="E332" t="s">
        <v>166</v>
      </c>
      <c r="F332" t="s">
        <v>173</v>
      </c>
      <c r="G332" t="s">
        <v>174</v>
      </c>
      <c r="H332" t="s">
        <v>167</v>
      </c>
      <c r="I332" t="s">
        <v>175</v>
      </c>
      <c r="J332" t="s">
        <v>520</v>
      </c>
      <c r="L332" t="s">
        <v>522</v>
      </c>
      <c r="M332" s="25">
        <v>82</v>
      </c>
      <c r="N332" s="4">
        <v>70.88</v>
      </c>
      <c r="O332">
        <v>1</v>
      </c>
      <c r="T332" t="s">
        <v>178</v>
      </c>
      <c r="U332" t="s">
        <v>104</v>
      </c>
      <c r="V332" s="25">
        <v>62.32</v>
      </c>
      <c r="W332" s="18" t="s">
        <v>367</v>
      </c>
      <c r="Y332" s="6">
        <f t="shared" si="48"/>
        <v>82</v>
      </c>
      <c r="Z332" s="6">
        <f t="shared" si="49"/>
        <v>62.32</v>
      </c>
      <c r="AA332" s="6">
        <f t="shared" si="50"/>
        <v>70.88</v>
      </c>
      <c r="AB332" s="6">
        <f t="shared" si="45"/>
        <v>11.120000000000005</v>
      </c>
      <c r="AC332" t="s">
        <v>16</v>
      </c>
      <c r="AD332" s="3" t="s">
        <v>168</v>
      </c>
    </row>
    <row r="333" spans="1:39" ht="15.75" customHeight="1" x14ac:dyDescent="0.2">
      <c r="A333" s="7" t="str">
        <f t="shared" si="46"/>
        <v>SHENZHEN STRONG TECHNOLOGY CO., LTD.J581New Buy</v>
      </c>
      <c r="B333" s="7" t="str">
        <f t="shared" si="47"/>
        <v>iPadNew Buy</v>
      </c>
      <c r="C333">
        <v>407577</v>
      </c>
      <c r="D333" t="s">
        <v>76</v>
      </c>
      <c r="E333" t="s">
        <v>166</v>
      </c>
      <c r="F333" t="s">
        <v>173</v>
      </c>
      <c r="G333" t="s">
        <v>174</v>
      </c>
      <c r="H333" t="s">
        <v>167</v>
      </c>
      <c r="I333" t="s">
        <v>175</v>
      </c>
      <c r="J333" t="s">
        <v>520</v>
      </c>
      <c r="L333" t="s">
        <v>522</v>
      </c>
      <c r="M333" s="25">
        <v>82</v>
      </c>
      <c r="N333" s="4">
        <v>70.88</v>
      </c>
      <c r="O333">
        <v>1</v>
      </c>
      <c r="T333" t="s">
        <v>178</v>
      </c>
      <c r="U333" t="s">
        <v>66</v>
      </c>
      <c r="V333" s="25">
        <v>62.32</v>
      </c>
      <c r="W333" s="18" t="s">
        <v>367</v>
      </c>
      <c r="Y333" s="6">
        <f t="shared" si="48"/>
        <v>82</v>
      </c>
      <c r="Z333" s="6">
        <f t="shared" si="49"/>
        <v>62.32</v>
      </c>
      <c r="AA333" s="6">
        <f t="shared" si="50"/>
        <v>70.88</v>
      </c>
      <c r="AB333" s="6">
        <f t="shared" si="45"/>
        <v>11.120000000000005</v>
      </c>
      <c r="AC333" t="s">
        <v>16</v>
      </c>
      <c r="AD333" s="3" t="s">
        <v>168</v>
      </c>
    </row>
    <row r="334" spans="1:39" ht="15.75" customHeight="1" x14ac:dyDescent="0.2">
      <c r="A334" s="7" t="str">
        <f t="shared" si="46"/>
        <v>SHENZHEN STRONG TECHNOLOGY CO., LTD.J581New Buy</v>
      </c>
      <c r="B334" s="7" t="str">
        <f t="shared" si="47"/>
        <v>iPadNew Buy</v>
      </c>
      <c r="C334">
        <v>407576</v>
      </c>
      <c r="D334" t="s">
        <v>76</v>
      </c>
      <c r="E334" t="s">
        <v>166</v>
      </c>
      <c r="F334" t="s">
        <v>173</v>
      </c>
      <c r="G334" t="s">
        <v>174</v>
      </c>
      <c r="H334" t="s">
        <v>167</v>
      </c>
      <c r="I334" t="s">
        <v>175</v>
      </c>
      <c r="J334" t="s">
        <v>523</v>
      </c>
      <c r="L334" t="s">
        <v>524</v>
      </c>
      <c r="M334" s="25">
        <v>123</v>
      </c>
      <c r="N334" s="4">
        <v>70.88</v>
      </c>
      <c r="O334">
        <v>1</v>
      </c>
      <c r="T334" t="s">
        <v>178</v>
      </c>
      <c r="U334" t="s">
        <v>116</v>
      </c>
      <c r="V334" s="25">
        <v>62.32</v>
      </c>
      <c r="W334" s="18" t="s">
        <v>367</v>
      </c>
      <c r="Y334" s="6">
        <f t="shared" si="48"/>
        <v>123</v>
      </c>
      <c r="Z334" s="6">
        <f t="shared" si="49"/>
        <v>62.32</v>
      </c>
      <c r="AA334" s="6">
        <f t="shared" si="50"/>
        <v>70.88</v>
      </c>
      <c r="AB334" s="6">
        <f t="shared" si="45"/>
        <v>52.120000000000005</v>
      </c>
      <c r="AC334" t="s">
        <v>33</v>
      </c>
      <c r="AD334" s="3" t="s">
        <v>168</v>
      </c>
    </row>
    <row r="335" spans="1:39" ht="15.75" customHeight="1" x14ac:dyDescent="0.2">
      <c r="A335" s="7" t="str">
        <f t="shared" si="46"/>
        <v>SHENZHEN STRONG TECHNOLOGY CO., LTD.J581New Buy</v>
      </c>
      <c r="B335" s="7" t="str">
        <f t="shared" si="47"/>
        <v>iPadNew Buy</v>
      </c>
      <c r="C335">
        <v>407575</v>
      </c>
      <c r="D335" t="s">
        <v>76</v>
      </c>
      <c r="E335" t="s">
        <v>166</v>
      </c>
      <c r="F335" t="s">
        <v>173</v>
      </c>
      <c r="G335" t="s">
        <v>174</v>
      </c>
      <c r="H335" t="s">
        <v>167</v>
      </c>
      <c r="I335" t="s">
        <v>175</v>
      </c>
      <c r="J335" t="s">
        <v>523</v>
      </c>
      <c r="L335" t="s">
        <v>525</v>
      </c>
      <c r="M335" s="25">
        <v>82</v>
      </c>
      <c r="N335" s="4">
        <v>70.88</v>
      </c>
      <c r="O335">
        <v>1</v>
      </c>
      <c r="T335" t="s">
        <v>178</v>
      </c>
      <c r="U335" t="s">
        <v>104</v>
      </c>
      <c r="V335" s="25">
        <v>62.32</v>
      </c>
      <c r="W335" s="18" t="s">
        <v>367</v>
      </c>
      <c r="Y335" s="6">
        <f t="shared" si="48"/>
        <v>82</v>
      </c>
      <c r="Z335" s="6">
        <f t="shared" si="49"/>
        <v>62.32</v>
      </c>
      <c r="AA335" s="6">
        <f t="shared" si="50"/>
        <v>70.88</v>
      </c>
      <c r="AB335" s="6">
        <f t="shared" si="45"/>
        <v>11.120000000000005</v>
      </c>
      <c r="AC335" t="s">
        <v>16</v>
      </c>
      <c r="AD335" s="3" t="s">
        <v>168</v>
      </c>
    </row>
    <row r="336" spans="1:39" ht="15.75" customHeight="1" x14ac:dyDescent="0.2">
      <c r="A336" s="7" t="str">
        <f t="shared" si="46"/>
        <v>SHENZHEN STRONG TECHNOLOGY CO., LTD.J581New Buy</v>
      </c>
      <c r="B336" s="7" t="str">
        <f t="shared" si="47"/>
        <v>iPadNew Buy</v>
      </c>
      <c r="C336">
        <v>407574</v>
      </c>
      <c r="D336" t="s">
        <v>76</v>
      </c>
      <c r="E336" t="s">
        <v>166</v>
      </c>
      <c r="F336" t="s">
        <v>173</v>
      </c>
      <c r="G336" t="s">
        <v>174</v>
      </c>
      <c r="H336" t="s">
        <v>167</v>
      </c>
      <c r="I336" t="s">
        <v>175</v>
      </c>
      <c r="J336" t="s">
        <v>523</v>
      </c>
      <c r="L336" t="s">
        <v>525</v>
      </c>
      <c r="M336" s="25">
        <v>82</v>
      </c>
      <c r="N336" s="4">
        <v>70.88</v>
      </c>
      <c r="O336">
        <v>1</v>
      </c>
      <c r="T336" t="s">
        <v>178</v>
      </c>
      <c r="U336" t="s">
        <v>66</v>
      </c>
      <c r="V336" s="25">
        <v>62.32</v>
      </c>
      <c r="W336" s="18" t="s">
        <v>367</v>
      </c>
      <c r="Y336" s="6">
        <f t="shared" si="48"/>
        <v>82</v>
      </c>
      <c r="Z336" s="6">
        <f t="shared" si="49"/>
        <v>62.32</v>
      </c>
      <c r="AA336" s="6">
        <f t="shared" si="50"/>
        <v>70.88</v>
      </c>
      <c r="AB336" s="6">
        <f t="shared" si="45"/>
        <v>11.120000000000005</v>
      </c>
      <c r="AC336" t="s">
        <v>16</v>
      </c>
      <c r="AD336" s="3" t="s">
        <v>168</v>
      </c>
    </row>
    <row r="337" spans="1:39" ht="15.75" customHeight="1" x14ac:dyDescent="0.2">
      <c r="A337" s="7" t="str">
        <f t="shared" si="46"/>
        <v>SHENZHEN STRONG TECHNOLOGY CO., LTD.J581New Buy</v>
      </c>
      <c r="B337" s="7" t="str">
        <f t="shared" si="47"/>
        <v>iPadNew Buy</v>
      </c>
      <c r="C337">
        <v>407573</v>
      </c>
      <c r="D337" t="s">
        <v>76</v>
      </c>
      <c r="E337" t="s">
        <v>166</v>
      </c>
      <c r="F337" t="s">
        <v>173</v>
      </c>
      <c r="G337" t="s">
        <v>174</v>
      </c>
      <c r="H337" t="s">
        <v>167</v>
      </c>
      <c r="I337" t="s">
        <v>175</v>
      </c>
      <c r="J337" t="s">
        <v>526</v>
      </c>
      <c r="L337" t="s">
        <v>527</v>
      </c>
      <c r="M337" s="25">
        <v>123</v>
      </c>
      <c r="N337" s="4">
        <v>70.88</v>
      </c>
      <c r="O337">
        <v>1</v>
      </c>
      <c r="T337" t="s">
        <v>178</v>
      </c>
      <c r="U337" t="s">
        <v>116</v>
      </c>
      <c r="V337" s="25">
        <v>62.32</v>
      </c>
      <c r="W337" s="18">
        <v>82</v>
      </c>
      <c r="Y337" s="6">
        <f t="shared" si="48"/>
        <v>123</v>
      </c>
      <c r="Z337" s="6">
        <f t="shared" si="49"/>
        <v>62.32</v>
      </c>
      <c r="AA337" s="6">
        <f t="shared" si="50"/>
        <v>70.88</v>
      </c>
      <c r="AB337" s="6">
        <f t="shared" si="45"/>
        <v>52.120000000000005</v>
      </c>
      <c r="AC337" t="s">
        <v>33</v>
      </c>
      <c r="AD337" s="3" t="s">
        <v>168</v>
      </c>
      <c r="AM337" s="1">
        <f t="shared" si="51"/>
        <v>11.120000000000005</v>
      </c>
    </row>
    <row r="338" spans="1:39" ht="15.75" customHeight="1" x14ac:dyDescent="0.2">
      <c r="A338" s="7" t="str">
        <f t="shared" si="46"/>
        <v>SHENZHEN STRONG TECHNOLOGY CO., LTD.J581New Buy</v>
      </c>
      <c r="B338" s="7" t="str">
        <f t="shared" si="47"/>
        <v>iPadNew Buy</v>
      </c>
      <c r="C338">
        <v>407572</v>
      </c>
      <c r="D338" t="s">
        <v>76</v>
      </c>
      <c r="E338" t="s">
        <v>166</v>
      </c>
      <c r="F338" t="s">
        <v>173</v>
      </c>
      <c r="G338" t="s">
        <v>174</v>
      </c>
      <c r="H338" t="s">
        <v>167</v>
      </c>
      <c r="I338" t="s">
        <v>175</v>
      </c>
      <c r="J338" t="s">
        <v>526</v>
      </c>
      <c r="L338" t="s">
        <v>528</v>
      </c>
      <c r="M338" s="25">
        <v>82</v>
      </c>
      <c r="N338" s="4">
        <v>70.88</v>
      </c>
      <c r="O338">
        <v>1</v>
      </c>
      <c r="T338" t="s">
        <v>178</v>
      </c>
      <c r="U338" t="s">
        <v>104</v>
      </c>
      <c r="V338" s="25">
        <v>62.32</v>
      </c>
      <c r="W338" s="18">
        <v>82</v>
      </c>
      <c r="Y338" s="6">
        <f t="shared" si="48"/>
        <v>82</v>
      </c>
      <c r="Z338" s="6">
        <f t="shared" si="49"/>
        <v>62.32</v>
      </c>
      <c r="AA338" s="6">
        <f t="shared" si="50"/>
        <v>70.88</v>
      </c>
      <c r="AB338" s="6">
        <f t="shared" si="45"/>
        <v>11.120000000000005</v>
      </c>
      <c r="AC338" t="s">
        <v>16</v>
      </c>
      <c r="AD338" s="3" t="s">
        <v>168</v>
      </c>
      <c r="AM338" s="1">
        <f t="shared" si="51"/>
        <v>11.120000000000005</v>
      </c>
    </row>
    <row r="339" spans="1:39" ht="15.75" customHeight="1" x14ac:dyDescent="0.2">
      <c r="A339" s="7" t="str">
        <f t="shared" si="46"/>
        <v>SHENZHEN STRONG TECHNOLOGY CO., LTD.J581New Buy</v>
      </c>
      <c r="B339" s="7" t="str">
        <f t="shared" si="47"/>
        <v>iPadNew Buy</v>
      </c>
      <c r="C339">
        <v>407571</v>
      </c>
      <c r="D339" t="s">
        <v>76</v>
      </c>
      <c r="E339" t="s">
        <v>166</v>
      </c>
      <c r="F339" t="s">
        <v>173</v>
      </c>
      <c r="G339" t="s">
        <v>174</v>
      </c>
      <c r="H339" t="s">
        <v>167</v>
      </c>
      <c r="I339" t="s">
        <v>175</v>
      </c>
      <c r="J339" t="s">
        <v>526</v>
      </c>
      <c r="L339" t="s">
        <v>528</v>
      </c>
      <c r="M339" s="25">
        <v>82</v>
      </c>
      <c r="N339" s="4">
        <v>70.88</v>
      </c>
      <c r="O339">
        <v>1</v>
      </c>
      <c r="T339" t="s">
        <v>178</v>
      </c>
      <c r="U339" t="s">
        <v>66</v>
      </c>
      <c r="V339" s="25">
        <v>62.32</v>
      </c>
      <c r="W339" s="18">
        <v>82</v>
      </c>
      <c r="Y339" s="6">
        <f t="shared" si="48"/>
        <v>82</v>
      </c>
      <c r="Z339" s="6">
        <f t="shared" si="49"/>
        <v>62.32</v>
      </c>
      <c r="AA339" s="6">
        <f t="shared" si="50"/>
        <v>70.88</v>
      </c>
      <c r="AB339" s="6">
        <f t="shared" ref="AB339:AB402" si="52">IF(AA339=0,0,Y339-AA339)</f>
        <v>11.120000000000005</v>
      </c>
      <c r="AC339" t="s">
        <v>16</v>
      </c>
      <c r="AD339" s="3" t="s">
        <v>168</v>
      </c>
      <c r="AM339" s="1">
        <f t="shared" si="51"/>
        <v>11.120000000000005</v>
      </c>
    </row>
    <row r="340" spans="1:39" ht="15.75" customHeight="1" x14ac:dyDescent="0.2">
      <c r="A340" s="7" t="str">
        <f t="shared" si="46"/>
        <v>SHENZHEN STRONG TECHNOLOGY CO., LTD.J581New Buy</v>
      </c>
      <c r="B340" s="7" t="str">
        <f t="shared" si="47"/>
        <v>iPadNew Buy</v>
      </c>
      <c r="C340">
        <v>407570</v>
      </c>
      <c r="D340" t="s">
        <v>76</v>
      </c>
      <c r="E340" t="s">
        <v>166</v>
      </c>
      <c r="F340" t="s">
        <v>173</v>
      </c>
      <c r="G340" t="s">
        <v>174</v>
      </c>
      <c r="H340" t="s">
        <v>167</v>
      </c>
      <c r="I340" t="s">
        <v>175</v>
      </c>
      <c r="J340" t="s">
        <v>529</v>
      </c>
      <c r="L340" t="s">
        <v>530</v>
      </c>
      <c r="M340" s="25">
        <v>123</v>
      </c>
      <c r="N340" s="4">
        <v>70.88</v>
      </c>
      <c r="O340">
        <v>1</v>
      </c>
      <c r="T340" t="s">
        <v>178</v>
      </c>
      <c r="U340" t="s">
        <v>116</v>
      </c>
      <c r="V340" s="25">
        <v>62.32</v>
      </c>
      <c r="W340" s="18">
        <v>82</v>
      </c>
      <c r="Y340" s="6">
        <f t="shared" si="48"/>
        <v>123</v>
      </c>
      <c r="Z340" s="6">
        <f t="shared" si="49"/>
        <v>62.32</v>
      </c>
      <c r="AA340" s="6">
        <f t="shared" si="50"/>
        <v>70.88</v>
      </c>
      <c r="AB340" s="6">
        <f t="shared" si="52"/>
        <v>52.120000000000005</v>
      </c>
      <c r="AC340" t="s">
        <v>33</v>
      </c>
      <c r="AD340" s="3" t="s">
        <v>168</v>
      </c>
      <c r="AM340" s="1">
        <f t="shared" si="51"/>
        <v>11.120000000000005</v>
      </c>
    </row>
    <row r="341" spans="1:39" ht="15.75" customHeight="1" x14ac:dyDescent="0.2">
      <c r="A341" s="7" t="str">
        <f t="shared" si="46"/>
        <v>SHENZHEN STRONG TECHNOLOGY CO., LTD.J581New Buy</v>
      </c>
      <c r="B341" s="7" t="str">
        <f t="shared" si="47"/>
        <v>iPadNew Buy</v>
      </c>
      <c r="C341">
        <v>407569</v>
      </c>
      <c r="D341" t="s">
        <v>76</v>
      </c>
      <c r="E341" t="s">
        <v>166</v>
      </c>
      <c r="F341" t="s">
        <v>173</v>
      </c>
      <c r="G341" t="s">
        <v>174</v>
      </c>
      <c r="H341" t="s">
        <v>167</v>
      </c>
      <c r="I341" t="s">
        <v>175</v>
      </c>
      <c r="J341" t="s">
        <v>529</v>
      </c>
      <c r="L341" t="s">
        <v>531</v>
      </c>
      <c r="M341" s="25">
        <v>82</v>
      </c>
      <c r="N341" s="4">
        <v>70.88</v>
      </c>
      <c r="O341">
        <v>1</v>
      </c>
      <c r="T341" t="s">
        <v>178</v>
      </c>
      <c r="U341" t="s">
        <v>104</v>
      </c>
      <c r="V341" s="25">
        <v>62.32</v>
      </c>
      <c r="W341" s="18">
        <v>82</v>
      </c>
      <c r="Y341" s="6">
        <f t="shared" si="48"/>
        <v>82</v>
      </c>
      <c r="Z341" s="6">
        <f t="shared" si="49"/>
        <v>62.32</v>
      </c>
      <c r="AA341" s="6">
        <f t="shared" si="50"/>
        <v>70.88</v>
      </c>
      <c r="AB341" s="6">
        <f t="shared" si="52"/>
        <v>11.120000000000005</v>
      </c>
      <c r="AC341" t="s">
        <v>16</v>
      </c>
      <c r="AD341" s="3" t="s">
        <v>168</v>
      </c>
      <c r="AM341" s="1">
        <f t="shared" si="51"/>
        <v>11.120000000000005</v>
      </c>
    </row>
    <row r="342" spans="1:39" ht="15.75" customHeight="1" x14ac:dyDescent="0.2">
      <c r="A342" s="7" t="str">
        <f t="shared" si="46"/>
        <v>SHENZHEN STRONG TECHNOLOGY CO., LTD.J581New Buy</v>
      </c>
      <c r="B342" s="7" t="str">
        <f t="shared" si="47"/>
        <v>iPadNew Buy</v>
      </c>
      <c r="C342">
        <v>407568</v>
      </c>
      <c r="D342" t="s">
        <v>76</v>
      </c>
      <c r="E342" t="s">
        <v>166</v>
      </c>
      <c r="F342" t="s">
        <v>173</v>
      </c>
      <c r="G342" t="s">
        <v>174</v>
      </c>
      <c r="H342" t="s">
        <v>167</v>
      </c>
      <c r="I342" t="s">
        <v>175</v>
      </c>
      <c r="J342" t="s">
        <v>529</v>
      </c>
      <c r="L342" t="s">
        <v>531</v>
      </c>
      <c r="M342" s="25">
        <v>82</v>
      </c>
      <c r="N342" s="4">
        <v>70.88</v>
      </c>
      <c r="O342">
        <v>1</v>
      </c>
      <c r="T342" t="s">
        <v>178</v>
      </c>
      <c r="U342" t="s">
        <v>66</v>
      </c>
      <c r="V342" s="25">
        <v>62.32</v>
      </c>
      <c r="W342" s="18">
        <v>82</v>
      </c>
      <c r="Y342" s="6">
        <f t="shared" si="48"/>
        <v>82</v>
      </c>
      <c r="Z342" s="6">
        <f t="shared" si="49"/>
        <v>62.32</v>
      </c>
      <c r="AA342" s="6">
        <f t="shared" si="50"/>
        <v>70.88</v>
      </c>
      <c r="AB342" s="6">
        <f t="shared" si="52"/>
        <v>11.120000000000005</v>
      </c>
      <c r="AC342" t="s">
        <v>16</v>
      </c>
      <c r="AD342" s="3" t="s">
        <v>168</v>
      </c>
      <c r="AM342" s="1">
        <f t="shared" si="51"/>
        <v>11.120000000000005</v>
      </c>
    </row>
    <row r="343" spans="1:39" ht="15.75" customHeight="1" x14ac:dyDescent="0.2">
      <c r="A343" s="7" t="str">
        <f t="shared" si="46"/>
        <v>SHENZHEN STRONG TECHNOLOGY CO., LTD.J581New Buy</v>
      </c>
      <c r="B343" s="7" t="str">
        <f t="shared" si="47"/>
        <v>iPadNew Buy</v>
      </c>
      <c r="C343">
        <v>407567</v>
      </c>
      <c r="D343" t="s">
        <v>76</v>
      </c>
      <c r="E343" t="s">
        <v>166</v>
      </c>
      <c r="F343" t="s">
        <v>173</v>
      </c>
      <c r="G343" t="s">
        <v>174</v>
      </c>
      <c r="H343" t="s">
        <v>167</v>
      </c>
      <c r="I343" t="s">
        <v>175</v>
      </c>
      <c r="J343" t="s">
        <v>532</v>
      </c>
      <c r="L343" t="s">
        <v>533</v>
      </c>
      <c r="M343" s="25">
        <v>123</v>
      </c>
      <c r="N343" s="4">
        <v>70.88</v>
      </c>
      <c r="O343">
        <v>1</v>
      </c>
      <c r="T343" t="s">
        <v>178</v>
      </c>
      <c r="U343" t="s">
        <v>116</v>
      </c>
      <c r="V343" s="25">
        <v>62.32</v>
      </c>
      <c r="W343" s="18" t="s">
        <v>367</v>
      </c>
      <c r="Y343" s="6">
        <f t="shared" si="48"/>
        <v>123</v>
      </c>
      <c r="Z343" s="6">
        <f t="shared" si="49"/>
        <v>62.32</v>
      </c>
      <c r="AA343" s="6">
        <f t="shared" si="50"/>
        <v>70.88</v>
      </c>
      <c r="AB343" s="6">
        <f t="shared" si="52"/>
        <v>52.120000000000005</v>
      </c>
      <c r="AC343" t="s">
        <v>33</v>
      </c>
      <c r="AD343" s="3" t="s">
        <v>168</v>
      </c>
    </row>
    <row r="344" spans="1:39" ht="15.75" customHeight="1" x14ac:dyDescent="0.2">
      <c r="A344" s="7" t="str">
        <f t="shared" si="46"/>
        <v>SHENZHEN STRONG TECHNOLOGY CO., LTD.J581New Buy</v>
      </c>
      <c r="B344" s="7" t="str">
        <f t="shared" si="47"/>
        <v>iPadNew Buy</v>
      </c>
      <c r="C344">
        <v>407566</v>
      </c>
      <c r="D344" t="s">
        <v>76</v>
      </c>
      <c r="E344" t="s">
        <v>166</v>
      </c>
      <c r="F344" t="s">
        <v>173</v>
      </c>
      <c r="G344" t="s">
        <v>174</v>
      </c>
      <c r="H344" t="s">
        <v>167</v>
      </c>
      <c r="I344" t="s">
        <v>175</v>
      </c>
      <c r="J344" t="s">
        <v>532</v>
      </c>
      <c r="L344" t="s">
        <v>534</v>
      </c>
      <c r="M344" s="25">
        <v>82</v>
      </c>
      <c r="N344" s="4">
        <v>70.88</v>
      </c>
      <c r="O344">
        <v>1</v>
      </c>
      <c r="T344" t="s">
        <v>178</v>
      </c>
      <c r="U344" t="s">
        <v>104</v>
      </c>
      <c r="V344" s="25">
        <v>62.32</v>
      </c>
      <c r="W344" s="18" t="s">
        <v>367</v>
      </c>
      <c r="Y344" s="6">
        <f t="shared" si="48"/>
        <v>82</v>
      </c>
      <c r="Z344" s="6">
        <f t="shared" si="49"/>
        <v>62.32</v>
      </c>
      <c r="AA344" s="6">
        <f t="shared" si="50"/>
        <v>70.88</v>
      </c>
      <c r="AB344" s="6">
        <f t="shared" si="52"/>
        <v>11.120000000000005</v>
      </c>
      <c r="AC344" t="s">
        <v>16</v>
      </c>
      <c r="AD344" s="3" t="s">
        <v>168</v>
      </c>
    </row>
    <row r="345" spans="1:39" ht="15.75" customHeight="1" x14ac:dyDescent="0.2">
      <c r="A345" s="7" t="str">
        <f t="shared" si="46"/>
        <v>SHENZHEN STRONG TECHNOLOGY CO., LTD.J581New Buy</v>
      </c>
      <c r="B345" s="7" t="str">
        <f t="shared" si="47"/>
        <v>iPadNew Buy</v>
      </c>
      <c r="C345">
        <v>407565</v>
      </c>
      <c r="D345" t="s">
        <v>76</v>
      </c>
      <c r="E345" t="s">
        <v>166</v>
      </c>
      <c r="F345" t="s">
        <v>173</v>
      </c>
      <c r="G345" t="s">
        <v>174</v>
      </c>
      <c r="H345" t="s">
        <v>167</v>
      </c>
      <c r="I345" t="s">
        <v>175</v>
      </c>
      <c r="J345" t="s">
        <v>532</v>
      </c>
      <c r="L345" t="s">
        <v>534</v>
      </c>
      <c r="M345" s="25">
        <v>82</v>
      </c>
      <c r="N345" s="4">
        <v>70.88</v>
      </c>
      <c r="O345">
        <v>1</v>
      </c>
      <c r="T345" t="s">
        <v>178</v>
      </c>
      <c r="U345" t="s">
        <v>66</v>
      </c>
      <c r="V345" s="25">
        <v>62.32</v>
      </c>
      <c r="W345" s="18" t="s">
        <v>367</v>
      </c>
      <c r="Y345" s="6">
        <f t="shared" si="48"/>
        <v>82</v>
      </c>
      <c r="Z345" s="6">
        <f t="shared" si="49"/>
        <v>62.32</v>
      </c>
      <c r="AA345" s="6">
        <f t="shared" si="50"/>
        <v>70.88</v>
      </c>
      <c r="AB345" s="6">
        <f t="shared" si="52"/>
        <v>11.120000000000005</v>
      </c>
      <c r="AC345" t="s">
        <v>16</v>
      </c>
      <c r="AD345" s="3" t="s">
        <v>168</v>
      </c>
    </row>
    <row r="346" spans="1:39" ht="15.75" customHeight="1" x14ac:dyDescent="0.2">
      <c r="A346" s="7" t="str">
        <f t="shared" si="46"/>
        <v>SHENZHEN STRONG TECHNOLOGY CO., LTD.J581New Buy</v>
      </c>
      <c r="B346" s="7" t="str">
        <f t="shared" si="47"/>
        <v>iPadNew Buy</v>
      </c>
      <c r="C346">
        <v>407564</v>
      </c>
      <c r="D346" t="s">
        <v>76</v>
      </c>
      <c r="E346" t="s">
        <v>166</v>
      </c>
      <c r="F346" t="s">
        <v>173</v>
      </c>
      <c r="G346" t="s">
        <v>174</v>
      </c>
      <c r="H346" t="s">
        <v>167</v>
      </c>
      <c r="I346" t="s">
        <v>175</v>
      </c>
      <c r="J346" t="s">
        <v>535</v>
      </c>
      <c r="L346" t="s">
        <v>536</v>
      </c>
      <c r="M346" s="25">
        <v>123</v>
      </c>
      <c r="N346" s="4">
        <v>70.88</v>
      </c>
      <c r="O346">
        <v>1</v>
      </c>
      <c r="T346" t="s">
        <v>178</v>
      </c>
      <c r="U346" t="s">
        <v>116</v>
      </c>
      <c r="V346" s="25">
        <v>62.32</v>
      </c>
      <c r="W346" s="18" t="s">
        <v>367</v>
      </c>
      <c r="Y346" s="6">
        <f t="shared" si="48"/>
        <v>123</v>
      </c>
      <c r="Z346" s="6">
        <f t="shared" si="49"/>
        <v>62.32</v>
      </c>
      <c r="AA346" s="6">
        <f t="shared" si="50"/>
        <v>70.88</v>
      </c>
      <c r="AB346" s="6">
        <f t="shared" si="52"/>
        <v>52.120000000000005</v>
      </c>
      <c r="AC346" t="s">
        <v>33</v>
      </c>
      <c r="AD346" s="3" t="s">
        <v>168</v>
      </c>
    </row>
    <row r="347" spans="1:39" ht="15.75" customHeight="1" x14ac:dyDescent="0.2">
      <c r="A347" s="7" t="str">
        <f t="shared" si="46"/>
        <v>SHENZHEN STRONG TECHNOLOGY CO., LTD.J581New Buy</v>
      </c>
      <c r="B347" s="7" t="str">
        <f t="shared" si="47"/>
        <v>iPadNew Buy</v>
      </c>
      <c r="C347">
        <v>407563</v>
      </c>
      <c r="D347" t="s">
        <v>76</v>
      </c>
      <c r="E347" t="s">
        <v>166</v>
      </c>
      <c r="F347" t="s">
        <v>173</v>
      </c>
      <c r="G347" t="s">
        <v>174</v>
      </c>
      <c r="H347" t="s">
        <v>167</v>
      </c>
      <c r="I347" t="s">
        <v>175</v>
      </c>
      <c r="J347" t="s">
        <v>535</v>
      </c>
      <c r="L347" t="s">
        <v>537</v>
      </c>
      <c r="M347" s="25">
        <v>82</v>
      </c>
      <c r="N347" s="4">
        <v>70.88</v>
      </c>
      <c r="O347">
        <v>1</v>
      </c>
      <c r="T347" t="s">
        <v>178</v>
      </c>
      <c r="U347" t="s">
        <v>104</v>
      </c>
      <c r="V347" s="25">
        <v>62.32</v>
      </c>
      <c r="W347" s="18" t="s">
        <v>367</v>
      </c>
      <c r="Y347" s="6">
        <f t="shared" si="48"/>
        <v>82</v>
      </c>
      <c r="Z347" s="6">
        <f t="shared" si="49"/>
        <v>62.32</v>
      </c>
      <c r="AA347" s="6">
        <f t="shared" si="50"/>
        <v>70.88</v>
      </c>
      <c r="AB347" s="6">
        <f t="shared" si="52"/>
        <v>11.120000000000005</v>
      </c>
      <c r="AC347" t="s">
        <v>16</v>
      </c>
      <c r="AD347" s="3" t="s">
        <v>168</v>
      </c>
    </row>
    <row r="348" spans="1:39" ht="15.75" customHeight="1" x14ac:dyDescent="0.2">
      <c r="A348" s="7" t="str">
        <f t="shared" si="46"/>
        <v>SHENZHEN STRONG TECHNOLOGY CO., LTD.J581New Buy</v>
      </c>
      <c r="B348" s="7" t="str">
        <f t="shared" si="47"/>
        <v>iPadNew Buy</v>
      </c>
      <c r="C348">
        <v>407562</v>
      </c>
      <c r="D348" t="s">
        <v>76</v>
      </c>
      <c r="E348" t="s">
        <v>166</v>
      </c>
      <c r="F348" t="s">
        <v>173</v>
      </c>
      <c r="G348" t="s">
        <v>174</v>
      </c>
      <c r="H348" t="s">
        <v>167</v>
      </c>
      <c r="I348" t="s">
        <v>175</v>
      </c>
      <c r="J348" t="s">
        <v>535</v>
      </c>
      <c r="L348" t="s">
        <v>537</v>
      </c>
      <c r="M348" s="25">
        <v>82</v>
      </c>
      <c r="N348" s="4">
        <v>70.88</v>
      </c>
      <c r="O348">
        <v>1</v>
      </c>
      <c r="T348" t="s">
        <v>178</v>
      </c>
      <c r="U348" t="s">
        <v>66</v>
      </c>
      <c r="V348" s="25">
        <v>62.32</v>
      </c>
      <c r="W348" s="18" t="s">
        <v>367</v>
      </c>
      <c r="Y348" s="6">
        <f t="shared" si="48"/>
        <v>82</v>
      </c>
      <c r="Z348" s="6">
        <f t="shared" si="49"/>
        <v>62.32</v>
      </c>
      <c r="AA348" s="6">
        <f t="shared" si="50"/>
        <v>70.88</v>
      </c>
      <c r="AB348" s="6">
        <f t="shared" si="52"/>
        <v>11.120000000000005</v>
      </c>
      <c r="AC348" t="s">
        <v>16</v>
      </c>
      <c r="AD348" s="3" t="s">
        <v>168</v>
      </c>
    </row>
    <row r="349" spans="1:39" ht="15.75" customHeight="1" x14ac:dyDescent="0.2">
      <c r="A349" s="7" t="str">
        <f t="shared" si="46"/>
        <v>SHENZHEN STRONG TECHNOLOGY CO., LTD.J581New Buy</v>
      </c>
      <c r="B349" s="7" t="str">
        <f t="shared" si="47"/>
        <v>iPadNew Buy</v>
      </c>
      <c r="C349">
        <v>407561</v>
      </c>
      <c r="D349" t="s">
        <v>76</v>
      </c>
      <c r="E349" t="s">
        <v>166</v>
      </c>
      <c r="F349" t="s">
        <v>173</v>
      </c>
      <c r="G349" t="s">
        <v>174</v>
      </c>
      <c r="H349" t="s">
        <v>167</v>
      </c>
      <c r="I349" t="s">
        <v>175</v>
      </c>
      <c r="J349" t="s">
        <v>538</v>
      </c>
      <c r="L349" t="s">
        <v>539</v>
      </c>
      <c r="M349" s="25">
        <v>123</v>
      </c>
      <c r="N349" s="4">
        <v>70.88</v>
      </c>
      <c r="O349">
        <v>1</v>
      </c>
      <c r="T349" t="s">
        <v>178</v>
      </c>
      <c r="U349" t="s">
        <v>116</v>
      </c>
      <c r="V349" s="25">
        <v>62.32</v>
      </c>
      <c r="W349" s="18" t="s">
        <v>367</v>
      </c>
      <c r="Y349" s="6">
        <f t="shared" si="48"/>
        <v>123</v>
      </c>
      <c r="Z349" s="6">
        <f t="shared" si="49"/>
        <v>62.32</v>
      </c>
      <c r="AA349" s="6">
        <f t="shared" si="50"/>
        <v>70.88</v>
      </c>
      <c r="AB349" s="6">
        <f t="shared" si="52"/>
        <v>52.120000000000005</v>
      </c>
      <c r="AC349" t="s">
        <v>33</v>
      </c>
      <c r="AD349" s="3" t="s">
        <v>168</v>
      </c>
    </row>
    <row r="350" spans="1:39" ht="15.75" customHeight="1" x14ac:dyDescent="0.2">
      <c r="A350" s="7" t="str">
        <f t="shared" si="46"/>
        <v>SHENZHEN STRONG TECHNOLOGY CO., LTD.J581New Buy</v>
      </c>
      <c r="B350" s="7" t="str">
        <f t="shared" si="47"/>
        <v>iPadNew Buy</v>
      </c>
      <c r="C350">
        <v>407560</v>
      </c>
      <c r="D350" t="s">
        <v>76</v>
      </c>
      <c r="E350" t="s">
        <v>166</v>
      </c>
      <c r="F350" t="s">
        <v>173</v>
      </c>
      <c r="G350" t="s">
        <v>174</v>
      </c>
      <c r="H350" t="s">
        <v>167</v>
      </c>
      <c r="I350" t="s">
        <v>175</v>
      </c>
      <c r="J350" t="s">
        <v>538</v>
      </c>
      <c r="L350" t="s">
        <v>540</v>
      </c>
      <c r="M350" s="25">
        <v>82</v>
      </c>
      <c r="N350" s="4">
        <v>70.88</v>
      </c>
      <c r="O350">
        <v>1</v>
      </c>
      <c r="T350" t="s">
        <v>178</v>
      </c>
      <c r="U350" t="s">
        <v>104</v>
      </c>
      <c r="V350" s="25">
        <v>62.32</v>
      </c>
      <c r="W350" s="18" t="s">
        <v>367</v>
      </c>
      <c r="Y350" s="6">
        <f t="shared" si="48"/>
        <v>82</v>
      </c>
      <c r="Z350" s="6">
        <f t="shared" si="49"/>
        <v>62.32</v>
      </c>
      <c r="AA350" s="6">
        <f t="shared" si="50"/>
        <v>70.88</v>
      </c>
      <c r="AB350" s="6">
        <f t="shared" si="52"/>
        <v>11.120000000000005</v>
      </c>
      <c r="AC350" t="s">
        <v>16</v>
      </c>
      <c r="AD350" s="3" t="s">
        <v>168</v>
      </c>
    </row>
    <row r="351" spans="1:39" ht="15.75" customHeight="1" x14ac:dyDescent="0.2">
      <c r="A351" s="7" t="str">
        <f t="shared" si="46"/>
        <v>SHENZHEN STRONG TECHNOLOGY CO., LTD.J581New Buy</v>
      </c>
      <c r="B351" s="7" t="str">
        <f t="shared" si="47"/>
        <v>iPadNew Buy</v>
      </c>
      <c r="C351">
        <v>407559</v>
      </c>
      <c r="D351" t="s">
        <v>76</v>
      </c>
      <c r="E351" t="s">
        <v>166</v>
      </c>
      <c r="F351" t="s">
        <v>173</v>
      </c>
      <c r="G351" t="s">
        <v>174</v>
      </c>
      <c r="H351" t="s">
        <v>167</v>
      </c>
      <c r="I351" t="s">
        <v>175</v>
      </c>
      <c r="J351" t="s">
        <v>538</v>
      </c>
      <c r="L351" t="s">
        <v>540</v>
      </c>
      <c r="M351" s="25">
        <v>82</v>
      </c>
      <c r="N351" s="4">
        <v>70.88</v>
      </c>
      <c r="O351">
        <v>1</v>
      </c>
      <c r="T351" t="s">
        <v>178</v>
      </c>
      <c r="U351" t="s">
        <v>66</v>
      </c>
      <c r="V351" s="25">
        <v>62.32</v>
      </c>
      <c r="W351" s="18" t="s">
        <v>367</v>
      </c>
      <c r="Y351" s="6">
        <f t="shared" si="48"/>
        <v>82</v>
      </c>
      <c r="Z351" s="6">
        <f t="shared" si="49"/>
        <v>62.32</v>
      </c>
      <c r="AA351" s="6">
        <f t="shared" si="50"/>
        <v>70.88</v>
      </c>
      <c r="AB351" s="6">
        <f t="shared" si="52"/>
        <v>11.120000000000005</v>
      </c>
      <c r="AC351" t="s">
        <v>16</v>
      </c>
      <c r="AD351" s="3" t="s">
        <v>168</v>
      </c>
    </row>
    <row r="352" spans="1:39" ht="15.75" customHeight="1" x14ac:dyDescent="0.2">
      <c r="A352" s="7" t="str">
        <f t="shared" si="46"/>
        <v>SHENZHEN STRONG TECHNOLOGY CO., LTD.J581New Buy</v>
      </c>
      <c r="B352" s="7" t="str">
        <f t="shared" si="47"/>
        <v>iPadNew Buy</v>
      </c>
      <c r="C352">
        <v>407558</v>
      </c>
      <c r="D352" t="s">
        <v>76</v>
      </c>
      <c r="E352" t="s">
        <v>166</v>
      </c>
      <c r="F352" t="s">
        <v>173</v>
      </c>
      <c r="G352" t="s">
        <v>174</v>
      </c>
      <c r="H352" t="s">
        <v>167</v>
      </c>
      <c r="I352" t="s">
        <v>175</v>
      </c>
      <c r="J352" t="s">
        <v>541</v>
      </c>
      <c r="L352" t="s">
        <v>542</v>
      </c>
      <c r="M352" s="25">
        <v>123</v>
      </c>
      <c r="N352" s="4">
        <v>70.88</v>
      </c>
      <c r="O352">
        <v>1</v>
      </c>
      <c r="T352" t="s">
        <v>178</v>
      </c>
      <c r="U352" t="s">
        <v>116</v>
      </c>
      <c r="V352" s="25">
        <v>62.32</v>
      </c>
      <c r="W352" s="18" t="s">
        <v>367</v>
      </c>
      <c r="Y352" s="6">
        <f t="shared" si="48"/>
        <v>123</v>
      </c>
      <c r="Z352" s="6">
        <f t="shared" si="49"/>
        <v>62.32</v>
      </c>
      <c r="AA352" s="6">
        <f t="shared" si="50"/>
        <v>70.88</v>
      </c>
      <c r="AB352" s="6">
        <f t="shared" si="52"/>
        <v>52.120000000000005</v>
      </c>
      <c r="AC352" t="s">
        <v>33</v>
      </c>
      <c r="AD352" s="3" t="s">
        <v>168</v>
      </c>
    </row>
    <row r="353" spans="1:30" ht="15.75" customHeight="1" x14ac:dyDescent="0.2">
      <c r="A353" s="7" t="str">
        <f t="shared" si="46"/>
        <v>SHENZHEN STRONG TECHNOLOGY CO., LTD.J581New Buy</v>
      </c>
      <c r="B353" s="7" t="str">
        <f t="shared" si="47"/>
        <v>iPadNew Buy</v>
      </c>
      <c r="C353">
        <v>407557</v>
      </c>
      <c r="D353" t="s">
        <v>76</v>
      </c>
      <c r="E353" t="s">
        <v>166</v>
      </c>
      <c r="F353" t="s">
        <v>173</v>
      </c>
      <c r="G353" t="s">
        <v>174</v>
      </c>
      <c r="H353" t="s">
        <v>167</v>
      </c>
      <c r="I353" t="s">
        <v>175</v>
      </c>
      <c r="J353" t="s">
        <v>541</v>
      </c>
      <c r="L353" t="s">
        <v>543</v>
      </c>
      <c r="M353" s="25">
        <v>82</v>
      </c>
      <c r="N353" s="4">
        <v>70.88</v>
      </c>
      <c r="O353">
        <v>1</v>
      </c>
      <c r="T353" t="s">
        <v>178</v>
      </c>
      <c r="U353" t="s">
        <v>104</v>
      </c>
      <c r="V353" s="25">
        <v>62.32</v>
      </c>
      <c r="W353" s="18" t="s">
        <v>367</v>
      </c>
      <c r="Y353" s="6">
        <f t="shared" si="48"/>
        <v>82</v>
      </c>
      <c r="Z353" s="6">
        <f t="shared" si="49"/>
        <v>62.32</v>
      </c>
      <c r="AA353" s="6">
        <f t="shared" si="50"/>
        <v>70.88</v>
      </c>
      <c r="AB353" s="6">
        <f t="shared" si="52"/>
        <v>11.120000000000005</v>
      </c>
      <c r="AC353" t="s">
        <v>16</v>
      </c>
      <c r="AD353" s="3" t="s">
        <v>168</v>
      </c>
    </row>
    <row r="354" spans="1:30" ht="15.75" customHeight="1" x14ac:dyDescent="0.2">
      <c r="A354" s="7" t="str">
        <f t="shared" si="46"/>
        <v>SHENZHEN STRONG TECHNOLOGY CO., LTD.J581New Buy</v>
      </c>
      <c r="B354" s="7" t="str">
        <f t="shared" si="47"/>
        <v>iPadNew Buy</v>
      </c>
      <c r="C354">
        <v>407556</v>
      </c>
      <c r="D354" t="s">
        <v>76</v>
      </c>
      <c r="E354" t="s">
        <v>166</v>
      </c>
      <c r="F354" t="s">
        <v>173</v>
      </c>
      <c r="G354" t="s">
        <v>174</v>
      </c>
      <c r="H354" t="s">
        <v>167</v>
      </c>
      <c r="I354" t="s">
        <v>175</v>
      </c>
      <c r="J354" t="s">
        <v>541</v>
      </c>
      <c r="L354" t="s">
        <v>543</v>
      </c>
      <c r="M354" s="25">
        <v>82</v>
      </c>
      <c r="N354" s="4">
        <v>70.88</v>
      </c>
      <c r="O354">
        <v>1</v>
      </c>
      <c r="T354" t="s">
        <v>178</v>
      </c>
      <c r="U354" t="s">
        <v>66</v>
      </c>
      <c r="V354" s="25">
        <v>62.32</v>
      </c>
      <c r="W354" s="18" t="s">
        <v>367</v>
      </c>
      <c r="Y354" s="6">
        <f t="shared" si="48"/>
        <v>82</v>
      </c>
      <c r="Z354" s="6">
        <f t="shared" si="49"/>
        <v>62.32</v>
      </c>
      <c r="AA354" s="6">
        <f t="shared" si="50"/>
        <v>70.88</v>
      </c>
      <c r="AB354" s="6">
        <f t="shared" si="52"/>
        <v>11.120000000000005</v>
      </c>
      <c r="AC354" t="s">
        <v>16</v>
      </c>
      <c r="AD354" s="3" t="s">
        <v>168</v>
      </c>
    </row>
    <row r="355" spans="1:30" ht="15.75" customHeight="1" x14ac:dyDescent="0.2">
      <c r="A355" s="7" t="str">
        <f t="shared" ref="A355:A418" si="53">CONCATENATE(D355,G355,H355,K355)</f>
        <v>SHENZHEN STRONG TECHNOLOGY CO., LTD.J581New Buy</v>
      </c>
      <c r="B355" s="7" t="str">
        <f t="shared" ref="B355:B418" si="54">_xlfn.CONCAT(F355,K355,"New Buy")</f>
        <v>iPadNew Buy</v>
      </c>
      <c r="C355">
        <v>407555</v>
      </c>
      <c r="D355" t="s">
        <v>76</v>
      </c>
      <c r="E355" t="s">
        <v>166</v>
      </c>
      <c r="F355" t="s">
        <v>173</v>
      </c>
      <c r="G355" t="s">
        <v>174</v>
      </c>
      <c r="H355" t="s">
        <v>167</v>
      </c>
      <c r="I355" t="s">
        <v>175</v>
      </c>
      <c r="J355" t="s">
        <v>544</v>
      </c>
      <c r="L355" t="s">
        <v>545</v>
      </c>
      <c r="M355" s="25">
        <v>123</v>
      </c>
      <c r="N355" s="4">
        <v>70.88</v>
      </c>
      <c r="O355">
        <v>1</v>
      </c>
      <c r="T355" t="s">
        <v>178</v>
      </c>
      <c r="U355" t="s">
        <v>116</v>
      </c>
      <c r="V355" s="25">
        <v>62.32</v>
      </c>
      <c r="W355" s="18" t="s">
        <v>367</v>
      </c>
      <c r="Y355" s="6">
        <f t="shared" ref="Y355:Y418" si="55">IFERROR(O355*M355,0)</f>
        <v>123</v>
      </c>
      <c r="Z355" s="6">
        <f t="shared" ref="Z355:Z418" si="56">IFERROR(O355*V355,0)</f>
        <v>62.32</v>
      </c>
      <c r="AA355" s="6">
        <f t="shared" ref="AA355:AA418" si="57">IFERROR(N355*O355,0)</f>
        <v>70.88</v>
      </c>
      <c r="AB355" s="6">
        <f t="shared" si="52"/>
        <v>52.120000000000005</v>
      </c>
      <c r="AC355" t="s">
        <v>33</v>
      </c>
      <c r="AD355" s="3" t="s">
        <v>168</v>
      </c>
    </row>
    <row r="356" spans="1:30" ht="15.75" customHeight="1" x14ac:dyDescent="0.2">
      <c r="A356" s="7" t="str">
        <f t="shared" si="53"/>
        <v>SHENZHEN STRONG TECHNOLOGY CO., LTD.J581New Buy</v>
      </c>
      <c r="B356" s="7" t="str">
        <f t="shared" si="54"/>
        <v>iPadNew Buy</v>
      </c>
      <c r="C356">
        <v>407554</v>
      </c>
      <c r="D356" t="s">
        <v>76</v>
      </c>
      <c r="E356" t="s">
        <v>166</v>
      </c>
      <c r="F356" t="s">
        <v>173</v>
      </c>
      <c r="G356" t="s">
        <v>174</v>
      </c>
      <c r="H356" t="s">
        <v>167</v>
      </c>
      <c r="I356" t="s">
        <v>175</v>
      </c>
      <c r="J356" t="s">
        <v>544</v>
      </c>
      <c r="L356" t="s">
        <v>546</v>
      </c>
      <c r="M356" s="25">
        <v>82</v>
      </c>
      <c r="N356" s="4">
        <v>70.88</v>
      </c>
      <c r="O356">
        <v>1</v>
      </c>
      <c r="T356" t="s">
        <v>178</v>
      </c>
      <c r="U356" t="s">
        <v>104</v>
      </c>
      <c r="V356" s="25">
        <v>62.32</v>
      </c>
      <c r="W356" s="18" t="s">
        <v>367</v>
      </c>
      <c r="Y356" s="6">
        <f t="shared" si="55"/>
        <v>82</v>
      </c>
      <c r="Z356" s="6">
        <f t="shared" si="56"/>
        <v>62.32</v>
      </c>
      <c r="AA356" s="6">
        <f t="shared" si="57"/>
        <v>70.88</v>
      </c>
      <c r="AB356" s="6">
        <f t="shared" si="52"/>
        <v>11.120000000000005</v>
      </c>
      <c r="AC356" t="s">
        <v>16</v>
      </c>
      <c r="AD356" s="3" t="s">
        <v>168</v>
      </c>
    </row>
    <row r="357" spans="1:30" ht="15.75" customHeight="1" x14ac:dyDescent="0.2">
      <c r="A357" s="7" t="str">
        <f t="shared" si="53"/>
        <v>SHENZHEN STRONG TECHNOLOGY CO., LTD.J581New Buy</v>
      </c>
      <c r="B357" s="7" t="str">
        <f t="shared" si="54"/>
        <v>iPadNew Buy</v>
      </c>
      <c r="C357">
        <v>407553</v>
      </c>
      <c r="D357" t="s">
        <v>76</v>
      </c>
      <c r="E357" t="s">
        <v>166</v>
      </c>
      <c r="F357" t="s">
        <v>173</v>
      </c>
      <c r="G357" t="s">
        <v>174</v>
      </c>
      <c r="H357" t="s">
        <v>167</v>
      </c>
      <c r="I357" t="s">
        <v>175</v>
      </c>
      <c r="J357" t="s">
        <v>544</v>
      </c>
      <c r="L357" t="s">
        <v>546</v>
      </c>
      <c r="M357" s="25">
        <v>82</v>
      </c>
      <c r="N357" s="4">
        <v>70.88</v>
      </c>
      <c r="O357">
        <v>1</v>
      </c>
      <c r="T357" t="s">
        <v>178</v>
      </c>
      <c r="U357" t="s">
        <v>66</v>
      </c>
      <c r="V357" s="25">
        <v>62.32</v>
      </c>
      <c r="W357" s="18" t="s">
        <v>367</v>
      </c>
      <c r="Y357" s="6">
        <f t="shared" si="55"/>
        <v>82</v>
      </c>
      <c r="Z357" s="6">
        <f t="shared" si="56"/>
        <v>62.32</v>
      </c>
      <c r="AA357" s="6">
        <f t="shared" si="57"/>
        <v>70.88</v>
      </c>
      <c r="AB357" s="6">
        <f t="shared" si="52"/>
        <v>11.120000000000005</v>
      </c>
      <c r="AC357" t="s">
        <v>16</v>
      </c>
      <c r="AD357" s="3" t="s">
        <v>168</v>
      </c>
    </row>
    <row r="358" spans="1:30" ht="15.75" customHeight="1" x14ac:dyDescent="0.2">
      <c r="A358" s="7" t="str">
        <f t="shared" si="53"/>
        <v>SHENZHEN STRONG TECHNOLOGY CO., LTD.J581New Buy</v>
      </c>
      <c r="B358" s="7" t="str">
        <f t="shared" si="54"/>
        <v>iPadNew Buy</v>
      </c>
      <c r="C358">
        <v>407552</v>
      </c>
      <c r="D358" t="s">
        <v>76</v>
      </c>
      <c r="E358" t="s">
        <v>166</v>
      </c>
      <c r="F358" t="s">
        <v>173</v>
      </c>
      <c r="G358" t="s">
        <v>174</v>
      </c>
      <c r="H358" t="s">
        <v>167</v>
      </c>
      <c r="I358" t="s">
        <v>175</v>
      </c>
      <c r="J358" t="s">
        <v>547</v>
      </c>
      <c r="L358" t="s">
        <v>548</v>
      </c>
      <c r="M358" s="25">
        <v>123</v>
      </c>
      <c r="N358" s="4">
        <v>70.88</v>
      </c>
      <c r="O358">
        <v>1</v>
      </c>
      <c r="T358" t="s">
        <v>178</v>
      </c>
      <c r="U358" t="s">
        <v>116</v>
      </c>
      <c r="V358" s="25">
        <v>62.32</v>
      </c>
      <c r="W358" s="18" t="s">
        <v>367</v>
      </c>
      <c r="Y358" s="6">
        <f t="shared" si="55"/>
        <v>123</v>
      </c>
      <c r="Z358" s="6">
        <f t="shared" si="56"/>
        <v>62.32</v>
      </c>
      <c r="AA358" s="6">
        <f t="shared" si="57"/>
        <v>70.88</v>
      </c>
      <c r="AB358" s="6">
        <f t="shared" si="52"/>
        <v>52.120000000000005</v>
      </c>
      <c r="AC358" t="s">
        <v>33</v>
      </c>
      <c r="AD358" s="3" t="s">
        <v>168</v>
      </c>
    </row>
    <row r="359" spans="1:30" ht="15.75" customHeight="1" x14ac:dyDescent="0.2">
      <c r="A359" s="7" t="str">
        <f t="shared" si="53"/>
        <v>SHENZHEN STRONG TECHNOLOGY CO., LTD.J581New Buy</v>
      </c>
      <c r="B359" s="7" t="str">
        <f t="shared" si="54"/>
        <v>iPadNew Buy</v>
      </c>
      <c r="C359">
        <v>407551</v>
      </c>
      <c r="D359" t="s">
        <v>76</v>
      </c>
      <c r="E359" t="s">
        <v>166</v>
      </c>
      <c r="F359" t="s">
        <v>173</v>
      </c>
      <c r="G359" t="s">
        <v>174</v>
      </c>
      <c r="H359" t="s">
        <v>167</v>
      </c>
      <c r="I359" t="s">
        <v>175</v>
      </c>
      <c r="J359" t="s">
        <v>547</v>
      </c>
      <c r="L359" t="s">
        <v>549</v>
      </c>
      <c r="M359" s="25">
        <v>82</v>
      </c>
      <c r="N359" s="4">
        <v>70.88</v>
      </c>
      <c r="O359">
        <v>1</v>
      </c>
      <c r="T359" t="s">
        <v>178</v>
      </c>
      <c r="U359" t="s">
        <v>104</v>
      </c>
      <c r="V359" s="25">
        <v>62.32</v>
      </c>
      <c r="W359" s="18" t="s">
        <v>367</v>
      </c>
      <c r="Y359" s="6">
        <f t="shared" si="55"/>
        <v>82</v>
      </c>
      <c r="Z359" s="6">
        <f t="shared" si="56"/>
        <v>62.32</v>
      </c>
      <c r="AA359" s="6">
        <f t="shared" si="57"/>
        <v>70.88</v>
      </c>
      <c r="AB359" s="6">
        <f t="shared" si="52"/>
        <v>11.120000000000005</v>
      </c>
      <c r="AC359" t="s">
        <v>16</v>
      </c>
      <c r="AD359" s="3" t="s">
        <v>168</v>
      </c>
    </row>
    <row r="360" spans="1:30" ht="15.75" customHeight="1" x14ac:dyDescent="0.2">
      <c r="A360" s="7" t="str">
        <f t="shared" si="53"/>
        <v>SHENZHEN STRONG TECHNOLOGY CO., LTD.J581New Buy</v>
      </c>
      <c r="B360" s="7" t="str">
        <f t="shared" si="54"/>
        <v>iPadNew Buy</v>
      </c>
      <c r="C360">
        <v>407550</v>
      </c>
      <c r="D360" t="s">
        <v>76</v>
      </c>
      <c r="E360" t="s">
        <v>166</v>
      </c>
      <c r="F360" t="s">
        <v>173</v>
      </c>
      <c r="G360" t="s">
        <v>174</v>
      </c>
      <c r="H360" t="s">
        <v>167</v>
      </c>
      <c r="I360" t="s">
        <v>175</v>
      </c>
      <c r="J360" t="s">
        <v>547</v>
      </c>
      <c r="L360" t="s">
        <v>549</v>
      </c>
      <c r="M360" s="25">
        <v>82</v>
      </c>
      <c r="N360" s="4">
        <v>70.88</v>
      </c>
      <c r="O360">
        <v>1</v>
      </c>
      <c r="T360" t="s">
        <v>178</v>
      </c>
      <c r="U360" t="s">
        <v>66</v>
      </c>
      <c r="V360" s="25">
        <v>62.32</v>
      </c>
      <c r="W360" s="18" t="s">
        <v>367</v>
      </c>
      <c r="Y360" s="6">
        <f t="shared" si="55"/>
        <v>82</v>
      </c>
      <c r="Z360" s="6">
        <f t="shared" si="56"/>
        <v>62.32</v>
      </c>
      <c r="AA360" s="6">
        <f t="shared" si="57"/>
        <v>70.88</v>
      </c>
      <c r="AB360" s="6">
        <f t="shared" si="52"/>
        <v>11.120000000000005</v>
      </c>
      <c r="AC360" t="s">
        <v>16</v>
      </c>
      <c r="AD360" s="3" t="s">
        <v>168</v>
      </c>
    </row>
    <row r="361" spans="1:30" ht="15.75" customHeight="1" x14ac:dyDescent="0.2">
      <c r="A361" s="7" t="str">
        <f t="shared" si="53"/>
        <v>SHENZHEN STRONG TECHNOLOGY CO., LTD.J581New Buy</v>
      </c>
      <c r="B361" s="7" t="str">
        <f t="shared" si="54"/>
        <v>iPadNew Buy</v>
      </c>
      <c r="C361">
        <v>407549</v>
      </c>
      <c r="D361" t="s">
        <v>76</v>
      </c>
      <c r="E361" t="s">
        <v>166</v>
      </c>
      <c r="F361" t="s">
        <v>173</v>
      </c>
      <c r="G361" t="s">
        <v>174</v>
      </c>
      <c r="H361" t="s">
        <v>167</v>
      </c>
      <c r="I361" t="s">
        <v>175</v>
      </c>
      <c r="J361" t="s">
        <v>550</v>
      </c>
      <c r="L361" t="s">
        <v>551</v>
      </c>
      <c r="M361" s="25">
        <v>123</v>
      </c>
      <c r="N361" s="4">
        <v>70.88</v>
      </c>
      <c r="O361">
        <v>1</v>
      </c>
      <c r="T361" t="s">
        <v>178</v>
      </c>
      <c r="U361" t="s">
        <v>116</v>
      </c>
      <c r="V361" s="25">
        <v>62.32</v>
      </c>
      <c r="W361" s="18" t="s">
        <v>367</v>
      </c>
      <c r="Y361" s="6">
        <f t="shared" si="55"/>
        <v>123</v>
      </c>
      <c r="Z361" s="6">
        <f t="shared" si="56"/>
        <v>62.32</v>
      </c>
      <c r="AA361" s="6">
        <f t="shared" si="57"/>
        <v>70.88</v>
      </c>
      <c r="AB361" s="6">
        <f t="shared" si="52"/>
        <v>52.120000000000005</v>
      </c>
      <c r="AC361" t="s">
        <v>33</v>
      </c>
      <c r="AD361" s="3" t="s">
        <v>168</v>
      </c>
    </row>
    <row r="362" spans="1:30" ht="15.75" customHeight="1" x14ac:dyDescent="0.2">
      <c r="A362" s="7" t="str">
        <f t="shared" si="53"/>
        <v>SHENZHEN STRONG TECHNOLOGY CO., LTD.J581New Buy</v>
      </c>
      <c r="B362" s="7" t="str">
        <f t="shared" si="54"/>
        <v>iPadNew Buy</v>
      </c>
      <c r="C362">
        <v>407548</v>
      </c>
      <c r="D362" t="s">
        <v>76</v>
      </c>
      <c r="E362" t="s">
        <v>166</v>
      </c>
      <c r="F362" t="s">
        <v>173</v>
      </c>
      <c r="G362" t="s">
        <v>174</v>
      </c>
      <c r="H362" t="s">
        <v>167</v>
      </c>
      <c r="I362" t="s">
        <v>175</v>
      </c>
      <c r="J362" t="s">
        <v>550</v>
      </c>
      <c r="L362" t="s">
        <v>552</v>
      </c>
      <c r="M362" s="25">
        <v>82</v>
      </c>
      <c r="N362" s="4">
        <v>70.88</v>
      </c>
      <c r="O362">
        <v>1</v>
      </c>
      <c r="T362" t="s">
        <v>178</v>
      </c>
      <c r="U362" t="s">
        <v>104</v>
      </c>
      <c r="V362" s="25">
        <v>62.32</v>
      </c>
      <c r="W362" s="18" t="s">
        <v>367</v>
      </c>
      <c r="Y362" s="6">
        <f t="shared" si="55"/>
        <v>82</v>
      </c>
      <c r="Z362" s="6">
        <f t="shared" si="56"/>
        <v>62.32</v>
      </c>
      <c r="AA362" s="6">
        <f t="shared" si="57"/>
        <v>70.88</v>
      </c>
      <c r="AB362" s="6">
        <f t="shared" si="52"/>
        <v>11.120000000000005</v>
      </c>
      <c r="AC362" t="s">
        <v>16</v>
      </c>
      <c r="AD362" s="3" t="s">
        <v>168</v>
      </c>
    </row>
    <row r="363" spans="1:30" ht="15.75" customHeight="1" x14ac:dyDescent="0.2">
      <c r="A363" s="7" t="str">
        <f t="shared" si="53"/>
        <v>SHENZHEN STRONG TECHNOLOGY CO., LTD.J581New Buy</v>
      </c>
      <c r="B363" s="7" t="str">
        <f t="shared" si="54"/>
        <v>iPadNew Buy</v>
      </c>
      <c r="C363">
        <v>407547</v>
      </c>
      <c r="D363" t="s">
        <v>76</v>
      </c>
      <c r="E363" t="s">
        <v>166</v>
      </c>
      <c r="F363" t="s">
        <v>173</v>
      </c>
      <c r="G363" t="s">
        <v>174</v>
      </c>
      <c r="H363" t="s">
        <v>167</v>
      </c>
      <c r="I363" t="s">
        <v>175</v>
      </c>
      <c r="J363" t="s">
        <v>550</v>
      </c>
      <c r="L363" t="s">
        <v>552</v>
      </c>
      <c r="M363" s="25">
        <v>82</v>
      </c>
      <c r="N363" s="4">
        <v>70.88</v>
      </c>
      <c r="O363">
        <v>1</v>
      </c>
      <c r="T363" t="s">
        <v>178</v>
      </c>
      <c r="U363" t="s">
        <v>66</v>
      </c>
      <c r="V363" s="25">
        <v>62.32</v>
      </c>
      <c r="W363" s="18" t="s">
        <v>367</v>
      </c>
      <c r="Y363" s="6">
        <f t="shared" si="55"/>
        <v>82</v>
      </c>
      <c r="Z363" s="6">
        <f t="shared" si="56"/>
        <v>62.32</v>
      </c>
      <c r="AA363" s="6">
        <f t="shared" si="57"/>
        <v>70.88</v>
      </c>
      <c r="AB363" s="6">
        <f t="shared" si="52"/>
        <v>11.120000000000005</v>
      </c>
      <c r="AC363" t="s">
        <v>16</v>
      </c>
      <c r="AD363" s="3" t="s">
        <v>168</v>
      </c>
    </row>
    <row r="364" spans="1:30" ht="15.75" customHeight="1" x14ac:dyDescent="0.2">
      <c r="A364" s="7" t="str">
        <f t="shared" si="53"/>
        <v>SHENZHEN STRONG TECHNOLOGY CO., LTD.J581New Buy</v>
      </c>
      <c r="B364" s="7" t="str">
        <f t="shared" si="54"/>
        <v>iPadNew Buy</v>
      </c>
      <c r="C364">
        <v>407546</v>
      </c>
      <c r="D364" t="s">
        <v>76</v>
      </c>
      <c r="E364" t="s">
        <v>166</v>
      </c>
      <c r="F364" t="s">
        <v>173</v>
      </c>
      <c r="G364" t="s">
        <v>174</v>
      </c>
      <c r="H364" t="s">
        <v>167</v>
      </c>
      <c r="I364" t="s">
        <v>175</v>
      </c>
      <c r="J364" t="s">
        <v>553</v>
      </c>
      <c r="L364" t="s">
        <v>554</v>
      </c>
      <c r="M364" s="25">
        <v>123</v>
      </c>
      <c r="N364" s="4">
        <v>70.88</v>
      </c>
      <c r="O364">
        <v>1</v>
      </c>
      <c r="T364" t="s">
        <v>178</v>
      </c>
      <c r="U364" t="s">
        <v>116</v>
      </c>
      <c r="V364" s="25">
        <v>62.32</v>
      </c>
      <c r="W364" s="18" t="s">
        <v>367</v>
      </c>
      <c r="Y364" s="6">
        <f t="shared" si="55"/>
        <v>123</v>
      </c>
      <c r="Z364" s="6">
        <f t="shared" si="56"/>
        <v>62.32</v>
      </c>
      <c r="AA364" s="6">
        <f t="shared" si="57"/>
        <v>70.88</v>
      </c>
      <c r="AB364" s="6">
        <f t="shared" si="52"/>
        <v>52.120000000000005</v>
      </c>
      <c r="AC364" t="s">
        <v>33</v>
      </c>
      <c r="AD364" s="3" t="s">
        <v>168</v>
      </c>
    </row>
    <row r="365" spans="1:30" ht="15.75" customHeight="1" x14ac:dyDescent="0.2">
      <c r="A365" s="7" t="str">
        <f t="shared" si="53"/>
        <v>SHENZHEN STRONG TECHNOLOGY CO., LTD.J581New Buy</v>
      </c>
      <c r="B365" s="7" t="str">
        <f t="shared" si="54"/>
        <v>iPadNew Buy</v>
      </c>
      <c r="C365">
        <v>407545</v>
      </c>
      <c r="D365" t="s">
        <v>76</v>
      </c>
      <c r="E365" t="s">
        <v>166</v>
      </c>
      <c r="F365" t="s">
        <v>173</v>
      </c>
      <c r="G365" t="s">
        <v>174</v>
      </c>
      <c r="H365" t="s">
        <v>167</v>
      </c>
      <c r="I365" t="s">
        <v>175</v>
      </c>
      <c r="J365" t="s">
        <v>553</v>
      </c>
      <c r="L365" t="s">
        <v>555</v>
      </c>
      <c r="M365" s="25">
        <v>82</v>
      </c>
      <c r="N365" s="4">
        <v>70.88</v>
      </c>
      <c r="O365">
        <v>1</v>
      </c>
      <c r="T365" t="s">
        <v>178</v>
      </c>
      <c r="U365" t="s">
        <v>104</v>
      </c>
      <c r="V365" s="25">
        <v>62.32</v>
      </c>
      <c r="W365" s="18" t="s">
        <v>367</v>
      </c>
      <c r="Y365" s="6">
        <f t="shared" si="55"/>
        <v>82</v>
      </c>
      <c r="Z365" s="6">
        <f t="shared" si="56"/>
        <v>62.32</v>
      </c>
      <c r="AA365" s="6">
        <f t="shared" si="57"/>
        <v>70.88</v>
      </c>
      <c r="AB365" s="6">
        <f t="shared" si="52"/>
        <v>11.120000000000005</v>
      </c>
      <c r="AC365" t="s">
        <v>16</v>
      </c>
      <c r="AD365" s="3" t="s">
        <v>168</v>
      </c>
    </row>
    <row r="366" spans="1:30" ht="15.75" customHeight="1" x14ac:dyDescent="0.2">
      <c r="A366" s="7" t="str">
        <f t="shared" si="53"/>
        <v>SHENZHEN STRONG TECHNOLOGY CO., LTD.J581New Buy</v>
      </c>
      <c r="B366" s="7" t="str">
        <f t="shared" si="54"/>
        <v>iPadNew Buy</v>
      </c>
      <c r="C366">
        <v>407544</v>
      </c>
      <c r="D366" t="s">
        <v>76</v>
      </c>
      <c r="E366" t="s">
        <v>166</v>
      </c>
      <c r="F366" t="s">
        <v>173</v>
      </c>
      <c r="G366" t="s">
        <v>174</v>
      </c>
      <c r="H366" t="s">
        <v>167</v>
      </c>
      <c r="I366" t="s">
        <v>175</v>
      </c>
      <c r="J366" t="s">
        <v>553</v>
      </c>
      <c r="L366" t="s">
        <v>555</v>
      </c>
      <c r="M366" s="25">
        <v>82</v>
      </c>
      <c r="N366" s="4">
        <v>70.88</v>
      </c>
      <c r="O366">
        <v>1</v>
      </c>
      <c r="T366" t="s">
        <v>178</v>
      </c>
      <c r="U366" t="s">
        <v>66</v>
      </c>
      <c r="V366" s="25">
        <v>62.32</v>
      </c>
      <c r="W366" s="18" t="s">
        <v>367</v>
      </c>
      <c r="Y366" s="6">
        <f t="shared" si="55"/>
        <v>82</v>
      </c>
      <c r="Z366" s="6">
        <f t="shared" si="56"/>
        <v>62.32</v>
      </c>
      <c r="AA366" s="6">
        <f t="shared" si="57"/>
        <v>70.88</v>
      </c>
      <c r="AB366" s="6">
        <f t="shared" si="52"/>
        <v>11.120000000000005</v>
      </c>
      <c r="AC366" t="s">
        <v>16</v>
      </c>
      <c r="AD366" s="3" t="s">
        <v>168</v>
      </c>
    </row>
    <row r="367" spans="1:30" ht="15.75" customHeight="1" x14ac:dyDescent="0.2">
      <c r="A367" s="7" t="str">
        <f t="shared" si="53"/>
        <v>SHENZHEN STRONG TECHNOLOGY CO., LTD.J581New Buy</v>
      </c>
      <c r="B367" s="7" t="str">
        <f t="shared" si="54"/>
        <v>iPadNew Buy</v>
      </c>
      <c r="C367">
        <v>407543</v>
      </c>
      <c r="D367" t="s">
        <v>76</v>
      </c>
      <c r="E367" t="s">
        <v>166</v>
      </c>
      <c r="F367" t="s">
        <v>173</v>
      </c>
      <c r="G367" t="s">
        <v>174</v>
      </c>
      <c r="H367" t="s">
        <v>167</v>
      </c>
      <c r="I367" t="s">
        <v>175</v>
      </c>
      <c r="J367" t="s">
        <v>556</v>
      </c>
      <c r="L367" t="s">
        <v>557</v>
      </c>
      <c r="M367" s="25">
        <v>123</v>
      </c>
      <c r="N367" s="4">
        <v>70.88</v>
      </c>
      <c r="O367">
        <v>1</v>
      </c>
      <c r="T367" t="s">
        <v>178</v>
      </c>
      <c r="U367" t="s">
        <v>116</v>
      </c>
      <c r="V367" s="25">
        <v>62.32</v>
      </c>
      <c r="W367" s="18" t="s">
        <v>367</v>
      </c>
      <c r="Y367" s="6">
        <f t="shared" si="55"/>
        <v>123</v>
      </c>
      <c r="Z367" s="6">
        <f t="shared" si="56"/>
        <v>62.32</v>
      </c>
      <c r="AA367" s="6">
        <f t="shared" si="57"/>
        <v>70.88</v>
      </c>
      <c r="AB367" s="6">
        <f t="shared" si="52"/>
        <v>52.120000000000005</v>
      </c>
      <c r="AC367" t="s">
        <v>33</v>
      </c>
      <c r="AD367" s="3" t="s">
        <v>168</v>
      </c>
    </row>
    <row r="368" spans="1:30" ht="15.75" customHeight="1" x14ac:dyDescent="0.2">
      <c r="A368" s="7" t="str">
        <f t="shared" si="53"/>
        <v>SHENZHEN STRONG TECHNOLOGY CO., LTD.J581New Buy</v>
      </c>
      <c r="B368" s="7" t="str">
        <f t="shared" si="54"/>
        <v>iPadNew Buy</v>
      </c>
      <c r="C368">
        <v>407542</v>
      </c>
      <c r="D368" t="s">
        <v>76</v>
      </c>
      <c r="E368" t="s">
        <v>166</v>
      </c>
      <c r="F368" t="s">
        <v>173</v>
      </c>
      <c r="G368" t="s">
        <v>174</v>
      </c>
      <c r="H368" t="s">
        <v>167</v>
      </c>
      <c r="I368" t="s">
        <v>175</v>
      </c>
      <c r="J368" t="s">
        <v>556</v>
      </c>
      <c r="L368" t="s">
        <v>558</v>
      </c>
      <c r="M368" s="25">
        <v>82</v>
      </c>
      <c r="N368" s="4">
        <v>70.88</v>
      </c>
      <c r="O368">
        <v>1</v>
      </c>
      <c r="T368" t="s">
        <v>178</v>
      </c>
      <c r="U368" t="s">
        <v>104</v>
      </c>
      <c r="V368" s="25">
        <v>62.32</v>
      </c>
      <c r="W368" s="18" t="s">
        <v>367</v>
      </c>
      <c r="Y368" s="6">
        <f t="shared" si="55"/>
        <v>82</v>
      </c>
      <c r="Z368" s="6">
        <f t="shared" si="56"/>
        <v>62.32</v>
      </c>
      <c r="AA368" s="6">
        <f t="shared" si="57"/>
        <v>70.88</v>
      </c>
      <c r="AB368" s="6">
        <f t="shared" si="52"/>
        <v>11.120000000000005</v>
      </c>
      <c r="AC368" t="s">
        <v>16</v>
      </c>
      <c r="AD368" s="3" t="s">
        <v>168</v>
      </c>
    </row>
    <row r="369" spans="1:30" ht="15.75" customHeight="1" x14ac:dyDescent="0.2">
      <c r="A369" s="7" t="str">
        <f t="shared" si="53"/>
        <v>SHENZHEN STRONG TECHNOLOGY CO., LTD.J581New Buy</v>
      </c>
      <c r="B369" s="7" t="str">
        <f t="shared" si="54"/>
        <v>iPadNew Buy</v>
      </c>
      <c r="C369">
        <v>407541</v>
      </c>
      <c r="D369" t="s">
        <v>76</v>
      </c>
      <c r="E369" t="s">
        <v>166</v>
      </c>
      <c r="F369" t="s">
        <v>173</v>
      </c>
      <c r="G369" t="s">
        <v>174</v>
      </c>
      <c r="H369" t="s">
        <v>167</v>
      </c>
      <c r="I369" t="s">
        <v>175</v>
      </c>
      <c r="J369" t="s">
        <v>556</v>
      </c>
      <c r="L369" t="s">
        <v>558</v>
      </c>
      <c r="M369" s="25">
        <v>82</v>
      </c>
      <c r="N369" s="4">
        <v>70.88</v>
      </c>
      <c r="O369">
        <v>1</v>
      </c>
      <c r="T369" t="s">
        <v>178</v>
      </c>
      <c r="U369" t="s">
        <v>66</v>
      </c>
      <c r="V369" s="25">
        <v>62.32</v>
      </c>
      <c r="W369" s="18" t="s">
        <v>367</v>
      </c>
      <c r="Y369" s="6">
        <f t="shared" si="55"/>
        <v>82</v>
      </c>
      <c r="Z369" s="6">
        <f t="shared" si="56"/>
        <v>62.32</v>
      </c>
      <c r="AA369" s="6">
        <f t="shared" si="57"/>
        <v>70.88</v>
      </c>
      <c r="AB369" s="6">
        <f t="shared" si="52"/>
        <v>11.120000000000005</v>
      </c>
      <c r="AC369" t="s">
        <v>16</v>
      </c>
      <c r="AD369" s="3" t="s">
        <v>168</v>
      </c>
    </row>
    <row r="370" spans="1:30" ht="15.75" customHeight="1" x14ac:dyDescent="0.2">
      <c r="A370" s="7" t="str">
        <f t="shared" si="53"/>
        <v>SHENZHEN STRONG TECHNOLOGY CO., LTD.J581New Buy</v>
      </c>
      <c r="B370" s="7" t="str">
        <f t="shared" si="54"/>
        <v>iPadNew Buy</v>
      </c>
      <c r="C370">
        <v>407540</v>
      </c>
      <c r="D370" t="s">
        <v>76</v>
      </c>
      <c r="E370" t="s">
        <v>166</v>
      </c>
      <c r="F370" t="s">
        <v>173</v>
      </c>
      <c r="G370" t="s">
        <v>174</v>
      </c>
      <c r="H370" t="s">
        <v>167</v>
      </c>
      <c r="I370" t="s">
        <v>175</v>
      </c>
      <c r="J370" t="s">
        <v>559</v>
      </c>
      <c r="L370" t="s">
        <v>560</v>
      </c>
      <c r="M370" s="25">
        <v>123</v>
      </c>
      <c r="N370" s="4">
        <v>70.88</v>
      </c>
      <c r="O370">
        <v>1</v>
      </c>
      <c r="T370" t="s">
        <v>178</v>
      </c>
      <c r="U370" t="s">
        <v>116</v>
      </c>
      <c r="V370" s="25">
        <v>62.32</v>
      </c>
      <c r="W370" s="18" t="s">
        <v>367</v>
      </c>
      <c r="Y370" s="6">
        <f t="shared" si="55"/>
        <v>123</v>
      </c>
      <c r="Z370" s="6">
        <f t="shared" si="56"/>
        <v>62.32</v>
      </c>
      <c r="AA370" s="6">
        <f t="shared" si="57"/>
        <v>70.88</v>
      </c>
      <c r="AB370" s="6">
        <f t="shared" si="52"/>
        <v>52.120000000000005</v>
      </c>
      <c r="AC370" t="s">
        <v>33</v>
      </c>
      <c r="AD370" s="3" t="s">
        <v>168</v>
      </c>
    </row>
    <row r="371" spans="1:30" ht="15.75" customHeight="1" x14ac:dyDescent="0.2">
      <c r="A371" s="7" t="str">
        <f t="shared" si="53"/>
        <v>SHENZHEN STRONG TECHNOLOGY CO., LTD.J581New Buy</v>
      </c>
      <c r="B371" s="7" t="str">
        <f t="shared" si="54"/>
        <v>iPadNew Buy</v>
      </c>
      <c r="C371">
        <v>407539</v>
      </c>
      <c r="D371" t="s">
        <v>76</v>
      </c>
      <c r="E371" t="s">
        <v>166</v>
      </c>
      <c r="F371" t="s">
        <v>173</v>
      </c>
      <c r="G371" t="s">
        <v>174</v>
      </c>
      <c r="H371" t="s">
        <v>167</v>
      </c>
      <c r="I371" t="s">
        <v>175</v>
      </c>
      <c r="J371" t="s">
        <v>559</v>
      </c>
      <c r="L371" t="s">
        <v>561</v>
      </c>
      <c r="M371" s="25">
        <v>82</v>
      </c>
      <c r="N371" s="4">
        <v>70.88</v>
      </c>
      <c r="O371">
        <v>1</v>
      </c>
      <c r="T371" t="s">
        <v>178</v>
      </c>
      <c r="U371" t="s">
        <v>104</v>
      </c>
      <c r="V371" s="25">
        <v>62.32</v>
      </c>
      <c r="W371" s="18" t="s">
        <v>367</v>
      </c>
      <c r="Y371" s="6">
        <f t="shared" si="55"/>
        <v>82</v>
      </c>
      <c r="Z371" s="6">
        <f t="shared" si="56"/>
        <v>62.32</v>
      </c>
      <c r="AA371" s="6">
        <f t="shared" si="57"/>
        <v>70.88</v>
      </c>
      <c r="AB371" s="6">
        <f t="shared" si="52"/>
        <v>11.120000000000005</v>
      </c>
      <c r="AC371" t="s">
        <v>16</v>
      </c>
      <c r="AD371" s="3" t="s">
        <v>168</v>
      </c>
    </row>
    <row r="372" spans="1:30" ht="15.75" customHeight="1" x14ac:dyDescent="0.2">
      <c r="A372" s="7" t="str">
        <f t="shared" si="53"/>
        <v>SHENZHEN STRONG TECHNOLOGY CO., LTD.J581New Buy</v>
      </c>
      <c r="B372" s="7" t="str">
        <f t="shared" si="54"/>
        <v>iPadNew Buy</v>
      </c>
      <c r="C372">
        <v>407538</v>
      </c>
      <c r="D372" t="s">
        <v>76</v>
      </c>
      <c r="E372" t="s">
        <v>166</v>
      </c>
      <c r="F372" t="s">
        <v>173</v>
      </c>
      <c r="G372" t="s">
        <v>174</v>
      </c>
      <c r="H372" t="s">
        <v>167</v>
      </c>
      <c r="I372" t="s">
        <v>175</v>
      </c>
      <c r="J372" t="s">
        <v>559</v>
      </c>
      <c r="L372" t="s">
        <v>561</v>
      </c>
      <c r="M372" s="25">
        <v>82</v>
      </c>
      <c r="N372" s="4">
        <v>70.88</v>
      </c>
      <c r="O372">
        <v>1</v>
      </c>
      <c r="T372" t="s">
        <v>178</v>
      </c>
      <c r="U372" t="s">
        <v>66</v>
      </c>
      <c r="V372" s="25">
        <v>62.32</v>
      </c>
      <c r="W372" s="18" t="s">
        <v>367</v>
      </c>
      <c r="Y372" s="6">
        <f t="shared" si="55"/>
        <v>82</v>
      </c>
      <c r="Z372" s="6">
        <f t="shared" si="56"/>
        <v>62.32</v>
      </c>
      <c r="AA372" s="6">
        <f t="shared" si="57"/>
        <v>70.88</v>
      </c>
      <c r="AB372" s="6">
        <f t="shared" si="52"/>
        <v>11.120000000000005</v>
      </c>
      <c r="AC372" t="s">
        <v>16</v>
      </c>
      <c r="AD372" s="3" t="s">
        <v>168</v>
      </c>
    </row>
    <row r="373" spans="1:30" ht="15.75" customHeight="1" x14ac:dyDescent="0.2">
      <c r="A373" s="7" t="str">
        <f t="shared" si="53"/>
        <v>SHENZHEN STRONG TECHNOLOGY CO., LTD.J581New Buy</v>
      </c>
      <c r="B373" s="7" t="str">
        <f t="shared" si="54"/>
        <v>iPadNew Buy</v>
      </c>
      <c r="C373">
        <v>407537</v>
      </c>
      <c r="D373" t="s">
        <v>76</v>
      </c>
      <c r="E373" t="s">
        <v>166</v>
      </c>
      <c r="F373" t="s">
        <v>173</v>
      </c>
      <c r="G373" t="s">
        <v>174</v>
      </c>
      <c r="H373" t="s">
        <v>167</v>
      </c>
      <c r="I373" t="s">
        <v>175</v>
      </c>
      <c r="J373" t="s">
        <v>562</v>
      </c>
      <c r="L373" t="s">
        <v>563</v>
      </c>
      <c r="M373" s="25">
        <v>123</v>
      </c>
      <c r="N373" s="4">
        <v>70.88</v>
      </c>
      <c r="O373">
        <v>1</v>
      </c>
      <c r="T373" t="s">
        <v>178</v>
      </c>
      <c r="U373" t="s">
        <v>116</v>
      </c>
      <c r="V373" s="25">
        <v>62.32</v>
      </c>
      <c r="W373" s="18" t="s">
        <v>367</v>
      </c>
      <c r="Y373" s="6">
        <f t="shared" si="55"/>
        <v>123</v>
      </c>
      <c r="Z373" s="6">
        <f t="shared" si="56"/>
        <v>62.32</v>
      </c>
      <c r="AA373" s="6">
        <f t="shared" si="57"/>
        <v>70.88</v>
      </c>
      <c r="AB373" s="6">
        <f t="shared" si="52"/>
        <v>52.120000000000005</v>
      </c>
      <c r="AC373" t="s">
        <v>33</v>
      </c>
      <c r="AD373" s="3" t="s">
        <v>168</v>
      </c>
    </row>
    <row r="374" spans="1:30" ht="15.75" customHeight="1" x14ac:dyDescent="0.2">
      <c r="A374" s="7" t="str">
        <f t="shared" si="53"/>
        <v>SHENZHEN STRONG TECHNOLOGY CO., LTD.J581New Buy</v>
      </c>
      <c r="B374" s="7" t="str">
        <f t="shared" si="54"/>
        <v>iPadNew Buy</v>
      </c>
      <c r="C374">
        <v>407536</v>
      </c>
      <c r="D374" t="s">
        <v>76</v>
      </c>
      <c r="E374" t="s">
        <v>166</v>
      </c>
      <c r="F374" t="s">
        <v>173</v>
      </c>
      <c r="G374" t="s">
        <v>174</v>
      </c>
      <c r="H374" t="s">
        <v>167</v>
      </c>
      <c r="I374" t="s">
        <v>175</v>
      </c>
      <c r="J374" t="s">
        <v>562</v>
      </c>
      <c r="L374" t="s">
        <v>564</v>
      </c>
      <c r="M374" s="25">
        <v>82</v>
      </c>
      <c r="N374" s="4">
        <v>70.88</v>
      </c>
      <c r="O374">
        <v>1</v>
      </c>
      <c r="T374" t="s">
        <v>178</v>
      </c>
      <c r="U374" t="s">
        <v>104</v>
      </c>
      <c r="V374" s="25">
        <v>62.32</v>
      </c>
      <c r="W374" s="18" t="s">
        <v>367</v>
      </c>
      <c r="Y374" s="6">
        <f t="shared" si="55"/>
        <v>82</v>
      </c>
      <c r="Z374" s="6">
        <f t="shared" si="56"/>
        <v>62.32</v>
      </c>
      <c r="AA374" s="6">
        <f t="shared" si="57"/>
        <v>70.88</v>
      </c>
      <c r="AB374" s="6">
        <f t="shared" si="52"/>
        <v>11.120000000000005</v>
      </c>
      <c r="AC374" t="s">
        <v>16</v>
      </c>
      <c r="AD374" s="3" t="s">
        <v>168</v>
      </c>
    </row>
    <row r="375" spans="1:30" ht="15.75" customHeight="1" x14ac:dyDescent="0.2">
      <c r="A375" s="7" t="str">
        <f t="shared" si="53"/>
        <v>SHENZHEN STRONG TECHNOLOGY CO., LTD.J581New Buy</v>
      </c>
      <c r="B375" s="7" t="str">
        <f t="shared" si="54"/>
        <v>iPadNew Buy</v>
      </c>
      <c r="C375">
        <v>407535</v>
      </c>
      <c r="D375" t="s">
        <v>76</v>
      </c>
      <c r="E375" t="s">
        <v>166</v>
      </c>
      <c r="F375" t="s">
        <v>173</v>
      </c>
      <c r="G375" t="s">
        <v>174</v>
      </c>
      <c r="H375" t="s">
        <v>167</v>
      </c>
      <c r="I375" t="s">
        <v>175</v>
      </c>
      <c r="J375" t="s">
        <v>562</v>
      </c>
      <c r="L375" t="s">
        <v>564</v>
      </c>
      <c r="M375" s="25">
        <v>82</v>
      </c>
      <c r="N375" s="4">
        <v>70.88</v>
      </c>
      <c r="O375">
        <v>1</v>
      </c>
      <c r="T375" t="s">
        <v>178</v>
      </c>
      <c r="U375" t="s">
        <v>66</v>
      </c>
      <c r="V375" s="25">
        <v>62.32</v>
      </c>
      <c r="W375" s="18" t="s">
        <v>367</v>
      </c>
      <c r="Y375" s="6">
        <f t="shared" si="55"/>
        <v>82</v>
      </c>
      <c r="Z375" s="6">
        <f t="shared" si="56"/>
        <v>62.32</v>
      </c>
      <c r="AA375" s="6">
        <f t="shared" si="57"/>
        <v>70.88</v>
      </c>
      <c r="AB375" s="6">
        <f t="shared" si="52"/>
        <v>11.120000000000005</v>
      </c>
      <c r="AC375" t="s">
        <v>16</v>
      </c>
      <c r="AD375" s="3" t="s">
        <v>168</v>
      </c>
    </row>
    <row r="376" spans="1:30" ht="15.75" customHeight="1" x14ac:dyDescent="0.2">
      <c r="A376" s="7" t="str">
        <f t="shared" si="53"/>
        <v>SHENZHEN STRONG TECHNOLOGY CO., LTD.J581New Buy</v>
      </c>
      <c r="B376" s="7" t="str">
        <f t="shared" si="54"/>
        <v>iPadNew Buy</v>
      </c>
      <c r="C376">
        <v>407534</v>
      </c>
      <c r="D376" t="s">
        <v>76</v>
      </c>
      <c r="E376" t="s">
        <v>166</v>
      </c>
      <c r="F376" t="s">
        <v>173</v>
      </c>
      <c r="G376" t="s">
        <v>174</v>
      </c>
      <c r="H376" t="s">
        <v>167</v>
      </c>
      <c r="I376" t="s">
        <v>175</v>
      </c>
      <c r="J376" t="s">
        <v>565</v>
      </c>
      <c r="L376" t="s">
        <v>566</v>
      </c>
      <c r="M376" s="25">
        <v>123</v>
      </c>
      <c r="N376" s="4">
        <v>70.88</v>
      </c>
      <c r="O376">
        <v>1</v>
      </c>
      <c r="T376" t="s">
        <v>178</v>
      </c>
      <c r="U376" t="s">
        <v>116</v>
      </c>
      <c r="V376" s="25">
        <v>62.32</v>
      </c>
      <c r="W376" s="18" t="s">
        <v>367</v>
      </c>
      <c r="Y376" s="6">
        <f t="shared" si="55"/>
        <v>123</v>
      </c>
      <c r="Z376" s="6">
        <f t="shared" si="56"/>
        <v>62.32</v>
      </c>
      <c r="AA376" s="6">
        <f t="shared" si="57"/>
        <v>70.88</v>
      </c>
      <c r="AB376" s="6">
        <f t="shared" si="52"/>
        <v>52.120000000000005</v>
      </c>
      <c r="AC376" t="s">
        <v>33</v>
      </c>
      <c r="AD376" s="3" t="s">
        <v>168</v>
      </c>
    </row>
    <row r="377" spans="1:30" ht="15.75" customHeight="1" x14ac:dyDescent="0.2">
      <c r="A377" s="7" t="str">
        <f t="shared" si="53"/>
        <v>SHENZHEN STRONG TECHNOLOGY CO., LTD.J581New Buy</v>
      </c>
      <c r="B377" s="7" t="str">
        <f t="shared" si="54"/>
        <v>iPadNew Buy</v>
      </c>
      <c r="C377">
        <v>407533</v>
      </c>
      <c r="D377" t="s">
        <v>76</v>
      </c>
      <c r="E377" t="s">
        <v>166</v>
      </c>
      <c r="F377" t="s">
        <v>173</v>
      </c>
      <c r="G377" t="s">
        <v>174</v>
      </c>
      <c r="H377" t="s">
        <v>167</v>
      </c>
      <c r="I377" t="s">
        <v>175</v>
      </c>
      <c r="J377" t="s">
        <v>565</v>
      </c>
      <c r="L377" t="s">
        <v>567</v>
      </c>
      <c r="M377" s="25">
        <v>82</v>
      </c>
      <c r="N377" s="4">
        <v>70.88</v>
      </c>
      <c r="O377">
        <v>1</v>
      </c>
      <c r="T377" t="s">
        <v>178</v>
      </c>
      <c r="U377" t="s">
        <v>104</v>
      </c>
      <c r="V377" s="25">
        <v>62.32</v>
      </c>
      <c r="W377" s="18" t="s">
        <v>367</v>
      </c>
      <c r="Y377" s="6">
        <f t="shared" si="55"/>
        <v>82</v>
      </c>
      <c r="Z377" s="6">
        <f t="shared" si="56"/>
        <v>62.32</v>
      </c>
      <c r="AA377" s="6">
        <f t="shared" si="57"/>
        <v>70.88</v>
      </c>
      <c r="AB377" s="6">
        <f t="shared" si="52"/>
        <v>11.120000000000005</v>
      </c>
      <c r="AC377" t="s">
        <v>16</v>
      </c>
      <c r="AD377" s="3" t="s">
        <v>168</v>
      </c>
    </row>
    <row r="378" spans="1:30" ht="15.75" customHeight="1" x14ac:dyDescent="0.2">
      <c r="A378" s="7" t="str">
        <f t="shared" si="53"/>
        <v>SHENZHEN STRONG TECHNOLOGY CO., LTD.J581New Buy</v>
      </c>
      <c r="B378" s="7" t="str">
        <f t="shared" si="54"/>
        <v>iPadNew Buy</v>
      </c>
      <c r="C378">
        <v>407532</v>
      </c>
      <c r="D378" t="s">
        <v>76</v>
      </c>
      <c r="E378" t="s">
        <v>166</v>
      </c>
      <c r="F378" t="s">
        <v>173</v>
      </c>
      <c r="G378" t="s">
        <v>174</v>
      </c>
      <c r="H378" t="s">
        <v>167</v>
      </c>
      <c r="I378" t="s">
        <v>175</v>
      </c>
      <c r="J378" t="s">
        <v>565</v>
      </c>
      <c r="L378" t="s">
        <v>567</v>
      </c>
      <c r="M378" s="25">
        <v>82</v>
      </c>
      <c r="N378" s="4">
        <v>70.88</v>
      </c>
      <c r="O378">
        <v>1</v>
      </c>
      <c r="T378" t="s">
        <v>178</v>
      </c>
      <c r="U378" t="s">
        <v>66</v>
      </c>
      <c r="V378" s="25">
        <v>62.32</v>
      </c>
      <c r="W378" s="18" t="s">
        <v>367</v>
      </c>
      <c r="Y378" s="6">
        <f t="shared" si="55"/>
        <v>82</v>
      </c>
      <c r="Z378" s="6">
        <f t="shared" si="56"/>
        <v>62.32</v>
      </c>
      <c r="AA378" s="6">
        <f t="shared" si="57"/>
        <v>70.88</v>
      </c>
      <c r="AB378" s="6">
        <f t="shared" si="52"/>
        <v>11.120000000000005</v>
      </c>
      <c r="AC378" t="s">
        <v>16</v>
      </c>
      <c r="AD378" s="3" t="s">
        <v>168</v>
      </c>
    </row>
    <row r="379" spans="1:30" ht="15.75" customHeight="1" x14ac:dyDescent="0.2">
      <c r="A379" s="7" t="str">
        <f t="shared" si="53"/>
        <v>SHENZHEN STRONG TECHNOLOGY CO., LTD.J581New Buy</v>
      </c>
      <c r="B379" s="7" t="str">
        <f t="shared" si="54"/>
        <v>iPadNew Buy</v>
      </c>
      <c r="C379">
        <v>407531</v>
      </c>
      <c r="D379" t="s">
        <v>76</v>
      </c>
      <c r="E379" t="s">
        <v>166</v>
      </c>
      <c r="F379" t="s">
        <v>173</v>
      </c>
      <c r="G379" t="s">
        <v>174</v>
      </c>
      <c r="H379" t="s">
        <v>167</v>
      </c>
      <c r="I379" t="s">
        <v>175</v>
      </c>
      <c r="J379" t="s">
        <v>568</v>
      </c>
      <c r="L379" t="s">
        <v>569</v>
      </c>
      <c r="M379" s="25">
        <v>123</v>
      </c>
      <c r="N379" s="4">
        <v>70.88</v>
      </c>
      <c r="O379">
        <v>1</v>
      </c>
      <c r="T379" t="s">
        <v>178</v>
      </c>
      <c r="U379" t="s">
        <v>116</v>
      </c>
      <c r="V379" s="25">
        <v>62.32</v>
      </c>
      <c r="W379" s="18" t="s">
        <v>367</v>
      </c>
      <c r="Y379" s="6">
        <f t="shared" si="55"/>
        <v>123</v>
      </c>
      <c r="Z379" s="6">
        <f t="shared" si="56"/>
        <v>62.32</v>
      </c>
      <c r="AA379" s="6">
        <f t="shared" si="57"/>
        <v>70.88</v>
      </c>
      <c r="AB379" s="6">
        <f t="shared" si="52"/>
        <v>52.120000000000005</v>
      </c>
      <c r="AC379" t="s">
        <v>33</v>
      </c>
      <c r="AD379" s="3" t="s">
        <v>168</v>
      </c>
    </row>
    <row r="380" spans="1:30" ht="15.75" customHeight="1" x14ac:dyDescent="0.2">
      <c r="A380" s="7" t="str">
        <f t="shared" si="53"/>
        <v>SHENZHEN STRONG TECHNOLOGY CO., LTD.J581New Buy</v>
      </c>
      <c r="B380" s="7" t="str">
        <f t="shared" si="54"/>
        <v>iPadNew Buy</v>
      </c>
      <c r="C380">
        <v>407530</v>
      </c>
      <c r="D380" t="s">
        <v>76</v>
      </c>
      <c r="E380" t="s">
        <v>166</v>
      </c>
      <c r="F380" t="s">
        <v>173</v>
      </c>
      <c r="G380" t="s">
        <v>174</v>
      </c>
      <c r="H380" t="s">
        <v>167</v>
      </c>
      <c r="I380" t="s">
        <v>175</v>
      </c>
      <c r="J380" t="s">
        <v>568</v>
      </c>
      <c r="L380" t="s">
        <v>570</v>
      </c>
      <c r="M380" s="25">
        <v>82</v>
      </c>
      <c r="N380" s="4">
        <v>70.88</v>
      </c>
      <c r="O380">
        <v>1</v>
      </c>
      <c r="T380" t="s">
        <v>178</v>
      </c>
      <c r="U380" t="s">
        <v>104</v>
      </c>
      <c r="V380" s="25">
        <v>62.32</v>
      </c>
      <c r="W380" s="18" t="s">
        <v>367</v>
      </c>
      <c r="Y380" s="6">
        <f t="shared" si="55"/>
        <v>82</v>
      </c>
      <c r="Z380" s="6">
        <f t="shared" si="56"/>
        <v>62.32</v>
      </c>
      <c r="AA380" s="6">
        <f t="shared" si="57"/>
        <v>70.88</v>
      </c>
      <c r="AB380" s="6">
        <f t="shared" si="52"/>
        <v>11.120000000000005</v>
      </c>
      <c r="AC380" t="s">
        <v>16</v>
      </c>
      <c r="AD380" s="3" t="s">
        <v>168</v>
      </c>
    </row>
    <row r="381" spans="1:30" ht="15.75" customHeight="1" x14ac:dyDescent="0.2">
      <c r="A381" s="7" t="str">
        <f t="shared" si="53"/>
        <v>SHENZHEN STRONG TECHNOLOGY CO., LTD.J581New Buy</v>
      </c>
      <c r="B381" s="7" t="str">
        <f t="shared" si="54"/>
        <v>iPadNew Buy</v>
      </c>
      <c r="C381">
        <v>407529</v>
      </c>
      <c r="D381" t="s">
        <v>76</v>
      </c>
      <c r="E381" t="s">
        <v>166</v>
      </c>
      <c r="F381" t="s">
        <v>173</v>
      </c>
      <c r="G381" t="s">
        <v>174</v>
      </c>
      <c r="H381" t="s">
        <v>167</v>
      </c>
      <c r="I381" t="s">
        <v>175</v>
      </c>
      <c r="J381" t="s">
        <v>568</v>
      </c>
      <c r="L381" t="s">
        <v>570</v>
      </c>
      <c r="M381" s="25">
        <v>82</v>
      </c>
      <c r="N381" s="4">
        <v>70.88</v>
      </c>
      <c r="O381">
        <v>1</v>
      </c>
      <c r="T381" t="s">
        <v>178</v>
      </c>
      <c r="U381" t="s">
        <v>66</v>
      </c>
      <c r="V381" s="25">
        <v>62.32</v>
      </c>
      <c r="W381" s="18" t="s">
        <v>367</v>
      </c>
      <c r="Y381" s="6">
        <f t="shared" si="55"/>
        <v>82</v>
      </c>
      <c r="Z381" s="6">
        <f t="shared" si="56"/>
        <v>62.32</v>
      </c>
      <c r="AA381" s="6">
        <f t="shared" si="57"/>
        <v>70.88</v>
      </c>
      <c r="AB381" s="6">
        <f t="shared" si="52"/>
        <v>11.120000000000005</v>
      </c>
      <c r="AC381" t="s">
        <v>16</v>
      </c>
      <c r="AD381" s="3" t="s">
        <v>168</v>
      </c>
    </row>
    <row r="382" spans="1:30" ht="15.75" customHeight="1" x14ac:dyDescent="0.2">
      <c r="A382" s="7" t="str">
        <f t="shared" si="53"/>
        <v>SHENZHEN STRONG TECHNOLOGY CO., LTD.J581New Buy</v>
      </c>
      <c r="B382" s="7" t="str">
        <f t="shared" si="54"/>
        <v>iPadNew Buy</v>
      </c>
      <c r="C382">
        <v>407528</v>
      </c>
      <c r="D382" t="s">
        <v>76</v>
      </c>
      <c r="E382" t="s">
        <v>166</v>
      </c>
      <c r="F382" t="s">
        <v>173</v>
      </c>
      <c r="G382" t="s">
        <v>174</v>
      </c>
      <c r="H382" t="s">
        <v>167</v>
      </c>
      <c r="I382" t="s">
        <v>175</v>
      </c>
      <c r="J382" t="s">
        <v>571</v>
      </c>
      <c r="L382" t="s">
        <v>572</v>
      </c>
      <c r="M382" s="25">
        <v>123</v>
      </c>
      <c r="N382" s="4">
        <v>70.88</v>
      </c>
      <c r="O382">
        <v>1</v>
      </c>
      <c r="T382" t="s">
        <v>178</v>
      </c>
      <c r="U382" t="s">
        <v>116</v>
      </c>
      <c r="V382" s="25">
        <v>62.32</v>
      </c>
      <c r="W382" s="18" t="s">
        <v>367</v>
      </c>
      <c r="Y382" s="6">
        <f t="shared" si="55"/>
        <v>123</v>
      </c>
      <c r="Z382" s="6">
        <f t="shared" si="56"/>
        <v>62.32</v>
      </c>
      <c r="AA382" s="6">
        <f t="shared" si="57"/>
        <v>70.88</v>
      </c>
      <c r="AB382" s="6">
        <f t="shared" si="52"/>
        <v>52.120000000000005</v>
      </c>
      <c r="AC382" t="s">
        <v>33</v>
      </c>
      <c r="AD382" s="3" t="s">
        <v>168</v>
      </c>
    </row>
    <row r="383" spans="1:30" ht="15.75" customHeight="1" x14ac:dyDescent="0.2">
      <c r="A383" s="7" t="str">
        <f t="shared" si="53"/>
        <v>SHENZHEN STRONG TECHNOLOGY CO., LTD.J581New Buy</v>
      </c>
      <c r="B383" s="7" t="str">
        <f t="shared" si="54"/>
        <v>iPadNew Buy</v>
      </c>
      <c r="C383">
        <v>407527</v>
      </c>
      <c r="D383" t="s">
        <v>76</v>
      </c>
      <c r="E383" t="s">
        <v>166</v>
      </c>
      <c r="F383" t="s">
        <v>173</v>
      </c>
      <c r="G383" t="s">
        <v>174</v>
      </c>
      <c r="H383" t="s">
        <v>167</v>
      </c>
      <c r="I383" t="s">
        <v>175</v>
      </c>
      <c r="J383" t="s">
        <v>571</v>
      </c>
      <c r="L383" t="s">
        <v>573</v>
      </c>
      <c r="M383" s="25">
        <v>82</v>
      </c>
      <c r="N383" s="4">
        <v>70.88</v>
      </c>
      <c r="O383">
        <v>1</v>
      </c>
      <c r="T383" t="s">
        <v>178</v>
      </c>
      <c r="U383" t="s">
        <v>104</v>
      </c>
      <c r="V383" s="25">
        <v>62.32</v>
      </c>
      <c r="W383" s="18" t="s">
        <v>367</v>
      </c>
      <c r="Y383" s="6">
        <f t="shared" si="55"/>
        <v>82</v>
      </c>
      <c r="Z383" s="6">
        <f t="shared" si="56"/>
        <v>62.32</v>
      </c>
      <c r="AA383" s="6">
        <f t="shared" si="57"/>
        <v>70.88</v>
      </c>
      <c r="AB383" s="6">
        <f t="shared" si="52"/>
        <v>11.120000000000005</v>
      </c>
      <c r="AC383" t="s">
        <v>16</v>
      </c>
      <c r="AD383" s="3" t="s">
        <v>168</v>
      </c>
    </row>
    <row r="384" spans="1:30" ht="15.75" customHeight="1" x14ac:dyDescent="0.2">
      <c r="A384" s="7" t="str">
        <f t="shared" si="53"/>
        <v>SHENZHEN STRONG TECHNOLOGY CO., LTD.J581New Buy</v>
      </c>
      <c r="B384" s="7" t="str">
        <f t="shared" si="54"/>
        <v>iPadNew Buy</v>
      </c>
      <c r="C384">
        <v>407526</v>
      </c>
      <c r="D384" t="s">
        <v>76</v>
      </c>
      <c r="E384" t="s">
        <v>166</v>
      </c>
      <c r="F384" t="s">
        <v>173</v>
      </c>
      <c r="G384" t="s">
        <v>174</v>
      </c>
      <c r="H384" t="s">
        <v>167</v>
      </c>
      <c r="I384" t="s">
        <v>175</v>
      </c>
      <c r="J384" t="s">
        <v>571</v>
      </c>
      <c r="L384" t="s">
        <v>573</v>
      </c>
      <c r="M384" s="25">
        <v>82</v>
      </c>
      <c r="N384" s="4">
        <v>70.88</v>
      </c>
      <c r="O384">
        <v>1</v>
      </c>
      <c r="T384" t="s">
        <v>178</v>
      </c>
      <c r="U384" t="s">
        <v>66</v>
      </c>
      <c r="V384" s="25">
        <v>62.32</v>
      </c>
      <c r="W384" s="18" t="s">
        <v>367</v>
      </c>
      <c r="Y384" s="6">
        <f t="shared" si="55"/>
        <v>82</v>
      </c>
      <c r="Z384" s="6">
        <f t="shared" si="56"/>
        <v>62.32</v>
      </c>
      <c r="AA384" s="6">
        <f t="shared" si="57"/>
        <v>70.88</v>
      </c>
      <c r="AB384" s="6">
        <f t="shared" si="52"/>
        <v>11.120000000000005</v>
      </c>
      <c r="AC384" t="s">
        <v>16</v>
      </c>
      <c r="AD384" s="3" t="s">
        <v>168</v>
      </c>
    </row>
    <row r="385" spans="1:30" ht="15.75" customHeight="1" x14ac:dyDescent="0.2">
      <c r="A385" s="7" t="str">
        <f t="shared" si="53"/>
        <v>SHENZHEN STRONG TECHNOLOGY CO., LTD.J581New Buy</v>
      </c>
      <c r="B385" s="7" t="str">
        <f t="shared" si="54"/>
        <v>iPadNew Buy</v>
      </c>
      <c r="C385">
        <v>407525</v>
      </c>
      <c r="D385" t="s">
        <v>76</v>
      </c>
      <c r="E385" t="s">
        <v>166</v>
      </c>
      <c r="F385" t="s">
        <v>173</v>
      </c>
      <c r="G385" t="s">
        <v>174</v>
      </c>
      <c r="H385" t="s">
        <v>167</v>
      </c>
      <c r="I385" t="s">
        <v>175</v>
      </c>
      <c r="J385" t="s">
        <v>574</v>
      </c>
      <c r="L385" t="s">
        <v>575</v>
      </c>
      <c r="M385" s="25">
        <v>123</v>
      </c>
      <c r="N385" s="4">
        <v>70.88</v>
      </c>
      <c r="O385">
        <v>1</v>
      </c>
      <c r="T385" t="s">
        <v>178</v>
      </c>
      <c r="U385" t="s">
        <v>116</v>
      </c>
      <c r="V385" s="25">
        <v>62.32</v>
      </c>
      <c r="W385" s="18" t="s">
        <v>367</v>
      </c>
      <c r="Y385" s="6">
        <f t="shared" si="55"/>
        <v>123</v>
      </c>
      <c r="Z385" s="6">
        <f t="shared" si="56"/>
        <v>62.32</v>
      </c>
      <c r="AA385" s="6">
        <f t="shared" si="57"/>
        <v>70.88</v>
      </c>
      <c r="AB385" s="6">
        <f t="shared" si="52"/>
        <v>52.120000000000005</v>
      </c>
      <c r="AC385" t="s">
        <v>33</v>
      </c>
      <c r="AD385" s="3" t="s">
        <v>168</v>
      </c>
    </row>
    <row r="386" spans="1:30" ht="15.75" customHeight="1" x14ac:dyDescent="0.2">
      <c r="A386" s="7" t="str">
        <f t="shared" si="53"/>
        <v>SHENZHEN STRONG TECHNOLOGY CO., LTD.J581New Buy</v>
      </c>
      <c r="B386" s="7" t="str">
        <f t="shared" si="54"/>
        <v>iPadNew Buy</v>
      </c>
      <c r="C386">
        <v>407524</v>
      </c>
      <c r="D386" t="s">
        <v>76</v>
      </c>
      <c r="E386" t="s">
        <v>166</v>
      </c>
      <c r="F386" t="s">
        <v>173</v>
      </c>
      <c r="G386" t="s">
        <v>174</v>
      </c>
      <c r="H386" t="s">
        <v>167</v>
      </c>
      <c r="I386" t="s">
        <v>175</v>
      </c>
      <c r="J386" t="s">
        <v>574</v>
      </c>
      <c r="L386" t="s">
        <v>576</v>
      </c>
      <c r="M386" s="25">
        <v>82</v>
      </c>
      <c r="N386" s="4">
        <v>70.88</v>
      </c>
      <c r="O386">
        <v>1</v>
      </c>
      <c r="T386" t="s">
        <v>178</v>
      </c>
      <c r="U386" t="s">
        <v>104</v>
      </c>
      <c r="V386" s="25">
        <v>62.32</v>
      </c>
      <c r="W386" s="18" t="s">
        <v>367</v>
      </c>
      <c r="Y386" s="6">
        <f t="shared" si="55"/>
        <v>82</v>
      </c>
      <c r="Z386" s="6">
        <f t="shared" si="56"/>
        <v>62.32</v>
      </c>
      <c r="AA386" s="6">
        <f t="shared" si="57"/>
        <v>70.88</v>
      </c>
      <c r="AB386" s="6">
        <f t="shared" si="52"/>
        <v>11.120000000000005</v>
      </c>
      <c r="AC386" t="s">
        <v>16</v>
      </c>
      <c r="AD386" s="3" t="s">
        <v>168</v>
      </c>
    </row>
    <row r="387" spans="1:30" ht="15.75" customHeight="1" x14ac:dyDescent="0.2">
      <c r="A387" s="7" t="str">
        <f t="shared" si="53"/>
        <v>SHENZHEN STRONG TECHNOLOGY CO., LTD.J581New Buy</v>
      </c>
      <c r="B387" s="7" t="str">
        <f t="shared" si="54"/>
        <v>iPadNew Buy</v>
      </c>
      <c r="C387">
        <v>407523</v>
      </c>
      <c r="D387" t="s">
        <v>76</v>
      </c>
      <c r="E387" t="s">
        <v>166</v>
      </c>
      <c r="F387" t="s">
        <v>173</v>
      </c>
      <c r="G387" t="s">
        <v>174</v>
      </c>
      <c r="H387" t="s">
        <v>167</v>
      </c>
      <c r="I387" t="s">
        <v>175</v>
      </c>
      <c r="J387" t="s">
        <v>574</v>
      </c>
      <c r="L387" t="s">
        <v>576</v>
      </c>
      <c r="M387" s="25">
        <v>82</v>
      </c>
      <c r="N387" s="4">
        <v>70.88</v>
      </c>
      <c r="O387">
        <v>1</v>
      </c>
      <c r="T387" t="s">
        <v>178</v>
      </c>
      <c r="U387" t="s">
        <v>66</v>
      </c>
      <c r="V387" s="25">
        <v>62.32</v>
      </c>
      <c r="W387" s="18" t="s">
        <v>367</v>
      </c>
      <c r="Y387" s="6">
        <f t="shared" si="55"/>
        <v>82</v>
      </c>
      <c r="Z387" s="6">
        <f t="shared" si="56"/>
        <v>62.32</v>
      </c>
      <c r="AA387" s="6">
        <f t="shared" si="57"/>
        <v>70.88</v>
      </c>
      <c r="AB387" s="6">
        <f t="shared" si="52"/>
        <v>11.120000000000005</v>
      </c>
      <c r="AC387" t="s">
        <v>16</v>
      </c>
      <c r="AD387" s="3" t="s">
        <v>168</v>
      </c>
    </row>
    <row r="388" spans="1:30" ht="15.75" customHeight="1" x14ac:dyDescent="0.2">
      <c r="A388" s="7" t="str">
        <f t="shared" si="53"/>
        <v>SHENZHEN STRONG TECHNOLOGY CO., LTD.J581New Buy</v>
      </c>
      <c r="B388" s="7" t="str">
        <f t="shared" si="54"/>
        <v>iPadNew Buy</v>
      </c>
      <c r="C388">
        <v>407522</v>
      </c>
      <c r="D388" t="s">
        <v>76</v>
      </c>
      <c r="E388" t="s">
        <v>166</v>
      </c>
      <c r="F388" t="s">
        <v>173</v>
      </c>
      <c r="G388" t="s">
        <v>174</v>
      </c>
      <c r="H388" t="s">
        <v>167</v>
      </c>
      <c r="I388" t="s">
        <v>175</v>
      </c>
      <c r="J388" t="s">
        <v>577</v>
      </c>
      <c r="L388" t="s">
        <v>578</v>
      </c>
      <c r="M388" s="25">
        <v>427</v>
      </c>
      <c r="N388" s="4">
        <v>414.67</v>
      </c>
      <c r="O388">
        <v>1</v>
      </c>
      <c r="T388" t="s">
        <v>178</v>
      </c>
      <c r="U388" t="s">
        <v>104</v>
      </c>
      <c r="V388" s="25">
        <v>324.52</v>
      </c>
      <c r="W388" s="18">
        <v>320</v>
      </c>
      <c r="Y388" s="6">
        <f t="shared" si="55"/>
        <v>427</v>
      </c>
      <c r="Z388" s="6">
        <f t="shared" si="56"/>
        <v>324.52</v>
      </c>
      <c r="AA388" s="6">
        <f t="shared" si="57"/>
        <v>414.67</v>
      </c>
      <c r="AB388" s="6">
        <f t="shared" si="52"/>
        <v>12.329999999999984</v>
      </c>
      <c r="AC388" t="s">
        <v>16</v>
      </c>
      <c r="AD388" s="3" t="s">
        <v>168</v>
      </c>
    </row>
    <row r="389" spans="1:30" ht="15.75" customHeight="1" x14ac:dyDescent="0.2">
      <c r="A389" s="7" t="str">
        <f t="shared" si="53"/>
        <v>SHENZHEN STRONG TECHNOLOGY CO., LTD.J581New Buy</v>
      </c>
      <c r="B389" s="7" t="str">
        <f t="shared" si="54"/>
        <v>iPadNew Buy</v>
      </c>
      <c r="C389">
        <v>407521</v>
      </c>
      <c r="D389" t="s">
        <v>76</v>
      </c>
      <c r="E389" t="s">
        <v>166</v>
      </c>
      <c r="F389" t="s">
        <v>173</v>
      </c>
      <c r="G389" t="s">
        <v>174</v>
      </c>
      <c r="H389" t="s">
        <v>167</v>
      </c>
      <c r="I389" t="s">
        <v>175</v>
      </c>
      <c r="J389" t="s">
        <v>577</v>
      </c>
      <c r="L389" t="s">
        <v>578</v>
      </c>
      <c r="M389" s="25">
        <v>640</v>
      </c>
      <c r="N389" s="4">
        <v>414.67</v>
      </c>
      <c r="O389">
        <v>1</v>
      </c>
      <c r="T389" t="s">
        <v>178</v>
      </c>
      <c r="U389" t="s">
        <v>116</v>
      </c>
      <c r="V389" s="25">
        <v>324.52</v>
      </c>
      <c r="W389" s="18">
        <v>320</v>
      </c>
      <c r="Y389" s="6">
        <f t="shared" si="55"/>
        <v>640</v>
      </c>
      <c r="Z389" s="6">
        <f t="shared" si="56"/>
        <v>324.52</v>
      </c>
      <c r="AA389" s="6">
        <f t="shared" si="57"/>
        <v>414.67</v>
      </c>
      <c r="AB389" s="6">
        <f t="shared" si="52"/>
        <v>225.32999999999998</v>
      </c>
      <c r="AC389" t="s">
        <v>33</v>
      </c>
      <c r="AD389" s="3" t="s">
        <v>168</v>
      </c>
    </row>
    <row r="390" spans="1:30" ht="15.75" customHeight="1" x14ac:dyDescent="0.2">
      <c r="A390" s="7" t="str">
        <f t="shared" si="53"/>
        <v>SHENZHEN STRONG TECHNOLOGY CO., LTD.J581New Buy</v>
      </c>
      <c r="B390" s="7" t="str">
        <f t="shared" si="54"/>
        <v>iPadNew Buy</v>
      </c>
      <c r="C390">
        <v>407520</v>
      </c>
      <c r="D390" t="s">
        <v>76</v>
      </c>
      <c r="E390" t="s">
        <v>166</v>
      </c>
      <c r="F390" t="s">
        <v>173</v>
      </c>
      <c r="G390" t="s">
        <v>174</v>
      </c>
      <c r="H390" t="s">
        <v>167</v>
      </c>
      <c r="I390" t="s">
        <v>175</v>
      </c>
      <c r="J390" t="s">
        <v>577</v>
      </c>
      <c r="L390" t="s">
        <v>578</v>
      </c>
      <c r="M390" s="25">
        <v>427</v>
      </c>
      <c r="N390" s="4">
        <v>414.67</v>
      </c>
      <c r="O390">
        <v>1</v>
      </c>
      <c r="T390" t="s">
        <v>178</v>
      </c>
      <c r="U390" t="s">
        <v>66</v>
      </c>
      <c r="V390" s="25">
        <v>324.52</v>
      </c>
      <c r="W390" s="18">
        <v>320</v>
      </c>
      <c r="Y390" s="6">
        <f t="shared" si="55"/>
        <v>427</v>
      </c>
      <c r="Z390" s="6">
        <f t="shared" si="56"/>
        <v>324.52</v>
      </c>
      <c r="AA390" s="6">
        <f t="shared" si="57"/>
        <v>414.67</v>
      </c>
      <c r="AB390" s="6">
        <f t="shared" si="52"/>
        <v>12.329999999999984</v>
      </c>
      <c r="AC390" t="s">
        <v>16</v>
      </c>
      <c r="AD390" s="3" t="s">
        <v>168</v>
      </c>
    </row>
    <row r="391" spans="1:30" ht="15.75" customHeight="1" x14ac:dyDescent="0.2">
      <c r="A391" s="7" t="str">
        <f t="shared" si="53"/>
        <v>SHENZHEN STRONG TECHNOLOGY CO., LTD.J581New Buy</v>
      </c>
      <c r="B391" s="7" t="str">
        <f t="shared" si="54"/>
        <v>iPadNew Buy</v>
      </c>
      <c r="C391">
        <v>407519</v>
      </c>
      <c r="D391" t="s">
        <v>76</v>
      </c>
      <c r="E391" t="s">
        <v>166</v>
      </c>
      <c r="F391" t="s">
        <v>173</v>
      </c>
      <c r="G391" t="s">
        <v>174</v>
      </c>
      <c r="H391" t="s">
        <v>167</v>
      </c>
      <c r="I391" t="s">
        <v>175</v>
      </c>
      <c r="J391" t="s">
        <v>579</v>
      </c>
      <c r="L391" t="s">
        <v>580</v>
      </c>
      <c r="M391" s="25">
        <v>123</v>
      </c>
      <c r="N391" s="4">
        <v>70.88</v>
      </c>
      <c r="O391">
        <v>1</v>
      </c>
      <c r="T391" t="s">
        <v>178</v>
      </c>
      <c r="U391" t="s">
        <v>116</v>
      </c>
      <c r="V391" s="25">
        <v>62.32</v>
      </c>
      <c r="W391" s="18" t="s">
        <v>367</v>
      </c>
      <c r="Y391" s="6">
        <f t="shared" si="55"/>
        <v>123</v>
      </c>
      <c r="Z391" s="6">
        <f t="shared" si="56"/>
        <v>62.32</v>
      </c>
      <c r="AA391" s="6">
        <f t="shared" si="57"/>
        <v>70.88</v>
      </c>
      <c r="AB391" s="6">
        <f t="shared" si="52"/>
        <v>52.120000000000005</v>
      </c>
      <c r="AC391" t="s">
        <v>33</v>
      </c>
      <c r="AD391" s="3" t="s">
        <v>168</v>
      </c>
    </row>
    <row r="392" spans="1:30" ht="15.75" customHeight="1" x14ac:dyDescent="0.2">
      <c r="A392" s="7" t="str">
        <f t="shared" si="53"/>
        <v>SHENZHEN STRONG TECHNOLOGY CO., LTD.J581New Buy</v>
      </c>
      <c r="B392" s="7" t="str">
        <f t="shared" si="54"/>
        <v>iPadNew Buy</v>
      </c>
      <c r="C392">
        <v>407518</v>
      </c>
      <c r="D392" t="s">
        <v>76</v>
      </c>
      <c r="E392" t="s">
        <v>166</v>
      </c>
      <c r="F392" t="s">
        <v>173</v>
      </c>
      <c r="G392" t="s">
        <v>174</v>
      </c>
      <c r="H392" t="s">
        <v>167</v>
      </c>
      <c r="I392" t="s">
        <v>175</v>
      </c>
      <c r="J392" t="s">
        <v>579</v>
      </c>
      <c r="L392" t="s">
        <v>581</v>
      </c>
      <c r="M392" s="25">
        <v>82</v>
      </c>
      <c r="N392" s="4">
        <v>70.88</v>
      </c>
      <c r="O392">
        <v>1</v>
      </c>
      <c r="T392" t="s">
        <v>178</v>
      </c>
      <c r="U392" t="s">
        <v>104</v>
      </c>
      <c r="V392" s="25">
        <v>62.32</v>
      </c>
      <c r="W392" s="18" t="s">
        <v>367</v>
      </c>
      <c r="Y392" s="6">
        <f t="shared" si="55"/>
        <v>82</v>
      </c>
      <c r="Z392" s="6">
        <f t="shared" si="56"/>
        <v>62.32</v>
      </c>
      <c r="AA392" s="6">
        <f t="shared" si="57"/>
        <v>70.88</v>
      </c>
      <c r="AB392" s="6">
        <f t="shared" si="52"/>
        <v>11.120000000000005</v>
      </c>
      <c r="AC392" t="s">
        <v>16</v>
      </c>
      <c r="AD392" s="3" t="s">
        <v>168</v>
      </c>
    </row>
    <row r="393" spans="1:30" ht="15.75" customHeight="1" x14ac:dyDescent="0.2">
      <c r="A393" s="7" t="str">
        <f t="shared" si="53"/>
        <v>SHENZHEN STRONG TECHNOLOGY CO., LTD.J581New Buy</v>
      </c>
      <c r="B393" s="7" t="str">
        <f t="shared" si="54"/>
        <v>iPadNew Buy</v>
      </c>
      <c r="C393">
        <v>407517</v>
      </c>
      <c r="D393" t="s">
        <v>76</v>
      </c>
      <c r="E393" t="s">
        <v>166</v>
      </c>
      <c r="F393" t="s">
        <v>173</v>
      </c>
      <c r="G393" t="s">
        <v>174</v>
      </c>
      <c r="H393" t="s">
        <v>167</v>
      </c>
      <c r="I393" t="s">
        <v>175</v>
      </c>
      <c r="J393" t="s">
        <v>579</v>
      </c>
      <c r="L393" t="s">
        <v>581</v>
      </c>
      <c r="M393" s="25">
        <v>82</v>
      </c>
      <c r="N393" s="4">
        <v>70.88</v>
      </c>
      <c r="O393">
        <v>1</v>
      </c>
      <c r="T393" t="s">
        <v>178</v>
      </c>
      <c r="U393" t="s">
        <v>66</v>
      </c>
      <c r="V393" s="25">
        <v>62.32</v>
      </c>
      <c r="W393" s="18" t="s">
        <v>367</v>
      </c>
      <c r="Y393" s="6">
        <f t="shared" si="55"/>
        <v>82</v>
      </c>
      <c r="Z393" s="6">
        <f t="shared" si="56"/>
        <v>62.32</v>
      </c>
      <c r="AA393" s="6">
        <f t="shared" si="57"/>
        <v>70.88</v>
      </c>
      <c r="AB393" s="6">
        <f t="shared" si="52"/>
        <v>11.120000000000005</v>
      </c>
      <c r="AC393" t="s">
        <v>16</v>
      </c>
      <c r="AD393" s="3" t="s">
        <v>168</v>
      </c>
    </row>
    <row r="394" spans="1:30" ht="15.75" customHeight="1" x14ac:dyDescent="0.2">
      <c r="A394" s="7" t="str">
        <f t="shared" si="53"/>
        <v>SHENZHEN STRONG TECHNOLOGY CO., LTD.J581New Buy</v>
      </c>
      <c r="B394" s="7" t="str">
        <f t="shared" si="54"/>
        <v>iPadNew Buy</v>
      </c>
      <c r="C394">
        <v>407516</v>
      </c>
      <c r="D394" t="s">
        <v>76</v>
      </c>
      <c r="E394" t="s">
        <v>166</v>
      </c>
      <c r="F394" t="s">
        <v>173</v>
      </c>
      <c r="G394" t="s">
        <v>174</v>
      </c>
      <c r="H394" t="s">
        <v>167</v>
      </c>
      <c r="I394" t="s">
        <v>175</v>
      </c>
      <c r="J394" t="s">
        <v>582</v>
      </c>
      <c r="L394" t="s">
        <v>583</v>
      </c>
      <c r="M394" s="25">
        <v>123</v>
      </c>
      <c r="N394" s="4">
        <v>70.88</v>
      </c>
      <c r="O394">
        <v>1</v>
      </c>
      <c r="T394" t="s">
        <v>178</v>
      </c>
      <c r="U394" t="s">
        <v>116</v>
      </c>
      <c r="V394" s="25">
        <v>62.32</v>
      </c>
      <c r="W394" s="18" t="s">
        <v>367</v>
      </c>
      <c r="Y394" s="6">
        <f t="shared" si="55"/>
        <v>123</v>
      </c>
      <c r="Z394" s="6">
        <f t="shared" si="56"/>
        <v>62.32</v>
      </c>
      <c r="AA394" s="6">
        <f t="shared" si="57"/>
        <v>70.88</v>
      </c>
      <c r="AB394" s="6">
        <f t="shared" si="52"/>
        <v>52.120000000000005</v>
      </c>
      <c r="AC394" t="s">
        <v>33</v>
      </c>
      <c r="AD394" s="3" t="s">
        <v>168</v>
      </c>
    </row>
    <row r="395" spans="1:30" ht="15.75" customHeight="1" x14ac:dyDescent="0.2">
      <c r="A395" s="7" t="str">
        <f t="shared" si="53"/>
        <v>SHENZHEN STRONG TECHNOLOGY CO., LTD.J581New Buy</v>
      </c>
      <c r="B395" s="7" t="str">
        <f t="shared" si="54"/>
        <v>iPadNew Buy</v>
      </c>
      <c r="C395">
        <v>407515</v>
      </c>
      <c r="D395" t="s">
        <v>76</v>
      </c>
      <c r="E395" t="s">
        <v>166</v>
      </c>
      <c r="F395" t="s">
        <v>173</v>
      </c>
      <c r="G395" t="s">
        <v>174</v>
      </c>
      <c r="H395" t="s">
        <v>167</v>
      </c>
      <c r="I395" t="s">
        <v>175</v>
      </c>
      <c r="J395" t="s">
        <v>582</v>
      </c>
      <c r="L395" t="s">
        <v>584</v>
      </c>
      <c r="M395" s="25">
        <v>82</v>
      </c>
      <c r="N395" s="4">
        <v>70.88</v>
      </c>
      <c r="O395">
        <v>1</v>
      </c>
      <c r="T395" t="s">
        <v>178</v>
      </c>
      <c r="U395" t="s">
        <v>104</v>
      </c>
      <c r="V395" s="25">
        <v>62.32</v>
      </c>
      <c r="W395" s="18" t="s">
        <v>367</v>
      </c>
      <c r="Y395" s="6">
        <f t="shared" si="55"/>
        <v>82</v>
      </c>
      <c r="Z395" s="6">
        <f t="shared" si="56"/>
        <v>62.32</v>
      </c>
      <c r="AA395" s="6">
        <f t="shared" si="57"/>
        <v>70.88</v>
      </c>
      <c r="AB395" s="6">
        <f t="shared" si="52"/>
        <v>11.120000000000005</v>
      </c>
      <c r="AC395" t="s">
        <v>16</v>
      </c>
      <c r="AD395" s="3" t="s">
        <v>168</v>
      </c>
    </row>
    <row r="396" spans="1:30" ht="15.75" customHeight="1" x14ac:dyDescent="0.2">
      <c r="A396" s="7" t="str">
        <f t="shared" si="53"/>
        <v>SHENZHEN STRONG TECHNOLOGY CO., LTD.J581New Buy</v>
      </c>
      <c r="B396" s="7" t="str">
        <f t="shared" si="54"/>
        <v>iPadNew Buy</v>
      </c>
      <c r="C396">
        <v>407514</v>
      </c>
      <c r="D396" t="s">
        <v>76</v>
      </c>
      <c r="E396" t="s">
        <v>166</v>
      </c>
      <c r="F396" t="s">
        <v>173</v>
      </c>
      <c r="G396" t="s">
        <v>174</v>
      </c>
      <c r="H396" t="s">
        <v>167</v>
      </c>
      <c r="I396" t="s">
        <v>175</v>
      </c>
      <c r="J396" t="s">
        <v>582</v>
      </c>
      <c r="L396" t="s">
        <v>584</v>
      </c>
      <c r="M396" s="25">
        <v>82</v>
      </c>
      <c r="N396" s="4">
        <v>70.88</v>
      </c>
      <c r="O396">
        <v>1</v>
      </c>
      <c r="T396" t="s">
        <v>178</v>
      </c>
      <c r="U396" t="s">
        <v>66</v>
      </c>
      <c r="V396" s="25">
        <v>62.32</v>
      </c>
      <c r="W396" s="18" t="s">
        <v>367</v>
      </c>
      <c r="Y396" s="6">
        <f t="shared" si="55"/>
        <v>82</v>
      </c>
      <c r="Z396" s="6">
        <f t="shared" si="56"/>
        <v>62.32</v>
      </c>
      <c r="AA396" s="6">
        <f t="shared" si="57"/>
        <v>70.88</v>
      </c>
      <c r="AB396" s="6">
        <f t="shared" si="52"/>
        <v>11.120000000000005</v>
      </c>
      <c r="AC396" t="s">
        <v>16</v>
      </c>
      <c r="AD396" s="3" t="s">
        <v>168</v>
      </c>
    </row>
    <row r="397" spans="1:30" ht="15.75" customHeight="1" x14ac:dyDescent="0.2">
      <c r="A397" s="7" t="str">
        <f t="shared" si="53"/>
        <v>SHENZHEN STRONG TECHNOLOGY CO., LTD.J581New Buy</v>
      </c>
      <c r="B397" s="7" t="str">
        <f t="shared" si="54"/>
        <v>iPadNew Buy</v>
      </c>
      <c r="C397">
        <v>407513</v>
      </c>
      <c r="D397" t="s">
        <v>76</v>
      </c>
      <c r="E397" t="s">
        <v>166</v>
      </c>
      <c r="F397" t="s">
        <v>173</v>
      </c>
      <c r="G397" t="s">
        <v>174</v>
      </c>
      <c r="H397" t="s">
        <v>167</v>
      </c>
      <c r="I397" t="s">
        <v>175</v>
      </c>
      <c r="J397" t="s">
        <v>585</v>
      </c>
      <c r="L397" t="s">
        <v>586</v>
      </c>
      <c r="M397" s="25">
        <v>123</v>
      </c>
      <c r="N397" s="4">
        <v>70.88</v>
      </c>
      <c r="O397">
        <v>1</v>
      </c>
      <c r="T397" t="s">
        <v>178</v>
      </c>
      <c r="U397" t="s">
        <v>116</v>
      </c>
      <c r="V397" s="25">
        <v>62.32</v>
      </c>
      <c r="W397" s="18" t="s">
        <v>367</v>
      </c>
      <c r="Y397" s="6">
        <f t="shared" si="55"/>
        <v>123</v>
      </c>
      <c r="Z397" s="6">
        <f t="shared" si="56"/>
        <v>62.32</v>
      </c>
      <c r="AA397" s="6">
        <f t="shared" si="57"/>
        <v>70.88</v>
      </c>
      <c r="AB397" s="6">
        <f t="shared" si="52"/>
        <v>52.120000000000005</v>
      </c>
      <c r="AC397" t="s">
        <v>33</v>
      </c>
      <c r="AD397" s="3" t="s">
        <v>168</v>
      </c>
    </row>
    <row r="398" spans="1:30" ht="15.75" customHeight="1" x14ac:dyDescent="0.2">
      <c r="A398" s="7" t="str">
        <f t="shared" si="53"/>
        <v>SHENZHEN STRONG TECHNOLOGY CO., LTD.J581New Buy</v>
      </c>
      <c r="B398" s="7" t="str">
        <f t="shared" si="54"/>
        <v>iPadNew Buy</v>
      </c>
      <c r="C398">
        <v>407512</v>
      </c>
      <c r="D398" t="s">
        <v>76</v>
      </c>
      <c r="E398" t="s">
        <v>166</v>
      </c>
      <c r="F398" t="s">
        <v>173</v>
      </c>
      <c r="G398" t="s">
        <v>174</v>
      </c>
      <c r="H398" t="s">
        <v>167</v>
      </c>
      <c r="I398" t="s">
        <v>175</v>
      </c>
      <c r="J398" t="s">
        <v>585</v>
      </c>
      <c r="L398" t="s">
        <v>587</v>
      </c>
      <c r="M398" s="25">
        <v>82</v>
      </c>
      <c r="N398" s="4">
        <v>70.88</v>
      </c>
      <c r="O398">
        <v>1</v>
      </c>
      <c r="T398" t="s">
        <v>178</v>
      </c>
      <c r="U398" t="s">
        <v>104</v>
      </c>
      <c r="V398" s="25">
        <v>62.32</v>
      </c>
      <c r="W398" s="18" t="s">
        <v>367</v>
      </c>
      <c r="Y398" s="6">
        <f t="shared" si="55"/>
        <v>82</v>
      </c>
      <c r="Z398" s="6">
        <f t="shared" si="56"/>
        <v>62.32</v>
      </c>
      <c r="AA398" s="6">
        <f t="shared" si="57"/>
        <v>70.88</v>
      </c>
      <c r="AB398" s="6">
        <f t="shared" si="52"/>
        <v>11.120000000000005</v>
      </c>
      <c r="AC398" t="s">
        <v>16</v>
      </c>
      <c r="AD398" s="3" t="s">
        <v>168</v>
      </c>
    </row>
    <row r="399" spans="1:30" ht="15.75" customHeight="1" x14ac:dyDescent="0.2">
      <c r="A399" s="7" t="str">
        <f t="shared" si="53"/>
        <v>SHENZHEN STRONG TECHNOLOGY CO., LTD.J581New Buy</v>
      </c>
      <c r="B399" s="7" t="str">
        <f t="shared" si="54"/>
        <v>iPadNew Buy</v>
      </c>
      <c r="C399">
        <v>407511</v>
      </c>
      <c r="D399" t="s">
        <v>76</v>
      </c>
      <c r="E399" t="s">
        <v>166</v>
      </c>
      <c r="F399" t="s">
        <v>173</v>
      </c>
      <c r="G399" t="s">
        <v>174</v>
      </c>
      <c r="H399" t="s">
        <v>167</v>
      </c>
      <c r="I399" t="s">
        <v>175</v>
      </c>
      <c r="J399" t="s">
        <v>585</v>
      </c>
      <c r="L399" t="s">
        <v>587</v>
      </c>
      <c r="M399" s="25">
        <v>82</v>
      </c>
      <c r="N399" s="4">
        <v>70.88</v>
      </c>
      <c r="O399">
        <v>1</v>
      </c>
      <c r="T399" t="s">
        <v>178</v>
      </c>
      <c r="U399" t="s">
        <v>66</v>
      </c>
      <c r="V399" s="25">
        <v>62.32</v>
      </c>
      <c r="W399" s="18" t="s">
        <v>367</v>
      </c>
      <c r="Y399" s="6">
        <f t="shared" si="55"/>
        <v>82</v>
      </c>
      <c r="Z399" s="6">
        <f t="shared" si="56"/>
        <v>62.32</v>
      </c>
      <c r="AA399" s="6">
        <f t="shared" si="57"/>
        <v>70.88</v>
      </c>
      <c r="AB399" s="6">
        <f t="shared" si="52"/>
        <v>11.120000000000005</v>
      </c>
      <c r="AC399" t="s">
        <v>16</v>
      </c>
      <c r="AD399" s="3" t="s">
        <v>168</v>
      </c>
    </row>
    <row r="400" spans="1:30" ht="15.75" customHeight="1" x14ac:dyDescent="0.2">
      <c r="A400" s="7" t="str">
        <f t="shared" si="53"/>
        <v>SHENZHEN STRONG TECHNOLOGY CO., LTD.J581New Buy</v>
      </c>
      <c r="B400" s="7" t="str">
        <f t="shared" si="54"/>
        <v>iPadNew Buy</v>
      </c>
      <c r="C400">
        <v>407510</v>
      </c>
      <c r="D400" t="s">
        <v>76</v>
      </c>
      <c r="E400" t="s">
        <v>166</v>
      </c>
      <c r="F400" t="s">
        <v>173</v>
      </c>
      <c r="G400" t="s">
        <v>174</v>
      </c>
      <c r="H400" t="s">
        <v>167</v>
      </c>
      <c r="I400" t="s">
        <v>175</v>
      </c>
      <c r="J400" t="s">
        <v>588</v>
      </c>
      <c r="L400" t="s">
        <v>589</v>
      </c>
      <c r="M400" s="25">
        <v>123</v>
      </c>
      <c r="N400" s="4">
        <v>70.88</v>
      </c>
      <c r="O400">
        <v>1</v>
      </c>
      <c r="T400" t="s">
        <v>178</v>
      </c>
      <c r="U400" t="s">
        <v>116</v>
      </c>
      <c r="V400" s="25">
        <v>62.32</v>
      </c>
      <c r="W400" s="18" t="s">
        <v>367</v>
      </c>
      <c r="Y400" s="6">
        <f t="shared" si="55"/>
        <v>123</v>
      </c>
      <c r="Z400" s="6">
        <f t="shared" si="56"/>
        <v>62.32</v>
      </c>
      <c r="AA400" s="6">
        <f t="shared" si="57"/>
        <v>70.88</v>
      </c>
      <c r="AB400" s="6">
        <f t="shared" si="52"/>
        <v>52.120000000000005</v>
      </c>
      <c r="AC400" t="s">
        <v>33</v>
      </c>
      <c r="AD400" s="3" t="s">
        <v>168</v>
      </c>
    </row>
    <row r="401" spans="1:39" ht="15.75" customHeight="1" x14ac:dyDescent="0.2">
      <c r="A401" s="7" t="str">
        <f t="shared" si="53"/>
        <v>SHENZHEN STRONG TECHNOLOGY CO., LTD.J581New Buy</v>
      </c>
      <c r="B401" s="7" t="str">
        <f t="shared" si="54"/>
        <v>iPadNew Buy</v>
      </c>
      <c r="C401">
        <v>407509</v>
      </c>
      <c r="D401" t="s">
        <v>76</v>
      </c>
      <c r="E401" t="s">
        <v>166</v>
      </c>
      <c r="F401" t="s">
        <v>173</v>
      </c>
      <c r="G401" t="s">
        <v>174</v>
      </c>
      <c r="H401" t="s">
        <v>167</v>
      </c>
      <c r="I401" t="s">
        <v>175</v>
      </c>
      <c r="J401" t="s">
        <v>588</v>
      </c>
      <c r="L401" t="s">
        <v>590</v>
      </c>
      <c r="M401" s="25">
        <v>82</v>
      </c>
      <c r="N401" s="4">
        <v>70.88</v>
      </c>
      <c r="O401">
        <v>1</v>
      </c>
      <c r="T401" t="s">
        <v>178</v>
      </c>
      <c r="U401" t="s">
        <v>104</v>
      </c>
      <c r="V401" s="25">
        <v>62.32</v>
      </c>
      <c r="W401" s="18" t="s">
        <v>367</v>
      </c>
      <c r="Y401" s="6">
        <f t="shared" si="55"/>
        <v>82</v>
      </c>
      <c r="Z401" s="6">
        <f t="shared" si="56"/>
        <v>62.32</v>
      </c>
      <c r="AA401" s="6">
        <f t="shared" si="57"/>
        <v>70.88</v>
      </c>
      <c r="AB401" s="6">
        <f t="shared" si="52"/>
        <v>11.120000000000005</v>
      </c>
      <c r="AC401" t="s">
        <v>16</v>
      </c>
      <c r="AD401" s="3" t="s">
        <v>168</v>
      </c>
    </row>
    <row r="402" spans="1:39" ht="15.75" customHeight="1" x14ac:dyDescent="0.2">
      <c r="A402" s="7" t="str">
        <f t="shared" si="53"/>
        <v>SHENZHEN STRONG TECHNOLOGY CO., LTD.J581New Buy</v>
      </c>
      <c r="B402" s="7" t="str">
        <f t="shared" si="54"/>
        <v>iPadNew Buy</v>
      </c>
      <c r="C402">
        <v>407508</v>
      </c>
      <c r="D402" t="s">
        <v>76</v>
      </c>
      <c r="E402" t="s">
        <v>166</v>
      </c>
      <c r="F402" t="s">
        <v>173</v>
      </c>
      <c r="G402" t="s">
        <v>174</v>
      </c>
      <c r="H402" t="s">
        <v>167</v>
      </c>
      <c r="I402" t="s">
        <v>175</v>
      </c>
      <c r="J402" t="s">
        <v>588</v>
      </c>
      <c r="L402" t="s">
        <v>590</v>
      </c>
      <c r="M402" s="25">
        <v>82</v>
      </c>
      <c r="N402" s="4">
        <v>70.88</v>
      </c>
      <c r="O402">
        <v>1</v>
      </c>
      <c r="T402" t="s">
        <v>178</v>
      </c>
      <c r="U402" t="s">
        <v>66</v>
      </c>
      <c r="V402" s="25">
        <v>62.32</v>
      </c>
      <c r="W402" s="18" t="s">
        <v>367</v>
      </c>
      <c r="Y402" s="6">
        <f t="shared" si="55"/>
        <v>82</v>
      </c>
      <c r="Z402" s="6">
        <f t="shared" si="56"/>
        <v>62.32</v>
      </c>
      <c r="AA402" s="6">
        <f t="shared" si="57"/>
        <v>70.88</v>
      </c>
      <c r="AB402" s="6">
        <f t="shared" si="52"/>
        <v>11.120000000000005</v>
      </c>
      <c r="AC402" t="s">
        <v>16</v>
      </c>
      <c r="AD402" s="3" t="s">
        <v>168</v>
      </c>
    </row>
    <row r="403" spans="1:39" ht="15.75" customHeight="1" x14ac:dyDescent="0.2">
      <c r="A403" s="7" t="str">
        <f t="shared" si="53"/>
        <v>SHENZHEN STRONG TECHNOLOGY CO., LTD.J581New Buy</v>
      </c>
      <c r="B403" s="7" t="str">
        <f t="shared" si="54"/>
        <v>iPadNew Buy</v>
      </c>
      <c r="C403">
        <v>407507</v>
      </c>
      <c r="D403" t="s">
        <v>76</v>
      </c>
      <c r="E403" t="s">
        <v>166</v>
      </c>
      <c r="F403" t="s">
        <v>173</v>
      </c>
      <c r="G403" t="s">
        <v>174</v>
      </c>
      <c r="H403" t="s">
        <v>167</v>
      </c>
      <c r="I403" t="s">
        <v>175</v>
      </c>
      <c r="J403" t="s">
        <v>591</v>
      </c>
      <c r="L403" t="s">
        <v>592</v>
      </c>
      <c r="M403" s="25">
        <v>123</v>
      </c>
      <c r="N403" s="4">
        <v>70.88</v>
      </c>
      <c r="O403">
        <v>1</v>
      </c>
      <c r="T403" t="s">
        <v>178</v>
      </c>
      <c r="U403" t="s">
        <v>116</v>
      </c>
      <c r="V403" s="25">
        <v>62.32</v>
      </c>
      <c r="W403" s="18" t="s">
        <v>367</v>
      </c>
      <c r="Y403" s="6">
        <f t="shared" si="55"/>
        <v>123</v>
      </c>
      <c r="Z403" s="6">
        <f t="shared" si="56"/>
        <v>62.32</v>
      </c>
      <c r="AA403" s="6">
        <f t="shared" si="57"/>
        <v>70.88</v>
      </c>
      <c r="AB403" s="6">
        <f t="shared" ref="AB403:AB466" si="58">IF(AA403=0,0,Y403-AA403)</f>
        <v>52.120000000000005</v>
      </c>
      <c r="AC403" t="s">
        <v>33</v>
      </c>
      <c r="AD403" s="3" t="s">
        <v>168</v>
      </c>
    </row>
    <row r="404" spans="1:39" ht="15.75" customHeight="1" x14ac:dyDescent="0.2">
      <c r="A404" s="7" t="str">
        <f t="shared" si="53"/>
        <v>SHENZHEN STRONG TECHNOLOGY CO., LTD.J581New Buy</v>
      </c>
      <c r="B404" s="7" t="str">
        <f t="shared" si="54"/>
        <v>iPadNew Buy</v>
      </c>
      <c r="C404">
        <v>407506</v>
      </c>
      <c r="D404" t="s">
        <v>76</v>
      </c>
      <c r="E404" t="s">
        <v>166</v>
      </c>
      <c r="F404" t="s">
        <v>173</v>
      </c>
      <c r="G404" t="s">
        <v>174</v>
      </c>
      <c r="H404" t="s">
        <v>167</v>
      </c>
      <c r="I404" t="s">
        <v>175</v>
      </c>
      <c r="J404" t="s">
        <v>591</v>
      </c>
      <c r="L404" t="s">
        <v>593</v>
      </c>
      <c r="M404" s="25">
        <v>82</v>
      </c>
      <c r="N404" s="4">
        <v>70.88</v>
      </c>
      <c r="O404">
        <v>1</v>
      </c>
      <c r="T404" t="s">
        <v>178</v>
      </c>
      <c r="U404" t="s">
        <v>104</v>
      </c>
      <c r="V404" s="25">
        <v>62.32</v>
      </c>
      <c r="W404" s="18" t="s">
        <v>367</v>
      </c>
      <c r="Y404" s="6">
        <f t="shared" si="55"/>
        <v>82</v>
      </c>
      <c r="Z404" s="6">
        <f t="shared" si="56"/>
        <v>62.32</v>
      </c>
      <c r="AA404" s="6">
        <f t="shared" si="57"/>
        <v>70.88</v>
      </c>
      <c r="AB404" s="6">
        <f t="shared" si="58"/>
        <v>11.120000000000005</v>
      </c>
      <c r="AC404" t="s">
        <v>16</v>
      </c>
      <c r="AD404" s="3" t="s">
        <v>168</v>
      </c>
    </row>
    <row r="405" spans="1:39" ht="15.75" customHeight="1" x14ac:dyDescent="0.2">
      <c r="A405" s="7" t="str">
        <f t="shared" si="53"/>
        <v>SHENZHEN STRONG TECHNOLOGY CO., LTD.J581New Buy</v>
      </c>
      <c r="B405" s="7" t="str">
        <f t="shared" si="54"/>
        <v>iPadNew Buy</v>
      </c>
      <c r="C405">
        <v>407505</v>
      </c>
      <c r="D405" t="s">
        <v>76</v>
      </c>
      <c r="E405" t="s">
        <v>166</v>
      </c>
      <c r="F405" t="s">
        <v>173</v>
      </c>
      <c r="G405" t="s">
        <v>174</v>
      </c>
      <c r="H405" t="s">
        <v>167</v>
      </c>
      <c r="I405" t="s">
        <v>175</v>
      </c>
      <c r="J405" t="s">
        <v>591</v>
      </c>
      <c r="L405" t="s">
        <v>593</v>
      </c>
      <c r="M405" s="25">
        <v>82</v>
      </c>
      <c r="N405" s="4">
        <v>70.88</v>
      </c>
      <c r="O405">
        <v>1</v>
      </c>
      <c r="T405" t="s">
        <v>178</v>
      </c>
      <c r="U405" t="s">
        <v>66</v>
      </c>
      <c r="V405" s="25">
        <v>62.32</v>
      </c>
      <c r="W405" s="18" t="s">
        <v>367</v>
      </c>
      <c r="Y405" s="6">
        <f t="shared" si="55"/>
        <v>82</v>
      </c>
      <c r="Z405" s="6">
        <f t="shared" si="56"/>
        <v>62.32</v>
      </c>
      <c r="AA405" s="6">
        <f t="shared" si="57"/>
        <v>70.88</v>
      </c>
      <c r="AB405" s="6">
        <f t="shared" si="58"/>
        <v>11.120000000000005</v>
      </c>
      <c r="AC405" t="s">
        <v>16</v>
      </c>
      <c r="AD405" s="3" t="s">
        <v>168</v>
      </c>
    </row>
    <row r="406" spans="1:39" ht="15.75" customHeight="1" x14ac:dyDescent="0.2">
      <c r="A406" s="7" t="str">
        <f t="shared" si="53"/>
        <v>SHENZHEN STRONG TECHNOLOGY CO., LTD.J581New Buy</v>
      </c>
      <c r="B406" s="7" t="str">
        <f t="shared" si="54"/>
        <v>iPadNew Buy</v>
      </c>
      <c r="C406">
        <v>407504</v>
      </c>
      <c r="D406" t="s">
        <v>76</v>
      </c>
      <c r="E406" t="s">
        <v>166</v>
      </c>
      <c r="F406" t="s">
        <v>173</v>
      </c>
      <c r="G406" t="s">
        <v>174</v>
      </c>
      <c r="H406" t="s">
        <v>167</v>
      </c>
      <c r="I406" t="s">
        <v>175</v>
      </c>
      <c r="J406" t="s">
        <v>594</v>
      </c>
      <c r="L406" t="s">
        <v>595</v>
      </c>
      <c r="M406" s="25">
        <v>123</v>
      </c>
      <c r="N406" s="4">
        <v>70.88</v>
      </c>
      <c r="O406">
        <v>1</v>
      </c>
      <c r="T406" t="s">
        <v>178</v>
      </c>
      <c r="U406" t="s">
        <v>116</v>
      </c>
      <c r="V406" s="25">
        <v>62.32</v>
      </c>
      <c r="W406" s="18" t="s">
        <v>367</v>
      </c>
      <c r="Y406" s="6">
        <f t="shared" si="55"/>
        <v>123</v>
      </c>
      <c r="Z406" s="6">
        <f t="shared" si="56"/>
        <v>62.32</v>
      </c>
      <c r="AA406" s="6">
        <f t="shared" si="57"/>
        <v>70.88</v>
      </c>
      <c r="AB406" s="6">
        <f t="shared" si="58"/>
        <v>52.120000000000005</v>
      </c>
      <c r="AC406" t="s">
        <v>33</v>
      </c>
      <c r="AD406" s="3" t="s">
        <v>168</v>
      </c>
    </row>
    <row r="407" spans="1:39" ht="15.75" customHeight="1" x14ac:dyDescent="0.2">
      <c r="A407" s="7" t="str">
        <f t="shared" si="53"/>
        <v>SHENZHEN STRONG TECHNOLOGY CO., LTD.J581New Buy</v>
      </c>
      <c r="B407" s="7" t="str">
        <f t="shared" si="54"/>
        <v>iPadNew Buy</v>
      </c>
      <c r="C407">
        <v>407503</v>
      </c>
      <c r="D407" t="s">
        <v>76</v>
      </c>
      <c r="E407" t="s">
        <v>166</v>
      </c>
      <c r="F407" t="s">
        <v>173</v>
      </c>
      <c r="G407" t="s">
        <v>174</v>
      </c>
      <c r="H407" t="s">
        <v>167</v>
      </c>
      <c r="I407" t="s">
        <v>175</v>
      </c>
      <c r="J407" t="s">
        <v>594</v>
      </c>
      <c r="L407" t="s">
        <v>596</v>
      </c>
      <c r="M407" s="25">
        <v>82</v>
      </c>
      <c r="N407" s="4">
        <v>70.88</v>
      </c>
      <c r="O407">
        <v>1</v>
      </c>
      <c r="T407" t="s">
        <v>178</v>
      </c>
      <c r="U407" t="s">
        <v>104</v>
      </c>
      <c r="V407" s="25">
        <v>62.32</v>
      </c>
      <c r="W407" s="18" t="s">
        <v>367</v>
      </c>
      <c r="Y407" s="6">
        <f t="shared" si="55"/>
        <v>82</v>
      </c>
      <c r="Z407" s="6">
        <f t="shared" si="56"/>
        <v>62.32</v>
      </c>
      <c r="AA407" s="6">
        <f t="shared" si="57"/>
        <v>70.88</v>
      </c>
      <c r="AB407" s="6">
        <f t="shared" si="58"/>
        <v>11.120000000000005</v>
      </c>
      <c r="AC407" t="s">
        <v>16</v>
      </c>
      <c r="AD407" s="3" t="s">
        <v>168</v>
      </c>
    </row>
    <row r="408" spans="1:39" ht="15.75" customHeight="1" x14ac:dyDescent="0.2">
      <c r="A408" s="7" t="str">
        <f t="shared" si="53"/>
        <v>SHENZHEN STRONG TECHNOLOGY CO., LTD.J581New Buy</v>
      </c>
      <c r="B408" s="7" t="str">
        <f t="shared" si="54"/>
        <v>iPadNew Buy</v>
      </c>
      <c r="C408">
        <v>407502</v>
      </c>
      <c r="D408" t="s">
        <v>76</v>
      </c>
      <c r="E408" t="s">
        <v>166</v>
      </c>
      <c r="F408" t="s">
        <v>173</v>
      </c>
      <c r="G408" t="s">
        <v>174</v>
      </c>
      <c r="H408" t="s">
        <v>167</v>
      </c>
      <c r="I408" t="s">
        <v>175</v>
      </c>
      <c r="J408" t="s">
        <v>594</v>
      </c>
      <c r="L408" t="s">
        <v>596</v>
      </c>
      <c r="M408" s="25">
        <v>82</v>
      </c>
      <c r="N408" s="4">
        <v>70.88</v>
      </c>
      <c r="O408">
        <v>1</v>
      </c>
      <c r="T408" t="s">
        <v>178</v>
      </c>
      <c r="U408" t="s">
        <v>66</v>
      </c>
      <c r="V408" s="25">
        <v>62.32</v>
      </c>
      <c r="W408" s="18" t="s">
        <v>367</v>
      </c>
      <c r="Y408" s="6">
        <f t="shared" si="55"/>
        <v>82</v>
      </c>
      <c r="Z408" s="6">
        <f t="shared" si="56"/>
        <v>62.32</v>
      </c>
      <c r="AA408" s="6">
        <f t="shared" si="57"/>
        <v>70.88</v>
      </c>
      <c r="AB408" s="6">
        <f t="shared" si="58"/>
        <v>11.120000000000005</v>
      </c>
      <c r="AC408" t="s">
        <v>16</v>
      </c>
      <c r="AD408" s="3" t="s">
        <v>168</v>
      </c>
    </row>
    <row r="409" spans="1:39" ht="15.75" customHeight="1" x14ac:dyDescent="0.2">
      <c r="A409" s="7" t="str">
        <f t="shared" si="53"/>
        <v>SHENZHEN STRONG TECHNOLOGY CO., LTD.J581New Buy</v>
      </c>
      <c r="B409" s="7" t="str">
        <f t="shared" si="54"/>
        <v>iPadNew Buy</v>
      </c>
      <c r="C409">
        <v>407501</v>
      </c>
      <c r="D409" t="s">
        <v>76</v>
      </c>
      <c r="E409" t="s">
        <v>166</v>
      </c>
      <c r="F409" t="s">
        <v>173</v>
      </c>
      <c r="G409" t="s">
        <v>174</v>
      </c>
      <c r="H409" t="s">
        <v>167</v>
      </c>
      <c r="I409" t="s">
        <v>175</v>
      </c>
      <c r="J409" t="s">
        <v>597</v>
      </c>
      <c r="L409" t="s">
        <v>598</v>
      </c>
      <c r="M409" s="25">
        <v>123</v>
      </c>
      <c r="N409" s="4">
        <v>70.88</v>
      </c>
      <c r="O409">
        <v>1</v>
      </c>
      <c r="T409" t="s">
        <v>178</v>
      </c>
      <c r="U409" t="s">
        <v>116</v>
      </c>
      <c r="V409" s="25">
        <v>62.32</v>
      </c>
      <c r="W409" s="18">
        <v>82</v>
      </c>
      <c r="Y409" s="6">
        <f t="shared" si="55"/>
        <v>123</v>
      </c>
      <c r="Z409" s="6">
        <f t="shared" si="56"/>
        <v>62.32</v>
      </c>
      <c r="AA409" s="6">
        <f t="shared" si="57"/>
        <v>70.88</v>
      </c>
      <c r="AB409" s="6">
        <f t="shared" si="58"/>
        <v>52.120000000000005</v>
      </c>
      <c r="AC409" t="s">
        <v>33</v>
      </c>
      <c r="AD409" s="3" t="s">
        <v>168</v>
      </c>
      <c r="AM409" s="1">
        <f t="shared" ref="AM409:AM411" si="59">MAX(0, (W409*O409)-AA409)</f>
        <v>11.120000000000005</v>
      </c>
    </row>
    <row r="410" spans="1:39" ht="15.75" customHeight="1" x14ac:dyDescent="0.2">
      <c r="A410" s="7" t="str">
        <f t="shared" si="53"/>
        <v>SHENZHEN STRONG TECHNOLOGY CO., LTD.J581New Buy</v>
      </c>
      <c r="B410" s="7" t="str">
        <f t="shared" si="54"/>
        <v>iPadNew Buy</v>
      </c>
      <c r="C410">
        <v>407500</v>
      </c>
      <c r="D410" t="s">
        <v>76</v>
      </c>
      <c r="E410" t="s">
        <v>166</v>
      </c>
      <c r="F410" t="s">
        <v>173</v>
      </c>
      <c r="G410" t="s">
        <v>174</v>
      </c>
      <c r="H410" t="s">
        <v>167</v>
      </c>
      <c r="I410" t="s">
        <v>175</v>
      </c>
      <c r="J410" t="s">
        <v>597</v>
      </c>
      <c r="L410" t="s">
        <v>599</v>
      </c>
      <c r="M410" s="25">
        <v>82</v>
      </c>
      <c r="N410" s="4">
        <v>70.88</v>
      </c>
      <c r="O410">
        <v>1</v>
      </c>
      <c r="T410" t="s">
        <v>178</v>
      </c>
      <c r="U410" t="s">
        <v>104</v>
      </c>
      <c r="V410" s="25">
        <v>62.32</v>
      </c>
      <c r="W410" s="18">
        <v>82</v>
      </c>
      <c r="Y410" s="6">
        <f t="shared" si="55"/>
        <v>82</v>
      </c>
      <c r="Z410" s="6">
        <f t="shared" si="56"/>
        <v>62.32</v>
      </c>
      <c r="AA410" s="6">
        <f t="shared" si="57"/>
        <v>70.88</v>
      </c>
      <c r="AB410" s="6">
        <f t="shared" si="58"/>
        <v>11.120000000000005</v>
      </c>
      <c r="AC410" t="s">
        <v>16</v>
      </c>
      <c r="AD410" s="3" t="s">
        <v>168</v>
      </c>
      <c r="AM410" s="1">
        <f t="shared" si="59"/>
        <v>11.120000000000005</v>
      </c>
    </row>
    <row r="411" spans="1:39" ht="15.75" customHeight="1" x14ac:dyDescent="0.2">
      <c r="A411" s="7" t="str">
        <f t="shared" si="53"/>
        <v>SHENZHEN STRONG TECHNOLOGY CO., LTD.J581New Buy</v>
      </c>
      <c r="B411" s="7" t="str">
        <f t="shared" si="54"/>
        <v>iPadNew Buy</v>
      </c>
      <c r="C411">
        <v>407499</v>
      </c>
      <c r="D411" t="s">
        <v>76</v>
      </c>
      <c r="E411" t="s">
        <v>166</v>
      </c>
      <c r="F411" t="s">
        <v>173</v>
      </c>
      <c r="G411" t="s">
        <v>174</v>
      </c>
      <c r="H411" t="s">
        <v>167</v>
      </c>
      <c r="I411" t="s">
        <v>175</v>
      </c>
      <c r="J411" t="s">
        <v>597</v>
      </c>
      <c r="L411" t="s">
        <v>599</v>
      </c>
      <c r="M411" s="25">
        <v>82</v>
      </c>
      <c r="N411" s="4">
        <v>70.88</v>
      </c>
      <c r="O411">
        <v>1</v>
      </c>
      <c r="T411" t="s">
        <v>178</v>
      </c>
      <c r="U411" t="s">
        <v>66</v>
      </c>
      <c r="V411" s="25">
        <v>62.32</v>
      </c>
      <c r="W411" s="18">
        <v>82</v>
      </c>
      <c r="Y411" s="6">
        <f t="shared" si="55"/>
        <v>82</v>
      </c>
      <c r="Z411" s="6">
        <f t="shared" si="56"/>
        <v>62.32</v>
      </c>
      <c r="AA411" s="6">
        <f t="shared" si="57"/>
        <v>70.88</v>
      </c>
      <c r="AB411" s="6">
        <f t="shared" si="58"/>
        <v>11.120000000000005</v>
      </c>
      <c r="AC411" t="s">
        <v>16</v>
      </c>
      <c r="AD411" s="3" t="s">
        <v>168</v>
      </c>
      <c r="AM411" s="1">
        <f t="shared" si="59"/>
        <v>11.120000000000005</v>
      </c>
    </row>
    <row r="412" spans="1:39" ht="15.75" customHeight="1" x14ac:dyDescent="0.2">
      <c r="A412" s="7" t="str">
        <f t="shared" si="53"/>
        <v>SHENZHEN STRONG TECHNOLOGY CO., LTD.J581New Buy</v>
      </c>
      <c r="B412" s="7" t="str">
        <f t="shared" si="54"/>
        <v>iPadNew Buy</v>
      </c>
      <c r="C412">
        <v>407498</v>
      </c>
      <c r="D412" t="s">
        <v>76</v>
      </c>
      <c r="E412" t="s">
        <v>166</v>
      </c>
      <c r="F412" t="s">
        <v>173</v>
      </c>
      <c r="G412" t="s">
        <v>174</v>
      </c>
      <c r="H412" t="s">
        <v>167</v>
      </c>
      <c r="I412" t="s">
        <v>175</v>
      </c>
      <c r="J412" t="s">
        <v>600</v>
      </c>
      <c r="L412" t="s">
        <v>601</v>
      </c>
      <c r="M412" s="25">
        <v>427</v>
      </c>
      <c r="N412" s="4">
        <v>414.67</v>
      </c>
      <c r="O412">
        <v>1</v>
      </c>
      <c r="T412" t="s">
        <v>178</v>
      </c>
      <c r="U412" t="s">
        <v>104</v>
      </c>
      <c r="V412" s="25">
        <v>324.52</v>
      </c>
      <c r="W412" s="18">
        <v>320</v>
      </c>
      <c r="Y412" s="6">
        <f t="shared" si="55"/>
        <v>427</v>
      </c>
      <c r="Z412" s="6">
        <f t="shared" si="56"/>
        <v>324.52</v>
      </c>
      <c r="AA412" s="6">
        <f t="shared" si="57"/>
        <v>414.67</v>
      </c>
      <c r="AB412" s="6">
        <f t="shared" si="58"/>
        <v>12.329999999999984</v>
      </c>
      <c r="AC412" t="s">
        <v>16</v>
      </c>
      <c r="AD412" s="3" t="s">
        <v>168</v>
      </c>
    </row>
    <row r="413" spans="1:39" ht="15.75" customHeight="1" x14ac:dyDescent="0.2">
      <c r="A413" s="7" t="str">
        <f t="shared" si="53"/>
        <v>SHENZHEN STRONG TECHNOLOGY CO., LTD.J581New Buy</v>
      </c>
      <c r="B413" s="7" t="str">
        <f t="shared" si="54"/>
        <v>iPadNew Buy</v>
      </c>
      <c r="C413">
        <v>407497</v>
      </c>
      <c r="D413" t="s">
        <v>76</v>
      </c>
      <c r="E413" t="s">
        <v>166</v>
      </c>
      <c r="F413" t="s">
        <v>173</v>
      </c>
      <c r="G413" t="s">
        <v>174</v>
      </c>
      <c r="H413" t="s">
        <v>167</v>
      </c>
      <c r="I413" t="s">
        <v>175</v>
      </c>
      <c r="J413" t="s">
        <v>600</v>
      </c>
      <c r="L413" t="s">
        <v>601</v>
      </c>
      <c r="M413" s="25">
        <v>640</v>
      </c>
      <c r="N413" s="4">
        <v>414.67</v>
      </c>
      <c r="O413">
        <v>1</v>
      </c>
      <c r="T413" t="s">
        <v>178</v>
      </c>
      <c r="U413" t="s">
        <v>116</v>
      </c>
      <c r="V413" s="25">
        <v>324.52</v>
      </c>
      <c r="W413" s="18">
        <v>320</v>
      </c>
      <c r="Y413" s="6">
        <f t="shared" si="55"/>
        <v>640</v>
      </c>
      <c r="Z413" s="6">
        <f t="shared" si="56"/>
        <v>324.52</v>
      </c>
      <c r="AA413" s="6">
        <f t="shared" si="57"/>
        <v>414.67</v>
      </c>
      <c r="AB413" s="6">
        <f t="shared" si="58"/>
        <v>225.32999999999998</v>
      </c>
      <c r="AC413" t="s">
        <v>33</v>
      </c>
      <c r="AD413" s="3" t="s">
        <v>168</v>
      </c>
    </row>
    <row r="414" spans="1:39" ht="15.75" customHeight="1" x14ac:dyDescent="0.2">
      <c r="A414" s="7" t="str">
        <f t="shared" si="53"/>
        <v>SHENZHEN STRONG TECHNOLOGY CO., LTD.J581New Buy</v>
      </c>
      <c r="B414" s="7" t="str">
        <f t="shared" si="54"/>
        <v>iPadNew Buy</v>
      </c>
      <c r="C414">
        <v>407496</v>
      </c>
      <c r="D414" t="s">
        <v>76</v>
      </c>
      <c r="E414" t="s">
        <v>166</v>
      </c>
      <c r="F414" t="s">
        <v>173</v>
      </c>
      <c r="G414" t="s">
        <v>174</v>
      </c>
      <c r="H414" t="s">
        <v>167</v>
      </c>
      <c r="I414" t="s">
        <v>175</v>
      </c>
      <c r="J414" t="s">
        <v>600</v>
      </c>
      <c r="L414" t="s">
        <v>601</v>
      </c>
      <c r="M414" s="25">
        <v>427</v>
      </c>
      <c r="N414" s="4">
        <v>414.67</v>
      </c>
      <c r="O414">
        <v>1</v>
      </c>
      <c r="T414" t="s">
        <v>178</v>
      </c>
      <c r="U414" t="s">
        <v>66</v>
      </c>
      <c r="V414" s="25">
        <v>324.52</v>
      </c>
      <c r="W414" s="18">
        <v>320</v>
      </c>
      <c r="Y414" s="6">
        <f t="shared" si="55"/>
        <v>427</v>
      </c>
      <c r="Z414" s="6">
        <f t="shared" si="56"/>
        <v>324.52</v>
      </c>
      <c r="AA414" s="6">
        <f t="shared" si="57"/>
        <v>414.67</v>
      </c>
      <c r="AB414" s="6">
        <f t="shared" si="58"/>
        <v>12.329999999999984</v>
      </c>
      <c r="AC414" t="s">
        <v>16</v>
      </c>
      <c r="AD414" s="3" t="s">
        <v>168</v>
      </c>
    </row>
    <row r="415" spans="1:39" ht="15.75" customHeight="1" x14ac:dyDescent="0.2">
      <c r="A415" s="7" t="str">
        <f t="shared" si="53"/>
        <v>SHENZHEN STRONG TECHNOLOGY CO., LTD.J581New Buy</v>
      </c>
      <c r="B415" s="7" t="str">
        <f t="shared" si="54"/>
        <v>iPadNew Buy</v>
      </c>
      <c r="C415">
        <v>407495</v>
      </c>
      <c r="D415" t="s">
        <v>76</v>
      </c>
      <c r="E415" t="s">
        <v>166</v>
      </c>
      <c r="F415" t="s">
        <v>173</v>
      </c>
      <c r="G415" t="s">
        <v>174</v>
      </c>
      <c r="H415" t="s">
        <v>167</v>
      </c>
      <c r="I415" t="s">
        <v>175</v>
      </c>
      <c r="J415" t="s">
        <v>602</v>
      </c>
      <c r="L415" t="s">
        <v>603</v>
      </c>
      <c r="M415" s="25">
        <v>427</v>
      </c>
      <c r="N415" s="4">
        <v>414.67</v>
      </c>
      <c r="O415">
        <v>1</v>
      </c>
      <c r="T415" t="s">
        <v>178</v>
      </c>
      <c r="U415" t="s">
        <v>104</v>
      </c>
      <c r="V415" s="25">
        <v>324.52</v>
      </c>
      <c r="W415" s="18">
        <v>320</v>
      </c>
      <c r="Y415" s="6">
        <f t="shared" si="55"/>
        <v>427</v>
      </c>
      <c r="Z415" s="6">
        <f t="shared" si="56"/>
        <v>324.52</v>
      </c>
      <c r="AA415" s="6">
        <f t="shared" si="57"/>
        <v>414.67</v>
      </c>
      <c r="AB415" s="6">
        <f t="shared" si="58"/>
        <v>12.329999999999984</v>
      </c>
      <c r="AC415" t="s">
        <v>16</v>
      </c>
      <c r="AD415" s="3" t="s">
        <v>168</v>
      </c>
    </row>
    <row r="416" spans="1:39" ht="15.75" customHeight="1" x14ac:dyDescent="0.2">
      <c r="A416" s="7" t="str">
        <f t="shared" si="53"/>
        <v>SHENZHEN STRONG TECHNOLOGY CO., LTD.J581New Buy</v>
      </c>
      <c r="B416" s="7" t="str">
        <f t="shared" si="54"/>
        <v>iPadNew Buy</v>
      </c>
      <c r="C416">
        <v>407494</v>
      </c>
      <c r="D416" t="s">
        <v>76</v>
      </c>
      <c r="E416" t="s">
        <v>166</v>
      </c>
      <c r="F416" t="s">
        <v>173</v>
      </c>
      <c r="G416" t="s">
        <v>174</v>
      </c>
      <c r="H416" t="s">
        <v>167</v>
      </c>
      <c r="I416" t="s">
        <v>175</v>
      </c>
      <c r="J416" t="s">
        <v>602</v>
      </c>
      <c r="L416" t="s">
        <v>603</v>
      </c>
      <c r="M416" s="25">
        <v>640</v>
      </c>
      <c r="N416" s="4">
        <v>414.67</v>
      </c>
      <c r="O416">
        <v>1</v>
      </c>
      <c r="T416" t="s">
        <v>178</v>
      </c>
      <c r="U416" t="s">
        <v>116</v>
      </c>
      <c r="V416" s="25">
        <v>324.52</v>
      </c>
      <c r="W416" s="18">
        <v>320</v>
      </c>
      <c r="Y416" s="6">
        <f t="shared" si="55"/>
        <v>640</v>
      </c>
      <c r="Z416" s="6">
        <f t="shared" si="56"/>
        <v>324.52</v>
      </c>
      <c r="AA416" s="6">
        <f t="shared" si="57"/>
        <v>414.67</v>
      </c>
      <c r="AB416" s="6">
        <f t="shared" si="58"/>
        <v>225.32999999999998</v>
      </c>
      <c r="AC416" t="s">
        <v>33</v>
      </c>
      <c r="AD416" s="3" t="s">
        <v>168</v>
      </c>
    </row>
    <row r="417" spans="1:30" ht="15.75" customHeight="1" x14ac:dyDescent="0.2">
      <c r="A417" s="7" t="str">
        <f t="shared" si="53"/>
        <v>SHENZHEN STRONG TECHNOLOGY CO., LTD.J581New Buy</v>
      </c>
      <c r="B417" s="7" t="str">
        <f t="shared" si="54"/>
        <v>iPadNew Buy</v>
      </c>
      <c r="C417">
        <v>407493</v>
      </c>
      <c r="D417" t="s">
        <v>76</v>
      </c>
      <c r="E417" t="s">
        <v>166</v>
      </c>
      <c r="F417" t="s">
        <v>173</v>
      </c>
      <c r="G417" t="s">
        <v>174</v>
      </c>
      <c r="H417" t="s">
        <v>167</v>
      </c>
      <c r="I417" t="s">
        <v>175</v>
      </c>
      <c r="J417" t="s">
        <v>602</v>
      </c>
      <c r="L417" t="s">
        <v>603</v>
      </c>
      <c r="M417" s="25">
        <v>427</v>
      </c>
      <c r="N417" s="4">
        <v>414.67</v>
      </c>
      <c r="O417">
        <v>1</v>
      </c>
      <c r="T417" t="s">
        <v>178</v>
      </c>
      <c r="U417" t="s">
        <v>66</v>
      </c>
      <c r="V417" s="25">
        <v>324.52</v>
      </c>
      <c r="W417" s="18">
        <v>320</v>
      </c>
      <c r="Y417" s="6">
        <f t="shared" si="55"/>
        <v>427</v>
      </c>
      <c r="Z417" s="6">
        <f t="shared" si="56"/>
        <v>324.52</v>
      </c>
      <c r="AA417" s="6">
        <f t="shared" si="57"/>
        <v>414.67</v>
      </c>
      <c r="AB417" s="6">
        <f t="shared" si="58"/>
        <v>12.329999999999984</v>
      </c>
      <c r="AC417" t="s">
        <v>16</v>
      </c>
      <c r="AD417" s="3" t="s">
        <v>168</v>
      </c>
    </row>
    <row r="418" spans="1:30" ht="15.75" customHeight="1" x14ac:dyDescent="0.2">
      <c r="A418" s="7" t="str">
        <f t="shared" si="53"/>
        <v>SHENZHEN STRONG TECHNOLOGY CO., LTD.J581New Buy</v>
      </c>
      <c r="B418" s="7" t="str">
        <f t="shared" si="54"/>
        <v>iPadNew Buy</v>
      </c>
      <c r="C418">
        <v>407492</v>
      </c>
      <c r="D418" t="s">
        <v>76</v>
      </c>
      <c r="E418" t="s">
        <v>166</v>
      </c>
      <c r="F418" t="s">
        <v>173</v>
      </c>
      <c r="G418" t="s">
        <v>174</v>
      </c>
      <c r="H418" t="s">
        <v>167</v>
      </c>
      <c r="I418" t="s">
        <v>175</v>
      </c>
      <c r="J418" t="s">
        <v>604</v>
      </c>
      <c r="L418" t="s">
        <v>605</v>
      </c>
      <c r="M418" s="25">
        <v>195</v>
      </c>
      <c r="N418" s="4">
        <v>132</v>
      </c>
      <c r="O418">
        <v>2</v>
      </c>
      <c r="T418" t="s">
        <v>178</v>
      </c>
      <c r="U418" t="s">
        <v>116</v>
      </c>
      <c r="V418" s="25">
        <v>98.04</v>
      </c>
      <c r="W418" s="18">
        <v>125</v>
      </c>
      <c r="Y418" s="6">
        <f t="shared" si="55"/>
        <v>390</v>
      </c>
      <c r="Z418" s="6">
        <f t="shared" si="56"/>
        <v>196.08</v>
      </c>
      <c r="AA418" s="6">
        <f t="shared" si="57"/>
        <v>264</v>
      </c>
      <c r="AB418" s="6">
        <f t="shared" si="58"/>
        <v>126</v>
      </c>
      <c r="AC418" t="s">
        <v>33</v>
      </c>
      <c r="AD418" s="3" t="s">
        <v>168</v>
      </c>
    </row>
    <row r="419" spans="1:30" ht="15.75" customHeight="1" x14ac:dyDescent="0.2">
      <c r="A419" s="7" t="str">
        <f t="shared" ref="A419:A482" si="60">CONCATENATE(D419,G419,H419,K419)</f>
        <v>SHENZHEN STRONG TECHNOLOGY CO., LTD.J581New Buy</v>
      </c>
      <c r="B419" s="7" t="str">
        <f t="shared" ref="B419:B482" si="61">_xlfn.CONCAT(F419,K419,"New Buy")</f>
        <v>iPadNew Buy</v>
      </c>
      <c r="C419">
        <v>407491</v>
      </c>
      <c r="D419" t="s">
        <v>76</v>
      </c>
      <c r="E419" t="s">
        <v>166</v>
      </c>
      <c r="F419" t="s">
        <v>173</v>
      </c>
      <c r="G419" t="s">
        <v>174</v>
      </c>
      <c r="H419" t="s">
        <v>167</v>
      </c>
      <c r="I419" t="s">
        <v>175</v>
      </c>
      <c r="J419" t="s">
        <v>604</v>
      </c>
      <c r="L419" t="s">
        <v>606</v>
      </c>
      <c r="M419" s="25">
        <v>132</v>
      </c>
      <c r="N419" s="4">
        <v>132</v>
      </c>
      <c r="O419">
        <v>2</v>
      </c>
      <c r="T419" t="s">
        <v>178</v>
      </c>
      <c r="U419" t="s">
        <v>104</v>
      </c>
      <c r="V419" s="25">
        <v>98.04</v>
      </c>
      <c r="W419" s="18">
        <v>125</v>
      </c>
      <c r="Y419" s="6">
        <f t="shared" ref="Y419:Y482" si="62">IFERROR(O419*M419,0)</f>
        <v>264</v>
      </c>
      <c r="Z419" s="6">
        <f t="shared" ref="Z419:Z482" si="63">IFERROR(O419*V419,0)</f>
        <v>196.08</v>
      </c>
      <c r="AA419" s="6">
        <f t="shared" ref="AA419:AA482" si="64">IFERROR(N419*O419,0)</f>
        <v>264</v>
      </c>
      <c r="AB419" s="6">
        <f t="shared" si="58"/>
        <v>0</v>
      </c>
      <c r="AC419" t="s">
        <v>16</v>
      </c>
      <c r="AD419" s="3" t="s">
        <v>168</v>
      </c>
    </row>
    <row r="420" spans="1:30" ht="15.75" customHeight="1" x14ac:dyDescent="0.2">
      <c r="A420" s="7" t="str">
        <f t="shared" si="60"/>
        <v>SHENZHEN STRONG TECHNOLOGY CO., LTD.J581New Buy</v>
      </c>
      <c r="B420" s="7" t="str">
        <f t="shared" si="61"/>
        <v>iPadNew Buy</v>
      </c>
      <c r="C420">
        <v>407490</v>
      </c>
      <c r="D420" t="s">
        <v>76</v>
      </c>
      <c r="E420" t="s">
        <v>166</v>
      </c>
      <c r="F420" t="s">
        <v>173</v>
      </c>
      <c r="G420" t="s">
        <v>174</v>
      </c>
      <c r="H420" t="s">
        <v>167</v>
      </c>
      <c r="I420" t="s">
        <v>175</v>
      </c>
      <c r="J420" t="s">
        <v>604</v>
      </c>
      <c r="L420" t="s">
        <v>606</v>
      </c>
      <c r="M420" s="25">
        <v>132</v>
      </c>
      <c r="N420" s="4">
        <v>132</v>
      </c>
      <c r="O420">
        <v>2</v>
      </c>
      <c r="T420" t="s">
        <v>178</v>
      </c>
      <c r="U420" t="s">
        <v>66</v>
      </c>
      <c r="V420" s="25">
        <v>98.04</v>
      </c>
      <c r="W420" s="18">
        <v>125</v>
      </c>
      <c r="Y420" s="6">
        <f t="shared" si="62"/>
        <v>264</v>
      </c>
      <c r="Z420" s="6">
        <f t="shared" si="63"/>
        <v>196.08</v>
      </c>
      <c r="AA420" s="6">
        <f t="shared" si="64"/>
        <v>264</v>
      </c>
      <c r="AB420" s="6">
        <f t="shared" si="58"/>
        <v>0</v>
      </c>
      <c r="AC420" t="s">
        <v>16</v>
      </c>
      <c r="AD420" s="3" t="s">
        <v>168</v>
      </c>
    </row>
    <row r="421" spans="1:30" ht="15.75" customHeight="1" x14ac:dyDescent="0.2">
      <c r="A421" s="7" t="str">
        <f t="shared" si="60"/>
        <v>SHENZHEN STRONG TECHNOLOGY CO., LTD.J581New Buy</v>
      </c>
      <c r="B421" s="7" t="str">
        <f t="shared" si="61"/>
        <v>iPadNew Buy</v>
      </c>
      <c r="C421">
        <v>407489</v>
      </c>
      <c r="D421" t="s">
        <v>76</v>
      </c>
      <c r="E421" t="s">
        <v>166</v>
      </c>
      <c r="F421" t="s">
        <v>173</v>
      </c>
      <c r="G421" t="s">
        <v>174</v>
      </c>
      <c r="H421" t="s">
        <v>167</v>
      </c>
      <c r="I421" t="s">
        <v>175</v>
      </c>
      <c r="J421" t="s">
        <v>607</v>
      </c>
      <c r="L421" t="s">
        <v>608</v>
      </c>
      <c r="M421" s="25">
        <v>195</v>
      </c>
      <c r="N421" s="4">
        <v>132</v>
      </c>
      <c r="O421">
        <v>2</v>
      </c>
      <c r="T421" t="s">
        <v>178</v>
      </c>
      <c r="U421" t="s">
        <v>116</v>
      </c>
      <c r="V421" s="25">
        <v>98.04</v>
      </c>
      <c r="W421" s="18">
        <v>125</v>
      </c>
      <c r="Y421" s="6">
        <f t="shared" si="62"/>
        <v>390</v>
      </c>
      <c r="Z421" s="6">
        <f t="shared" si="63"/>
        <v>196.08</v>
      </c>
      <c r="AA421" s="6">
        <f t="shared" si="64"/>
        <v>264</v>
      </c>
      <c r="AB421" s="6">
        <f t="shared" si="58"/>
        <v>126</v>
      </c>
      <c r="AC421" t="s">
        <v>33</v>
      </c>
      <c r="AD421" s="3" t="s">
        <v>168</v>
      </c>
    </row>
    <row r="422" spans="1:30" ht="15.75" customHeight="1" x14ac:dyDescent="0.2">
      <c r="A422" s="7" t="str">
        <f t="shared" si="60"/>
        <v>SHENZHEN STRONG TECHNOLOGY CO., LTD.J581New Buy</v>
      </c>
      <c r="B422" s="7" t="str">
        <f t="shared" si="61"/>
        <v>iPadNew Buy</v>
      </c>
      <c r="C422">
        <v>407488</v>
      </c>
      <c r="D422" t="s">
        <v>76</v>
      </c>
      <c r="E422" t="s">
        <v>166</v>
      </c>
      <c r="F422" t="s">
        <v>173</v>
      </c>
      <c r="G422" t="s">
        <v>174</v>
      </c>
      <c r="H422" t="s">
        <v>167</v>
      </c>
      <c r="I422" t="s">
        <v>175</v>
      </c>
      <c r="J422" t="s">
        <v>607</v>
      </c>
      <c r="L422" t="s">
        <v>609</v>
      </c>
      <c r="M422" s="25">
        <v>132</v>
      </c>
      <c r="N422" s="4">
        <v>132</v>
      </c>
      <c r="O422">
        <v>2</v>
      </c>
      <c r="T422" t="s">
        <v>178</v>
      </c>
      <c r="U422" t="s">
        <v>104</v>
      </c>
      <c r="V422" s="25">
        <v>98.04</v>
      </c>
      <c r="W422" s="18">
        <v>125</v>
      </c>
      <c r="Y422" s="6">
        <f t="shared" si="62"/>
        <v>264</v>
      </c>
      <c r="Z422" s="6">
        <f t="shared" si="63"/>
        <v>196.08</v>
      </c>
      <c r="AA422" s="6">
        <f t="shared" si="64"/>
        <v>264</v>
      </c>
      <c r="AB422" s="6">
        <f t="shared" si="58"/>
        <v>0</v>
      </c>
      <c r="AC422" t="s">
        <v>16</v>
      </c>
      <c r="AD422" s="3" t="s">
        <v>168</v>
      </c>
    </row>
    <row r="423" spans="1:30" ht="15.75" customHeight="1" x14ac:dyDescent="0.2">
      <c r="A423" s="7" t="str">
        <f t="shared" si="60"/>
        <v>SHENZHEN STRONG TECHNOLOGY CO., LTD.J581New Buy</v>
      </c>
      <c r="B423" s="7" t="str">
        <f t="shared" si="61"/>
        <v>iPadNew Buy</v>
      </c>
      <c r="C423">
        <v>407487</v>
      </c>
      <c r="D423" t="s">
        <v>76</v>
      </c>
      <c r="E423" t="s">
        <v>166</v>
      </c>
      <c r="F423" t="s">
        <v>173</v>
      </c>
      <c r="G423" t="s">
        <v>174</v>
      </c>
      <c r="H423" t="s">
        <v>167</v>
      </c>
      <c r="I423" t="s">
        <v>175</v>
      </c>
      <c r="J423" t="s">
        <v>607</v>
      </c>
      <c r="L423" t="s">
        <v>609</v>
      </c>
      <c r="M423" s="25">
        <v>132</v>
      </c>
      <c r="N423" s="4">
        <v>132</v>
      </c>
      <c r="O423">
        <v>2</v>
      </c>
      <c r="T423" t="s">
        <v>178</v>
      </c>
      <c r="U423" t="s">
        <v>66</v>
      </c>
      <c r="V423" s="25">
        <v>98.04</v>
      </c>
      <c r="W423" s="18">
        <v>125</v>
      </c>
      <c r="Y423" s="6">
        <f t="shared" si="62"/>
        <v>264</v>
      </c>
      <c r="Z423" s="6">
        <f t="shared" si="63"/>
        <v>196.08</v>
      </c>
      <c r="AA423" s="6">
        <f t="shared" si="64"/>
        <v>264</v>
      </c>
      <c r="AB423" s="6">
        <f t="shared" si="58"/>
        <v>0</v>
      </c>
      <c r="AC423" t="s">
        <v>16</v>
      </c>
      <c r="AD423" s="3" t="s">
        <v>168</v>
      </c>
    </row>
    <row r="424" spans="1:30" ht="15.75" customHeight="1" x14ac:dyDescent="0.2">
      <c r="A424" s="7" t="str">
        <f t="shared" si="60"/>
        <v>SHENZHEN STRONG TECHNOLOGY CO., LTD.J581New Buy</v>
      </c>
      <c r="B424" s="7" t="str">
        <f t="shared" si="61"/>
        <v>iPadNew Buy</v>
      </c>
      <c r="C424">
        <v>407480</v>
      </c>
      <c r="D424" t="s">
        <v>76</v>
      </c>
      <c r="E424" t="s">
        <v>166</v>
      </c>
      <c r="F424" t="s">
        <v>173</v>
      </c>
      <c r="G424" t="s">
        <v>174</v>
      </c>
      <c r="H424" t="s">
        <v>167</v>
      </c>
      <c r="I424" t="s">
        <v>175</v>
      </c>
      <c r="J424" t="s">
        <v>610</v>
      </c>
      <c r="L424" t="s">
        <v>611</v>
      </c>
      <c r="M424" s="25">
        <v>207</v>
      </c>
      <c r="N424" s="4">
        <v>145.33000000000001</v>
      </c>
      <c r="O424">
        <v>2</v>
      </c>
      <c r="T424" t="s">
        <v>178</v>
      </c>
      <c r="U424" t="s">
        <v>116</v>
      </c>
      <c r="V424" s="25">
        <v>104.88</v>
      </c>
      <c r="W424" s="18">
        <v>125</v>
      </c>
      <c r="Y424" s="6">
        <f t="shared" si="62"/>
        <v>414</v>
      </c>
      <c r="Z424" s="6">
        <f t="shared" si="63"/>
        <v>209.76</v>
      </c>
      <c r="AA424" s="6">
        <f t="shared" si="64"/>
        <v>290.66000000000003</v>
      </c>
      <c r="AB424" s="6">
        <f t="shared" si="58"/>
        <v>123.33999999999997</v>
      </c>
      <c r="AC424" t="s">
        <v>33</v>
      </c>
      <c r="AD424" s="3" t="s">
        <v>168</v>
      </c>
    </row>
    <row r="425" spans="1:30" ht="15.75" customHeight="1" x14ac:dyDescent="0.2">
      <c r="A425" s="7" t="str">
        <f t="shared" si="60"/>
        <v>SHENZHEN STRONG TECHNOLOGY CO., LTD.J581New Buy</v>
      </c>
      <c r="B425" s="7" t="str">
        <f t="shared" si="61"/>
        <v>iPadNew Buy</v>
      </c>
      <c r="C425">
        <v>407479</v>
      </c>
      <c r="D425" t="s">
        <v>76</v>
      </c>
      <c r="E425" t="s">
        <v>166</v>
      </c>
      <c r="F425" t="s">
        <v>173</v>
      </c>
      <c r="G425" t="s">
        <v>174</v>
      </c>
      <c r="H425" t="s">
        <v>167</v>
      </c>
      <c r="I425" t="s">
        <v>175</v>
      </c>
      <c r="J425" t="s">
        <v>610</v>
      </c>
      <c r="L425" t="s">
        <v>612</v>
      </c>
      <c r="M425" s="25">
        <v>145.33000000000001</v>
      </c>
      <c r="N425" s="4">
        <v>145.33000000000001</v>
      </c>
      <c r="O425">
        <v>2</v>
      </c>
      <c r="T425" t="s">
        <v>178</v>
      </c>
      <c r="U425" t="s">
        <v>104</v>
      </c>
      <c r="V425" s="25">
        <v>104.88</v>
      </c>
      <c r="W425" s="18">
        <v>125</v>
      </c>
      <c r="Y425" s="6">
        <f t="shared" si="62"/>
        <v>290.66000000000003</v>
      </c>
      <c r="Z425" s="6">
        <f t="shared" si="63"/>
        <v>209.76</v>
      </c>
      <c r="AA425" s="6">
        <f t="shared" si="64"/>
        <v>290.66000000000003</v>
      </c>
      <c r="AB425" s="6">
        <f t="shared" si="58"/>
        <v>0</v>
      </c>
      <c r="AC425" t="s">
        <v>16</v>
      </c>
      <c r="AD425" s="3" t="s">
        <v>168</v>
      </c>
    </row>
    <row r="426" spans="1:30" ht="15.75" customHeight="1" x14ac:dyDescent="0.2">
      <c r="A426" s="7" t="str">
        <f t="shared" si="60"/>
        <v>SHENZHEN STRONG TECHNOLOGY CO., LTD.J581New Buy</v>
      </c>
      <c r="B426" s="7" t="str">
        <f t="shared" si="61"/>
        <v>iPadNew Buy</v>
      </c>
      <c r="C426">
        <v>407478</v>
      </c>
      <c r="D426" t="s">
        <v>76</v>
      </c>
      <c r="E426" t="s">
        <v>166</v>
      </c>
      <c r="F426" t="s">
        <v>173</v>
      </c>
      <c r="G426" t="s">
        <v>174</v>
      </c>
      <c r="H426" t="s">
        <v>167</v>
      </c>
      <c r="I426" t="s">
        <v>175</v>
      </c>
      <c r="J426" t="s">
        <v>610</v>
      </c>
      <c r="L426" t="s">
        <v>612</v>
      </c>
      <c r="M426" s="25">
        <v>145.33000000000001</v>
      </c>
      <c r="N426" s="4">
        <v>145.33000000000001</v>
      </c>
      <c r="O426">
        <v>2</v>
      </c>
      <c r="T426" t="s">
        <v>178</v>
      </c>
      <c r="U426" t="s">
        <v>66</v>
      </c>
      <c r="V426" s="25">
        <v>104.88</v>
      </c>
      <c r="W426" s="18">
        <v>125</v>
      </c>
      <c r="Y426" s="6">
        <f t="shared" si="62"/>
        <v>290.66000000000003</v>
      </c>
      <c r="Z426" s="6">
        <f t="shared" si="63"/>
        <v>209.76</v>
      </c>
      <c r="AA426" s="6">
        <f t="shared" si="64"/>
        <v>290.66000000000003</v>
      </c>
      <c r="AB426" s="6">
        <f t="shared" si="58"/>
        <v>0</v>
      </c>
      <c r="AC426" t="s">
        <v>16</v>
      </c>
      <c r="AD426" s="3" t="s">
        <v>168</v>
      </c>
    </row>
    <row r="427" spans="1:30" ht="15.75" customHeight="1" x14ac:dyDescent="0.2">
      <c r="A427" s="7" t="str">
        <f t="shared" si="60"/>
        <v>SHENZHEN STRONG TECHNOLOGY CO., LTD.J581New Buy</v>
      </c>
      <c r="B427" s="7" t="str">
        <f t="shared" si="61"/>
        <v>iPadNew Buy</v>
      </c>
      <c r="C427">
        <v>407471</v>
      </c>
      <c r="D427" t="s">
        <v>76</v>
      </c>
      <c r="E427" t="s">
        <v>166</v>
      </c>
      <c r="F427" t="s">
        <v>173</v>
      </c>
      <c r="G427" t="s">
        <v>174</v>
      </c>
      <c r="H427" t="s">
        <v>167</v>
      </c>
      <c r="I427" t="s">
        <v>175</v>
      </c>
      <c r="J427" t="s">
        <v>613</v>
      </c>
      <c r="L427" t="s">
        <v>614</v>
      </c>
      <c r="M427" s="25">
        <v>195</v>
      </c>
      <c r="N427" s="4">
        <v>132</v>
      </c>
      <c r="O427">
        <v>2</v>
      </c>
      <c r="T427" t="s">
        <v>178</v>
      </c>
      <c r="U427" t="s">
        <v>116</v>
      </c>
      <c r="V427" s="25">
        <v>98.04</v>
      </c>
      <c r="W427" s="18">
        <v>125</v>
      </c>
      <c r="Y427" s="6">
        <f t="shared" si="62"/>
        <v>390</v>
      </c>
      <c r="Z427" s="6">
        <f t="shared" si="63"/>
        <v>196.08</v>
      </c>
      <c r="AA427" s="6">
        <f t="shared" si="64"/>
        <v>264</v>
      </c>
      <c r="AB427" s="6">
        <f t="shared" si="58"/>
        <v>126</v>
      </c>
      <c r="AC427" t="s">
        <v>33</v>
      </c>
      <c r="AD427" s="3" t="s">
        <v>168</v>
      </c>
    </row>
    <row r="428" spans="1:30" ht="15.75" customHeight="1" x14ac:dyDescent="0.2">
      <c r="A428" s="7" t="str">
        <f t="shared" si="60"/>
        <v>SHENZHEN STRONG TECHNOLOGY CO., LTD.J581New Buy</v>
      </c>
      <c r="B428" s="7" t="str">
        <f t="shared" si="61"/>
        <v>iPadNew Buy</v>
      </c>
      <c r="C428">
        <v>407470</v>
      </c>
      <c r="D428" t="s">
        <v>76</v>
      </c>
      <c r="E428" t="s">
        <v>166</v>
      </c>
      <c r="F428" t="s">
        <v>173</v>
      </c>
      <c r="G428" t="s">
        <v>174</v>
      </c>
      <c r="H428" t="s">
        <v>167</v>
      </c>
      <c r="I428" t="s">
        <v>175</v>
      </c>
      <c r="J428" t="s">
        <v>613</v>
      </c>
      <c r="L428" t="s">
        <v>615</v>
      </c>
      <c r="M428" s="25">
        <v>132</v>
      </c>
      <c r="N428" s="4">
        <v>132</v>
      </c>
      <c r="O428">
        <v>2</v>
      </c>
      <c r="T428" t="s">
        <v>178</v>
      </c>
      <c r="U428" t="s">
        <v>104</v>
      </c>
      <c r="V428" s="25">
        <v>98.04</v>
      </c>
      <c r="W428" s="18">
        <v>125</v>
      </c>
      <c r="Y428" s="6">
        <f t="shared" si="62"/>
        <v>264</v>
      </c>
      <c r="Z428" s="6">
        <f t="shared" si="63"/>
        <v>196.08</v>
      </c>
      <c r="AA428" s="6">
        <f t="shared" si="64"/>
        <v>264</v>
      </c>
      <c r="AB428" s="6">
        <f t="shared" si="58"/>
        <v>0</v>
      </c>
      <c r="AC428" t="s">
        <v>16</v>
      </c>
      <c r="AD428" s="3" t="s">
        <v>168</v>
      </c>
    </row>
    <row r="429" spans="1:30" ht="15.75" customHeight="1" x14ac:dyDescent="0.2">
      <c r="A429" s="7" t="str">
        <f t="shared" si="60"/>
        <v>SHENZHEN STRONG TECHNOLOGY CO., LTD.J581New Buy</v>
      </c>
      <c r="B429" s="7" t="str">
        <f t="shared" si="61"/>
        <v>iPadNew Buy</v>
      </c>
      <c r="C429">
        <v>407469</v>
      </c>
      <c r="D429" t="s">
        <v>76</v>
      </c>
      <c r="E429" t="s">
        <v>166</v>
      </c>
      <c r="F429" t="s">
        <v>173</v>
      </c>
      <c r="G429" t="s">
        <v>174</v>
      </c>
      <c r="H429" t="s">
        <v>167</v>
      </c>
      <c r="I429" t="s">
        <v>175</v>
      </c>
      <c r="J429" t="s">
        <v>613</v>
      </c>
      <c r="L429" t="s">
        <v>615</v>
      </c>
      <c r="M429" s="25">
        <v>132</v>
      </c>
      <c r="N429" s="4">
        <v>132</v>
      </c>
      <c r="O429">
        <v>2</v>
      </c>
      <c r="T429" t="s">
        <v>178</v>
      </c>
      <c r="U429" t="s">
        <v>66</v>
      </c>
      <c r="V429" s="25">
        <v>98.04</v>
      </c>
      <c r="W429" s="18">
        <v>125</v>
      </c>
      <c r="Y429" s="6">
        <f t="shared" si="62"/>
        <v>264</v>
      </c>
      <c r="Z429" s="6">
        <f t="shared" si="63"/>
        <v>196.08</v>
      </c>
      <c r="AA429" s="6">
        <f t="shared" si="64"/>
        <v>264</v>
      </c>
      <c r="AB429" s="6">
        <f t="shared" si="58"/>
        <v>0</v>
      </c>
      <c r="AC429" t="s">
        <v>16</v>
      </c>
      <c r="AD429" s="3" t="s">
        <v>168</v>
      </c>
    </row>
    <row r="430" spans="1:30" ht="15.75" customHeight="1" x14ac:dyDescent="0.2">
      <c r="A430" s="7" t="str">
        <f t="shared" si="60"/>
        <v>SHENZHEN STRONG TECHNOLOGY CO., LTD.J581Retrofit</v>
      </c>
      <c r="B430" s="7" t="str">
        <f t="shared" si="61"/>
        <v>iPadNew Buy</v>
      </c>
      <c r="C430">
        <v>407436</v>
      </c>
      <c r="D430" t="s">
        <v>76</v>
      </c>
      <c r="E430" t="s">
        <v>166</v>
      </c>
      <c r="F430" t="s">
        <v>173</v>
      </c>
      <c r="G430" t="s">
        <v>174</v>
      </c>
      <c r="H430" t="s">
        <v>170</v>
      </c>
      <c r="I430" t="s">
        <v>175</v>
      </c>
      <c r="J430" t="s">
        <v>616</v>
      </c>
      <c r="L430" t="s">
        <v>617</v>
      </c>
      <c r="M430" s="25">
        <v>1170</v>
      </c>
      <c r="N430" s="4">
        <v>676</v>
      </c>
      <c r="O430">
        <v>1</v>
      </c>
      <c r="T430" t="s">
        <v>178</v>
      </c>
      <c r="U430" t="s">
        <v>116</v>
      </c>
      <c r="V430" s="25">
        <v>592.79999999999995</v>
      </c>
      <c r="W430" s="18" t="s">
        <v>367</v>
      </c>
      <c r="Y430" s="6">
        <f t="shared" si="62"/>
        <v>1170</v>
      </c>
      <c r="Z430" s="6">
        <f t="shared" si="63"/>
        <v>592.79999999999995</v>
      </c>
      <c r="AA430" s="6">
        <f t="shared" si="64"/>
        <v>676</v>
      </c>
      <c r="AB430" s="6">
        <f t="shared" si="58"/>
        <v>494</v>
      </c>
      <c r="AC430" t="s">
        <v>33</v>
      </c>
      <c r="AD430" s="3" t="s">
        <v>171</v>
      </c>
    </row>
    <row r="431" spans="1:30" ht="15.75" customHeight="1" x14ac:dyDescent="0.2">
      <c r="A431" s="7" t="str">
        <f t="shared" si="60"/>
        <v>SHENZHEN STRONG TECHNOLOGY CO., LTD.J581Retrofit</v>
      </c>
      <c r="B431" s="7" t="str">
        <f t="shared" si="61"/>
        <v>iPadNew Buy</v>
      </c>
      <c r="C431">
        <v>407435</v>
      </c>
      <c r="D431" t="s">
        <v>76</v>
      </c>
      <c r="E431" t="s">
        <v>166</v>
      </c>
      <c r="F431" t="s">
        <v>173</v>
      </c>
      <c r="G431" t="s">
        <v>174</v>
      </c>
      <c r="H431" t="s">
        <v>170</v>
      </c>
      <c r="I431" t="s">
        <v>131</v>
      </c>
      <c r="J431" t="s">
        <v>616</v>
      </c>
      <c r="L431" t="s">
        <v>617</v>
      </c>
      <c r="M431" s="25">
        <v>780</v>
      </c>
      <c r="N431" s="4">
        <v>676</v>
      </c>
      <c r="O431">
        <v>1</v>
      </c>
      <c r="T431" t="s">
        <v>178</v>
      </c>
      <c r="U431" t="s">
        <v>66</v>
      </c>
      <c r="V431" s="25">
        <v>592.79999999999995</v>
      </c>
      <c r="W431" s="18" t="s">
        <v>367</v>
      </c>
      <c r="Y431" s="6">
        <f t="shared" si="62"/>
        <v>780</v>
      </c>
      <c r="Z431" s="6">
        <f t="shared" si="63"/>
        <v>592.79999999999995</v>
      </c>
      <c r="AA431" s="6">
        <f t="shared" si="64"/>
        <v>676</v>
      </c>
      <c r="AB431" s="6">
        <f t="shared" si="58"/>
        <v>104</v>
      </c>
      <c r="AC431" t="s">
        <v>16</v>
      </c>
      <c r="AD431" s="3" t="s">
        <v>171</v>
      </c>
    </row>
    <row r="432" spans="1:30" ht="15.75" customHeight="1" x14ac:dyDescent="0.2">
      <c r="A432" s="7" t="str">
        <f t="shared" si="60"/>
        <v>SHENZHEN STRONG TECHNOLOGY CO., LTD.J581New Buy</v>
      </c>
      <c r="B432" s="7" t="str">
        <f t="shared" si="61"/>
        <v>iPadNew Buy</v>
      </c>
      <c r="C432">
        <v>407434</v>
      </c>
      <c r="D432" t="s">
        <v>76</v>
      </c>
      <c r="E432" t="s">
        <v>166</v>
      </c>
      <c r="F432" t="s">
        <v>173</v>
      </c>
      <c r="G432" t="s">
        <v>174</v>
      </c>
      <c r="H432" t="s">
        <v>167</v>
      </c>
      <c r="I432" t="s">
        <v>131</v>
      </c>
      <c r="J432" t="s">
        <v>616</v>
      </c>
      <c r="L432" t="s">
        <v>617</v>
      </c>
      <c r="M432" s="25">
        <v>780</v>
      </c>
      <c r="N432" s="4">
        <v>676</v>
      </c>
      <c r="O432">
        <v>1</v>
      </c>
      <c r="T432" t="s">
        <v>178</v>
      </c>
      <c r="U432" t="s">
        <v>104</v>
      </c>
      <c r="V432" s="25">
        <v>592.79999999999995</v>
      </c>
      <c r="W432" s="18" t="s">
        <v>367</v>
      </c>
      <c r="Y432" s="6">
        <f t="shared" si="62"/>
        <v>780</v>
      </c>
      <c r="Z432" s="6">
        <f t="shared" si="63"/>
        <v>592.79999999999995</v>
      </c>
      <c r="AA432" s="6">
        <f t="shared" si="64"/>
        <v>676</v>
      </c>
      <c r="AB432" s="6">
        <f t="shared" si="58"/>
        <v>104</v>
      </c>
      <c r="AC432" t="s">
        <v>16</v>
      </c>
      <c r="AD432" s="3" t="s">
        <v>168</v>
      </c>
    </row>
    <row r="433" spans="1:30" ht="15.75" customHeight="1" x14ac:dyDescent="0.2">
      <c r="A433" s="7" t="str">
        <f t="shared" si="60"/>
        <v>SHENZHEN STRONG TECHNOLOGY CO., LTD.J581Retrofit</v>
      </c>
      <c r="B433" s="7" t="str">
        <f t="shared" si="61"/>
        <v>iPadNew Buy</v>
      </c>
      <c r="C433">
        <v>407433</v>
      </c>
      <c r="D433" t="s">
        <v>76</v>
      </c>
      <c r="E433" t="s">
        <v>166</v>
      </c>
      <c r="F433" t="s">
        <v>173</v>
      </c>
      <c r="G433" t="s">
        <v>174</v>
      </c>
      <c r="H433" t="s">
        <v>170</v>
      </c>
      <c r="I433" t="s">
        <v>175</v>
      </c>
      <c r="J433" t="s">
        <v>618</v>
      </c>
      <c r="L433" t="s">
        <v>619</v>
      </c>
      <c r="M433" s="25">
        <v>1170</v>
      </c>
      <c r="N433" s="4">
        <v>676</v>
      </c>
      <c r="O433">
        <v>1</v>
      </c>
      <c r="T433" t="s">
        <v>178</v>
      </c>
      <c r="U433" t="s">
        <v>116</v>
      </c>
      <c r="V433" s="25">
        <v>592.79999999999995</v>
      </c>
      <c r="W433" s="18" t="s">
        <v>367</v>
      </c>
      <c r="Y433" s="6">
        <f t="shared" si="62"/>
        <v>1170</v>
      </c>
      <c r="Z433" s="6">
        <f t="shared" si="63"/>
        <v>592.79999999999995</v>
      </c>
      <c r="AA433" s="6">
        <f t="shared" si="64"/>
        <v>676</v>
      </c>
      <c r="AB433" s="6">
        <f t="shared" si="58"/>
        <v>494</v>
      </c>
      <c r="AC433" t="s">
        <v>33</v>
      </c>
      <c r="AD433" s="3" t="s">
        <v>171</v>
      </c>
    </row>
    <row r="434" spans="1:30" ht="15.75" customHeight="1" x14ac:dyDescent="0.2">
      <c r="A434" s="7" t="str">
        <f t="shared" si="60"/>
        <v>SHENZHEN STRONG TECHNOLOGY CO., LTD.J581Retrofit</v>
      </c>
      <c r="B434" s="7" t="str">
        <f t="shared" si="61"/>
        <v>iPadNew Buy</v>
      </c>
      <c r="C434">
        <v>407432</v>
      </c>
      <c r="D434" t="s">
        <v>76</v>
      </c>
      <c r="E434" t="s">
        <v>166</v>
      </c>
      <c r="F434" t="s">
        <v>173</v>
      </c>
      <c r="G434" t="s">
        <v>174</v>
      </c>
      <c r="H434" t="s">
        <v>170</v>
      </c>
      <c r="I434" t="s">
        <v>131</v>
      </c>
      <c r="J434" t="s">
        <v>618</v>
      </c>
      <c r="L434" t="s">
        <v>619</v>
      </c>
      <c r="M434" s="25">
        <v>780</v>
      </c>
      <c r="N434" s="4">
        <v>676</v>
      </c>
      <c r="O434">
        <v>1</v>
      </c>
      <c r="T434" t="s">
        <v>178</v>
      </c>
      <c r="U434" t="s">
        <v>66</v>
      </c>
      <c r="V434" s="25">
        <v>592.79999999999995</v>
      </c>
      <c r="W434" s="18" t="s">
        <v>367</v>
      </c>
      <c r="Y434" s="6">
        <f t="shared" si="62"/>
        <v>780</v>
      </c>
      <c r="Z434" s="6">
        <f t="shared" si="63"/>
        <v>592.79999999999995</v>
      </c>
      <c r="AA434" s="6">
        <f t="shared" si="64"/>
        <v>676</v>
      </c>
      <c r="AB434" s="6">
        <f t="shared" si="58"/>
        <v>104</v>
      </c>
      <c r="AC434" t="s">
        <v>16</v>
      </c>
      <c r="AD434" s="3" t="s">
        <v>171</v>
      </c>
    </row>
    <row r="435" spans="1:30" ht="15.75" customHeight="1" x14ac:dyDescent="0.2">
      <c r="A435" s="7" t="str">
        <f t="shared" si="60"/>
        <v>SHENZHEN STRONG TECHNOLOGY CO., LTD.J581New Buy</v>
      </c>
      <c r="B435" s="7" t="str">
        <f t="shared" si="61"/>
        <v>iPadNew Buy</v>
      </c>
      <c r="C435">
        <v>407431</v>
      </c>
      <c r="D435" t="s">
        <v>76</v>
      </c>
      <c r="E435" t="s">
        <v>166</v>
      </c>
      <c r="F435" t="s">
        <v>173</v>
      </c>
      <c r="G435" t="s">
        <v>174</v>
      </c>
      <c r="H435" t="s">
        <v>167</v>
      </c>
      <c r="I435" t="s">
        <v>131</v>
      </c>
      <c r="J435" t="s">
        <v>618</v>
      </c>
      <c r="L435" t="s">
        <v>619</v>
      </c>
      <c r="M435" s="25">
        <v>780</v>
      </c>
      <c r="N435" s="4">
        <v>676</v>
      </c>
      <c r="O435">
        <v>1</v>
      </c>
      <c r="T435" t="s">
        <v>178</v>
      </c>
      <c r="U435" t="s">
        <v>104</v>
      </c>
      <c r="V435" s="25">
        <v>592.79999999999995</v>
      </c>
      <c r="W435" s="18" t="s">
        <v>367</v>
      </c>
      <c r="Y435" s="6">
        <f t="shared" si="62"/>
        <v>780</v>
      </c>
      <c r="Z435" s="6">
        <f t="shared" si="63"/>
        <v>592.79999999999995</v>
      </c>
      <c r="AA435" s="6">
        <f t="shared" si="64"/>
        <v>676</v>
      </c>
      <c r="AB435" s="6">
        <f t="shared" si="58"/>
        <v>104</v>
      </c>
      <c r="AC435" t="s">
        <v>16</v>
      </c>
      <c r="AD435" s="3" t="s">
        <v>168</v>
      </c>
    </row>
    <row r="436" spans="1:30" ht="15.75" customHeight="1" x14ac:dyDescent="0.2">
      <c r="A436" s="7" t="str">
        <f t="shared" si="60"/>
        <v>SHENZHEN STRONG TECHNOLOGY CO., LTD.J581Retrofit</v>
      </c>
      <c r="B436" s="7" t="str">
        <f t="shared" si="61"/>
        <v>iPadNew Buy</v>
      </c>
      <c r="C436">
        <v>407430</v>
      </c>
      <c r="D436" t="s">
        <v>76</v>
      </c>
      <c r="E436" t="s">
        <v>166</v>
      </c>
      <c r="F436" t="s">
        <v>173</v>
      </c>
      <c r="G436" t="s">
        <v>174</v>
      </c>
      <c r="H436" t="s">
        <v>170</v>
      </c>
      <c r="I436" t="s">
        <v>175</v>
      </c>
      <c r="J436" t="s">
        <v>620</v>
      </c>
      <c r="L436" t="s">
        <v>621</v>
      </c>
      <c r="M436" s="25">
        <v>2325</v>
      </c>
      <c r="N436" s="4">
        <v>1343</v>
      </c>
      <c r="O436">
        <v>1</v>
      </c>
      <c r="T436" t="s">
        <v>178</v>
      </c>
      <c r="U436" t="s">
        <v>116</v>
      </c>
      <c r="V436" s="25">
        <v>1178</v>
      </c>
      <c r="W436" s="18" t="s">
        <v>367</v>
      </c>
      <c r="Y436" s="6">
        <f t="shared" si="62"/>
        <v>2325</v>
      </c>
      <c r="Z436" s="6">
        <f t="shared" si="63"/>
        <v>1178</v>
      </c>
      <c r="AA436" s="6">
        <f t="shared" si="64"/>
        <v>1343</v>
      </c>
      <c r="AB436" s="6">
        <f t="shared" si="58"/>
        <v>982</v>
      </c>
      <c r="AC436" t="s">
        <v>33</v>
      </c>
      <c r="AD436" s="3" t="s">
        <v>171</v>
      </c>
    </row>
    <row r="437" spans="1:30" ht="15.75" customHeight="1" x14ac:dyDescent="0.2">
      <c r="A437" s="7" t="str">
        <f t="shared" si="60"/>
        <v>SHENZHEN STRONG TECHNOLOGY CO., LTD.J581Retrofit</v>
      </c>
      <c r="B437" s="7" t="str">
        <f t="shared" si="61"/>
        <v>iPadNew Buy</v>
      </c>
      <c r="C437">
        <v>407429</v>
      </c>
      <c r="D437" t="s">
        <v>76</v>
      </c>
      <c r="E437" t="s">
        <v>166</v>
      </c>
      <c r="F437" t="s">
        <v>173</v>
      </c>
      <c r="G437" t="s">
        <v>174</v>
      </c>
      <c r="H437" t="s">
        <v>170</v>
      </c>
      <c r="I437" t="s">
        <v>131</v>
      </c>
      <c r="J437" t="s">
        <v>620</v>
      </c>
      <c r="L437" t="s">
        <v>621</v>
      </c>
      <c r="M437" s="25">
        <v>1550</v>
      </c>
      <c r="N437" s="4">
        <v>1343</v>
      </c>
      <c r="O437">
        <v>1</v>
      </c>
      <c r="T437" t="s">
        <v>178</v>
      </c>
      <c r="U437" t="s">
        <v>66</v>
      </c>
      <c r="V437" s="25">
        <v>1178</v>
      </c>
      <c r="W437" s="18" t="s">
        <v>367</v>
      </c>
      <c r="Y437" s="6">
        <f t="shared" si="62"/>
        <v>1550</v>
      </c>
      <c r="Z437" s="6">
        <f t="shared" si="63"/>
        <v>1178</v>
      </c>
      <c r="AA437" s="6">
        <f t="shared" si="64"/>
        <v>1343</v>
      </c>
      <c r="AB437" s="6">
        <f t="shared" si="58"/>
        <v>207</v>
      </c>
      <c r="AC437" t="s">
        <v>16</v>
      </c>
      <c r="AD437" s="3" t="s">
        <v>171</v>
      </c>
    </row>
    <row r="438" spans="1:30" ht="15.75" customHeight="1" x14ac:dyDescent="0.2">
      <c r="A438" s="7" t="str">
        <f t="shared" si="60"/>
        <v>SHENZHEN STRONG TECHNOLOGY CO., LTD.J581New Buy</v>
      </c>
      <c r="B438" s="7" t="str">
        <f t="shared" si="61"/>
        <v>iPadNew Buy</v>
      </c>
      <c r="C438">
        <v>407428</v>
      </c>
      <c r="D438" t="s">
        <v>76</v>
      </c>
      <c r="E438" t="s">
        <v>166</v>
      </c>
      <c r="F438" t="s">
        <v>173</v>
      </c>
      <c r="G438" t="s">
        <v>174</v>
      </c>
      <c r="H438" t="s">
        <v>167</v>
      </c>
      <c r="I438" t="s">
        <v>131</v>
      </c>
      <c r="J438" t="s">
        <v>620</v>
      </c>
      <c r="L438" t="s">
        <v>621</v>
      </c>
      <c r="M438" s="25">
        <v>1550</v>
      </c>
      <c r="N438" s="4">
        <v>1343</v>
      </c>
      <c r="O438">
        <v>1</v>
      </c>
      <c r="T438" t="s">
        <v>178</v>
      </c>
      <c r="U438" t="s">
        <v>104</v>
      </c>
      <c r="V438" s="25">
        <v>1178</v>
      </c>
      <c r="W438" s="18" t="s">
        <v>367</v>
      </c>
      <c r="Y438" s="6">
        <f t="shared" si="62"/>
        <v>1550</v>
      </c>
      <c r="Z438" s="6">
        <f t="shared" si="63"/>
        <v>1178</v>
      </c>
      <c r="AA438" s="6">
        <f t="shared" si="64"/>
        <v>1343</v>
      </c>
      <c r="AB438" s="6">
        <f t="shared" si="58"/>
        <v>207</v>
      </c>
      <c r="AC438" t="s">
        <v>16</v>
      </c>
      <c r="AD438" s="3" t="s">
        <v>168</v>
      </c>
    </row>
    <row r="439" spans="1:30" ht="15.75" customHeight="1" x14ac:dyDescent="0.2">
      <c r="A439" s="7" t="str">
        <f t="shared" si="60"/>
        <v>SHENZHEN STRONG TECHNOLOGY CO., LTD.J581Retrofit</v>
      </c>
      <c r="B439" s="7" t="str">
        <f t="shared" si="61"/>
        <v>iPadNew Buy</v>
      </c>
      <c r="C439">
        <v>407427</v>
      </c>
      <c r="D439" t="s">
        <v>76</v>
      </c>
      <c r="E439" t="s">
        <v>166</v>
      </c>
      <c r="F439" t="s">
        <v>173</v>
      </c>
      <c r="G439" t="s">
        <v>174</v>
      </c>
      <c r="H439" t="s">
        <v>170</v>
      </c>
      <c r="I439" t="s">
        <v>175</v>
      </c>
      <c r="J439" t="s">
        <v>622</v>
      </c>
      <c r="L439" t="s">
        <v>623</v>
      </c>
      <c r="M439" s="25">
        <v>760</v>
      </c>
      <c r="N439" s="4">
        <v>692</v>
      </c>
      <c r="O439">
        <v>96</v>
      </c>
      <c r="T439" t="s">
        <v>178</v>
      </c>
      <c r="U439" t="s">
        <v>66</v>
      </c>
      <c r="V439" s="25">
        <v>577.6</v>
      </c>
      <c r="W439" s="18" t="s">
        <v>367</v>
      </c>
      <c r="Y439" s="6">
        <f t="shared" si="62"/>
        <v>72960</v>
      </c>
      <c r="Z439" s="6">
        <f t="shared" si="63"/>
        <v>55449.600000000006</v>
      </c>
      <c r="AA439" s="6">
        <f t="shared" si="64"/>
        <v>66432</v>
      </c>
      <c r="AB439" s="6">
        <f t="shared" si="58"/>
        <v>6528</v>
      </c>
      <c r="AC439" t="s">
        <v>16</v>
      </c>
      <c r="AD439" s="3" t="s">
        <v>171</v>
      </c>
    </row>
    <row r="440" spans="1:30" ht="15.75" customHeight="1" x14ac:dyDescent="0.2">
      <c r="A440" s="7" t="str">
        <f t="shared" si="60"/>
        <v>SHENZHEN STRONG TECHNOLOGY CO., LTD.J581Retrofit</v>
      </c>
      <c r="B440" s="7" t="str">
        <f t="shared" si="61"/>
        <v>iPadNew Buy</v>
      </c>
      <c r="C440">
        <v>407426</v>
      </c>
      <c r="D440" t="s">
        <v>76</v>
      </c>
      <c r="E440" t="s">
        <v>166</v>
      </c>
      <c r="F440" t="s">
        <v>173</v>
      </c>
      <c r="G440" t="s">
        <v>174</v>
      </c>
      <c r="H440" t="s">
        <v>170</v>
      </c>
      <c r="I440" t="s">
        <v>131</v>
      </c>
      <c r="J440" t="s">
        <v>622</v>
      </c>
      <c r="L440" t="s">
        <v>623</v>
      </c>
      <c r="M440" s="25">
        <v>1140</v>
      </c>
      <c r="N440" s="4">
        <v>692</v>
      </c>
      <c r="O440">
        <v>192</v>
      </c>
      <c r="T440" t="s">
        <v>178</v>
      </c>
      <c r="U440" t="s">
        <v>116</v>
      </c>
      <c r="V440" s="25">
        <v>577.6</v>
      </c>
      <c r="W440" s="18" t="s">
        <v>367</v>
      </c>
      <c r="Y440" s="6">
        <f t="shared" si="62"/>
        <v>218880</v>
      </c>
      <c r="Z440" s="6">
        <f t="shared" si="63"/>
        <v>110899.20000000001</v>
      </c>
      <c r="AA440" s="6">
        <f t="shared" si="64"/>
        <v>132864</v>
      </c>
      <c r="AB440" s="6">
        <f t="shared" si="58"/>
        <v>86016</v>
      </c>
      <c r="AC440" t="s">
        <v>33</v>
      </c>
      <c r="AD440" s="3" t="s">
        <v>171</v>
      </c>
    </row>
    <row r="441" spans="1:30" ht="15.75" customHeight="1" x14ac:dyDescent="0.2">
      <c r="A441" s="7" t="str">
        <f t="shared" si="60"/>
        <v>SHENZHEN STRONG TECHNOLOGY CO., LTD.J581New Buy</v>
      </c>
      <c r="B441" s="7" t="str">
        <f t="shared" si="61"/>
        <v>iPadNew Buy</v>
      </c>
      <c r="C441">
        <v>407425</v>
      </c>
      <c r="D441" t="s">
        <v>76</v>
      </c>
      <c r="E441" t="s">
        <v>166</v>
      </c>
      <c r="F441" t="s">
        <v>173</v>
      </c>
      <c r="G441" t="s">
        <v>174</v>
      </c>
      <c r="H441" t="s">
        <v>167</v>
      </c>
      <c r="I441" t="s">
        <v>131</v>
      </c>
      <c r="J441" t="s">
        <v>622</v>
      </c>
      <c r="L441" t="s">
        <v>623</v>
      </c>
      <c r="M441" s="25">
        <v>760</v>
      </c>
      <c r="N441" s="4">
        <v>692</v>
      </c>
      <c r="O441">
        <v>120</v>
      </c>
      <c r="T441" t="s">
        <v>178</v>
      </c>
      <c r="U441" t="s">
        <v>104</v>
      </c>
      <c r="V441" s="25">
        <v>577.6</v>
      </c>
      <c r="W441" s="18" t="s">
        <v>367</v>
      </c>
      <c r="Y441" s="6">
        <f t="shared" si="62"/>
        <v>91200</v>
      </c>
      <c r="Z441" s="6">
        <f t="shared" si="63"/>
        <v>69312</v>
      </c>
      <c r="AA441" s="6">
        <f t="shared" si="64"/>
        <v>83040</v>
      </c>
      <c r="AB441" s="6">
        <f t="shared" si="58"/>
        <v>8160</v>
      </c>
      <c r="AC441" t="s">
        <v>16</v>
      </c>
      <c r="AD441" s="3" t="s">
        <v>168</v>
      </c>
    </row>
    <row r="442" spans="1:30" ht="15.75" customHeight="1" x14ac:dyDescent="0.2">
      <c r="A442" s="7" t="str">
        <f t="shared" si="60"/>
        <v>SHENZHEN STRONG TECHNOLOGY CO., LTD.J581Retrofit</v>
      </c>
      <c r="B442" s="7" t="str">
        <f t="shared" si="61"/>
        <v>iPadNew Buy</v>
      </c>
      <c r="C442">
        <v>407424</v>
      </c>
      <c r="D442" t="s">
        <v>76</v>
      </c>
      <c r="E442" t="s">
        <v>166</v>
      </c>
      <c r="F442" t="s">
        <v>173</v>
      </c>
      <c r="G442" t="s">
        <v>174</v>
      </c>
      <c r="H442" t="s">
        <v>170</v>
      </c>
      <c r="I442" t="s">
        <v>175</v>
      </c>
      <c r="J442" t="s">
        <v>624</v>
      </c>
      <c r="L442" t="s">
        <v>625</v>
      </c>
      <c r="M442" s="25">
        <v>1150</v>
      </c>
      <c r="N442" s="4">
        <v>1042</v>
      </c>
      <c r="O442">
        <v>16</v>
      </c>
      <c r="T442" t="s">
        <v>178</v>
      </c>
      <c r="U442" t="s">
        <v>66</v>
      </c>
      <c r="V442" s="25">
        <v>874</v>
      </c>
      <c r="W442" s="18" t="s">
        <v>367</v>
      </c>
      <c r="Y442" s="6">
        <f t="shared" si="62"/>
        <v>18400</v>
      </c>
      <c r="Z442" s="6">
        <f t="shared" si="63"/>
        <v>13984</v>
      </c>
      <c r="AA442" s="6">
        <f t="shared" si="64"/>
        <v>16672</v>
      </c>
      <c r="AB442" s="6">
        <f t="shared" si="58"/>
        <v>1728</v>
      </c>
      <c r="AC442" t="s">
        <v>16</v>
      </c>
      <c r="AD442" s="3" t="s">
        <v>171</v>
      </c>
    </row>
    <row r="443" spans="1:30" ht="15.75" customHeight="1" x14ac:dyDescent="0.2">
      <c r="A443" s="7" t="str">
        <f t="shared" si="60"/>
        <v>SHENZHEN STRONG TECHNOLOGY CO., LTD.J581Retrofit</v>
      </c>
      <c r="B443" s="7" t="str">
        <f t="shared" si="61"/>
        <v>iPadNew Buy</v>
      </c>
      <c r="C443">
        <v>407423</v>
      </c>
      <c r="D443" t="s">
        <v>76</v>
      </c>
      <c r="E443" t="s">
        <v>166</v>
      </c>
      <c r="F443" t="s">
        <v>173</v>
      </c>
      <c r="G443" t="s">
        <v>174</v>
      </c>
      <c r="H443" t="s">
        <v>170</v>
      </c>
      <c r="I443" t="s">
        <v>131</v>
      </c>
      <c r="J443" t="s">
        <v>624</v>
      </c>
      <c r="L443" t="s">
        <v>625</v>
      </c>
      <c r="M443" s="25">
        <v>1725</v>
      </c>
      <c r="N443" s="4">
        <v>1042</v>
      </c>
      <c r="O443">
        <v>32</v>
      </c>
      <c r="T443" t="s">
        <v>178</v>
      </c>
      <c r="U443" t="s">
        <v>116</v>
      </c>
      <c r="V443" s="25">
        <v>874</v>
      </c>
      <c r="W443" s="18" t="s">
        <v>367</v>
      </c>
      <c r="Y443" s="6">
        <f t="shared" si="62"/>
        <v>55200</v>
      </c>
      <c r="Z443" s="6">
        <f t="shared" si="63"/>
        <v>27968</v>
      </c>
      <c r="AA443" s="6">
        <f t="shared" si="64"/>
        <v>33344</v>
      </c>
      <c r="AB443" s="6">
        <f t="shared" si="58"/>
        <v>21856</v>
      </c>
      <c r="AC443" t="s">
        <v>33</v>
      </c>
      <c r="AD443" s="3" t="s">
        <v>171</v>
      </c>
    </row>
    <row r="444" spans="1:30" ht="15.75" customHeight="1" x14ac:dyDescent="0.2">
      <c r="A444" s="7" t="str">
        <f t="shared" si="60"/>
        <v>SHENZHEN STRONG TECHNOLOGY CO., LTD.J581New Buy</v>
      </c>
      <c r="B444" s="7" t="str">
        <f t="shared" si="61"/>
        <v>iPadNew Buy</v>
      </c>
      <c r="C444">
        <v>407422</v>
      </c>
      <c r="D444" t="s">
        <v>76</v>
      </c>
      <c r="E444" t="s">
        <v>166</v>
      </c>
      <c r="F444" t="s">
        <v>173</v>
      </c>
      <c r="G444" t="s">
        <v>174</v>
      </c>
      <c r="H444" t="s">
        <v>167</v>
      </c>
      <c r="I444" t="s">
        <v>115</v>
      </c>
      <c r="J444" t="s">
        <v>624</v>
      </c>
      <c r="L444" t="s">
        <v>625</v>
      </c>
      <c r="M444" s="25">
        <v>1150</v>
      </c>
      <c r="N444" s="4">
        <v>1042</v>
      </c>
      <c r="O444">
        <v>22</v>
      </c>
      <c r="T444" t="s">
        <v>178</v>
      </c>
      <c r="U444" t="s">
        <v>104</v>
      </c>
      <c r="V444" s="25">
        <v>874</v>
      </c>
      <c r="W444" s="18" t="s">
        <v>367</v>
      </c>
      <c r="Y444" s="6">
        <f t="shared" si="62"/>
        <v>25300</v>
      </c>
      <c r="Z444" s="6">
        <f t="shared" si="63"/>
        <v>19228</v>
      </c>
      <c r="AA444" s="6">
        <f t="shared" si="64"/>
        <v>22924</v>
      </c>
      <c r="AB444" s="6">
        <f t="shared" si="58"/>
        <v>2376</v>
      </c>
      <c r="AC444" t="s">
        <v>16</v>
      </c>
      <c r="AD444" s="3" t="s">
        <v>168</v>
      </c>
    </row>
    <row r="445" spans="1:30" ht="15.75" customHeight="1" x14ac:dyDescent="0.2">
      <c r="A445" s="7" t="str">
        <f t="shared" si="60"/>
        <v>SHENZHEN STRONG TECHNOLOGY CO., LTD.J581Retrofit</v>
      </c>
      <c r="B445" s="7" t="str">
        <f t="shared" si="61"/>
        <v>iPadNew Buy</v>
      </c>
      <c r="C445">
        <v>407421</v>
      </c>
      <c r="D445" t="s">
        <v>76</v>
      </c>
      <c r="E445" t="s">
        <v>166</v>
      </c>
      <c r="F445" t="s">
        <v>173</v>
      </c>
      <c r="G445" t="s">
        <v>174</v>
      </c>
      <c r="H445" t="s">
        <v>170</v>
      </c>
      <c r="I445" t="s">
        <v>175</v>
      </c>
      <c r="J445" t="s">
        <v>626</v>
      </c>
      <c r="L445" t="s">
        <v>627</v>
      </c>
      <c r="M445" s="25">
        <v>450</v>
      </c>
      <c r="N445" s="4">
        <v>401</v>
      </c>
      <c r="O445">
        <v>6</v>
      </c>
      <c r="T445" t="s">
        <v>178</v>
      </c>
      <c r="U445" t="s">
        <v>66</v>
      </c>
      <c r="V445" s="25">
        <v>342</v>
      </c>
      <c r="W445" s="18" t="s">
        <v>367</v>
      </c>
      <c r="Y445" s="6">
        <f t="shared" si="62"/>
        <v>2700</v>
      </c>
      <c r="Z445" s="6">
        <f t="shared" si="63"/>
        <v>2052</v>
      </c>
      <c r="AA445" s="6">
        <f t="shared" si="64"/>
        <v>2406</v>
      </c>
      <c r="AB445" s="6">
        <f t="shared" si="58"/>
        <v>294</v>
      </c>
      <c r="AC445" t="s">
        <v>16</v>
      </c>
      <c r="AD445" s="3" t="s">
        <v>171</v>
      </c>
    </row>
    <row r="446" spans="1:30" ht="15.75" customHeight="1" x14ac:dyDescent="0.2">
      <c r="A446" s="7" t="str">
        <f t="shared" si="60"/>
        <v>SHENZHEN STRONG TECHNOLOGY CO., LTD.J581Retrofit</v>
      </c>
      <c r="B446" s="7" t="str">
        <f t="shared" si="61"/>
        <v>iPadNew Buy</v>
      </c>
      <c r="C446">
        <v>407420</v>
      </c>
      <c r="D446" t="s">
        <v>76</v>
      </c>
      <c r="E446" t="s">
        <v>166</v>
      </c>
      <c r="F446" t="s">
        <v>173</v>
      </c>
      <c r="G446" t="s">
        <v>174</v>
      </c>
      <c r="H446" t="s">
        <v>170</v>
      </c>
      <c r="I446" t="s">
        <v>131</v>
      </c>
      <c r="J446" t="s">
        <v>626</v>
      </c>
      <c r="L446" t="s">
        <v>627</v>
      </c>
      <c r="M446" s="25">
        <v>675</v>
      </c>
      <c r="N446" s="4">
        <v>401</v>
      </c>
      <c r="O446">
        <v>9</v>
      </c>
      <c r="T446" t="s">
        <v>178</v>
      </c>
      <c r="U446" t="s">
        <v>116</v>
      </c>
      <c r="V446" s="25">
        <v>342</v>
      </c>
      <c r="W446" s="18" t="s">
        <v>367</v>
      </c>
      <c r="Y446" s="6">
        <f t="shared" si="62"/>
        <v>6075</v>
      </c>
      <c r="Z446" s="6">
        <f t="shared" si="63"/>
        <v>3078</v>
      </c>
      <c r="AA446" s="6">
        <f t="shared" si="64"/>
        <v>3609</v>
      </c>
      <c r="AB446" s="6">
        <f t="shared" si="58"/>
        <v>2466</v>
      </c>
      <c r="AC446" t="s">
        <v>33</v>
      </c>
      <c r="AD446" s="3" t="s">
        <v>171</v>
      </c>
    </row>
    <row r="447" spans="1:30" ht="15.75" customHeight="1" x14ac:dyDescent="0.2">
      <c r="A447" s="7" t="str">
        <f t="shared" si="60"/>
        <v>SHENZHEN STRONG TECHNOLOGY CO., LTD.J581New Buy</v>
      </c>
      <c r="B447" s="7" t="str">
        <f t="shared" si="61"/>
        <v>iPadNew Buy</v>
      </c>
      <c r="C447">
        <v>407419</v>
      </c>
      <c r="D447" t="s">
        <v>76</v>
      </c>
      <c r="E447" t="s">
        <v>166</v>
      </c>
      <c r="F447" t="s">
        <v>173</v>
      </c>
      <c r="G447" t="s">
        <v>174</v>
      </c>
      <c r="H447" t="s">
        <v>167</v>
      </c>
      <c r="I447" t="s">
        <v>131</v>
      </c>
      <c r="J447" t="s">
        <v>626</v>
      </c>
      <c r="L447" t="s">
        <v>627</v>
      </c>
      <c r="M447" s="25">
        <v>450</v>
      </c>
      <c r="N447" s="4">
        <v>401</v>
      </c>
      <c r="O447">
        <v>7</v>
      </c>
      <c r="T447" t="s">
        <v>178</v>
      </c>
      <c r="U447" t="s">
        <v>104</v>
      </c>
      <c r="V447" s="25">
        <v>342</v>
      </c>
      <c r="W447" s="18" t="s">
        <v>367</v>
      </c>
      <c r="Y447" s="6">
        <f t="shared" si="62"/>
        <v>3150</v>
      </c>
      <c r="Z447" s="6">
        <f t="shared" si="63"/>
        <v>2394</v>
      </c>
      <c r="AA447" s="6">
        <f t="shared" si="64"/>
        <v>2807</v>
      </c>
      <c r="AB447" s="6">
        <f t="shared" si="58"/>
        <v>343</v>
      </c>
      <c r="AC447" t="s">
        <v>16</v>
      </c>
      <c r="AD447" s="3" t="s">
        <v>168</v>
      </c>
    </row>
    <row r="448" spans="1:30" ht="15.75" customHeight="1" x14ac:dyDescent="0.2">
      <c r="A448" s="7" t="str">
        <f t="shared" si="60"/>
        <v>SHENZHEN STRONG TECHNOLOGY CO., LTD.J581Retrofit</v>
      </c>
      <c r="B448" s="7" t="str">
        <f t="shared" si="61"/>
        <v>iPadNew Buy</v>
      </c>
      <c r="C448">
        <v>407418</v>
      </c>
      <c r="D448" t="s">
        <v>76</v>
      </c>
      <c r="E448" t="s">
        <v>166</v>
      </c>
      <c r="F448" t="s">
        <v>173</v>
      </c>
      <c r="G448" t="s">
        <v>174</v>
      </c>
      <c r="H448" t="s">
        <v>170</v>
      </c>
      <c r="I448" t="s">
        <v>175</v>
      </c>
      <c r="J448" t="s">
        <v>628</v>
      </c>
      <c r="L448" t="s">
        <v>629</v>
      </c>
      <c r="M448" s="25">
        <v>1880</v>
      </c>
      <c r="N448" s="4">
        <v>1711</v>
      </c>
      <c r="O448">
        <v>40</v>
      </c>
      <c r="T448" t="s">
        <v>178</v>
      </c>
      <c r="U448" t="s">
        <v>66</v>
      </c>
      <c r="V448" s="25">
        <v>1428.8</v>
      </c>
      <c r="W448" s="18" t="s">
        <v>367</v>
      </c>
      <c r="Y448" s="6">
        <f t="shared" si="62"/>
        <v>75200</v>
      </c>
      <c r="Z448" s="6">
        <f t="shared" si="63"/>
        <v>57152</v>
      </c>
      <c r="AA448" s="6">
        <f t="shared" si="64"/>
        <v>68440</v>
      </c>
      <c r="AB448" s="6">
        <f t="shared" si="58"/>
        <v>6760</v>
      </c>
      <c r="AC448" t="s">
        <v>16</v>
      </c>
      <c r="AD448" s="3" t="s">
        <v>171</v>
      </c>
    </row>
    <row r="449" spans="1:30" ht="15.75" customHeight="1" x14ac:dyDescent="0.2">
      <c r="A449" s="7" t="str">
        <f t="shared" si="60"/>
        <v>SHENZHEN STRONG TECHNOLOGY CO., LTD.J581Retrofit</v>
      </c>
      <c r="B449" s="7" t="str">
        <f t="shared" si="61"/>
        <v>iPadNew Buy</v>
      </c>
      <c r="C449">
        <v>407417</v>
      </c>
      <c r="D449" t="s">
        <v>76</v>
      </c>
      <c r="E449" t="s">
        <v>166</v>
      </c>
      <c r="F449" t="s">
        <v>173</v>
      </c>
      <c r="G449" t="s">
        <v>174</v>
      </c>
      <c r="H449" t="s">
        <v>170</v>
      </c>
      <c r="I449" t="s">
        <v>131</v>
      </c>
      <c r="J449" t="s">
        <v>628</v>
      </c>
      <c r="L449" t="s">
        <v>629</v>
      </c>
      <c r="M449" s="25">
        <v>2820</v>
      </c>
      <c r="N449" s="4">
        <v>1711</v>
      </c>
      <c r="O449">
        <v>80</v>
      </c>
      <c r="T449" t="s">
        <v>178</v>
      </c>
      <c r="U449" t="s">
        <v>116</v>
      </c>
      <c r="V449" s="25">
        <v>1428.8</v>
      </c>
      <c r="W449" s="18" t="s">
        <v>367</v>
      </c>
      <c r="Y449" s="6">
        <f t="shared" si="62"/>
        <v>225600</v>
      </c>
      <c r="Z449" s="6">
        <f t="shared" si="63"/>
        <v>114304</v>
      </c>
      <c r="AA449" s="6">
        <f t="shared" si="64"/>
        <v>136880</v>
      </c>
      <c r="AB449" s="6">
        <f t="shared" si="58"/>
        <v>88720</v>
      </c>
      <c r="AC449" t="s">
        <v>33</v>
      </c>
      <c r="AD449" s="3" t="s">
        <v>171</v>
      </c>
    </row>
    <row r="450" spans="1:30" ht="15.75" customHeight="1" x14ac:dyDescent="0.2">
      <c r="A450" s="7" t="str">
        <f t="shared" si="60"/>
        <v>SHENZHEN STRONG TECHNOLOGY CO., LTD.J581New Buy</v>
      </c>
      <c r="B450" s="7" t="str">
        <f t="shared" si="61"/>
        <v>iPadNew Buy</v>
      </c>
      <c r="C450">
        <v>407416</v>
      </c>
      <c r="D450" t="s">
        <v>76</v>
      </c>
      <c r="E450" t="s">
        <v>166</v>
      </c>
      <c r="F450" t="s">
        <v>173</v>
      </c>
      <c r="G450" t="s">
        <v>174</v>
      </c>
      <c r="H450" t="s">
        <v>167</v>
      </c>
      <c r="I450" t="s">
        <v>131</v>
      </c>
      <c r="J450" t="s">
        <v>628</v>
      </c>
      <c r="L450" t="s">
        <v>629</v>
      </c>
      <c r="M450" s="25">
        <v>1880</v>
      </c>
      <c r="N450" s="4">
        <v>1711</v>
      </c>
      <c r="O450">
        <v>50</v>
      </c>
      <c r="T450" t="s">
        <v>178</v>
      </c>
      <c r="U450" t="s">
        <v>104</v>
      </c>
      <c r="V450" s="25">
        <v>1428.8</v>
      </c>
      <c r="W450" s="18" t="s">
        <v>367</v>
      </c>
      <c r="Y450" s="6">
        <f t="shared" si="62"/>
        <v>94000</v>
      </c>
      <c r="Z450" s="6">
        <f t="shared" si="63"/>
        <v>71440</v>
      </c>
      <c r="AA450" s="6">
        <f t="shared" si="64"/>
        <v>85550</v>
      </c>
      <c r="AB450" s="6">
        <f t="shared" si="58"/>
        <v>8450</v>
      </c>
      <c r="AC450" t="s">
        <v>16</v>
      </c>
      <c r="AD450" s="3" t="s">
        <v>168</v>
      </c>
    </row>
    <row r="451" spans="1:30" ht="15.75" customHeight="1" x14ac:dyDescent="0.2">
      <c r="A451" s="7" t="str">
        <f t="shared" si="60"/>
        <v>SHENZHEN STRONG TECHNOLOGY CO., LTD.J581New Buy</v>
      </c>
      <c r="B451" s="7" t="str">
        <f t="shared" si="61"/>
        <v>iPadNew Buy</v>
      </c>
      <c r="C451">
        <v>407412</v>
      </c>
      <c r="D451" t="s">
        <v>76</v>
      </c>
      <c r="E451" t="s">
        <v>166</v>
      </c>
      <c r="F451" t="s">
        <v>173</v>
      </c>
      <c r="G451" t="s">
        <v>174</v>
      </c>
      <c r="H451" t="s">
        <v>167</v>
      </c>
      <c r="I451" t="s">
        <v>175</v>
      </c>
      <c r="J451" t="s">
        <v>630</v>
      </c>
      <c r="L451" t="s">
        <v>631</v>
      </c>
      <c r="M451" s="25">
        <v>22.5</v>
      </c>
      <c r="N451" s="4">
        <v>13</v>
      </c>
      <c r="O451">
        <v>313</v>
      </c>
      <c r="T451" t="s">
        <v>178</v>
      </c>
      <c r="U451" t="s">
        <v>116</v>
      </c>
      <c r="V451" s="25">
        <v>11.4</v>
      </c>
      <c r="W451" s="18" t="s">
        <v>367</v>
      </c>
      <c r="Y451" s="6">
        <f t="shared" si="62"/>
        <v>7042.5</v>
      </c>
      <c r="Z451" s="6">
        <f t="shared" si="63"/>
        <v>3568.2000000000003</v>
      </c>
      <c r="AA451" s="6">
        <f t="shared" si="64"/>
        <v>4069</v>
      </c>
      <c r="AB451" s="6">
        <f t="shared" si="58"/>
        <v>2973.5</v>
      </c>
      <c r="AC451" t="s">
        <v>33</v>
      </c>
      <c r="AD451" s="3" t="s">
        <v>168</v>
      </c>
    </row>
    <row r="452" spans="1:30" ht="15.75" customHeight="1" x14ac:dyDescent="0.2">
      <c r="A452" s="7" t="str">
        <f t="shared" si="60"/>
        <v>SHENZHEN STRONG TECHNOLOGY CO., LTD.J581New Buy</v>
      </c>
      <c r="B452" s="7" t="str">
        <f t="shared" si="61"/>
        <v>iPadNew Buy</v>
      </c>
      <c r="C452">
        <v>407411</v>
      </c>
      <c r="D452" t="s">
        <v>76</v>
      </c>
      <c r="E452" t="s">
        <v>166</v>
      </c>
      <c r="F452" t="s">
        <v>173</v>
      </c>
      <c r="G452" t="s">
        <v>174</v>
      </c>
      <c r="H452" t="s">
        <v>167</v>
      </c>
      <c r="I452" t="s">
        <v>175</v>
      </c>
      <c r="J452" t="s">
        <v>630</v>
      </c>
      <c r="L452" t="s">
        <v>631</v>
      </c>
      <c r="M452" s="25">
        <v>15</v>
      </c>
      <c r="N452" s="4">
        <v>13</v>
      </c>
      <c r="O452">
        <v>183</v>
      </c>
      <c r="T452" t="s">
        <v>178</v>
      </c>
      <c r="U452" t="s">
        <v>104</v>
      </c>
      <c r="V452" s="25">
        <v>11.4</v>
      </c>
      <c r="W452" s="18" t="s">
        <v>367</v>
      </c>
      <c r="Y452" s="6">
        <f t="shared" si="62"/>
        <v>2745</v>
      </c>
      <c r="Z452" s="6">
        <f t="shared" si="63"/>
        <v>2086.2000000000003</v>
      </c>
      <c r="AA452" s="6">
        <f t="shared" si="64"/>
        <v>2379</v>
      </c>
      <c r="AB452" s="6">
        <f t="shared" si="58"/>
        <v>366</v>
      </c>
      <c r="AC452" t="s">
        <v>16</v>
      </c>
      <c r="AD452" s="3" t="s">
        <v>168</v>
      </c>
    </row>
    <row r="453" spans="1:30" ht="15.75" customHeight="1" x14ac:dyDescent="0.2">
      <c r="A453" s="7" t="str">
        <f t="shared" si="60"/>
        <v>SHENZHEN STRONG TECHNOLOGY CO., LTD.J581New Buy</v>
      </c>
      <c r="B453" s="7" t="str">
        <f t="shared" si="61"/>
        <v>iPadNew Buy</v>
      </c>
      <c r="C453">
        <v>407410</v>
      </c>
      <c r="D453" t="s">
        <v>76</v>
      </c>
      <c r="E453" t="s">
        <v>166</v>
      </c>
      <c r="F453" t="s">
        <v>173</v>
      </c>
      <c r="G453" t="s">
        <v>174</v>
      </c>
      <c r="H453" t="s">
        <v>167</v>
      </c>
      <c r="I453" t="s">
        <v>175</v>
      </c>
      <c r="J453" t="s">
        <v>630</v>
      </c>
      <c r="L453" t="s">
        <v>631</v>
      </c>
      <c r="M453" s="25">
        <v>15</v>
      </c>
      <c r="N453" s="4">
        <v>13</v>
      </c>
      <c r="O453">
        <v>178</v>
      </c>
      <c r="T453" t="s">
        <v>178</v>
      </c>
      <c r="U453" t="s">
        <v>66</v>
      </c>
      <c r="V453" s="25">
        <v>11.4</v>
      </c>
      <c r="W453" s="18" t="s">
        <v>367</v>
      </c>
      <c r="Y453" s="6">
        <f t="shared" si="62"/>
        <v>2670</v>
      </c>
      <c r="Z453" s="6">
        <f t="shared" si="63"/>
        <v>2029.2</v>
      </c>
      <c r="AA453" s="6">
        <f t="shared" si="64"/>
        <v>2314</v>
      </c>
      <c r="AB453" s="6">
        <f t="shared" si="58"/>
        <v>356</v>
      </c>
      <c r="AC453" t="s">
        <v>16</v>
      </c>
      <c r="AD453" s="3" t="s">
        <v>168</v>
      </c>
    </row>
    <row r="454" spans="1:30" ht="15.75" customHeight="1" x14ac:dyDescent="0.2">
      <c r="A454" s="7" t="str">
        <f t="shared" si="60"/>
        <v>SHENZHEN STRONG TECHNOLOGY CO., LTD.J581New Buy</v>
      </c>
      <c r="B454" s="7" t="str">
        <f t="shared" si="61"/>
        <v>iPadNew Buy</v>
      </c>
      <c r="C454">
        <v>407409</v>
      </c>
      <c r="D454" t="s">
        <v>76</v>
      </c>
      <c r="E454" t="s">
        <v>166</v>
      </c>
      <c r="F454" t="s">
        <v>173</v>
      </c>
      <c r="G454" t="s">
        <v>174</v>
      </c>
      <c r="H454" t="s">
        <v>167</v>
      </c>
      <c r="I454" t="s">
        <v>175</v>
      </c>
      <c r="J454" t="s">
        <v>632</v>
      </c>
      <c r="L454" t="s">
        <v>633</v>
      </c>
      <c r="M454" s="25">
        <v>6.5</v>
      </c>
      <c r="N454" s="4">
        <v>6</v>
      </c>
      <c r="O454">
        <v>8941</v>
      </c>
      <c r="T454" t="s">
        <v>178</v>
      </c>
      <c r="U454" t="s">
        <v>66</v>
      </c>
      <c r="V454" s="25">
        <v>4.9400000000000004</v>
      </c>
      <c r="W454" s="18" t="s">
        <v>367</v>
      </c>
      <c r="Y454" s="6">
        <f t="shared" si="62"/>
        <v>58116.5</v>
      </c>
      <c r="Z454" s="6">
        <f t="shared" si="63"/>
        <v>44168.54</v>
      </c>
      <c r="AA454" s="6">
        <f t="shared" si="64"/>
        <v>53646</v>
      </c>
      <c r="AB454" s="6">
        <f t="shared" si="58"/>
        <v>4470.5</v>
      </c>
      <c r="AC454" t="s">
        <v>16</v>
      </c>
      <c r="AD454" s="3" t="s">
        <v>168</v>
      </c>
    </row>
    <row r="455" spans="1:30" ht="15.75" customHeight="1" x14ac:dyDescent="0.2">
      <c r="A455" s="7" t="str">
        <f t="shared" si="60"/>
        <v>SHENZHEN STRONG TECHNOLOGY CO., LTD.J581New Buy</v>
      </c>
      <c r="B455" s="7" t="str">
        <f t="shared" si="61"/>
        <v>iPadNew Buy</v>
      </c>
      <c r="C455">
        <v>407408</v>
      </c>
      <c r="D455" t="s">
        <v>76</v>
      </c>
      <c r="E455" t="s">
        <v>166</v>
      </c>
      <c r="F455" t="s">
        <v>173</v>
      </c>
      <c r="G455" t="s">
        <v>174</v>
      </c>
      <c r="H455" t="s">
        <v>167</v>
      </c>
      <c r="I455" t="s">
        <v>175</v>
      </c>
      <c r="J455" t="s">
        <v>632</v>
      </c>
      <c r="L455" t="s">
        <v>633</v>
      </c>
      <c r="M455" s="25">
        <v>9.75</v>
      </c>
      <c r="N455" s="4">
        <v>6</v>
      </c>
      <c r="O455">
        <v>13443</v>
      </c>
      <c r="T455" t="s">
        <v>178</v>
      </c>
      <c r="U455" t="s">
        <v>116</v>
      </c>
      <c r="V455" s="25">
        <v>4.9400000000000004</v>
      </c>
      <c r="W455" s="18" t="s">
        <v>367</v>
      </c>
      <c r="Y455" s="6">
        <f t="shared" si="62"/>
        <v>131069.25</v>
      </c>
      <c r="Z455" s="6">
        <f t="shared" si="63"/>
        <v>66408.42</v>
      </c>
      <c r="AA455" s="6">
        <f t="shared" si="64"/>
        <v>80658</v>
      </c>
      <c r="AB455" s="6">
        <f t="shared" si="58"/>
        <v>50411.25</v>
      </c>
      <c r="AC455" t="s">
        <v>33</v>
      </c>
      <c r="AD455" s="3" t="s">
        <v>168</v>
      </c>
    </row>
    <row r="456" spans="1:30" ht="15.75" customHeight="1" x14ac:dyDescent="0.2">
      <c r="A456" s="7" t="str">
        <f t="shared" si="60"/>
        <v>SHENZHEN STRONG TECHNOLOGY CO., LTD.J581New Buy</v>
      </c>
      <c r="B456" s="7" t="str">
        <f t="shared" si="61"/>
        <v>iPadNew Buy</v>
      </c>
      <c r="C456">
        <v>407407</v>
      </c>
      <c r="D456" t="s">
        <v>76</v>
      </c>
      <c r="E456" t="s">
        <v>166</v>
      </c>
      <c r="F456" t="s">
        <v>173</v>
      </c>
      <c r="G456" t="s">
        <v>174</v>
      </c>
      <c r="H456" t="s">
        <v>167</v>
      </c>
      <c r="I456" t="s">
        <v>175</v>
      </c>
      <c r="J456" t="s">
        <v>632</v>
      </c>
      <c r="L456" t="s">
        <v>633</v>
      </c>
      <c r="M456" s="25">
        <v>6.5</v>
      </c>
      <c r="N456" s="4">
        <v>6</v>
      </c>
      <c r="O456">
        <v>9165</v>
      </c>
      <c r="T456" t="s">
        <v>178</v>
      </c>
      <c r="U456" t="s">
        <v>104</v>
      </c>
      <c r="V456" s="25">
        <v>4.9400000000000004</v>
      </c>
      <c r="W456" s="18" t="s">
        <v>367</v>
      </c>
      <c r="Y456" s="6">
        <f t="shared" si="62"/>
        <v>59572.5</v>
      </c>
      <c r="Z456" s="6">
        <f t="shared" si="63"/>
        <v>45275.100000000006</v>
      </c>
      <c r="AA456" s="6">
        <f t="shared" si="64"/>
        <v>54990</v>
      </c>
      <c r="AB456" s="6">
        <f t="shared" si="58"/>
        <v>4582.5</v>
      </c>
      <c r="AC456" t="s">
        <v>16</v>
      </c>
      <c r="AD456" s="3" t="s">
        <v>168</v>
      </c>
    </row>
    <row r="457" spans="1:30" ht="15.75" customHeight="1" x14ac:dyDescent="0.2">
      <c r="A457" s="7" t="str">
        <f t="shared" si="60"/>
        <v>SHENZHEN STRONG TECHNOLOGY CO., LTD.J581New Buy</v>
      </c>
      <c r="B457" s="7" t="str">
        <f t="shared" si="61"/>
        <v>iPadNew Buy</v>
      </c>
      <c r="C457">
        <v>407389</v>
      </c>
      <c r="D457" t="s">
        <v>76</v>
      </c>
      <c r="E457" t="s">
        <v>166</v>
      </c>
      <c r="F457" t="s">
        <v>173</v>
      </c>
      <c r="G457" t="s">
        <v>174</v>
      </c>
      <c r="H457" t="s">
        <v>167</v>
      </c>
      <c r="I457" t="s">
        <v>175</v>
      </c>
      <c r="J457" t="s">
        <v>634</v>
      </c>
      <c r="L457" t="s">
        <v>635</v>
      </c>
      <c r="M457" s="25">
        <v>127.5</v>
      </c>
      <c r="N457" s="4">
        <v>73</v>
      </c>
      <c r="O457">
        <v>41</v>
      </c>
      <c r="T457" t="s">
        <v>178</v>
      </c>
      <c r="U457" t="s">
        <v>116</v>
      </c>
      <c r="V457" s="25">
        <v>60.8</v>
      </c>
      <c r="W457" s="18" t="s">
        <v>367</v>
      </c>
      <c r="Y457" s="6">
        <f t="shared" si="62"/>
        <v>5227.5</v>
      </c>
      <c r="Z457" s="6">
        <f t="shared" si="63"/>
        <v>2492.7999999999997</v>
      </c>
      <c r="AA457" s="6">
        <f t="shared" si="64"/>
        <v>2993</v>
      </c>
      <c r="AB457" s="6">
        <f t="shared" si="58"/>
        <v>2234.5</v>
      </c>
      <c r="AC457" t="s">
        <v>33</v>
      </c>
      <c r="AD457" s="3" t="s">
        <v>168</v>
      </c>
    </row>
    <row r="458" spans="1:30" ht="15.75" customHeight="1" x14ac:dyDescent="0.2">
      <c r="A458" s="7" t="str">
        <f t="shared" si="60"/>
        <v>SHENZHEN STRONG TECHNOLOGY CO., LTD.J581New Buy</v>
      </c>
      <c r="B458" s="7" t="str">
        <f t="shared" si="61"/>
        <v>iPadNew Buy</v>
      </c>
      <c r="C458">
        <v>407388</v>
      </c>
      <c r="D458" t="s">
        <v>76</v>
      </c>
      <c r="E458" t="s">
        <v>166</v>
      </c>
      <c r="F458" t="s">
        <v>173</v>
      </c>
      <c r="G458" t="s">
        <v>174</v>
      </c>
      <c r="H458" t="s">
        <v>167</v>
      </c>
      <c r="I458" t="s">
        <v>175</v>
      </c>
      <c r="J458" t="s">
        <v>634</v>
      </c>
      <c r="L458" t="s">
        <v>635</v>
      </c>
      <c r="M458" s="25">
        <v>80</v>
      </c>
      <c r="N458" s="4">
        <v>73</v>
      </c>
      <c r="O458">
        <v>21</v>
      </c>
      <c r="T458" t="s">
        <v>178</v>
      </c>
      <c r="U458" t="s">
        <v>66</v>
      </c>
      <c r="V458" s="25">
        <v>60.8</v>
      </c>
      <c r="W458" s="18" t="s">
        <v>367</v>
      </c>
      <c r="Y458" s="6">
        <f t="shared" si="62"/>
        <v>1680</v>
      </c>
      <c r="Z458" s="6">
        <f t="shared" si="63"/>
        <v>1276.8</v>
      </c>
      <c r="AA458" s="6">
        <f t="shared" si="64"/>
        <v>1533</v>
      </c>
      <c r="AB458" s="6">
        <f t="shared" si="58"/>
        <v>147</v>
      </c>
      <c r="AC458" t="s">
        <v>16</v>
      </c>
      <c r="AD458" s="3" t="s">
        <v>168</v>
      </c>
    </row>
    <row r="459" spans="1:30" ht="15.75" customHeight="1" x14ac:dyDescent="0.2">
      <c r="A459" s="7" t="str">
        <f t="shared" si="60"/>
        <v>SHENZHEN STRONG TECHNOLOGY CO., LTD.J581New Buy</v>
      </c>
      <c r="B459" s="7" t="str">
        <f t="shared" si="61"/>
        <v>iPadNew Buy</v>
      </c>
      <c r="C459">
        <v>407387</v>
      </c>
      <c r="D459" t="s">
        <v>76</v>
      </c>
      <c r="E459" t="s">
        <v>166</v>
      </c>
      <c r="F459" t="s">
        <v>173</v>
      </c>
      <c r="G459" t="s">
        <v>174</v>
      </c>
      <c r="H459" t="s">
        <v>167</v>
      </c>
      <c r="I459" t="s">
        <v>175</v>
      </c>
      <c r="J459" t="s">
        <v>634</v>
      </c>
      <c r="L459" t="s">
        <v>635</v>
      </c>
      <c r="M459" s="25">
        <v>80</v>
      </c>
      <c r="N459" s="4">
        <v>73</v>
      </c>
      <c r="O459">
        <v>26</v>
      </c>
      <c r="T459" t="s">
        <v>178</v>
      </c>
      <c r="U459" t="s">
        <v>104</v>
      </c>
      <c r="V459" s="25">
        <v>60.8</v>
      </c>
      <c r="W459" s="18" t="s">
        <v>367</v>
      </c>
      <c r="Y459" s="6">
        <f t="shared" si="62"/>
        <v>2080</v>
      </c>
      <c r="Z459" s="6">
        <f t="shared" si="63"/>
        <v>1580.8</v>
      </c>
      <c r="AA459" s="6">
        <f t="shared" si="64"/>
        <v>1898</v>
      </c>
      <c r="AB459" s="6">
        <f t="shared" si="58"/>
        <v>182</v>
      </c>
      <c r="AC459" t="s">
        <v>16</v>
      </c>
      <c r="AD459" s="3" t="s">
        <v>168</v>
      </c>
    </row>
    <row r="460" spans="1:30" ht="15.75" customHeight="1" x14ac:dyDescent="0.2">
      <c r="A460" s="7" t="str">
        <f t="shared" si="60"/>
        <v>SHENZHEN STRONG TECHNOLOGY CO., LTD.J581New Buy</v>
      </c>
      <c r="B460" s="7" t="str">
        <f t="shared" si="61"/>
        <v>iPadNew Buy</v>
      </c>
      <c r="C460">
        <v>407383</v>
      </c>
      <c r="D460" t="s">
        <v>76</v>
      </c>
      <c r="E460" t="s">
        <v>166</v>
      </c>
      <c r="F460" t="s">
        <v>173</v>
      </c>
      <c r="G460" t="s">
        <v>174</v>
      </c>
      <c r="H460" t="s">
        <v>167</v>
      </c>
      <c r="I460" t="s">
        <v>175</v>
      </c>
      <c r="J460" t="s">
        <v>636</v>
      </c>
      <c r="L460" t="s">
        <v>637</v>
      </c>
      <c r="M460" s="25">
        <v>82.5</v>
      </c>
      <c r="N460" s="4">
        <v>50</v>
      </c>
      <c r="O460">
        <v>49</v>
      </c>
      <c r="T460" t="s">
        <v>178</v>
      </c>
      <c r="U460" t="s">
        <v>116</v>
      </c>
      <c r="V460" s="25">
        <v>41.8</v>
      </c>
      <c r="W460" s="18" t="s">
        <v>367</v>
      </c>
      <c r="Y460" s="6">
        <f t="shared" si="62"/>
        <v>4042.5</v>
      </c>
      <c r="Z460" s="6">
        <f t="shared" si="63"/>
        <v>2048.1999999999998</v>
      </c>
      <c r="AA460" s="6">
        <f t="shared" si="64"/>
        <v>2450</v>
      </c>
      <c r="AB460" s="6">
        <f t="shared" si="58"/>
        <v>1592.5</v>
      </c>
      <c r="AC460" t="s">
        <v>33</v>
      </c>
      <c r="AD460" s="3" t="s">
        <v>168</v>
      </c>
    </row>
    <row r="461" spans="1:30" ht="15.75" customHeight="1" x14ac:dyDescent="0.2">
      <c r="A461" s="7" t="str">
        <f t="shared" si="60"/>
        <v>SHENZHEN STRONG TECHNOLOGY CO., LTD.J581New Buy</v>
      </c>
      <c r="B461" s="7" t="str">
        <f t="shared" si="61"/>
        <v>iPadNew Buy</v>
      </c>
      <c r="C461">
        <v>407382</v>
      </c>
      <c r="D461" t="s">
        <v>76</v>
      </c>
      <c r="E461" t="s">
        <v>166</v>
      </c>
      <c r="F461" t="s">
        <v>173</v>
      </c>
      <c r="G461" t="s">
        <v>174</v>
      </c>
      <c r="H461" t="s">
        <v>167</v>
      </c>
      <c r="I461" t="s">
        <v>175</v>
      </c>
      <c r="J461" t="s">
        <v>636</v>
      </c>
      <c r="L461" t="s">
        <v>637</v>
      </c>
      <c r="M461" s="25">
        <v>55</v>
      </c>
      <c r="N461" s="4">
        <v>50</v>
      </c>
      <c r="O461">
        <v>25</v>
      </c>
      <c r="T461" t="s">
        <v>178</v>
      </c>
      <c r="U461" t="s">
        <v>66</v>
      </c>
      <c r="V461" s="25">
        <v>41.8</v>
      </c>
      <c r="W461" s="18" t="s">
        <v>367</v>
      </c>
      <c r="Y461" s="6">
        <f t="shared" si="62"/>
        <v>1375</v>
      </c>
      <c r="Z461" s="6">
        <f t="shared" si="63"/>
        <v>1045</v>
      </c>
      <c r="AA461" s="6">
        <f t="shared" si="64"/>
        <v>1250</v>
      </c>
      <c r="AB461" s="6">
        <f t="shared" si="58"/>
        <v>125</v>
      </c>
      <c r="AC461" t="s">
        <v>16</v>
      </c>
      <c r="AD461" s="3" t="s">
        <v>168</v>
      </c>
    </row>
    <row r="462" spans="1:30" ht="15.75" customHeight="1" x14ac:dyDescent="0.2">
      <c r="A462" s="7" t="str">
        <f t="shared" si="60"/>
        <v>SHENZHEN STRONG TECHNOLOGY CO., LTD.J581New Buy</v>
      </c>
      <c r="B462" s="7" t="str">
        <f t="shared" si="61"/>
        <v>iPadNew Buy</v>
      </c>
      <c r="C462">
        <v>407381</v>
      </c>
      <c r="D462" t="s">
        <v>76</v>
      </c>
      <c r="E462" t="s">
        <v>166</v>
      </c>
      <c r="F462" t="s">
        <v>173</v>
      </c>
      <c r="G462" t="s">
        <v>174</v>
      </c>
      <c r="H462" t="s">
        <v>167</v>
      </c>
      <c r="I462" t="s">
        <v>175</v>
      </c>
      <c r="J462" t="s">
        <v>636</v>
      </c>
      <c r="L462" t="s">
        <v>637</v>
      </c>
      <c r="M462" s="25">
        <v>55</v>
      </c>
      <c r="N462" s="4">
        <v>50</v>
      </c>
      <c r="O462">
        <v>26</v>
      </c>
      <c r="T462" t="s">
        <v>178</v>
      </c>
      <c r="U462" t="s">
        <v>104</v>
      </c>
      <c r="V462" s="25">
        <v>41.8</v>
      </c>
      <c r="W462" s="18" t="s">
        <v>367</v>
      </c>
      <c r="Y462" s="6">
        <f t="shared" si="62"/>
        <v>1430</v>
      </c>
      <c r="Z462" s="6">
        <f t="shared" si="63"/>
        <v>1086.8</v>
      </c>
      <c r="AA462" s="6">
        <f t="shared" si="64"/>
        <v>1300</v>
      </c>
      <c r="AB462" s="6">
        <f t="shared" si="58"/>
        <v>130</v>
      </c>
      <c r="AC462" t="s">
        <v>16</v>
      </c>
      <c r="AD462" s="3" t="s">
        <v>168</v>
      </c>
    </row>
    <row r="463" spans="1:30" ht="15.75" customHeight="1" x14ac:dyDescent="0.2">
      <c r="A463" s="7" t="str">
        <f t="shared" si="60"/>
        <v>SHENZHEN STRONG TECHNOLOGY CO., LTD.J581New Buy</v>
      </c>
      <c r="B463" s="7" t="str">
        <f t="shared" si="61"/>
        <v>iPadNew Buy</v>
      </c>
      <c r="C463">
        <v>407380</v>
      </c>
      <c r="D463" t="s">
        <v>76</v>
      </c>
      <c r="E463" t="s">
        <v>166</v>
      </c>
      <c r="F463" t="s">
        <v>173</v>
      </c>
      <c r="G463" t="s">
        <v>174</v>
      </c>
      <c r="H463" t="s">
        <v>167</v>
      </c>
      <c r="I463" t="s">
        <v>175</v>
      </c>
      <c r="J463" t="s">
        <v>638</v>
      </c>
      <c r="L463" t="s">
        <v>639</v>
      </c>
      <c r="M463" s="25">
        <v>118</v>
      </c>
      <c r="N463" s="4">
        <v>108</v>
      </c>
      <c r="O463">
        <v>26</v>
      </c>
      <c r="T463" t="s">
        <v>178</v>
      </c>
      <c r="U463" t="s">
        <v>104</v>
      </c>
      <c r="V463" s="25">
        <v>89.68</v>
      </c>
      <c r="W463" s="18" t="s">
        <v>367</v>
      </c>
      <c r="Y463" s="6">
        <f t="shared" si="62"/>
        <v>3068</v>
      </c>
      <c r="Z463" s="6">
        <f t="shared" si="63"/>
        <v>2331.6800000000003</v>
      </c>
      <c r="AA463" s="6">
        <f t="shared" si="64"/>
        <v>2808</v>
      </c>
      <c r="AB463" s="6">
        <f t="shared" si="58"/>
        <v>260</v>
      </c>
      <c r="AC463" t="s">
        <v>16</v>
      </c>
      <c r="AD463" s="3" t="s">
        <v>168</v>
      </c>
    </row>
    <row r="464" spans="1:30" ht="15.75" customHeight="1" x14ac:dyDescent="0.2">
      <c r="A464" s="7" t="str">
        <f t="shared" si="60"/>
        <v>SHENZHEN STRONG TECHNOLOGY CO., LTD.J581New Buy</v>
      </c>
      <c r="B464" s="7" t="str">
        <f t="shared" si="61"/>
        <v>iPadNew Buy</v>
      </c>
      <c r="C464">
        <v>407379</v>
      </c>
      <c r="D464" t="s">
        <v>76</v>
      </c>
      <c r="E464" t="s">
        <v>166</v>
      </c>
      <c r="F464" t="s">
        <v>173</v>
      </c>
      <c r="G464" t="s">
        <v>174</v>
      </c>
      <c r="H464" t="s">
        <v>167</v>
      </c>
      <c r="I464" t="s">
        <v>175</v>
      </c>
      <c r="J464" t="s">
        <v>638</v>
      </c>
      <c r="L464" t="s">
        <v>640</v>
      </c>
      <c r="M464" s="25">
        <v>177</v>
      </c>
      <c r="N464" s="4">
        <v>108</v>
      </c>
      <c r="O464">
        <v>49</v>
      </c>
      <c r="T464" t="s">
        <v>178</v>
      </c>
      <c r="U464" t="s">
        <v>116</v>
      </c>
      <c r="V464" s="25">
        <v>89.68</v>
      </c>
      <c r="W464" s="18" t="s">
        <v>367</v>
      </c>
      <c r="Y464" s="6">
        <f t="shared" si="62"/>
        <v>8673</v>
      </c>
      <c r="Z464" s="6">
        <f t="shared" si="63"/>
        <v>4394.3200000000006</v>
      </c>
      <c r="AA464" s="6">
        <f t="shared" si="64"/>
        <v>5292</v>
      </c>
      <c r="AB464" s="6">
        <f t="shared" si="58"/>
        <v>3381</v>
      </c>
      <c r="AC464" t="s">
        <v>33</v>
      </c>
      <c r="AD464" s="3" t="s">
        <v>168</v>
      </c>
    </row>
    <row r="465" spans="1:30" ht="15.75" customHeight="1" x14ac:dyDescent="0.2">
      <c r="A465" s="7" t="str">
        <f t="shared" si="60"/>
        <v>SHENZHEN STRONG TECHNOLOGY CO., LTD.J581New Buy</v>
      </c>
      <c r="B465" s="7" t="str">
        <f t="shared" si="61"/>
        <v>iPadNew Buy</v>
      </c>
      <c r="C465">
        <v>407378</v>
      </c>
      <c r="D465" t="s">
        <v>76</v>
      </c>
      <c r="E465" t="s">
        <v>166</v>
      </c>
      <c r="F465" t="s">
        <v>173</v>
      </c>
      <c r="G465" t="s">
        <v>174</v>
      </c>
      <c r="H465" t="s">
        <v>167</v>
      </c>
      <c r="I465" t="s">
        <v>175</v>
      </c>
      <c r="J465" t="s">
        <v>638</v>
      </c>
      <c r="L465" t="s">
        <v>640</v>
      </c>
      <c r="M465" s="25">
        <v>118</v>
      </c>
      <c r="N465" s="4">
        <v>108</v>
      </c>
      <c r="O465">
        <v>25</v>
      </c>
      <c r="T465" t="s">
        <v>178</v>
      </c>
      <c r="U465" t="s">
        <v>66</v>
      </c>
      <c r="V465" s="25">
        <v>89.68</v>
      </c>
      <c r="W465" s="18" t="s">
        <v>367</v>
      </c>
      <c r="Y465" s="6">
        <f t="shared" si="62"/>
        <v>2950</v>
      </c>
      <c r="Z465" s="6">
        <f t="shared" si="63"/>
        <v>2242</v>
      </c>
      <c r="AA465" s="6">
        <f t="shared" si="64"/>
        <v>2700</v>
      </c>
      <c r="AB465" s="6">
        <f t="shared" si="58"/>
        <v>250</v>
      </c>
      <c r="AC465" t="s">
        <v>16</v>
      </c>
      <c r="AD465" s="3" t="s">
        <v>168</v>
      </c>
    </row>
    <row r="466" spans="1:30" ht="15.75" customHeight="1" x14ac:dyDescent="0.2">
      <c r="A466" s="7" t="str">
        <f t="shared" si="60"/>
        <v>SHENZHEN STRONG TECHNOLOGY CO., LTD.J581New Buy</v>
      </c>
      <c r="B466" s="7" t="str">
        <f t="shared" si="61"/>
        <v>iPadNew Buy</v>
      </c>
      <c r="C466">
        <v>407377</v>
      </c>
      <c r="D466" t="s">
        <v>76</v>
      </c>
      <c r="E466" t="s">
        <v>166</v>
      </c>
      <c r="F466" t="s">
        <v>173</v>
      </c>
      <c r="G466" t="s">
        <v>174</v>
      </c>
      <c r="H466" t="s">
        <v>167</v>
      </c>
      <c r="I466" t="s">
        <v>175</v>
      </c>
      <c r="J466" t="s">
        <v>641</v>
      </c>
      <c r="L466" t="s">
        <v>642</v>
      </c>
      <c r="M466" s="25">
        <v>177</v>
      </c>
      <c r="N466" s="4">
        <v>114</v>
      </c>
      <c r="O466">
        <v>33</v>
      </c>
      <c r="T466" t="s">
        <v>178</v>
      </c>
      <c r="U466" t="s">
        <v>116</v>
      </c>
      <c r="V466" s="25">
        <v>89.68</v>
      </c>
      <c r="W466" s="18" t="s">
        <v>367</v>
      </c>
      <c r="Y466" s="6">
        <f t="shared" si="62"/>
        <v>5841</v>
      </c>
      <c r="Z466" s="6">
        <f t="shared" si="63"/>
        <v>2959.44</v>
      </c>
      <c r="AA466" s="6">
        <f t="shared" si="64"/>
        <v>3762</v>
      </c>
      <c r="AB466" s="6">
        <f t="shared" si="58"/>
        <v>2079</v>
      </c>
      <c r="AC466" t="s">
        <v>33</v>
      </c>
      <c r="AD466" s="3" t="s">
        <v>168</v>
      </c>
    </row>
    <row r="467" spans="1:30" ht="15.75" customHeight="1" x14ac:dyDescent="0.2">
      <c r="A467" s="7" t="str">
        <f t="shared" si="60"/>
        <v>SHENZHEN STRONG TECHNOLOGY CO., LTD.J581New Buy</v>
      </c>
      <c r="B467" s="7" t="str">
        <f t="shared" si="61"/>
        <v>iPadNew Buy</v>
      </c>
      <c r="C467">
        <v>407376</v>
      </c>
      <c r="D467" t="s">
        <v>76</v>
      </c>
      <c r="E467" t="s">
        <v>166</v>
      </c>
      <c r="F467" t="s">
        <v>173</v>
      </c>
      <c r="G467" t="s">
        <v>174</v>
      </c>
      <c r="H467" t="s">
        <v>167</v>
      </c>
      <c r="I467" t="s">
        <v>175</v>
      </c>
      <c r="J467" t="s">
        <v>641</v>
      </c>
      <c r="L467" t="s">
        <v>642</v>
      </c>
      <c r="M467" s="25">
        <v>118</v>
      </c>
      <c r="N467" s="4">
        <v>114</v>
      </c>
      <c r="O467">
        <v>17</v>
      </c>
      <c r="T467" t="s">
        <v>178</v>
      </c>
      <c r="U467" t="s">
        <v>66</v>
      </c>
      <c r="V467" s="25">
        <v>89.68</v>
      </c>
      <c r="W467" s="18" t="s">
        <v>367</v>
      </c>
      <c r="Y467" s="6">
        <f t="shared" si="62"/>
        <v>2006</v>
      </c>
      <c r="Z467" s="6">
        <f t="shared" si="63"/>
        <v>1524.5600000000002</v>
      </c>
      <c r="AA467" s="6">
        <f t="shared" si="64"/>
        <v>1938</v>
      </c>
      <c r="AB467" s="6">
        <f t="shared" ref="AB467:AB530" si="65">IF(AA467=0,0,Y467-AA467)</f>
        <v>68</v>
      </c>
      <c r="AC467" t="s">
        <v>16</v>
      </c>
      <c r="AD467" s="3" t="s">
        <v>168</v>
      </c>
    </row>
    <row r="468" spans="1:30" ht="15.75" customHeight="1" x14ac:dyDescent="0.2">
      <c r="A468" s="7" t="str">
        <f t="shared" si="60"/>
        <v>SHENZHEN STRONG TECHNOLOGY CO., LTD.J581New Buy</v>
      </c>
      <c r="B468" s="7" t="str">
        <f t="shared" si="61"/>
        <v>iPadNew Buy</v>
      </c>
      <c r="C468">
        <v>407375</v>
      </c>
      <c r="D468" t="s">
        <v>76</v>
      </c>
      <c r="E468" t="s">
        <v>166</v>
      </c>
      <c r="F468" t="s">
        <v>173</v>
      </c>
      <c r="G468" t="s">
        <v>174</v>
      </c>
      <c r="H468" t="s">
        <v>167</v>
      </c>
      <c r="I468" t="s">
        <v>175</v>
      </c>
      <c r="J468" t="s">
        <v>643</v>
      </c>
      <c r="L468" t="s">
        <v>644</v>
      </c>
      <c r="M468" s="25">
        <v>118</v>
      </c>
      <c r="N468" s="4">
        <v>90</v>
      </c>
      <c r="O468">
        <v>21</v>
      </c>
      <c r="T468" t="s">
        <v>178</v>
      </c>
      <c r="U468" t="s">
        <v>104</v>
      </c>
      <c r="V468" s="25">
        <v>89.68</v>
      </c>
      <c r="W468" s="18" t="s">
        <v>367</v>
      </c>
      <c r="Y468" s="6">
        <f t="shared" si="62"/>
        <v>2478</v>
      </c>
      <c r="Z468" s="6">
        <f t="shared" si="63"/>
        <v>1883.2800000000002</v>
      </c>
      <c r="AA468" s="6">
        <f t="shared" si="64"/>
        <v>1890</v>
      </c>
      <c r="AB468" s="6">
        <f t="shared" si="65"/>
        <v>588</v>
      </c>
      <c r="AC468" t="s">
        <v>16</v>
      </c>
      <c r="AD468" s="3" t="s">
        <v>168</v>
      </c>
    </row>
    <row r="469" spans="1:30" ht="15.75" customHeight="1" x14ac:dyDescent="0.2">
      <c r="A469" s="7" t="str">
        <f t="shared" si="60"/>
        <v>SHENZHEN STRONG TECHNOLOGY CO., LTD.J581New Buy</v>
      </c>
      <c r="B469" s="7" t="str">
        <f t="shared" si="61"/>
        <v>iPadNew Buy</v>
      </c>
      <c r="C469">
        <v>407374</v>
      </c>
      <c r="D469" t="s">
        <v>76</v>
      </c>
      <c r="E469" t="s">
        <v>166</v>
      </c>
      <c r="F469" t="s">
        <v>173</v>
      </c>
      <c r="G469" t="s">
        <v>174</v>
      </c>
      <c r="H469" t="s">
        <v>167</v>
      </c>
      <c r="I469" t="s">
        <v>175</v>
      </c>
      <c r="J469" t="s">
        <v>645</v>
      </c>
      <c r="L469" t="s">
        <v>646</v>
      </c>
      <c r="M469" s="25">
        <v>215</v>
      </c>
      <c r="N469" s="4">
        <v>195</v>
      </c>
      <c r="O469">
        <v>33</v>
      </c>
      <c r="T469" t="s">
        <v>178</v>
      </c>
      <c r="U469" t="s">
        <v>66</v>
      </c>
      <c r="V469" s="25">
        <v>163.4</v>
      </c>
      <c r="W469" s="18" t="s">
        <v>367</v>
      </c>
      <c r="Y469" s="6">
        <f t="shared" si="62"/>
        <v>7095</v>
      </c>
      <c r="Z469" s="6">
        <f t="shared" si="63"/>
        <v>5392.2</v>
      </c>
      <c r="AA469" s="6">
        <f t="shared" si="64"/>
        <v>6435</v>
      </c>
      <c r="AB469" s="6">
        <f t="shared" si="65"/>
        <v>660</v>
      </c>
      <c r="AC469" t="s">
        <v>16</v>
      </c>
      <c r="AD469" s="3" t="s">
        <v>168</v>
      </c>
    </row>
    <row r="470" spans="1:30" ht="15.75" customHeight="1" x14ac:dyDescent="0.2">
      <c r="A470" s="7" t="str">
        <f t="shared" si="60"/>
        <v>SHENZHEN STRONG TECHNOLOGY CO., LTD.J581New Buy</v>
      </c>
      <c r="B470" s="7" t="str">
        <f t="shared" si="61"/>
        <v>iPadNew Buy</v>
      </c>
      <c r="C470">
        <v>407373</v>
      </c>
      <c r="D470" t="s">
        <v>76</v>
      </c>
      <c r="E470" t="s">
        <v>166</v>
      </c>
      <c r="F470" t="s">
        <v>173</v>
      </c>
      <c r="G470" t="s">
        <v>174</v>
      </c>
      <c r="H470" t="s">
        <v>167</v>
      </c>
      <c r="I470" t="s">
        <v>175</v>
      </c>
      <c r="J470" t="s">
        <v>645</v>
      </c>
      <c r="L470" t="s">
        <v>646</v>
      </c>
      <c r="M470" s="25">
        <v>322.5</v>
      </c>
      <c r="N470" s="4">
        <v>195</v>
      </c>
      <c r="O470">
        <v>65</v>
      </c>
      <c r="T470" t="s">
        <v>178</v>
      </c>
      <c r="U470" t="s">
        <v>116</v>
      </c>
      <c r="V470" s="25">
        <v>163.4</v>
      </c>
      <c r="W470" s="18" t="s">
        <v>367</v>
      </c>
      <c r="Y470" s="6">
        <f t="shared" si="62"/>
        <v>20962.5</v>
      </c>
      <c r="Z470" s="6">
        <f t="shared" si="63"/>
        <v>10621</v>
      </c>
      <c r="AA470" s="6">
        <f t="shared" si="64"/>
        <v>12675</v>
      </c>
      <c r="AB470" s="6">
        <f t="shared" si="65"/>
        <v>8287.5</v>
      </c>
      <c r="AC470" t="s">
        <v>33</v>
      </c>
      <c r="AD470" s="3" t="s">
        <v>168</v>
      </c>
    </row>
    <row r="471" spans="1:30" ht="15.75" customHeight="1" x14ac:dyDescent="0.2">
      <c r="A471" s="7" t="str">
        <f t="shared" si="60"/>
        <v>SHENZHEN STRONG TECHNOLOGY CO., LTD.J581New Buy</v>
      </c>
      <c r="B471" s="7" t="str">
        <f t="shared" si="61"/>
        <v>iPadNew Buy</v>
      </c>
      <c r="C471">
        <v>407372</v>
      </c>
      <c r="D471" t="s">
        <v>76</v>
      </c>
      <c r="E471" t="s">
        <v>166</v>
      </c>
      <c r="F471" t="s">
        <v>173</v>
      </c>
      <c r="G471" t="s">
        <v>174</v>
      </c>
      <c r="H471" t="s">
        <v>167</v>
      </c>
      <c r="I471" t="s">
        <v>175</v>
      </c>
      <c r="J471" t="s">
        <v>645</v>
      </c>
      <c r="L471" t="s">
        <v>646</v>
      </c>
      <c r="M471" s="25">
        <v>215</v>
      </c>
      <c r="N471" s="4">
        <v>195</v>
      </c>
      <c r="O471">
        <v>41</v>
      </c>
      <c r="T471" t="s">
        <v>178</v>
      </c>
      <c r="U471" t="s">
        <v>104</v>
      </c>
      <c r="V471" s="25">
        <v>163.4</v>
      </c>
      <c r="W471" s="18" t="s">
        <v>367</v>
      </c>
      <c r="Y471" s="6">
        <f t="shared" si="62"/>
        <v>8815</v>
      </c>
      <c r="Z471" s="6">
        <f t="shared" si="63"/>
        <v>6699.4000000000005</v>
      </c>
      <c r="AA471" s="6">
        <f t="shared" si="64"/>
        <v>7995</v>
      </c>
      <c r="AB471" s="6">
        <f t="shared" si="65"/>
        <v>820</v>
      </c>
      <c r="AC471" t="s">
        <v>16</v>
      </c>
      <c r="AD471" s="3" t="s">
        <v>168</v>
      </c>
    </row>
    <row r="472" spans="1:30" ht="15.75" customHeight="1" x14ac:dyDescent="0.2">
      <c r="A472" s="7" t="str">
        <f t="shared" si="60"/>
        <v>SHENZHEN STRONG TECHNOLOGY CO., LTD.J581New Buy</v>
      </c>
      <c r="B472" s="7" t="str">
        <f t="shared" si="61"/>
        <v>iPadNew Buy</v>
      </c>
      <c r="C472">
        <v>407364</v>
      </c>
      <c r="D472" t="s">
        <v>76</v>
      </c>
      <c r="E472" t="s">
        <v>166</v>
      </c>
      <c r="F472" t="s">
        <v>173</v>
      </c>
      <c r="G472" t="s">
        <v>174</v>
      </c>
      <c r="H472" t="s">
        <v>167</v>
      </c>
      <c r="I472" t="s">
        <v>175</v>
      </c>
      <c r="J472" t="s">
        <v>647</v>
      </c>
      <c r="L472" t="s">
        <v>648</v>
      </c>
      <c r="M472" s="25">
        <v>116</v>
      </c>
      <c r="N472" s="4">
        <v>104</v>
      </c>
      <c r="O472">
        <v>23</v>
      </c>
      <c r="T472" t="s">
        <v>178</v>
      </c>
      <c r="U472" t="s">
        <v>104</v>
      </c>
      <c r="V472" s="25">
        <v>88.16</v>
      </c>
      <c r="W472" s="18" t="s">
        <v>367</v>
      </c>
      <c r="Y472" s="6">
        <f t="shared" si="62"/>
        <v>2668</v>
      </c>
      <c r="Z472" s="6">
        <f t="shared" si="63"/>
        <v>2027.6799999999998</v>
      </c>
      <c r="AA472" s="6">
        <f t="shared" si="64"/>
        <v>2392</v>
      </c>
      <c r="AB472" s="6">
        <f t="shared" si="65"/>
        <v>276</v>
      </c>
      <c r="AC472" t="s">
        <v>16</v>
      </c>
      <c r="AD472" s="3" t="s">
        <v>168</v>
      </c>
    </row>
    <row r="473" spans="1:30" ht="15.75" customHeight="1" x14ac:dyDescent="0.2">
      <c r="A473" s="7" t="str">
        <f t="shared" si="60"/>
        <v>SHENZHEN STRONG TECHNOLOGY CO., LTD.J581New Buy</v>
      </c>
      <c r="B473" s="7" t="str">
        <f t="shared" si="61"/>
        <v>iPadNew Buy</v>
      </c>
      <c r="C473">
        <v>407363</v>
      </c>
      <c r="D473" t="s">
        <v>76</v>
      </c>
      <c r="E473" t="s">
        <v>166</v>
      </c>
      <c r="F473" t="s">
        <v>173</v>
      </c>
      <c r="G473" t="s">
        <v>174</v>
      </c>
      <c r="H473" t="s">
        <v>167</v>
      </c>
      <c r="I473" t="s">
        <v>175</v>
      </c>
      <c r="J473" t="s">
        <v>647</v>
      </c>
      <c r="L473" t="s">
        <v>648</v>
      </c>
      <c r="M473" s="25">
        <v>174</v>
      </c>
      <c r="N473" s="4">
        <v>104</v>
      </c>
      <c r="O473">
        <v>34</v>
      </c>
      <c r="T473" t="s">
        <v>178</v>
      </c>
      <c r="U473" t="s">
        <v>116</v>
      </c>
      <c r="V473" s="25">
        <v>88.16</v>
      </c>
      <c r="W473" s="18" t="s">
        <v>367</v>
      </c>
      <c r="Y473" s="6">
        <f t="shared" si="62"/>
        <v>5916</v>
      </c>
      <c r="Z473" s="6">
        <f t="shared" si="63"/>
        <v>2997.44</v>
      </c>
      <c r="AA473" s="6">
        <f t="shared" si="64"/>
        <v>3536</v>
      </c>
      <c r="AB473" s="6">
        <f t="shared" si="65"/>
        <v>2380</v>
      </c>
      <c r="AC473" t="s">
        <v>33</v>
      </c>
      <c r="AD473" s="3" t="s">
        <v>168</v>
      </c>
    </row>
    <row r="474" spans="1:30" ht="15.75" customHeight="1" x14ac:dyDescent="0.2">
      <c r="A474" s="7" t="str">
        <f t="shared" si="60"/>
        <v>SHENZHEN STRONG TECHNOLOGY CO., LTD.J581New Buy</v>
      </c>
      <c r="B474" s="7" t="str">
        <f t="shared" si="61"/>
        <v>iPadNew Buy</v>
      </c>
      <c r="C474">
        <v>407362</v>
      </c>
      <c r="D474" t="s">
        <v>76</v>
      </c>
      <c r="E474" t="s">
        <v>166</v>
      </c>
      <c r="F474" t="s">
        <v>173</v>
      </c>
      <c r="G474" t="s">
        <v>174</v>
      </c>
      <c r="H474" t="s">
        <v>167</v>
      </c>
      <c r="I474" t="s">
        <v>175</v>
      </c>
      <c r="J474" t="s">
        <v>647</v>
      </c>
      <c r="L474" t="s">
        <v>648</v>
      </c>
      <c r="M474" s="25">
        <v>116</v>
      </c>
      <c r="N474" s="4">
        <v>104</v>
      </c>
      <c r="O474">
        <v>23</v>
      </c>
      <c r="T474" t="s">
        <v>178</v>
      </c>
      <c r="U474" t="s">
        <v>66</v>
      </c>
      <c r="V474" s="25">
        <v>88.16</v>
      </c>
      <c r="W474" s="18" t="s">
        <v>367</v>
      </c>
      <c r="Y474" s="6">
        <f t="shared" si="62"/>
        <v>2668</v>
      </c>
      <c r="Z474" s="6">
        <f t="shared" si="63"/>
        <v>2027.6799999999998</v>
      </c>
      <c r="AA474" s="6">
        <f t="shared" si="64"/>
        <v>2392</v>
      </c>
      <c r="AB474" s="6">
        <f t="shared" si="65"/>
        <v>276</v>
      </c>
      <c r="AC474" t="s">
        <v>16</v>
      </c>
      <c r="AD474" s="3" t="s">
        <v>168</v>
      </c>
    </row>
    <row r="475" spans="1:30" ht="15.75" customHeight="1" x14ac:dyDescent="0.2">
      <c r="A475" s="7" t="str">
        <f t="shared" si="60"/>
        <v>SHENZHEN STRONG TECHNOLOGY CO., LTD.J581New Buy</v>
      </c>
      <c r="B475" s="7" t="str">
        <f t="shared" si="61"/>
        <v>iPadNew Buy</v>
      </c>
      <c r="C475">
        <v>407361</v>
      </c>
      <c r="D475" t="s">
        <v>76</v>
      </c>
      <c r="E475" t="s">
        <v>166</v>
      </c>
      <c r="F475" t="s">
        <v>173</v>
      </c>
      <c r="G475" t="s">
        <v>174</v>
      </c>
      <c r="H475" t="s">
        <v>167</v>
      </c>
      <c r="I475" t="s">
        <v>175</v>
      </c>
      <c r="J475" t="s">
        <v>649</v>
      </c>
      <c r="L475" t="s">
        <v>650</v>
      </c>
      <c r="M475" s="25">
        <v>232.5</v>
      </c>
      <c r="N475" s="4">
        <v>144</v>
      </c>
      <c r="O475">
        <v>87</v>
      </c>
      <c r="T475" t="s">
        <v>178</v>
      </c>
      <c r="U475" t="s">
        <v>116</v>
      </c>
      <c r="V475" s="25">
        <v>117.8</v>
      </c>
      <c r="W475" s="18" t="s">
        <v>367</v>
      </c>
      <c r="Y475" s="6">
        <f t="shared" si="62"/>
        <v>20227.5</v>
      </c>
      <c r="Z475" s="6">
        <f t="shared" si="63"/>
        <v>10248.6</v>
      </c>
      <c r="AA475" s="6">
        <f t="shared" si="64"/>
        <v>12528</v>
      </c>
      <c r="AB475" s="6">
        <f t="shared" si="65"/>
        <v>7699.5</v>
      </c>
      <c r="AC475" t="s">
        <v>33</v>
      </c>
      <c r="AD475" s="3" t="s">
        <v>168</v>
      </c>
    </row>
    <row r="476" spans="1:30" ht="15.75" customHeight="1" x14ac:dyDescent="0.2">
      <c r="A476" s="7" t="str">
        <f t="shared" si="60"/>
        <v>SHENZHEN STRONG TECHNOLOGY CO., LTD.J581New Buy</v>
      </c>
      <c r="B476" s="7" t="str">
        <f t="shared" si="61"/>
        <v>iPadNew Buy</v>
      </c>
      <c r="C476">
        <v>407360</v>
      </c>
      <c r="D476" t="s">
        <v>76</v>
      </c>
      <c r="E476" t="s">
        <v>166</v>
      </c>
      <c r="F476" t="s">
        <v>173</v>
      </c>
      <c r="G476" t="s">
        <v>174</v>
      </c>
      <c r="H476" t="s">
        <v>167</v>
      </c>
      <c r="I476" t="s">
        <v>175</v>
      </c>
      <c r="J476" t="s">
        <v>649</v>
      </c>
      <c r="L476" t="s">
        <v>650</v>
      </c>
      <c r="M476" s="25">
        <v>155</v>
      </c>
      <c r="N476" s="4">
        <v>144</v>
      </c>
      <c r="O476">
        <v>24</v>
      </c>
      <c r="T476" t="s">
        <v>178</v>
      </c>
      <c r="U476" t="s">
        <v>104</v>
      </c>
      <c r="V476" s="25">
        <v>117.8</v>
      </c>
      <c r="W476" s="18" t="s">
        <v>367</v>
      </c>
      <c r="Y476" s="6">
        <f t="shared" si="62"/>
        <v>3720</v>
      </c>
      <c r="Z476" s="6">
        <f t="shared" si="63"/>
        <v>2827.2</v>
      </c>
      <c r="AA476" s="6">
        <f t="shared" si="64"/>
        <v>3456</v>
      </c>
      <c r="AB476" s="6">
        <f t="shared" si="65"/>
        <v>264</v>
      </c>
      <c r="AC476" t="s">
        <v>16</v>
      </c>
      <c r="AD476" s="3" t="s">
        <v>168</v>
      </c>
    </row>
    <row r="477" spans="1:30" ht="15.75" customHeight="1" x14ac:dyDescent="0.2">
      <c r="A477" s="7" t="str">
        <f t="shared" si="60"/>
        <v>SHENZHEN STRONG TECHNOLOGY CO., LTD.J581New Buy</v>
      </c>
      <c r="B477" s="7" t="str">
        <f t="shared" si="61"/>
        <v>iPadNew Buy</v>
      </c>
      <c r="C477">
        <v>407359</v>
      </c>
      <c r="D477" t="s">
        <v>76</v>
      </c>
      <c r="E477" t="s">
        <v>166</v>
      </c>
      <c r="F477" t="s">
        <v>173</v>
      </c>
      <c r="G477" t="s">
        <v>174</v>
      </c>
      <c r="H477" t="s">
        <v>167</v>
      </c>
      <c r="I477" t="s">
        <v>175</v>
      </c>
      <c r="J477" t="s">
        <v>649</v>
      </c>
      <c r="L477" t="s">
        <v>650</v>
      </c>
      <c r="M477" s="25">
        <v>155</v>
      </c>
      <c r="N477" s="4">
        <v>144</v>
      </c>
      <c r="O477">
        <v>51</v>
      </c>
      <c r="T477" t="s">
        <v>178</v>
      </c>
      <c r="U477" t="s">
        <v>66</v>
      </c>
      <c r="V477" s="25">
        <v>117.8</v>
      </c>
      <c r="W477" s="18" t="s">
        <v>367</v>
      </c>
      <c r="Y477" s="6">
        <f t="shared" si="62"/>
        <v>7905</v>
      </c>
      <c r="Z477" s="6">
        <f t="shared" si="63"/>
        <v>6007.8</v>
      </c>
      <c r="AA477" s="6">
        <f t="shared" si="64"/>
        <v>7344</v>
      </c>
      <c r="AB477" s="6">
        <f t="shared" si="65"/>
        <v>561</v>
      </c>
      <c r="AC477" t="s">
        <v>16</v>
      </c>
      <c r="AD477" s="3" t="s">
        <v>168</v>
      </c>
    </row>
    <row r="478" spans="1:30" ht="15.75" customHeight="1" x14ac:dyDescent="0.2">
      <c r="A478" s="7" t="str">
        <f t="shared" si="60"/>
        <v>SHENZHEN STRONG TECHNOLOGY CO., LTD.J581New Buy</v>
      </c>
      <c r="B478" s="7" t="str">
        <f t="shared" si="61"/>
        <v>iPadNew Buy</v>
      </c>
      <c r="C478">
        <v>407358</v>
      </c>
      <c r="D478" t="s">
        <v>76</v>
      </c>
      <c r="E478" t="s">
        <v>166</v>
      </c>
      <c r="F478" t="s">
        <v>173</v>
      </c>
      <c r="G478" t="s">
        <v>174</v>
      </c>
      <c r="H478" t="s">
        <v>167</v>
      </c>
      <c r="I478" t="s">
        <v>175</v>
      </c>
      <c r="J478" t="s">
        <v>651</v>
      </c>
      <c r="L478" t="s">
        <v>652</v>
      </c>
      <c r="M478" s="25">
        <v>155</v>
      </c>
      <c r="N478" s="4">
        <v>148</v>
      </c>
      <c r="O478">
        <v>87</v>
      </c>
      <c r="T478" t="s">
        <v>178</v>
      </c>
      <c r="U478" t="s">
        <v>116</v>
      </c>
      <c r="V478" s="25">
        <v>117.8</v>
      </c>
      <c r="W478" s="18" t="s">
        <v>367</v>
      </c>
      <c r="Y478" s="6">
        <f t="shared" si="62"/>
        <v>13485</v>
      </c>
      <c r="Z478" s="6">
        <f t="shared" si="63"/>
        <v>10248.6</v>
      </c>
      <c r="AA478" s="6">
        <f t="shared" si="64"/>
        <v>12876</v>
      </c>
      <c r="AB478" s="6">
        <f t="shared" si="65"/>
        <v>609</v>
      </c>
      <c r="AC478" t="s">
        <v>33</v>
      </c>
      <c r="AD478" s="3" t="s">
        <v>168</v>
      </c>
    </row>
    <row r="479" spans="1:30" ht="15.75" customHeight="1" x14ac:dyDescent="0.2">
      <c r="A479" s="7" t="str">
        <f t="shared" si="60"/>
        <v>SHENZHEN STRONG TECHNOLOGY CO., LTD.J581New Buy</v>
      </c>
      <c r="B479" s="7" t="str">
        <f t="shared" si="61"/>
        <v>iPadNew Buy</v>
      </c>
      <c r="C479">
        <v>407357</v>
      </c>
      <c r="D479" t="s">
        <v>76</v>
      </c>
      <c r="E479" t="s">
        <v>166</v>
      </c>
      <c r="F479" t="s">
        <v>173</v>
      </c>
      <c r="G479" t="s">
        <v>174</v>
      </c>
      <c r="H479" t="s">
        <v>167</v>
      </c>
      <c r="I479" t="s">
        <v>175</v>
      </c>
      <c r="J479" t="s">
        <v>651</v>
      </c>
      <c r="L479" t="s">
        <v>652</v>
      </c>
      <c r="M479" s="25">
        <v>232.5</v>
      </c>
      <c r="N479" s="4">
        <v>148</v>
      </c>
      <c r="O479">
        <v>24</v>
      </c>
      <c r="T479" t="s">
        <v>178</v>
      </c>
      <c r="U479" t="s">
        <v>104</v>
      </c>
      <c r="V479" s="25">
        <v>117.8</v>
      </c>
      <c r="W479" s="18" t="s">
        <v>367</v>
      </c>
      <c r="Y479" s="6">
        <f t="shared" si="62"/>
        <v>5580</v>
      </c>
      <c r="Z479" s="6">
        <f t="shared" si="63"/>
        <v>2827.2</v>
      </c>
      <c r="AA479" s="6">
        <f t="shared" si="64"/>
        <v>3552</v>
      </c>
      <c r="AB479" s="6">
        <f t="shared" si="65"/>
        <v>2028</v>
      </c>
      <c r="AC479" t="s">
        <v>16</v>
      </c>
      <c r="AD479" s="3" t="s">
        <v>168</v>
      </c>
    </row>
    <row r="480" spans="1:30" ht="15.75" customHeight="1" x14ac:dyDescent="0.2">
      <c r="A480" s="7" t="str">
        <f t="shared" si="60"/>
        <v>SHENZHEN STRONG TECHNOLOGY CO., LTD.J581New Buy</v>
      </c>
      <c r="B480" s="7" t="str">
        <f t="shared" si="61"/>
        <v>iPadNew Buy</v>
      </c>
      <c r="C480">
        <v>407356</v>
      </c>
      <c r="D480" t="s">
        <v>76</v>
      </c>
      <c r="E480" t="s">
        <v>166</v>
      </c>
      <c r="F480" t="s">
        <v>173</v>
      </c>
      <c r="G480" t="s">
        <v>174</v>
      </c>
      <c r="H480" t="s">
        <v>167</v>
      </c>
      <c r="I480" t="s">
        <v>175</v>
      </c>
      <c r="J480" t="s">
        <v>651</v>
      </c>
      <c r="L480" t="s">
        <v>652</v>
      </c>
      <c r="M480" s="25">
        <v>155</v>
      </c>
      <c r="N480" s="4">
        <v>148</v>
      </c>
      <c r="O480">
        <v>33</v>
      </c>
      <c r="T480" t="s">
        <v>178</v>
      </c>
      <c r="U480" t="s">
        <v>66</v>
      </c>
      <c r="V480" s="25">
        <v>117.8</v>
      </c>
      <c r="W480" s="18" t="s">
        <v>367</v>
      </c>
      <c r="Y480" s="6">
        <f t="shared" si="62"/>
        <v>5115</v>
      </c>
      <c r="Z480" s="6">
        <f t="shared" si="63"/>
        <v>3887.4</v>
      </c>
      <c r="AA480" s="6">
        <f t="shared" si="64"/>
        <v>4884</v>
      </c>
      <c r="AB480" s="6">
        <f t="shared" si="65"/>
        <v>231</v>
      </c>
      <c r="AC480" t="s">
        <v>16</v>
      </c>
      <c r="AD480" s="3" t="s">
        <v>168</v>
      </c>
    </row>
    <row r="481" spans="1:30" ht="15.75" customHeight="1" x14ac:dyDescent="0.2">
      <c r="A481" s="7" t="str">
        <f t="shared" si="60"/>
        <v>SHENZHEN STRONG TECHNOLOGY CO., LTD.J581New Buy</v>
      </c>
      <c r="B481" s="7" t="str">
        <f t="shared" si="61"/>
        <v>iPadNew Buy</v>
      </c>
      <c r="C481">
        <v>407350</v>
      </c>
      <c r="D481" t="s">
        <v>76</v>
      </c>
      <c r="E481" t="s">
        <v>166</v>
      </c>
      <c r="F481" t="s">
        <v>173</v>
      </c>
      <c r="G481" t="s">
        <v>174</v>
      </c>
      <c r="H481" t="s">
        <v>167</v>
      </c>
      <c r="I481" t="s">
        <v>175</v>
      </c>
      <c r="J481" t="s">
        <v>653</v>
      </c>
      <c r="L481" t="s">
        <v>654</v>
      </c>
      <c r="M481" s="25">
        <v>65</v>
      </c>
      <c r="N481" s="4">
        <v>61</v>
      </c>
      <c r="O481">
        <v>4</v>
      </c>
      <c r="T481" t="s">
        <v>178</v>
      </c>
      <c r="U481" t="s">
        <v>66</v>
      </c>
      <c r="V481" s="25">
        <v>49.4</v>
      </c>
      <c r="W481" s="18" t="s">
        <v>367</v>
      </c>
      <c r="Y481" s="6">
        <f t="shared" si="62"/>
        <v>260</v>
      </c>
      <c r="Z481" s="6">
        <f t="shared" si="63"/>
        <v>197.6</v>
      </c>
      <c r="AA481" s="6">
        <f t="shared" si="64"/>
        <v>244</v>
      </c>
      <c r="AB481" s="6">
        <f t="shared" si="65"/>
        <v>16</v>
      </c>
      <c r="AC481" t="s">
        <v>16</v>
      </c>
      <c r="AD481" s="3" t="s">
        <v>168</v>
      </c>
    </row>
    <row r="482" spans="1:30" ht="15.75" customHeight="1" x14ac:dyDescent="0.2">
      <c r="A482" s="7" t="str">
        <f t="shared" si="60"/>
        <v>SHENZHEN STRONG TECHNOLOGY CO., LTD.J581New Buy</v>
      </c>
      <c r="B482" s="7" t="str">
        <f t="shared" si="61"/>
        <v>iPadNew Buy</v>
      </c>
      <c r="C482">
        <v>407349</v>
      </c>
      <c r="D482" t="s">
        <v>76</v>
      </c>
      <c r="E482" t="s">
        <v>166</v>
      </c>
      <c r="F482" t="s">
        <v>173</v>
      </c>
      <c r="G482" t="s">
        <v>174</v>
      </c>
      <c r="H482" t="s">
        <v>167</v>
      </c>
      <c r="I482" t="s">
        <v>175</v>
      </c>
      <c r="J482" t="s">
        <v>653</v>
      </c>
      <c r="L482" t="s">
        <v>654</v>
      </c>
      <c r="M482" s="25">
        <v>97.5</v>
      </c>
      <c r="N482" s="4">
        <v>61</v>
      </c>
      <c r="O482">
        <v>10</v>
      </c>
      <c r="T482" t="s">
        <v>178</v>
      </c>
      <c r="U482" t="s">
        <v>116</v>
      </c>
      <c r="V482" s="25">
        <v>49.4</v>
      </c>
      <c r="W482" s="18" t="s">
        <v>367</v>
      </c>
      <c r="Y482" s="6">
        <f t="shared" si="62"/>
        <v>975</v>
      </c>
      <c r="Z482" s="6">
        <f t="shared" si="63"/>
        <v>494</v>
      </c>
      <c r="AA482" s="6">
        <f t="shared" si="64"/>
        <v>610</v>
      </c>
      <c r="AB482" s="6">
        <f t="shared" si="65"/>
        <v>365</v>
      </c>
      <c r="AC482" t="s">
        <v>33</v>
      </c>
      <c r="AD482" s="3" t="s">
        <v>168</v>
      </c>
    </row>
    <row r="483" spans="1:30" ht="15.75" customHeight="1" x14ac:dyDescent="0.2">
      <c r="A483" s="7" t="str">
        <f t="shared" ref="A483:A546" si="66">CONCATENATE(D483,G483,H483,K483)</f>
        <v>SHENZHEN STRONG TECHNOLOGY CO., LTD.J581New Buy</v>
      </c>
      <c r="B483" s="7" t="str">
        <f t="shared" ref="B483:B546" si="67">_xlfn.CONCAT(F483,K483,"New Buy")</f>
        <v>iPadNew Buy</v>
      </c>
      <c r="C483">
        <v>407348</v>
      </c>
      <c r="D483" t="s">
        <v>76</v>
      </c>
      <c r="E483" t="s">
        <v>166</v>
      </c>
      <c r="F483" t="s">
        <v>173</v>
      </c>
      <c r="G483" t="s">
        <v>174</v>
      </c>
      <c r="H483" t="s">
        <v>167</v>
      </c>
      <c r="I483" t="s">
        <v>175</v>
      </c>
      <c r="J483" t="s">
        <v>653</v>
      </c>
      <c r="L483" t="s">
        <v>654</v>
      </c>
      <c r="M483" s="25">
        <v>65</v>
      </c>
      <c r="N483" s="4">
        <v>61</v>
      </c>
      <c r="O483">
        <v>3</v>
      </c>
      <c r="T483" t="s">
        <v>178</v>
      </c>
      <c r="U483" t="s">
        <v>104</v>
      </c>
      <c r="V483" s="25">
        <v>49.4</v>
      </c>
      <c r="W483" s="18" t="s">
        <v>367</v>
      </c>
      <c r="Y483" s="6">
        <f t="shared" ref="Y483:Y546" si="68">IFERROR(O483*M483,0)</f>
        <v>195</v>
      </c>
      <c r="Z483" s="6">
        <f t="shared" ref="Z483:Z546" si="69">IFERROR(O483*V483,0)</f>
        <v>148.19999999999999</v>
      </c>
      <c r="AA483" s="6">
        <f t="shared" ref="AA483:AA546" si="70">IFERROR(N483*O483,0)</f>
        <v>183</v>
      </c>
      <c r="AB483" s="6">
        <f t="shared" si="65"/>
        <v>12</v>
      </c>
      <c r="AC483" t="s">
        <v>16</v>
      </c>
      <c r="AD483" s="3" t="s">
        <v>168</v>
      </c>
    </row>
    <row r="484" spans="1:30" ht="15.75" customHeight="1" x14ac:dyDescent="0.2">
      <c r="A484" s="7" t="str">
        <f t="shared" si="66"/>
        <v>SHENZHEN STRONG TECHNOLOGY CO., LTD.J581New Buy</v>
      </c>
      <c r="B484" s="7" t="str">
        <f t="shared" si="67"/>
        <v>iPadNew Buy</v>
      </c>
      <c r="C484">
        <v>407347</v>
      </c>
      <c r="D484" t="s">
        <v>76</v>
      </c>
      <c r="E484" t="s">
        <v>166</v>
      </c>
      <c r="F484" t="s">
        <v>173</v>
      </c>
      <c r="G484" t="s">
        <v>174</v>
      </c>
      <c r="H484" t="s">
        <v>167</v>
      </c>
      <c r="I484" t="s">
        <v>175</v>
      </c>
      <c r="J484" t="s">
        <v>655</v>
      </c>
      <c r="L484" t="s">
        <v>656</v>
      </c>
      <c r="M484" s="25">
        <v>3270</v>
      </c>
      <c r="N484" s="4">
        <v>3205</v>
      </c>
      <c r="O484">
        <v>1</v>
      </c>
      <c r="T484" t="s">
        <v>178</v>
      </c>
      <c r="U484" t="s">
        <v>116</v>
      </c>
      <c r="V484" s="25">
        <v>1656.8</v>
      </c>
      <c r="W484" s="18" t="s">
        <v>367</v>
      </c>
      <c r="Y484" s="6">
        <f t="shared" si="68"/>
        <v>3270</v>
      </c>
      <c r="Z484" s="6">
        <f t="shared" si="69"/>
        <v>1656.8</v>
      </c>
      <c r="AA484" s="6">
        <f t="shared" si="70"/>
        <v>3205</v>
      </c>
      <c r="AB484" s="6">
        <f t="shared" si="65"/>
        <v>65</v>
      </c>
      <c r="AC484" t="s">
        <v>33</v>
      </c>
      <c r="AD484" s="3" t="s">
        <v>168</v>
      </c>
    </row>
    <row r="485" spans="1:30" ht="15.75" customHeight="1" x14ac:dyDescent="0.2">
      <c r="A485" s="7" t="str">
        <f t="shared" si="66"/>
        <v>SHENZHEN STRONG TECHNOLOGY CO., LTD.J581New Buy</v>
      </c>
      <c r="B485" s="7" t="str">
        <f t="shared" si="67"/>
        <v>iPadNew Buy</v>
      </c>
      <c r="C485">
        <v>407346</v>
      </c>
      <c r="D485" t="s">
        <v>76</v>
      </c>
      <c r="E485" t="s">
        <v>166</v>
      </c>
      <c r="F485" t="s">
        <v>173</v>
      </c>
      <c r="G485" t="s">
        <v>174</v>
      </c>
      <c r="H485" t="s">
        <v>167</v>
      </c>
      <c r="I485" t="s">
        <v>175</v>
      </c>
      <c r="J485" t="s">
        <v>655</v>
      </c>
      <c r="L485" t="s">
        <v>656</v>
      </c>
      <c r="M485" s="25">
        <v>3205</v>
      </c>
      <c r="N485" s="4">
        <v>3205</v>
      </c>
      <c r="O485">
        <v>1</v>
      </c>
      <c r="T485" t="s">
        <v>178</v>
      </c>
      <c r="U485" t="s">
        <v>66</v>
      </c>
      <c r="V485" s="25">
        <v>1656.8</v>
      </c>
      <c r="W485" s="18" t="s">
        <v>367</v>
      </c>
      <c r="Y485" s="6">
        <f t="shared" si="68"/>
        <v>3205</v>
      </c>
      <c r="Z485" s="6">
        <f t="shared" si="69"/>
        <v>1656.8</v>
      </c>
      <c r="AA485" s="6">
        <f t="shared" si="70"/>
        <v>3205</v>
      </c>
      <c r="AB485" s="6">
        <f t="shared" si="65"/>
        <v>0</v>
      </c>
      <c r="AC485" t="s">
        <v>16</v>
      </c>
      <c r="AD485" s="3" t="s">
        <v>168</v>
      </c>
    </row>
    <row r="486" spans="1:30" ht="15.75" customHeight="1" x14ac:dyDescent="0.2">
      <c r="A486" s="7" t="str">
        <f t="shared" si="66"/>
        <v>SHENZHEN STRONG TECHNOLOGY CO., LTD.J581Retrofit</v>
      </c>
      <c r="B486" s="7" t="str">
        <f t="shared" si="67"/>
        <v>iPadNew Buy</v>
      </c>
      <c r="C486">
        <v>407345</v>
      </c>
      <c r="D486" t="s">
        <v>76</v>
      </c>
      <c r="E486" t="s">
        <v>166</v>
      </c>
      <c r="F486" t="s">
        <v>173</v>
      </c>
      <c r="G486" t="s">
        <v>174</v>
      </c>
      <c r="H486" t="s">
        <v>170</v>
      </c>
      <c r="I486" t="s">
        <v>175</v>
      </c>
      <c r="J486" t="s">
        <v>655</v>
      </c>
      <c r="L486" t="s">
        <v>656</v>
      </c>
      <c r="M486" s="25">
        <v>3205</v>
      </c>
      <c r="N486" s="4">
        <v>3205</v>
      </c>
      <c r="O486">
        <v>21</v>
      </c>
      <c r="T486" t="s">
        <v>178</v>
      </c>
      <c r="U486" t="s">
        <v>104</v>
      </c>
      <c r="V486" s="25">
        <v>1656.8</v>
      </c>
      <c r="W486" s="18" t="s">
        <v>367</v>
      </c>
      <c r="Y486" s="6">
        <f t="shared" si="68"/>
        <v>67305</v>
      </c>
      <c r="Z486" s="6">
        <f t="shared" si="69"/>
        <v>34792.799999999996</v>
      </c>
      <c r="AA486" s="6">
        <f t="shared" si="70"/>
        <v>67305</v>
      </c>
      <c r="AB486" s="6">
        <f t="shared" si="65"/>
        <v>0</v>
      </c>
      <c r="AC486" t="s">
        <v>16</v>
      </c>
      <c r="AD486" s="3" t="s">
        <v>171</v>
      </c>
    </row>
    <row r="487" spans="1:30" ht="15.75" customHeight="1" x14ac:dyDescent="0.2">
      <c r="A487" s="7" t="str">
        <f t="shared" si="66"/>
        <v>SHENZHEN STRONG TECHNOLOGY CO., LTD.J581Retrofit</v>
      </c>
      <c r="B487" s="7" t="str">
        <f t="shared" si="67"/>
        <v>iPadNew Buy</v>
      </c>
      <c r="C487">
        <v>407344</v>
      </c>
      <c r="D487" t="s">
        <v>76</v>
      </c>
      <c r="E487" t="s">
        <v>166</v>
      </c>
      <c r="F487" t="s">
        <v>173</v>
      </c>
      <c r="G487" t="s">
        <v>174</v>
      </c>
      <c r="H487" t="s">
        <v>170</v>
      </c>
      <c r="I487" t="s">
        <v>131</v>
      </c>
      <c r="J487" t="s">
        <v>655</v>
      </c>
      <c r="L487" t="s">
        <v>656</v>
      </c>
      <c r="M487" s="25">
        <v>3205</v>
      </c>
      <c r="N487" s="4">
        <v>3205</v>
      </c>
      <c r="O487">
        <v>1</v>
      </c>
      <c r="T487" t="s">
        <v>178</v>
      </c>
      <c r="U487" t="s">
        <v>104</v>
      </c>
      <c r="V487" s="25">
        <v>1656.8</v>
      </c>
      <c r="W487" s="18" t="s">
        <v>367</v>
      </c>
      <c r="Y487" s="6">
        <f t="shared" si="68"/>
        <v>3205</v>
      </c>
      <c r="Z487" s="6">
        <f t="shared" si="69"/>
        <v>1656.8</v>
      </c>
      <c r="AA487" s="6">
        <f t="shared" si="70"/>
        <v>3205</v>
      </c>
      <c r="AB487" s="6">
        <f t="shared" si="65"/>
        <v>0</v>
      </c>
      <c r="AC487" t="s">
        <v>16</v>
      </c>
      <c r="AD487" s="3" t="s">
        <v>171</v>
      </c>
    </row>
    <row r="488" spans="1:30" ht="15.75" customHeight="1" x14ac:dyDescent="0.2">
      <c r="A488" s="7" t="str">
        <f t="shared" si="66"/>
        <v>SHENZHEN STRONG TECHNOLOGY CO., LTD.J581Retrofit</v>
      </c>
      <c r="B488" s="7" t="str">
        <f t="shared" si="67"/>
        <v>iPadNew Buy</v>
      </c>
      <c r="C488">
        <v>407337</v>
      </c>
      <c r="D488" t="s">
        <v>76</v>
      </c>
      <c r="E488" t="s">
        <v>166</v>
      </c>
      <c r="F488" t="s">
        <v>173</v>
      </c>
      <c r="G488" t="s">
        <v>174</v>
      </c>
      <c r="H488" t="s">
        <v>170</v>
      </c>
      <c r="I488" t="s">
        <v>115</v>
      </c>
      <c r="J488" t="s">
        <v>657</v>
      </c>
      <c r="L488" t="s">
        <v>658</v>
      </c>
      <c r="M488" s="25">
        <v>3950</v>
      </c>
      <c r="N488" s="4">
        <v>3950</v>
      </c>
      <c r="O488">
        <v>120</v>
      </c>
      <c r="T488" t="s">
        <v>178</v>
      </c>
      <c r="U488" t="s">
        <v>104</v>
      </c>
      <c r="V488" s="25">
        <v>3002</v>
      </c>
      <c r="W488" s="18" t="s">
        <v>367</v>
      </c>
      <c r="Y488" s="6">
        <f t="shared" si="68"/>
        <v>474000</v>
      </c>
      <c r="Z488" s="6">
        <f t="shared" si="69"/>
        <v>360240</v>
      </c>
      <c r="AA488" s="6">
        <f t="shared" si="70"/>
        <v>474000</v>
      </c>
      <c r="AB488" s="6">
        <f t="shared" si="65"/>
        <v>0</v>
      </c>
      <c r="AC488" t="s">
        <v>16</v>
      </c>
      <c r="AD488" s="3" t="s">
        <v>171</v>
      </c>
    </row>
    <row r="489" spans="1:30" ht="15.75" customHeight="1" x14ac:dyDescent="0.2">
      <c r="A489" s="7" t="str">
        <f t="shared" si="66"/>
        <v>SHENZHEN STRONG TECHNOLOGY CO., LTD.J581New Buy</v>
      </c>
      <c r="B489" s="7" t="str">
        <f t="shared" si="67"/>
        <v>iPadNew Buy</v>
      </c>
      <c r="C489">
        <v>407333</v>
      </c>
      <c r="D489" t="s">
        <v>76</v>
      </c>
      <c r="E489" t="s">
        <v>166</v>
      </c>
      <c r="F489" t="s">
        <v>173</v>
      </c>
      <c r="G489" t="s">
        <v>174</v>
      </c>
      <c r="H489" t="s">
        <v>167</v>
      </c>
      <c r="I489" t="s">
        <v>131</v>
      </c>
      <c r="J489" t="s">
        <v>659</v>
      </c>
      <c r="L489" t="s">
        <v>660</v>
      </c>
      <c r="M489" s="25">
        <v>187</v>
      </c>
      <c r="N489" s="4">
        <v>187</v>
      </c>
      <c r="O489">
        <v>2</v>
      </c>
      <c r="T489" t="s">
        <v>178</v>
      </c>
      <c r="U489" t="s">
        <v>66</v>
      </c>
      <c r="V489" s="25">
        <v>110.96</v>
      </c>
      <c r="W489" s="18" t="s">
        <v>367</v>
      </c>
      <c r="Y489" s="6">
        <f t="shared" si="68"/>
        <v>374</v>
      </c>
      <c r="Z489" s="6">
        <f t="shared" si="69"/>
        <v>221.92</v>
      </c>
      <c r="AA489" s="6">
        <f t="shared" si="70"/>
        <v>374</v>
      </c>
      <c r="AB489" s="6">
        <f t="shared" si="65"/>
        <v>0</v>
      </c>
      <c r="AC489" t="s">
        <v>16</v>
      </c>
      <c r="AD489" s="3" t="s">
        <v>168</v>
      </c>
    </row>
    <row r="490" spans="1:30" ht="15.75" customHeight="1" x14ac:dyDescent="0.2">
      <c r="A490" s="7" t="str">
        <f t="shared" si="66"/>
        <v>SHENZHEN STRONG TECHNOLOGY CO., LTD.J581New Buy</v>
      </c>
      <c r="B490" s="7" t="str">
        <f t="shared" si="67"/>
        <v>iPadNew Buy</v>
      </c>
      <c r="C490">
        <v>407332</v>
      </c>
      <c r="D490" t="s">
        <v>76</v>
      </c>
      <c r="E490" t="s">
        <v>166</v>
      </c>
      <c r="F490" t="s">
        <v>173</v>
      </c>
      <c r="G490" t="s">
        <v>174</v>
      </c>
      <c r="H490" t="s">
        <v>167</v>
      </c>
      <c r="I490" t="s">
        <v>175</v>
      </c>
      <c r="J490" t="s">
        <v>659</v>
      </c>
      <c r="L490" t="s">
        <v>660</v>
      </c>
      <c r="M490" s="25">
        <v>219</v>
      </c>
      <c r="N490" s="4">
        <v>187</v>
      </c>
      <c r="O490">
        <v>8</v>
      </c>
      <c r="T490" t="s">
        <v>178</v>
      </c>
      <c r="U490" t="s">
        <v>116</v>
      </c>
      <c r="V490" s="25">
        <v>110.96</v>
      </c>
      <c r="W490" s="18" t="s">
        <v>367</v>
      </c>
      <c r="Y490" s="6">
        <f t="shared" si="68"/>
        <v>1752</v>
      </c>
      <c r="Z490" s="6">
        <f t="shared" si="69"/>
        <v>887.68</v>
      </c>
      <c r="AA490" s="6">
        <f t="shared" si="70"/>
        <v>1496</v>
      </c>
      <c r="AB490" s="6">
        <f t="shared" si="65"/>
        <v>256</v>
      </c>
      <c r="AC490" t="s">
        <v>33</v>
      </c>
      <c r="AD490" s="3" t="s">
        <v>168</v>
      </c>
    </row>
    <row r="491" spans="1:30" ht="15.75" customHeight="1" x14ac:dyDescent="0.2">
      <c r="A491" s="7" t="str">
        <f t="shared" si="66"/>
        <v>SHENZHEN STRONG TECHNOLOGY CO., LTD.J581New Buy</v>
      </c>
      <c r="B491" s="7" t="str">
        <f t="shared" si="67"/>
        <v>iPadNew Buy</v>
      </c>
      <c r="C491">
        <v>407331</v>
      </c>
      <c r="D491" t="s">
        <v>76</v>
      </c>
      <c r="E491" t="s">
        <v>166</v>
      </c>
      <c r="F491" t="s">
        <v>173</v>
      </c>
      <c r="G491" t="s">
        <v>174</v>
      </c>
      <c r="H491" t="s">
        <v>167</v>
      </c>
      <c r="I491" t="s">
        <v>175</v>
      </c>
      <c r="J491" t="s">
        <v>659</v>
      </c>
      <c r="L491" t="s">
        <v>660</v>
      </c>
      <c r="M491" s="25">
        <v>187</v>
      </c>
      <c r="N491" s="4">
        <v>187</v>
      </c>
      <c r="O491">
        <v>2</v>
      </c>
      <c r="T491" t="s">
        <v>178</v>
      </c>
      <c r="U491" t="s">
        <v>104</v>
      </c>
      <c r="V491" s="25">
        <v>110.96</v>
      </c>
      <c r="W491" s="18" t="s">
        <v>367</v>
      </c>
      <c r="Y491" s="6">
        <f t="shared" si="68"/>
        <v>374</v>
      </c>
      <c r="Z491" s="6">
        <f t="shared" si="69"/>
        <v>221.92</v>
      </c>
      <c r="AA491" s="6">
        <f t="shared" si="70"/>
        <v>374</v>
      </c>
      <c r="AB491" s="6">
        <f t="shared" si="65"/>
        <v>0</v>
      </c>
      <c r="AC491" t="s">
        <v>16</v>
      </c>
      <c r="AD491" s="3" t="s">
        <v>168</v>
      </c>
    </row>
    <row r="492" spans="1:30" ht="15.75" customHeight="1" x14ac:dyDescent="0.2">
      <c r="A492" s="7" t="str">
        <f t="shared" si="66"/>
        <v>SHENZHEN STRONG TECHNOLOGY CO., LTD.J581Retrofit</v>
      </c>
      <c r="B492" s="7" t="str">
        <f t="shared" si="67"/>
        <v>iPadNew Buy</v>
      </c>
      <c r="C492">
        <v>407330</v>
      </c>
      <c r="D492" t="s">
        <v>76</v>
      </c>
      <c r="E492" t="s">
        <v>166</v>
      </c>
      <c r="F492" t="s">
        <v>173</v>
      </c>
      <c r="G492" t="s">
        <v>174</v>
      </c>
      <c r="H492" t="s">
        <v>170</v>
      </c>
      <c r="I492" t="s">
        <v>175</v>
      </c>
      <c r="J492" t="s">
        <v>661</v>
      </c>
      <c r="L492" t="s">
        <v>662</v>
      </c>
      <c r="M492" s="25">
        <v>3243</v>
      </c>
      <c r="N492" s="4">
        <v>3200</v>
      </c>
      <c r="O492">
        <v>50</v>
      </c>
      <c r="T492" t="s">
        <v>178</v>
      </c>
      <c r="U492" t="s">
        <v>104</v>
      </c>
      <c r="V492" s="25">
        <v>2464.6799999999998</v>
      </c>
      <c r="W492" s="18" t="s">
        <v>367</v>
      </c>
      <c r="Y492" s="6">
        <f t="shared" si="68"/>
        <v>162150</v>
      </c>
      <c r="Z492" s="6">
        <f t="shared" si="69"/>
        <v>123233.99999999999</v>
      </c>
      <c r="AA492" s="6">
        <f t="shared" si="70"/>
        <v>160000</v>
      </c>
      <c r="AB492" s="6">
        <f t="shared" si="65"/>
        <v>2150</v>
      </c>
      <c r="AC492" t="s">
        <v>16</v>
      </c>
      <c r="AD492" s="3" t="s">
        <v>171</v>
      </c>
    </row>
    <row r="493" spans="1:30" ht="15.75" customHeight="1" x14ac:dyDescent="0.2">
      <c r="A493" s="7" t="str">
        <f t="shared" si="66"/>
        <v>SHENZHEN STRONG TECHNOLOGY CO., LTD.J581New Buy</v>
      </c>
      <c r="B493" s="7" t="str">
        <f t="shared" si="67"/>
        <v>iPadNew Buy</v>
      </c>
      <c r="C493">
        <v>407329</v>
      </c>
      <c r="D493" t="s">
        <v>76</v>
      </c>
      <c r="E493" t="s">
        <v>166</v>
      </c>
      <c r="F493" t="s">
        <v>173</v>
      </c>
      <c r="G493" t="s">
        <v>174</v>
      </c>
      <c r="H493" t="s">
        <v>167</v>
      </c>
      <c r="I493" t="s">
        <v>131</v>
      </c>
      <c r="J493" t="s">
        <v>663</v>
      </c>
      <c r="L493" t="s">
        <v>664</v>
      </c>
      <c r="M493" s="25">
        <v>156</v>
      </c>
      <c r="N493" s="4">
        <v>152</v>
      </c>
      <c r="O493">
        <v>2</v>
      </c>
      <c r="T493" t="s">
        <v>178</v>
      </c>
      <c r="U493" t="s">
        <v>66</v>
      </c>
      <c r="V493" s="25">
        <v>118.56</v>
      </c>
      <c r="W493" s="18" t="s">
        <v>367</v>
      </c>
      <c r="Y493" s="6">
        <f t="shared" si="68"/>
        <v>312</v>
      </c>
      <c r="Z493" s="6">
        <f t="shared" si="69"/>
        <v>237.12</v>
      </c>
      <c r="AA493" s="6">
        <f t="shared" si="70"/>
        <v>304</v>
      </c>
      <c r="AB493" s="6">
        <f t="shared" si="65"/>
        <v>8</v>
      </c>
      <c r="AC493" t="s">
        <v>16</v>
      </c>
      <c r="AD493" s="3" t="s">
        <v>168</v>
      </c>
    </row>
    <row r="494" spans="1:30" ht="15.75" customHeight="1" x14ac:dyDescent="0.2">
      <c r="A494" s="7" t="str">
        <f t="shared" si="66"/>
        <v>SHENZHEN STRONG TECHNOLOGY CO., LTD.J581New Buy</v>
      </c>
      <c r="B494" s="7" t="str">
        <f t="shared" si="67"/>
        <v>iPadNew Buy</v>
      </c>
      <c r="C494">
        <v>407328</v>
      </c>
      <c r="D494" t="s">
        <v>76</v>
      </c>
      <c r="E494" t="s">
        <v>166</v>
      </c>
      <c r="F494" t="s">
        <v>173</v>
      </c>
      <c r="G494" t="s">
        <v>174</v>
      </c>
      <c r="H494" t="s">
        <v>167</v>
      </c>
      <c r="I494" t="s">
        <v>175</v>
      </c>
      <c r="J494" t="s">
        <v>663</v>
      </c>
      <c r="L494" t="s">
        <v>664</v>
      </c>
      <c r="M494" s="25">
        <v>234</v>
      </c>
      <c r="N494" s="4">
        <v>152</v>
      </c>
      <c r="O494">
        <v>8</v>
      </c>
      <c r="T494" t="s">
        <v>178</v>
      </c>
      <c r="U494" t="s">
        <v>116</v>
      </c>
      <c r="V494" s="25">
        <v>118.56</v>
      </c>
      <c r="W494" s="18" t="s">
        <v>367</v>
      </c>
      <c r="Y494" s="6">
        <f t="shared" si="68"/>
        <v>1872</v>
      </c>
      <c r="Z494" s="6">
        <f t="shared" si="69"/>
        <v>948.48</v>
      </c>
      <c r="AA494" s="6">
        <f t="shared" si="70"/>
        <v>1216</v>
      </c>
      <c r="AB494" s="6">
        <f t="shared" si="65"/>
        <v>656</v>
      </c>
      <c r="AC494" t="s">
        <v>33</v>
      </c>
      <c r="AD494" s="3" t="s">
        <v>168</v>
      </c>
    </row>
    <row r="495" spans="1:30" ht="15.75" customHeight="1" x14ac:dyDescent="0.2">
      <c r="A495" s="7" t="str">
        <f t="shared" si="66"/>
        <v>SHENZHEN STRONG TECHNOLOGY CO., LTD.J581New Buy</v>
      </c>
      <c r="B495" s="7" t="str">
        <f t="shared" si="67"/>
        <v>iPadNew Buy</v>
      </c>
      <c r="C495">
        <v>407327</v>
      </c>
      <c r="D495" t="s">
        <v>76</v>
      </c>
      <c r="E495" t="s">
        <v>166</v>
      </c>
      <c r="F495" t="s">
        <v>173</v>
      </c>
      <c r="G495" t="s">
        <v>174</v>
      </c>
      <c r="H495" t="s">
        <v>167</v>
      </c>
      <c r="I495" t="s">
        <v>175</v>
      </c>
      <c r="J495" t="s">
        <v>663</v>
      </c>
      <c r="L495" t="s">
        <v>664</v>
      </c>
      <c r="M495" s="25">
        <v>156</v>
      </c>
      <c r="N495" s="4">
        <v>152</v>
      </c>
      <c r="O495">
        <v>2</v>
      </c>
      <c r="T495" t="s">
        <v>178</v>
      </c>
      <c r="U495" t="s">
        <v>104</v>
      </c>
      <c r="V495" s="25">
        <v>118.56</v>
      </c>
      <c r="W495" s="18" t="s">
        <v>367</v>
      </c>
      <c r="Y495" s="6">
        <f t="shared" si="68"/>
        <v>312</v>
      </c>
      <c r="Z495" s="6">
        <f t="shared" si="69"/>
        <v>237.12</v>
      </c>
      <c r="AA495" s="6">
        <f t="shared" si="70"/>
        <v>304</v>
      </c>
      <c r="AB495" s="6">
        <f t="shared" si="65"/>
        <v>8</v>
      </c>
      <c r="AC495" t="s">
        <v>16</v>
      </c>
      <c r="AD495" s="3" t="s">
        <v>168</v>
      </c>
    </row>
    <row r="496" spans="1:30" ht="15.75" customHeight="1" x14ac:dyDescent="0.2">
      <c r="A496" s="7" t="str">
        <f t="shared" si="66"/>
        <v>SHENZHEN STRONG TECHNOLOGY CO., LTD.J581New Buy</v>
      </c>
      <c r="B496" s="7" t="str">
        <f t="shared" si="67"/>
        <v>iPadNew Buy</v>
      </c>
      <c r="C496">
        <v>407325</v>
      </c>
      <c r="D496" t="s">
        <v>76</v>
      </c>
      <c r="E496" t="s">
        <v>166</v>
      </c>
      <c r="F496" t="s">
        <v>173</v>
      </c>
      <c r="G496" t="s">
        <v>174</v>
      </c>
      <c r="H496" t="s">
        <v>167</v>
      </c>
      <c r="I496" t="s">
        <v>175</v>
      </c>
      <c r="J496" t="s">
        <v>665</v>
      </c>
      <c r="L496" t="s">
        <v>666</v>
      </c>
      <c r="M496" s="25">
        <v>6</v>
      </c>
      <c r="N496" s="4">
        <v>6</v>
      </c>
      <c r="O496">
        <v>26426</v>
      </c>
      <c r="T496" t="s">
        <v>178</v>
      </c>
      <c r="U496" t="s">
        <v>104</v>
      </c>
      <c r="V496" s="25">
        <v>3.65</v>
      </c>
      <c r="W496" s="18" t="s">
        <v>367</v>
      </c>
      <c r="Y496" s="6">
        <f t="shared" si="68"/>
        <v>158556</v>
      </c>
      <c r="Z496" s="6">
        <f t="shared" si="69"/>
        <v>96454.9</v>
      </c>
      <c r="AA496" s="6">
        <f t="shared" si="70"/>
        <v>158556</v>
      </c>
      <c r="AB496" s="6">
        <f t="shared" si="65"/>
        <v>0</v>
      </c>
      <c r="AC496" t="s">
        <v>16</v>
      </c>
      <c r="AD496" s="3" t="s">
        <v>168</v>
      </c>
    </row>
    <row r="497" spans="1:30" ht="15.75" customHeight="1" x14ac:dyDescent="0.2">
      <c r="A497" s="7" t="str">
        <f t="shared" si="66"/>
        <v>SHENZHEN STRONG TECHNOLOGY CO., LTD.J581New Buy</v>
      </c>
      <c r="B497" s="7" t="str">
        <f t="shared" si="67"/>
        <v>iPadNew Buy</v>
      </c>
      <c r="C497">
        <v>407324</v>
      </c>
      <c r="D497" t="s">
        <v>76</v>
      </c>
      <c r="E497" t="s">
        <v>166</v>
      </c>
      <c r="F497" t="s">
        <v>173</v>
      </c>
      <c r="G497" t="s">
        <v>174</v>
      </c>
      <c r="H497" t="s">
        <v>167</v>
      </c>
      <c r="I497" t="s">
        <v>175</v>
      </c>
      <c r="J497" t="s">
        <v>667</v>
      </c>
      <c r="L497" t="s">
        <v>668</v>
      </c>
      <c r="M497" s="25">
        <v>6</v>
      </c>
      <c r="N497" s="4">
        <v>6</v>
      </c>
      <c r="O497">
        <v>21596</v>
      </c>
      <c r="T497" t="s">
        <v>178</v>
      </c>
      <c r="U497" t="s">
        <v>66</v>
      </c>
      <c r="V497" s="25">
        <v>3.65</v>
      </c>
      <c r="W497" s="18" t="s">
        <v>367</v>
      </c>
      <c r="Y497" s="6">
        <f t="shared" si="68"/>
        <v>129576</v>
      </c>
      <c r="Z497" s="6">
        <f t="shared" si="69"/>
        <v>78825.399999999994</v>
      </c>
      <c r="AA497" s="6">
        <f t="shared" si="70"/>
        <v>129576</v>
      </c>
      <c r="AB497" s="6">
        <f t="shared" si="65"/>
        <v>0</v>
      </c>
      <c r="AC497" t="s">
        <v>16</v>
      </c>
      <c r="AD497" s="3" t="s">
        <v>168</v>
      </c>
    </row>
    <row r="498" spans="1:30" ht="15.75" customHeight="1" x14ac:dyDescent="0.2">
      <c r="A498" s="7" t="str">
        <f t="shared" si="66"/>
        <v>SHENZHEN STRONG TECHNOLOGY CO., LTD.J581New Buy</v>
      </c>
      <c r="B498" s="7" t="str">
        <f t="shared" si="67"/>
        <v>iPadNew Buy</v>
      </c>
      <c r="C498">
        <v>407323</v>
      </c>
      <c r="D498" t="s">
        <v>76</v>
      </c>
      <c r="E498" t="s">
        <v>166</v>
      </c>
      <c r="F498" t="s">
        <v>173</v>
      </c>
      <c r="G498" t="s">
        <v>174</v>
      </c>
      <c r="H498" t="s">
        <v>167</v>
      </c>
      <c r="I498" t="s">
        <v>175</v>
      </c>
      <c r="J498" t="s">
        <v>667</v>
      </c>
      <c r="L498" t="s">
        <v>668</v>
      </c>
      <c r="M498" s="25">
        <v>7.2</v>
      </c>
      <c r="N498" s="4">
        <v>6</v>
      </c>
      <c r="O498">
        <v>41739</v>
      </c>
      <c r="T498" t="s">
        <v>178</v>
      </c>
      <c r="U498" t="s">
        <v>116</v>
      </c>
      <c r="V498" s="25">
        <v>3.65</v>
      </c>
      <c r="W498" s="18" t="s">
        <v>367</v>
      </c>
      <c r="Y498" s="6">
        <f t="shared" si="68"/>
        <v>300520.8</v>
      </c>
      <c r="Z498" s="6">
        <f t="shared" si="69"/>
        <v>152347.35</v>
      </c>
      <c r="AA498" s="6">
        <f t="shared" si="70"/>
        <v>250434</v>
      </c>
      <c r="AB498" s="6">
        <f t="shared" si="65"/>
        <v>50086.799999999988</v>
      </c>
      <c r="AC498" t="s">
        <v>33</v>
      </c>
      <c r="AD498" s="3" t="s">
        <v>168</v>
      </c>
    </row>
    <row r="499" spans="1:30" ht="15.75" customHeight="1" x14ac:dyDescent="0.2">
      <c r="A499" s="7" t="str">
        <f t="shared" si="66"/>
        <v>SHENZHEN STRONG TECHNOLOGY CO., LTD.J581New Buy</v>
      </c>
      <c r="B499" s="7" t="str">
        <f t="shared" si="67"/>
        <v>iPadNew Buy</v>
      </c>
      <c r="C499">
        <v>407301</v>
      </c>
      <c r="D499" t="s">
        <v>76</v>
      </c>
      <c r="E499" t="s">
        <v>166</v>
      </c>
      <c r="F499" t="s">
        <v>173</v>
      </c>
      <c r="G499" t="s">
        <v>174</v>
      </c>
      <c r="H499" t="s">
        <v>167</v>
      </c>
      <c r="I499" t="s">
        <v>175</v>
      </c>
      <c r="J499" t="s">
        <v>669</v>
      </c>
      <c r="L499" t="s">
        <v>670</v>
      </c>
      <c r="M499" s="25">
        <v>2450</v>
      </c>
      <c r="N499" s="4">
        <v>2355</v>
      </c>
      <c r="O499">
        <v>1</v>
      </c>
      <c r="T499" t="s">
        <v>178</v>
      </c>
      <c r="U499" t="s">
        <v>66</v>
      </c>
      <c r="V499" s="25">
        <v>1862</v>
      </c>
      <c r="W499" s="18" t="s">
        <v>367</v>
      </c>
      <c r="Y499" s="6">
        <f t="shared" si="68"/>
        <v>2450</v>
      </c>
      <c r="Z499" s="6">
        <f t="shared" si="69"/>
        <v>1862</v>
      </c>
      <c r="AA499" s="6">
        <f t="shared" si="70"/>
        <v>2355</v>
      </c>
      <c r="AB499" s="6">
        <f t="shared" si="65"/>
        <v>95</v>
      </c>
      <c r="AC499" t="s">
        <v>16</v>
      </c>
      <c r="AD499" s="3" t="s">
        <v>168</v>
      </c>
    </row>
    <row r="500" spans="1:30" ht="15.75" customHeight="1" x14ac:dyDescent="0.2">
      <c r="A500" s="7" t="str">
        <f t="shared" si="66"/>
        <v>SHENZHEN STRONG TECHNOLOGY CO., LTD.J581New Buy</v>
      </c>
      <c r="B500" s="7" t="str">
        <f t="shared" si="67"/>
        <v>iPadNew Buy</v>
      </c>
      <c r="C500">
        <v>407300</v>
      </c>
      <c r="D500" t="s">
        <v>76</v>
      </c>
      <c r="E500" t="s">
        <v>166</v>
      </c>
      <c r="F500" t="s">
        <v>173</v>
      </c>
      <c r="G500" t="s">
        <v>174</v>
      </c>
      <c r="H500" t="s">
        <v>167</v>
      </c>
      <c r="I500" t="s">
        <v>175</v>
      </c>
      <c r="J500" t="s">
        <v>669</v>
      </c>
      <c r="L500" t="s">
        <v>670</v>
      </c>
      <c r="M500" s="25">
        <v>3675</v>
      </c>
      <c r="N500" s="4">
        <v>2355</v>
      </c>
      <c r="O500">
        <v>1</v>
      </c>
      <c r="T500" t="s">
        <v>178</v>
      </c>
      <c r="U500" t="s">
        <v>116</v>
      </c>
      <c r="V500" s="25">
        <v>1862</v>
      </c>
      <c r="W500" s="18" t="s">
        <v>367</v>
      </c>
      <c r="Y500" s="6">
        <f t="shared" si="68"/>
        <v>3675</v>
      </c>
      <c r="Z500" s="6">
        <f t="shared" si="69"/>
        <v>1862</v>
      </c>
      <c r="AA500" s="6">
        <f t="shared" si="70"/>
        <v>2355</v>
      </c>
      <c r="AB500" s="6">
        <f t="shared" si="65"/>
        <v>1320</v>
      </c>
      <c r="AC500" t="s">
        <v>33</v>
      </c>
      <c r="AD500" s="3" t="s">
        <v>168</v>
      </c>
    </row>
    <row r="501" spans="1:30" ht="15.75" customHeight="1" x14ac:dyDescent="0.2">
      <c r="A501" s="7" t="str">
        <f t="shared" si="66"/>
        <v>SHENZHEN STRONG TECHNOLOGY CO., LTD.J581Retrofit</v>
      </c>
      <c r="B501" s="7" t="str">
        <f t="shared" si="67"/>
        <v>iPadNew Buy</v>
      </c>
      <c r="C501">
        <v>407299</v>
      </c>
      <c r="D501" t="s">
        <v>76</v>
      </c>
      <c r="E501" t="s">
        <v>166</v>
      </c>
      <c r="F501" t="s">
        <v>173</v>
      </c>
      <c r="G501" t="s">
        <v>174</v>
      </c>
      <c r="H501" t="s">
        <v>170</v>
      </c>
      <c r="I501" t="s">
        <v>175</v>
      </c>
      <c r="J501" t="s">
        <v>669</v>
      </c>
      <c r="L501" t="s">
        <v>670</v>
      </c>
      <c r="M501" s="25">
        <v>2450</v>
      </c>
      <c r="N501" s="4">
        <v>2355</v>
      </c>
      <c r="O501">
        <v>7</v>
      </c>
      <c r="T501" t="s">
        <v>178</v>
      </c>
      <c r="U501" t="s">
        <v>104</v>
      </c>
      <c r="V501" s="25">
        <v>1862</v>
      </c>
      <c r="W501" s="18" t="s">
        <v>367</v>
      </c>
      <c r="Y501" s="6">
        <f t="shared" si="68"/>
        <v>17150</v>
      </c>
      <c r="Z501" s="6">
        <f t="shared" si="69"/>
        <v>13034</v>
      </c>
      <c r="AA501" s="6">
        <f t="shared" si="70"/>
        <v>16485</v>
      </c>
      <c r="AB501" s="6">
        <f t="shared" si="65"/>
        <v>665</v>
      </c>
      <c r="AC501" t="s">
        <v>16</v>
      </c>
      <c r="AD501" s="3" t="s">
        <v>171</v>
      </c>
    </row>
    <row r="502" spans="1:30" ht="15.75" customHeight="1" x14ac:dyDescent="0.2">
      <c r="A502" s="7" t="str">
        <f t="shared" si="66"/>
        <v>SHENZHEN STRONG TECHNOLOGY CO., LTD.J581New Buy</v>
      </c>
      <c r="B502" s="7" t="str">
        <f t="shared" si="67"/>
        <v>iPadNew Buy</v>
      </c>
      <c r="C502">
        <v>407260</v>
      </c>
      <c r="D502" t="s">
        <v>76</v>
      </c>
      <c r="E502" t="s">
        <v>166</v>
      </c>
      <c r="F502" t="s">
        <v>173</v>
      </c>
      <c r="G502" t="s">
        <v>174</v>
      </c>
      <c r="H502" t="s">
        <v>167</v>
      </c>
      <c r="I502" t="s">
        <v>131</v>
      </c>
      <c r="J502" t="s">
        <v>671</v>
      </c>
      <c r="L502" t="s">
        <v>672</v>
      </c>
      <c r="M502" s="25">
        <v>195</v>
      </c>
      <c r="N502" s="4">
        <v>132</v>
      </c>
      <c r="O502">
        <v>2</v>
      </c>
      <c r="T502" t="s">
        <v>178</v>
      </c>
      <c r="U502" t="s">
        <v>116</v>
      </c>
      <c r="V502" s="25">
        <v>98.04</v>
      </c>
      <c r="W502" s="18">
        <v>125</v>
      </c>
      <c r="Y502" s="6">
        <f t="shared" si="68"/>
        <v>390</v>
      </c>
      <c r="Z502" s="6">
        <f t="shared" si="69"/>
        <v>196.08</v>
      </c>
      <c r="AA502" s="6">
        <f t="shared" si="70"/>
        <v>264</v>
      </c>
      <c r="AB502" s="6">
        <f t="shared" si="65"/>
        <v>126</v>
      </c>
      <c r="AC502" t="s">
        <v>33</v>
      </c>
      <c r="AD502" s="3" t="s">
        <v>168</v>
      </c>
    </row>
    <row r="503" spans="1:30" ht="15.75" customHeight="1" x14ac:dyDescent="0.2">
      <c r="A503" s="7" t="str">
        <f t="shared" si="66"/>
        <v>SHENZHEN STRONG TECHNOLOGY CO., LTD.J581New Buy</v>
      </c>
      <c r="B503" s="7" t="str">
        <f t="shared" si="67"/>
        <v>iPadNew Buy</v>
      </c>
      <c r="C503">
        <v>407259</v>
      </c>
      <c r="D503" t="s">
        <v>76</v>
      </c>
      <c r="E503" t="s">
        <v>166</v>
      </c>
      <c r="F503" t="s">
        <v>173</v>
      </c>
      <c r="G503" t="s">
        <v>174</v>
      </c>
      <c r="H503" t="s">
        <v>167</v>
      </c>
      <c r="I503" t="s">
        <v>175</v>
      </c>
      <c r="J503" t="s">
        <v>671</v>
      </c>
      <c r="L503" t="s">
        <v>673</v>
      </c>
      <c r="M503" s="25">
        <v>132</v>
      </c>
      <c r="N503" s="4">
        <v>132</v>
      </c>
      <c r="O503">
        <v>2</v>
      </c>
      <c r="T503" t="s">
        <v>178</v>
      </c>
      <c r="U503" t="s">
        <v>104</v>
      </c>
      <c r="V503" s="25">
        <v>98.04</v>
      </c>
      <c r="W503" s="18">
        <v>125</v>
      </c>
      <c r="Y503" s="6">
        <f t="shared" si="68"/>
        <v>264</v>
      </c>
      <c r="Z503" s="6">
        <f t="shared" si="69"/>
        <v>196.08</v>
      </c>
      <c r="AA503" s="6">
        <f t="shared" si="70"/>
        <v>264</v>
      </c>
      <c r="AB503" s="6">
        <f t="shared" si="65"/>
        <v>0</v>
      </c>
      <c r="AC503" t="s">
        <v>16</v>
      </c>
      <c r="AD503" s="3" t="s">
        <v>168</v>
      </c>
    </row>
    <row r="504" spans="1:30" ht="15.75" customHeight="1" x14ac:dyDescent="0.2">
      <c r="A504" s="7" t="str">
        <f t="shared" si="66"/>
        <v>SHENZHEN STRONG TECHNOLOGY CO., LTD.J581New Buy</v>
      </c>
      <c r="B504" s="7" t="str">
        <f t="shared" si="67"/>
        <v>iPadNew Buy</v>
      </c>
      <c r="C504">
        <v>407258</v>
      </c>
      <c r="D504" t="s">
        <v>76</v>
      </c>
      <c r="E504" t="s">
        <v>166</v>
      </c>
      <c r="F504" t="s">
        <v>173</v>
      </c>
      <c r="G504" t="s">
        <v>174</v>
      </c>
      <c r="H504" t="s">
        <v>167</v>
      </c>
      <c r="I504" t="s">
        <v>175</v>
      </c>
      <c r="J504" t="s">
        <v>671</v>
      </c>
      <c r="L504" t="s">
        <v>673</v>
      </c>
      <c r="M504" s="25">
        <v>132</v>
      </c>
      <c r="N504" s="4">
        <v>132</v>
      </c>
      <c r="O504">
        <v>2</v>
      </c>
      <c r="T504" t="s">
        <v>178</v>
      </c>
      <c r="U504" t="s">
        <v>66</v>
      </c>
      <c r="V504" s="25">
        <v>98.04</v>
      </c>
      <c r="W504" s="18">
        <v>125</v>
      </c>
      <c r="Y504" s="6">
        <f t="shared" si="68"/>
        <v>264</v>
      </c>
      <c r="Z504" s="6">
        <f t="shared" si="69"/>
        <v>196.08</v>
      </c>
      <c r="AA504" s="6">
        <f t="shared" si="70"/>
        <v>264</v>
      </c>
      <c r="AB504" s="6">
        <f t="shared" si="65"/>
        <v>0</v>
      </c>
      <c r="AC504" t="s">
        <v>16</v>
      </c>
      <c r="AD504" s="3" t="s">
        <v>168</v>
      </c>
    </row>
    <row r="505" spans="1:30" ht="15.75" customHeight="1" x14ac:dyDescent="0.2">
      <c r="A505" s="7" t="str">
        <f t="shared" si="66"/>
        <v>SHENZHEN STRONG TECHNOLOGY CO., LTD.J581New Buy</v>
      </c>
      <c r="B505" s="7" t="str">
        <f t="shared" si="67"/>
        <v>iPadNew Buy</v>
      </c>
      <c r="C505">
        <v>407256</v>
      </c>
      <c r="D505" t="s">
        <v>76</v>
      </c>
      <c r="E505" t="s">
        <v>166</v>
      </c>
      <c r="F505" t="s">
        <v>173</v>
      </c>
      <c r="G505" t="s">
        <v>174</v>
      </c>
      <c r="H505" t="s">
        <v>167</v>
      </c>
      <c r="I505" t="s">
        <v>175</v>
      </c>
      <c r="J505" t="s">
        <v>674</v>
      </c>
      <c r="L505" t="s">
        <v>675</v>
      </c>
      <c r="M505" s="25">
        <v>195</v>
      </c>
      <c r="N505" s="4">
        <v>132</v>
      </c>
      <c r="O505">
        <v>2</v>
      </c>
      <c r="T505" t="s">
        <v>178</v>
      </c>
      <c r="U505" t="s">
        <v>116</v>
      </c>
      <c r="V505" s="25">
        <v>98.04</v>
      </c>
      <c r="W505" s="18">
        <v>125</v>
      </c>
      <c r="Y505" s="6">
        <f t="shared" si="68"/>
        <v>390</v>
      </c>
      <c r="Z505" s="6">
        <f t="shared" si="69"/>
        <v>196.08</v>
      </c>
      <c r="AA505" s="6">
        <f t="shared" si="70"/>
        <v>264</v>
      </c>
      <c r="AB505" s="6">
        <f t="shared" si="65"/>
        <v>126</v>
      </c>
      <c r="AC505" t="s">
        <v>33</v>
      </c>
      <c r="AD505" s="3" t="s">
        <v>168</v>
      </c>
    </row>
    <row r="506" spans="1:30" ht="15.75" customHeight="1" x14ac:dyDescent="0.2">
      <c r="A506" s="7" t="str">
        <f t="shared" si="66"/>
        <v>SHENZHEN STRONG TECHNOLOGY CO., LTD.J581New Buy</v>
      </c>
      <c r="B506" s="7" t="str">
        <f t="shared" si="67"/>
        <v>iPadNew Buy</v>
      </c>
      <c r="C506">
        <v>407255</v>
      </c>
      <c r="D506" t="s">
        <v>76</v>
      </c>
      <c r="E506" t="s">
        <v>166</v>
      </c>
      <c r="F506" t="s">
        <v>173</v>
      </c>
      <c r="G506" t="s">
        <v>174</v>
      </c>
      <c r="H506" t="s">
        <v>167</v>
      </c>
      <c r="I506" t="s">
        <v>175</v>
      </c>
      <c r="J506" t="s">
        <v>674</v>
      </c>
      <c r="L506" t="s">
        <v>676</v>
      </c>
      <c r="M506" s="25">
        <v>132</v>
      </c>
      <c r="N506" s="4">
        <v>132</v>
      </c>
      <c r="O506">
        <v>2</v>
      </c>
      <c r="T506" t="s">
        <v>178</v>
      </c>
      <c r="U506" t="s">
        <v>104</v>
      </c>
      <c r="V506" s="25">
        <v>98.04</v>
      </c>
      <c r="W506" s="18">
        <v>125</v>
      </c>
      <c r="Y506" s="6">
        <f t="shared" si="68"/>
        <v>264</v>
      </c>
      <c r="Z506" s="6">
        <f t="shared" si="69"/>
        <v>196.08</v>
      </c>
      <c r="AA506" s="6">
        <f t="shared" si="70"/>
        <v>264</v>
      </c>
      <c r="AB506" s="6">
        <f t="shared" si="65"/>
        <v>0</v>
      </c>
      <c r="AC506" t="s">
        <v>16</v>
      </c>
      <c r="AD506" s="3" t="s">
        <v>168</v>
      </c>
    </row>
    <row r="507" spans="1:30" ht="15.75" customHeight="1" x14ac:dyDescent="0.2">
      <c r="A507" s="7" t="str">
        <f t="shared" si="66"/>
        <v>SHENZHEN STRONG TECHNOLOGY CO., LTD.J581New Buy</v>
      </c>
      <c r="B507" s="7" t="str">
        <f t="shared" si="67"/>
        <v>iPadNew Buy</v>
      </c>
      <c r="C507">
        <v>407254</v>
      </c>
      <c r="D507" t="s">
        <v>76</v>
      </c>
      <c r="E507" t="s">
        <v>166</v>
      </c>
      <c r="F507" t="s">
        <v>173</v>
      </c>
      <c r="G507" t="s">
        <v>174</v>
      </c>
      <c r="H507" t="s">
        <v>167</v>
      </c>
      <c r="I507" t="s">
        <v>175</v>
      </c>
      <c r="J507" t="s">
        <v>674</v>
      </c>
      <c r="L507" t="s">
        <v>676</v>
      </c>
      <c r="M507" s="25">
        <v>132</v>
      </c>
      <c r="N507" s="4">
        <v>132</v>
      </c>
      <c r="O507">
        <v>2</v>
      </c>
      <c r="T507" t="s">
        <v>178</v>
      </c>
      <c r="U507" t="s">
        <v>66</v>
      </c>
      <c r="V507" s="25">
        <v>98.04</v>
      </c>
      <c r="W507" s="18">
        <v>125</v>
      </c>
      <c r="Y507" s="6">
        <f t="shared" si="68"/>
        <v>264</v>
      </c>
      <c r="Z507" s="6">
        <f t="shared" si="69"/>
        <v>196.08</v>
      </c>
      <c r="AA507" s="6">
        <f t="shared" si="70"/>
        <v>264</v>
      </c>
      <c r="AB507" s="6">
        <f t="shared" si="65"/>
        <v>0</v>
      </c>
      <c r="AC507" t="s">
        <v>16</v>
      </c>
      <c r="AD507" s="3" t="s">
        <v>168</v>
      </c>
    </row>
    <row r="508" spans="1:30" ht="15.75" customHeight="1" x14ac:dyDescent="0.2">
      <c r="A508" s="7" t="str">
        <f t="shared" si="66"/>
        <v>SHENZHEN STRONG TECHNOLOGY CO., LTD.J581New Buy</v>
      </c>
      <c r="B508" s="7" t="str">
        <f t="shared" si="67"/>
        <v>iPadNew Buy</v>
      </c>
      <c r="C508">
        <v>407251</v>
      </c>
      <c r="D508" t="s">
        <v>76</v>
      </c>
      <c r="E508" t="s">
        <v>166</v>
      </c>
      <c r="F508" t="s">
        <v>173</v>
      </c>
      <c r="G508" t="s">
        <v>174</v>
      </c>
      <c r="H508" t="s">
        <v>167</v>
      </c>
      <c r="I508" t="s">
        <v>175</v>
      </c>
      <c r="J508" t="s">
        <v>677</v>
      </c>
      <c r="L508" t="s">
        <v>678</v>
      </c>
      <c r="M508" s="25">
        <v>207</v>
      </c>
      <c r="N508" s="4">
        <v>145.33000000000001</v>
      </c>
      <c r="O508">
        <v>2</v>
      </c>
      <c r="T508" t="s">
        <v>178</v>
      </c>
      <c r="U508" t="s">
        <v>116</v>
      </c>
      <c r="V508" s="25">
        <v>104.88</v>
      </c>
      <c r="W508" s="18">
        <v>125</v>
      </c>
      <c r="Y508" s="6">
        <f t="shared" si="68"/>
        <v>414</v>
      </c>
      <c r="Z508" s="6">
        <f t="shared" si="69"/>
        <v>209.76</v>
      </c>
      <c r="AA508" s="6">
        <f t="shared" si="70"/>
        <v>290.66000000000003</v>
      </c>
      <c r="AB508" s="6">
        <f t="shared" si="65"/>
        <v>123.33999999999997</v>
      </c>
      <c r="AC508" t="s">
        <v>33</v>
      </c>
      <c r="AD508" s="3" t="s">
        <v>168</v>
      </c>
    </row>
    <row r="509" spans="1:30" ht="15.75" customHeight="1" x14ac:dyDescent="0.2">
      <c r="A509" s="7" t="str">
        <f t="shared" si="66"/>
        <v>SHENZHEN STRONG TECHNOLOGY CO., LTD.J581New Buy</v>
      </c>
      <c r="B509" s="7" t="str">
        <f t="shared" si="67"/>
        <v>iPadNew Buy</v>
      </c>
      <c r="C509">
        <v>407250</v>
      </c>
      <c r="D509" t="s">
        <v>76</v>
      </c>
      <c r="E509" t="s">
        <v>166</v>
      </c>
      <c r="F509" t="s">
        <v>173</v>
      </c>
      <c r="G509" t="s">
        <v>174</v>
      </c>
      <c r="H509" t="s">
        <v>167</v>
      </c>
      <c r="I509" t="s">
        <v>175</v>
      </c>
      <c r="J509" t="s">
        <v>677</v>
      </c>
      <c r="L509" t="s">
        <v>679</v>
      </c>
      <c r="M509" s="25">
        <v>145.33000000000001</v>
      </c>
      <c r="N509" s="4">
        <v>145.33000000000001</v>
      </c>
      <c r="O509">
        <v>2</v>
      </c>
      <c r="T509" t="s">
        <v>178</v>
      </c>
      <c r="U509" t="s">
        <v>104</v>
      </c>
      <c r="V509" s="25">
        <v>104.88</v>
      </c>
      <c r="W509" s="18">
        <v>125</v>
      </c>
      <c r="Y509" s="6">
        <f t="shared" si="68"/>
        <v>290.66000000000003</v>
      </c>
      <c r="Z509" s="6">
        <f t="shared" si="69"/>
        <v>209.76</v>
      </c>
      <c r="AA509" s="6">
        <f t="shared" si="70"/>
        <v>290.66000000000003</v>
      </c>
      <c r="AB509" s="6">
        <f t="shared" si="65"/>
        <v>0</v>
      </c>
      <c r="AC509" t="s">
        <v>16</v>
      </c>
      <c r="AD509" s="3" t="s">
        <v>168</v>
      </c>
    </row>
    <row r="510" spans="1:30" ht="15.75" customHeight="1" x14ac:dyDescent="0.2">
      <c r="A510" s="7" t="str">
        <f t="shared" si="66"/>
        <v>SHENZHEN STRONG TECHNOLOGY CO., LTD.J581New Buy</v>
      </c>
      <c r="B510" s="7" t="str">
        <f t="shared" si="67"/>
        <v>iPadNew Buy</v>
      </c>
      <c r="C510">
        <v>407249</v>
      </c>
      <c r="D510" t="s">
        <v>76</v>
      </c>
      <c r="E510" t="s">
        <v>166</v>
      </c>
      <c r="F510" t="s">
        <v>173</v>
      </c>
      <c r="G510" t="s">
        <v>174</v>
      </c>
      <c r="H510" t="s">
        <v>167</v>
      </c>
      <c r="I510" t="s">
        <v>175</v>
      </c>
      <c r="J510" t="s">
        <v>677</v>
      </c>
      <c r="L510" t="s">
        <v>679</v>
      </c>
      <c r="M510" s="25">
        <v>145.33000000000001</v>
      </c>
      <c r="N510" s="4">
        <v>145.33000000000001</v>
      </c>
      <c r="O510">
        <v>2</v>
      </c>
      <c r="T510" t="s">
        <v>178</v>
      </c>
      <c r="U510" t="s">
        <v>66</v>
      </c>
      <c r="V510" s="25">
        <v>104.88</v>
      </c>
      <c r="W510" s="18">
        <v>125</v>
      </c>
      <c r="Y510" s="6">
        <f t="shared" si="68"/>
        <v>290.66000000000003</v>
      </c>
      <c r="Z510" s="6">
        <f t="shared" si="69"/>
        <v>209.76</v>
      </c>
      <c r="AA510" s="6">
        <f t="shared" si="70"/>
        <v>290.66000000000003</v>
      </c>
      <c r="AB510" s="6">
        <f t="shared" si="65"/>
        <v>0</v>
      </c>
      <c r="AC510" t="s">
        <v>16</v>
      </c>
      <c r="AD510" s="3" t="s">
        <v>168</v>
      </c>
    </row>
    <row r="511" spans="1:30" ht="15.75" customHeight="1" x14ac:dyDescent="0.2">
      <c r="A511" s="7" t="str">
        <f t="shared" si="66"/>
        <v>SHENZHEN STRONG TECHNOLOGY CO., LTD.J581New Buy</v>
      </c>
      <c r="B511" s="7" t="str">
        <f t="shared" si="67"/>
        <v>iPadNew Buy</v>
      </c>
      <c r="C511">
        <v>407242</v>
      </c>
      <c r="D511" t="s">
        <v>76</v>
      </c>
      <c r="E511" t="s">
        <v>166</v>
      </c>
      <c r="F511" t="s">
        <v>173</v>
      </c>
      <c r="G511" t="s">
        <v>174</v>
      </c>
      <c r="H511" t="s">
        <v>167</v>
      </c>
      <c r="I511" t="s">
        <v>175</v>
      </c>
      <c r="J511" t="s">
        <v>680</v>
      </c>
      <c r="L511" t="s">
        <v>681</v>
      </c>
      <c r="M511" s="25">
        <v>207</v>
      </c>
      <c r="N511" s="4">
        <v>145.33000000000001</v>
      </c>
      <c r="O511">
        <v>2</v>
      </c>
      <c r="T511" t="s">
        <v>178</v>
      </c>
      <c r="U511" t="s">
        <v>116</v>
      </c>
      <c r="V511" s="25">
        <v>104.88</v>
      </c>
      <c r="W511" s="18">
        <v>125</v>
      </c>
      <c r="Y511" s="6">
        <f t="shared" si="68"/>
        <v>414</v>
      </c>
      <c r="Z511" s="6">
        <f t="shared" si="69"/>
        <v>209.76</v>
      </c>
      <c r="AA511" s="6">
        <f t="shared" si="70"/>
        <v>290.66000000000003</v>
      </c>
      <c r="AB511" s="6">
        <f t="shared" si="65"/>
        <v>123.33999999999997</v>
      </c>
      <c r="AC511" t="s">
        <v>33</v>
      </c>
      <c r="AD511" s="3" t="s">
        <v>168</v>
      </c>
    </row>
    <row r="512" spans="1:30" ht="15.75" customHeight="1" x14ac:dyDescent="0.2">
      <c r="A512" s="7" t="str">
        <f t="shared" si="66"/>
        <v>SHENZHEN STRONG TECHNOLOGY CO., LTD.J581New Buy</v>
      </c>
      <c r="B512" s="7" t="str">
        <f t="shared" si="67"/>
        <v>iPadNew Buy</v>
      </c>
      <c r="C512">
        <v>407241</v>
      </c>
      <c r="D512" t="s">
        <v>76</v>
      </c>
      <c r="E512" t="s">
        <v>166</v>
      </c>
      <c r="F512" t="s">
        <v>173</v>
      </c>
      <c r="G512" t="s">
        <v>174</v>
      </c>
      <c r="H512" t="s">
        <v>167</v>
      </c>
      <c r="I512" t="s">
        <v>175</v>
      </c>
      <c r="J512" t="s">
        <v>680</v>
      </c>
      <c r="L512" t="s">
        <v>682</v>
      </c>
      <c r="M512" s="25">
        <v>145.33000000000001</v>
      </c>
      <c r="N512" s="4">
        <v>145.33000000000001</v>
      </c>
      <c r="O512">
        <v>2</v>
      </c>
      <c r="T512" t="s">
        <v>178</v>
      </c>
      <c r="U512" t="s">
        <v>104</v>
      </c>
      <c r="V512" s="25">
        <v>104.88</v>
      </c>
      <c r="W512" s="18">
        <v>125</v>
      </c>
      <c r="Y512" s="6">
        <f t="shared" si="68"/>
        <v>290.66000000000003</v>
      </c>
      <c r="Z512" s="6">
        <f t="shared" si="69"/>
        <v>209.76</v>
      </c>
      <c r="AA512" s="6">
        <f t="shared" si="70"/>
        <v>290.66000000000003</v>
      </c>
      <c r="AB512" s="6">
        <f t="shared" si="65"/>
        <v>0</v>
      </c>
      <c r="AC512" t="s">
        <v>16</v>
      </c>
      <c r="AD512" s="3" t="s">
        <v>168</v>
      </c>
    </row>
    <row r="513" spans="1:39" ht="15.75" customHeight="1" x14ac:dyDescent="0.2">
      <c r="A513" s="7" t="str">
        <f t="shared" si="66"/>
        <v>SHENZHEN STRONG TECHNOLOGY CO., LTD.J581New Buy</v>
      </c>
      <c r="B513" s="7" t="str">
        <f t="shared" si="67"/>
        <v>iPadNew Buy</v>
      </c>
      <c r="C513">
        <v>407240</v>
      </c>
      <c r="D513" t="s">
        <v>76</v>
      </c>
      <c r="E513" t="s">
        <v>166</v>
      </c>
      <c r="F513" t="s">
        <v>173</v>
      </c>
      <c r="G513" t="s">
        <v>174</v>
      </c>
      <c r="H513" t="s">
        <v>167</v>
      </c>
      <c r="I513" t="s">
        <v>175</v>
      </c>
      <c r="J513" t="s">
        <v>680</v>
      </c>
      <c r="L513" t="s">
        <v>682</v>
      </c>
      <c r="M513" s="25">
        <v>145.33000000000001</v>
      </c>
      <c r="N513" s="4">
        <v>145.33000000000001</v>
      </c>
      <c r="O513">
        <v>2</v>
      </c>
      <c r="T513" t="s">
        <v>178</v>
      </c>
      <c r="U513" t="s">
        <v>66</v>
      </c>
      <c r="V513" s="25">
        <v>104.88</v>
      </c>
      <c r="W513" s="18">
        <v>125</v>
      </c>
      <c r="Y513" s="6">
        <f t="shared" si="68"/>
        <v>290.66000000000003</v>
      </c>
      <c r="Z513" s="6">
        <f t="shared" si="69"/>
        <v>209.76</v>
      </c>
      <c r="AA513" s="6">
        <f t="shared" si="70"/>
        <v>290.66000000000003</v>
      </c>
      <c r="AB513" s="6">
        <f t="shared" si="65"/>
        <v>0</v>
      </c>
      <c r="AC513" t="s">
        <v>16</v>
      </c>
      <c r="AD513" s="3" t="s">
        <v>168</v>
      </c>
    </row>
    <row r="514" spans="1:39" ht="15.75" customHeight="1" x14ac:dyDescent="0.2">
      <c r="A514" s="7" t="str">
        <f t="shared" si="66"/>
        <v>SHENZHEN STRONG TECHNOLOGY CO., LTD.J581New Buy</v>
      </c>
      <c r="B514" s="7" t="str">
        <f t="shared" si="67"/>
        <v>iPadNew Buy</v>
      </c>
      <c r="C514">
        <v>407239</v>
      </c>
      <c r="D514" t="s">
        <v>76</v>
      </c>
      <c r="E514" t="s">
        <v>166</v>
      </c>
      <c r="F514" t="s">
        <v>173</v>
      </c>
      <c r="G514" t="s">
        <v>174</v>
      </c>
      <c r="H514" t="s">
        <v>167</v>
      </c>
      <c r="I514" t="s">
        <v>175</v>
      </c>
      <c r="J514" t="s">
        <v>683</v>
      </c>
      <c r="L514" t="s">
        <v>684</v>
      </c>
      <c r="M514" s="25">
        <v>224</v>
      </c>
      <c r="N514" s="4">
        <v>142.66999999999999</v>
      </c>
      <c r="O514">
        <v>2</v>
      </c>
      <c r="T514" t="s">
        <v>178</v>
      </c>
      <c r="U514" t="s">
        <v>116</v>
      </c>
      <c r="V514" s="25">
        <v>113.24</v>
      </c>
      <c r="W514" s="18">
        <v>125</v>
      </c>
      <c r="Y514" s="6">
        <f t="shared" si="68"/>
        <v>448</v>
      </c>
      <c r="Z514" s="6">
        <f t="shared" si="69"/>
        <v>226.48</v>
      </c>
      <c r="AA514" s="6">
        <f t="shared" si="70"/>
        <v>285.33999999999997</v>
      </c>
      <c r="AB514" s="6">
        <f t="shared" si="65"/>
        <v>162.66000000000003</v>
      </c>
      <c r="AC514" t="s">
        <v>33</v>
      </c>
      <c r="AD514" s="3" t="s">
        <v>168</v>
      </c>
    </row>
    <row r="515" spans="1:39" ht="15.75" customHeight="1" x14ac:dyDescent="0.2">
      <c r="A515" s="7" t="str">
        <f t="shared" si="66"/>
        <v>SHENZHEN STRONG TECHNOLOGY CO., LTD.J581New Buy</v>
      </c>
      <c r="B515" s="7" t="str">
        <f t="shared" si="67"/>
        <v>iPadNew Buy</v>
      </c>
      <c r="C515">
        <v>407238</v>
      </c>
      <c r="D515" t="s">
        <v>76</v>
      </c>
      <c r="E515" t="s">
        <v>166</v>
      </c>
      <c r="F515" t="s">
        <v>173</v>
      </c>
      <c r="G515" t="s">
        <v>174</v>
      </c>
      <c r="H515" t="s">
        <v>167</v>
      </c>
      <c r="I515" t="s">
        <v>175</v>
      </c>
      <c r="J515" t="s">
        <v>683</v>
      </c>
      <c r="L515" t="s">
        <v>685</v>
      </c>
      <c r="M515" s="25">
        <v>149</v>
      </c>
      <c r="N515" s="4">
        <v>142.66999999999999</v>
      </c>
      <c r="O515">
        <v>2</v>
      </c>
      <c r="T515" t="s">
        <v>178</v>
      </c>
      <c r="U515" t="s">
        <v>104</v>
      </c>
      <c r="V515" s="25">
        <v>113.24</v>
      </c>
      <c r="W515" s="18">
        <v>125</v>
      </c>
      <c r="Y515" s="6">
        <f t="shared" si="68"/>
        <v>298</v>
      </c>
      <c r="Z515" s="6">
        <f t="shared" si="69"/>
        <v>226.48</v>
      </c>
      <c r="AA515" s="6">
        <f t="shared" si="70"/>
        <v>285.33999999999997</v>
      </c>
      <c r="AB515" s="6">
        <f t="shared" si="65"/>
        <v>12.660000000000025</v>
      </c>
      <c r="AC515" t="s">
        <v>16</v>
      </c>
      <c r="AD515" s="3" t="s">
        <v>168</v>
      </c>
    </row>
    <row r="516" spans="1:39" ht="15.75" customHeight="1" x14ac:dyDescent="0.2">
      <c r="A516" s="7" t="str">
        <f t="shared" si="66"/>
        <v>SHENZHEN STRONG TECHNOLOGY CO., LTD.J581New Buy</v>
      </c>
      <c r="B516" s="7" t="str">
        <f t="shared" si="67"/>
        <v>iPadNew Buy</v>
      </c>
      <c r="C516">
        <v>407237</v>
      </c>
      <c r="D516" t="s">
        <v>76</v>
      </c>
      <c r="E516" t="s">
        <v>166</v>
      </c>
      <c r="F516" t="s">
        <v>173</v>
      </c>
      <c r="G516" t="s">
        <v>174</v>
      </c>
      <c r="H516" t="s">
        <v>167</v>
      </c>
      <c r="I516" t="s">
        <v>175</v>
      </c>
      <c r="J516" t="s">
        <v>683</v>
      </c>
      <c r="L516" t="s">
        <v>685</v>
      </c>
      <c r="M516" s="25">
        <v>149</v>
      </c>
      <c r="N516" s="4">
        <v>142.66999999999999</v>
      </c>
      <c r="O516">
        <v>2</v>
      </c>
      <c r="T516" t="s">
        <v>178</v>
      </c>
      <c r="U516" t="s">
        <v>66</v>
      </c>
      <c r="V516" s="25">
        <v>113.24</v>
      </c>
      <c r="W516" s="18">
        <v>125</v>
      </c>
      <c r="Y516" s="6">
        <f t="shared" si="68"/>
        <v>298</v>
      </c>
      <c r="Z516" s="6">
        <f t="shared" si="69"/>
        <v>226.48</v>
      </c>
      <c r="AA516" s="6">
        <f t="shared" si="70"/>
        <v>285.33999999999997</v>
      </c>
      <c r="AB516" s="6">
        <f t="shared" si="65"/>
        <v>12.660000000000025</v>
      </c>
      <c r="AC516" t="s">
        <v>16</v>
      </c>
      <c r="AD516" s="3" t="s">
        <v>168</v>
      </c>
    </row>
    <row r="517" spans="1:39" ht="15.75" customHeight="1" x14ac:dyDescent="0.2">
      <c r="A517" s="7" t="str">
        <f t="shared" si="66"/>
        <v>SHENZHEN STRONG TECHNOLOGY CO., LTD.J581New Buy</v>
      </c>
      <c r="B517" s="7" t="str">
        <f t="shared" si="67"/>
        <v>iPadNew Buy</v>
      </c>
      <c r="C517">
        <v>407236</v>
      </c>
      <c r="D517" t="s">
        <v>76</v>
      </c>
      <c r="E517" t="s">
        <v>166</v>
      </c>
      <c r="F517" t="s">
        <v>173</v>
      </c>
      <c r="G517" t="s">
        <v>174</v>
      </c>
      <c r="H517" t="s">
        <v>167</v>
      </c>
      <c r="I517" t="s">
        <v>175</v>
      </c>
      <c r="J517" t="s">
        <v>686</v>
      </c>
      <c r="L517" t="s">
        <v>687</v>
      </c>
      <c r="M517" s="25">
        <v>224</v>
      </c>
      <c r="N517" s="4">
        <v>142.66999999999999</v>
      </c>
      <c r="O517">
        <v>2</v>
      </c>
      <c r="T517" t="s">
        <v>178</v>
      </c>
      <c r="U517" t="s">
        <v>116</v>
      </c>
      <c r="V517" s="25">
        <v>113.24</v>
      </c>
      <c r="W517" s="18">
        <v>125</v>
      </c>
      <c r="Y517" s="6">
        <f t="shared" si="68"/>
        <v>448</v>
      </c>
      <c r="Z517" s="6">
        <f t="shared" si="69"/>
        <v>226.48</v>
      </c>
      <c r="AA517" s="6">
        <f t="shared" si="70"/>
        <v>285.33999999999997</v>
      </c>
      <c r="AB517" s="6">
        <f t="shared" si="65"/>
        <v>162.66000000000003</v>
      </c>
      <c r="AC517" t="s">
        <v>33</v>
      </c>
      <c r="AD517" s="3" t="s">
        <v>168</v>
      </c>
    </row>
    <row r="518" spans="1:39" ht="15.75" customHeight="1" x14ac:dyDescent="0.2">
      <c r="A518" s="7" t="str">
        <f t="shared" si="66"/>
        <v>SHENZHEN STRONG TECHNOLOGY CO., LTD.J581New Buy</v>
      </c>
      <c r="B518" s="7" t="str">
        <f t="shared" si="67"/>
        <v>iPadNew Buy</v>
      </c>
      <c r="C518">
        <v>407235</v>
      </c>
      <c r="D518" t="s">
        <v>76</v>
      </c>
      <c r="E518" t="s">
        <v>166</v>
      </c>
      <c r="F518" t="s">
        <v>173</v>
      </c>
      <c r="G518" t="s">
        <v>174</v>
      </c>
      <c r="H518" t="s">
        <v>167</v>
      </c>
      <c r="I518" t="s">
        <v>175</v>
      </c>
      <c r="J518" t="s">
        <v>686</v>
      </c>
      <c r="L518" t="s">
        <v>688</v>
      </c>
      <c r="M518" s="25">
        <v>149</v>
      </c>
      <c r="N518" s="4">
        <v>142.66999999999999</v>
      </c>
      <c r="O518">
        <v>2</v>
      </c>
      <c r="T518" t="s">
        <v>178</v>
      </c>
      <c r="U518" t="s">
        <v>104</v>
      </c>
      <c r="V518" s="25">
        <v>113.24</v>
      </c>
      <c r="W518" s="18">
        <v>125</v>
      </c>
      <c r="Y518" s="6">
        <f t="shared" si="68"/>
        <v>298</v>
      </c>
      <c r="Z518" s="6">
        <f t="shared" si="69"/>
        <v>226.48</v>
      </c>
      <c r="AA518" s="6">
        <f t="shared" si="70"/>
        <v>285.33999999999997</v>
      </c>
      <c r="AB518" s="6">
        <f t="shared" si="65"/>
        <v>12.660000000000025</v>
      </c>
      <c r="AC518" t="s">
        <v>16</v>
      </c>
      <c r="AD518" s="3" t="s">
        <v>168</v>
      </c>
    </row>
    <row r="519" spans="1:39" ht="15.75" customHeight="1" x14ac:dyDescent="0.2">
      <c r="A519" s="7" t="str">
        <f t="shared" si="66"/>
        <v>SHENZHEN STRONG TECHNOLOGY CO., LTD.J581New Buy</v>
      </c>
      <c r="B519" s="7" t="str">
        <f t="shared" si="67"/>
        <v>iPadNew Buy</v>
      </c>
      <c r="C519">
        <v>407234</v>
      </c>
      <c r="D519" t="s">
        <v>76</v>
      </c>
      <c r="E519" t="s">
        <v>166</v>
      </c>
      <c r="F519" t="s">
        <v>173</v>
      </c>
      <c r="G519" t="s">
        <v>174</v>
      </c>
      <c r="H519" t="s">
        <v>167</v>
      </c>
      <c r="I519" t="s">
        <v>175</v>
      </c>
      <c r="J519" t="s">
        <v>686</v>
      </c>
      <c r="L519" t="s">
        <v>688</v>
      </c>
      <c r="M519" s="25">
        <v>149</v>
      </c>
      <c r="N519" s="4">
        <v>142.66999999999999</v>
      </c>
      <c r="O519">
        <v>2</v>
      </c>
      <c r="T519" t="s">
        <v>178</v>
      </c>
      <c r="U519" t="s">
        <v>66</v>
      </c>
      <c r="V519" s="25">
        <v>113.24</v>
      </c>
      <c r="W519" s="18">
        <v>125</v>
      </c>
      <c r="Y519" s="6">
        <f t="shared" si="68"/>
        <v>298</v>
      </c>
      <c r="Z519" s="6">
        <f t="shared" si="69"/>
        <v>226.48</v>
      </c>
      <c r="AA519" s="6">
        <f t="shared" si="70"/>
        <v>285.33999999999997</v>
      </c>
      <c r="AB519" s="6">
        <f t="shared" si="65"/>
        <v>12.660000000000025</v>
      </c>
      <c r="AC519" t="s">
        <v>16</v>
      </c>
      <c r="AD519" s="3" t="s">
        <v>168</v>
      </c>
    </row>
    <row r="520" spans="1:39" ht="15.75" customHeight="1" x14ac:dyDescent="0.2">
      <c r="A520" s="7" t="str">
        <f t="shared" si="66"/>
        <v>SHENZHEN STRONG TECHNOLOGY CO., LTD.J581New Buy</v>
      </c>
      <c r="B520" s="7" t="str">
        <f t="shared" si="67"/>
        <v>iPadNew Buy</v>
      </c>
      <c r="C520">
        <v>407233</v>
      </c>
      <c r="D520" t="s">
        <v>76</v>
      </c>
      <c r="E520" t="s">
        <v>166</v>
      </c>
      <c r="F520" t="s">
        <v>173</v>
      </c>
      <c r="G520" t="s">
        <v>174</v>
      </c>
      <c r="H520" t="s">
        <v>167</v>
      </c>
      <c r="I520" t="s">
        <v>175</v>
      </c>
      <c r="J520" t="s">
        <v>689</v>
      </c>
      <c r="L520" t="s">
        <v>690</v>
      </c>
      <c r="M520" s="25">
        <v>132</v>
      </c>
      <c r="N520" s="4">
        <v>132</v>
      </c>
      <c r="O520">
        <v>2</v>
      </c>
      <c r="T520" t="s">
        <v>178</v>
      </c>
      <c r="U520" t="s">
        <v>104</v>
      </c>
      <c r="V520" s="25">
        <v>98.04</v>
      </c>
      <c r="W520" s="18">
        <v>125</v>
      </c>
      <c r="Y520" s="6">
        <f t="shared" si="68"/>
        <v>264</v>
      </c>
      <c r="Z520" s="6">
        <f t="shared" si="69"/>
        <v>196.08</v>
      </c>
      <c r="AA520" s="6">
        <f t="shared" si="70"/>
        <v>264</v>
      </c>
      <c r="AB520" s="6">
        <f t="shared" si="65"/>
        <v>0</v>
      </c>
      <c r="AC520" t="s">
        <v>16</v>
      </c>
      <c r="AD520" s="3" t="s">
        <v>168</v>
      </c>
    </row>
    <row r="521" spans="1:39" ht="15.75" customHeight="1" x14ac:dyDescent="0.2">
      <c r="A521" s="7" t="str">
        <f t="shared" si="66"/>
        <v>SHENZHEN STRONG TECHNOLOGY CO., LTD.J581New Buy</v>
      </c>
      <c r="B521" s="7" t="str">
        <f t="shared" si="67"/>
        <v>iPadNew Buy</v>
      </c>
      <c r="C521">
        <v>407232</v>
      </c>
      <c r="D521" t="s">
        <v>76</v>
      </c>
      <c r="E521" t="s">
        <v>166</v>
      </c>
      <c r="F521" t="s">
        <v>173</v>
      </c>
      <c r="G521" t="s">
        <v>174</v>
      </c>
      <c r="H521" t="s">
        <v>167</v>
      </c>
      <c r="I521" t="s">
        <v>175</v>
      </c>
      <c r="J521" t="s">
        <v>689</v>
      </c>
      <c r="L521" t="s">
        <v>690</v>
      </c>
      <c r="M521" s="25">
        <v>132</v>
      </c>
      <c r="N521" s="4">
        <v>132</v>
      </c>
      <c r="O521">
        <v>2</v>
      </c>
      <c r="T521" t="s">
        <v>178</v>
      </c>
      <c r="U521" t="s">
        <v>66</v>
      </c>
      <c r="V521" s="25">
        <v>98.04</v>
      </c>
      <c r="W521" s="18">
        <v>125</v>
      </c>
      <c r="Y521" s="6">
        <f t="shared" si="68"/>
        <v>264</v>
      </c>
      <c r="Z521" s="6">
        <f t="shared" si="69"/>
        <v>196.08</v>
      </c>
      <c r="AA521" s="6">
        <f t="shared" si="70"/>
        <v>264</v>
      </c>
      <c r="AB521" s="6">
        <f t="shared" si="65"/>
        <v>0</v>
      </c>
      <c r="AC521" t="s">
        <v>16</v>
      </c>
      <c r="AD521" s="3" t="s">
        <v>168</v>
      </c>
    </row>
    <row r="522" spans="1:39" ht="15.75" customHeight="1" x14ac:dyDescent="0.2">
      <c r="A522" s="7" t="str">
        <f t="shared" si="66"/>
        <v>SHENZHEN STRONG TECHNOLOGY CO., LTD.J581New Buy</v>
      </c>
      <c r="B522" s="7" t="str">
        <f t="shared" si="67"/>
        <v>iPadNew Buy</v>
      </c>
      <c r="C522">
        <v>407231</v>
      </c>
      <c r="D522" t="s">
        <v>76</v>
      </c>
      <c r="E522" t="s">
        <v>166</v>
      </c>
      <c r="F522" t="s">
        <v>173</v>
      </c>
      <c r="G522" t="s">
        <v>174</v>
      </c>
      <c r="H522" t="s">
        <v>167</v>
      </c>
      <c r="I522" t="s">
        <v>175</v>
      </c>
      <c r="J522" t="s">
        <v>689</v>
      </c>
      <c r="L522" t="s">
        <v>691</v>
      </c>
      <c r="M522" s="25">
        <v>195</v>
      </c>
      <c r="N522" s="4">
        <v>132</v>
      </c>
      <c r="O522">
        <v>2</v>
      </c>
      <c r="T522" t="s">
        <v>178</v>
      </c>
      <c r="U522" t="s">
        <v>116</v>
      </c>
      <c r="V522" s="25">
        <v>98.04</v>
      </c>
      <c r="W522" s="18">
        <v>125</v>
      </c>
      <c r="Y522" s="6">
        <f t="shared" si="68"/>
        <v>390</v>
      </c>
      <c r="Z522" s="6">
        <f t="shared" si="69"/>
        <v>196.08</v>
      </c>
      <c r="AA522" s="6">
        <f t="shared" si="70"/>
        <v>264</v>
      </c>
      <c r="AB522" s="6">
        <f t="shared" si="65"/>
        <v>126</v>
      </c>
      <c r="AC522" t="s">
        <v>33</v>
      </c>
      <c r="AD522" s="3" t="s">
        <v>168</v>
      </c>
    </row>
    <row r="523" spans="1:39" ht="15.75" customHeight="1" x14ac:dyDescent="0.2">
      <c r="A523" s="7" t="str">
        <f t="shared" si="66"/>
        <v>SHENZHEN STRONG TECHNOLOGY CO., LTD.J581New Buy</v>
      </c>
      <c r="B523" s="7" t="str">
        <f t="shared" si="67"/>
        <v>iPadNew Buy</v>
      </c>
      <c r="C523">
        <v>407229</v>
      </c>
      <c r="D523" t="s">
        <v>76</v>
      </c>
      <c r="E523" t="s">
        <v>166</v>
      </c>
      <c r="F523" t="s">
        <v>173</v>
      </c>
      <c r="G523" t="s">
        <v>174</v>
      </c>
      <c r="H523" t="s">
        <v>167</v>
      </c>
      <c r="I523" t="s">
        <v>175</v>
      </c>
      <c r="J523" t="s">
        <v>692</v>
      </c>
      <c r="L523" t="s">
        <v>693</v>
      </c>
      <c r="M523" s="25">
        <v>129.6</v>
      </c>
      <c r="N523" s="4">
        <v>98.5</v>
      </c>
      <c r="O523">
        <v>7</v>
      </c>
      <c r="T523" t="s">
        <v>178</v>
      </c>
      <c r="U523" t="s">
        <v>104</v>
      </c>
      <c r="V523" s="25">
        <v>98.5</v>
      </c>
      <c r="W523" s="18">
        <v>129.6</v>
      </c>
      <c r="Y523" s="6">
        <f t="shared" si="68"/>
        <v>907.19999999999993</v>
      </c>
      <c r="Z523" s="6">
        <f t="shared" si="69"/>
        <v>689.5</v>
      </c>
      <c r="AA523" s="6">
        <f t="shared" si="70"/>
        <v>689.5</v>
      </c>
      <c r="AB523" s="6">
        <f t="shared" si="65"/>
        <v>217.69999999999993</v>
      </c>
      <c r="AC523" t="s">
        <v>16</v>
      </c>
      <c r="AD523" s="3" t="s">
        <v>168</v>
      </c>
      <c r="AM523" s="1">
        <f t="shared" ref="AM523" si="71">MAX(0, (W523*O523)-AA523)</f>
        <v>217.69999999999993</v>
      </c>
    </row>
    <row r="524" spans="1:39" ht="15.75" customHeight="1" x14ac:dyDescent="0.2">
      <c r="A524" s="7" t="str">
        <f t="shared" si="66"/>
        <v>SHENZHEN STRONG TECHNOLOGY CO., LTD.J581New Buy</v>
      </c>
      <c r="B524" s="7" t="str">
        <f t="shared" si="67"/>
        <v>iPadNew Buy</v>
      </c>
      <c r="C524">
        <v>407228</v>
      </c>
      <c r="D524" t="s">
        <v>76</v>
      </c>
      <c r="E524" t="s">
        <v>166</v>
      </c>
      <c r="F524" t="s">
        <v>173</v>
      </c>
      <c r="G524" t="s">
        <v>174</v>
      </c>
      <c r="H524" t="s">
        <v>167</v>
      </c>
      <c r="I524" t="s">
        <v>175</v>
      </c>
      <c r="J524" t="s">
        <v>694</v>
      </c>
      <c r="L524" t="s">
        <v>695</v>
      </c>
      <c r="M524" s="25">
        <v>750</v>
      </c>
      <c r="N524" s="4">
        <v>750</v>
      </c>
      <c r="O524">
        <v>42</v>
      </c>
      <c r="T524" t="s">
        <v>178</v>
      </c>
      <c r="U524" t="s">
        <v>104</v>
      </c>
      <c r="V524" s="25">
        <v>570</v>
      </c>
      <c r="W524" s="18" t="s">
        <v>367</v>
      </c>
      <c r="Y524" s="6">
        <f t="shared" si="68"/>
        <v>31500</v>
      </c>
      <c r="Z524" s="6">
        <f t="shared" si="69"/>
        <v>23940</v>
      </c>
      <c r="AA524" s="6">
        <f t="shared" si="70"/>
        <v>31500</v>
      </c>
      <c r="AB524" s="6">
        <f t="shared" si="65"/>
        <v>0</v>
      </c>
      <c r="AC524" t="s">
        <v>16</v>
      </c>
      <c r="AD524" s="3" t="s">
        <v>168</v>
      </c>
    </row>
    <row r="525" spans="1:39" ht="15.75" customHeight="1" x14ac:dyDescent="0.2">
      <c r="A525" s="7" t="str">
        <f t="shared" si="66"/>
        <v>SHENZHEN STRONG TECHNOLOGY CO., LTD.J581Retrofit</v>
      </c>
      <c r="B525" s="7" t="str">
        <f t="shared" si="67"/>
        <v>iPadNew Buy</v>
      </c>
      <c r="C525">
        <v>407227</v>
      </c>
      <c r="D525" t="s">
        <v>76</v>
      </c>
      <c r="E525" t="s">
        <v>166</v>
      </c>
      <c r="F525" t="s">
        <v>173</v>
      </c>
      <c r="G525" t="s">
        <v>174</v>
      </c>
      <c r="H525" t="s">
        <v>170</v>
      </c>
      <c r="I525" t="s">
        <v>175</v>
      </c>
      <c r="J525" t="s">
        <v>696</v>
      </c>
      <c r="L525" t="s">
        <v>697</v>
      </c>
      <c r="M525" s="25">
        <v>9550</v>
      </c>
      <c r="N525" s="4">
        <v>9200</v>
      </c>
      <c r="O525">
        <v>1</v>
      </c>
      <c r="T525" t="s">
        <v>178</v>
      </c>
      <c r="U525" t="s">
        <v>66</v>
      </c>
      <c r="V525" s="25">
        <v>7258</v>
      </c>
      <c r="W525" s="18" t="s">
        <v>367</v>
      </c>
      <c r="Y525" s="6">
        <f t="shared" si="68"/>
        <v>9550</v>
      </c>
      <c r="Z525" s="6">
        <f t="shared" si="69"/>
        <v>7258</v>
      </c>
      <c r="AA525" s="6">
        <f t="shared" si="70"/>
        <v>9200</v>
      </c>
      <c r="AB525" s="6">
        <f t="shared" si="65"/>
        <v>350</v>
      </c>
      <c r="AC525" t="s">
        <v>16</v>
      </c>
      <c r="AD525" s="3" t="s">
        <v>171</v>
      </c>
    </row>
    <row r="526" spans="1:39" ht="15.75" customHeight="1" x14ac:dyDescent="0.2">
      <c r="A526" s="7" t="str">
        <f t="shared" si="66"/>
        <v>SHENZHEN STRONG TECHNOLOGY CO., LTD.J581New Buy</v>
      </c>
      <c r="B526" s="7" t="str">
        <f t="shared" si="67"/>
        <v>iPadNew Buy</v>
      </c>
      <c r="C526">
        <v>407226</v>
      </c>
      <c r="D526" t="s">
        <v>76</v>
      </c>
      <c r="E526" t="s">
        <v>166</v>
      </c>
      <c r="F526" t="s">
        <v>173</v>
      </c>
      <c r="G526" t="s">
        <v>174</v>
      </c>
      <c r="H526" t="s">
        <v>167</v>
      </c>
      <c r="I526" t="s">
        <v>115</v>
      </c>
      <c r="J526" t="s">
        <v>698</v>
      </c>
      <c r="L526" t="s">
        <v>699</v>
      </c>
      <c r="M526" s="25">
        <v>72</v>
      </c>
      <c r="N526" s="4">
        <v>72</v>
      </c>
      <c r="O526">
        <v>15</v>
      </c>
      <c r="T526" t="s">
        <v>178</v>
      </c>
      <c r="U526" t="s">
        <v>104</v>
      </c>
      <c r="V526" s="25">
        <v>54.72</v>
      </c>
      <c r="W526" s="18" t="s">
        <v>367</v>
      </c>
      <c r="Y526" s="6">
        <f t="shared" si="68"/>
        <v>1080</v>
      </c>
      <c r="Z526" s="6">
        <f t="shared" si="69"/>
        <v>820.8</v>
      </c>
      <c r="AA526" s="6">
        <f t="shared" si="70"/>
        <v>1080</v>
      </c>
      <c r="AB526" s="6">
        <f t="shared" si="65"/>
        <v>0</v>
      </c>
      <c r="AC526" t="s">
        <v>16</v>
      </c>
      <c r="AD526" s="3" t="s">
        <v>168</v>
      </c>
    </row>
    <row r="527" spans="1:39" ht="15.75" customHeight="1" x14ac:dyDescent="0.2">
      <c r="A527" s="7" t="str">
        <f t="shared" si="66"/>
        <v>SHENZHEN STRONG TECHNOLOGY CO., LTD.J581Retrofit</v>
      </c>
      <c r="B527" s="7" t="str">
        <f t="shared" si="67"/>
        <v>iPadNew Buy</v>
      </c>
      <c r="C527">
        <v>407224</v>
      </c>
      <c r="D527" t="s">
        <v>76</v>
      </c>
      <c r="E527" t="s">
        <v>166</v>
      </c>
      <c r="F527" t="s">
        <v>173</v>
      </c>
      <c r="G527" t="s">
        <v>174</v>
      </c>
      <c r="H527" t="s">
        <v>170</v>
      </c>
      <c r="I527" t="s">
        <v>175</v>
      </c>
      <c r="J527" t="s">
        <v>700</v>
      </c>
      <c r="L527" t="s">
        <v>701</v>
      </c>
      <c r="M527" s="25">
        <v>103</v>
      </c>
      <c r="N527" s="4">
        <v>103</v>
      </c>
      <c r="O527">
        <v>32</v>
      </c>
      <c r="T527" t="s">
        <v>178</v>
      </c>
      <c r="U527" t="s">
        <v>66</v>
      </c>
      <c r="V527" s="25">
        <v>2.66</v>
      </c>
      <c r="W527" s="18" t="s">
        <v>367</v>
      </c>
      <c r="Y527" s="6">
        <f t="shared" si="68"/>
        <v>3296</v>
      </c>
      <c r="Z527" s="6">
        <f t="shared" si="69"/>
        <v>85.12</v>
      </c>
      <c r="AA527" s="6">
        <f t="shared" si="70"/>
        <v>3296</v>
      </c>
      <c r="AB527" s="6">
        <f t="shared" si="65"/>
        <v>0</v>
      </c>
      <c r="AC527" t="s">
        <v>16</v>
      </c>
      <c r="AD527" s="3" t="s">
        <v>171</v>
      </c>
    </row>
    <row r="528" spans="1:39" ht="15.75" customHeight="1" x14ac:dyDescent="0.2">
      <c r="A528" s="7" t="str">
        <f t="shared" si="66"/>
        <v>SHENZHEN STRONG TECHNOLOGY CO., LTD.J581Retrofit</v>
      </c>
      <c r="B528" s="7" t="str">
        <f t="shared" si="67"/>
        <v>iPadNew Buy</v>
      </c>
      <c r="C528">
        <v>407223</v>
      </c>
      <c r="D528" t="s">
        <v>76</v>
      </c>
      <c r="E528" t="s">
        <v>166</v>
      </c>
      <c r="F528" t="s">
        <v>173</v>
      </c>
      <c r="G528" t="s">
        <v>174</v>
      </c>
      <c r="H528" t="s">
        <v>170</v>
      </c>
      <c r="I528" t="s">
        <v>131</v>
      </c>
      <c r="J528" t="s">
        <v>700</v>
      </c>
      <c r="L528" t="s">
        <v>701</v>
      </c>
      <c r="M528" s="25">
        <v>147</v>
      </c>
      <c r="N528" s="4">
        <v>103</v>
      </c>
      <c r="O528">
        <v>66</v>
      </c>
      <c r="T528" t="s">
        <v>178</v>
      </c>
      <c r="U528" t="s">
        <v>116</v>
      </c>
      <c r="V528" s="25">
        <v>2.66</v>
      </c>
      <c r="W528" s="18" t="s">
        <v>367</v>
      </c>
      <c r="Y528" s="6">
        <f t="shared" si="68"/>
        <v>9702</v>
      </c>
      <c r="Z528" s="6">
        <f t="shared" si="69"/>
        <v>175.56</v>
      </c>
      <c r="AA528" s="6">
        <f t="shared" si="70"/>
        <v>6798</v>
      </c>
      <c r="AB528" s="6">
        <f t="shared" si="65"/>
        <v>2904</v>
      </c>
      <c r="AC528" t="s">
        <v>33</v>
      </c>
      <c r="AD528" s="3" t="s">
        <v>171</v>
      </c>
    </row>
    <row r="529" spans="1:30" ht="15.75" customHeight="1" x14ac:dyDescent="0.2">
      <c r="A529" s="7" t="str">
        <f t="shared" si="66"/>
        <v>SHENZHEN STRONG TECHNOLOGY CO., LTD.J510New Buy</v>
      </c>
      <c r="B529" s="7" t="str">
        <f t="shared" si="67"/>
        <v>iPadNew Buy</v>
      </c>
      <c r="C529">
        <v>409048</v>
      </c>
      <c r="D529" t="s">
        <v>76</v>
      </c>
      <c r="E529" t="s">
        <v>166</v>
      </c>
      <c r="F529" t="s">
        <v>173</v>
      </c>
      <c r="G529" t="s">
        <v>68</v>
      </c>
      <c r="H529" t="s">
        <v>167</v>
      </c>
      <c r="I529" t="s">
        <v>175</v>
      </c>
      <c r="J529" t="s">
        <v>702</v>
      </c>
      <c r="L529" t="s">
        <v>703</v>
      </c>
      <c r="M529" s="25">
        <v>75</v>
      </c>
      <c r="N529" s="4">
        <v>74</v>
      </c>
      <c r="O529">
        <v>2</v>
      </c>
      <c r="T529" t="s">
        <v>178</v>
      </c>
      <c r="U529" t="s">
        <v>116</v>
      </c>
      <c r="V529" s="25">
        <v>57</v>
      </c>
      <c r="W529" s="18" t="s">
        <v>367</v>
      </c>
      <c r="Y529" s="6">
        <f t="shared" si="68"/>
        <v>150</v>
      </c>
      <c r="Z529" s="6">
        <f t="shared" si="69"/>
        <v>114</v>
      </c>
      <c r="AA529" s="6">
        <f t="shared" si="70"/>
        <v>148</v>
      </c>
      <c r="AB529" s="6">
        <f t="shared" si="65"/>
        <v>2</v>
      </c>
      <c r="AC529" t="s">
        <v>33</v>
      </c>
      <c r="AD529" s="3" t="s">
        <v>168</v>
      </c>
    </row>
    <row r="530" spans="1:30" ht="15.75" customHeight="1" x14ac:dyDescent="0.2">
      <c r="A530" s="7" t="str">
        <f t="shared" si="66"/>
        <v>SHENZHEN STRONG TECHNOLOGY CO., LTD.J510New Buy</v>
      </c>
      <c r="B530" s="7" t="str">
        <f t="shared" si="67"/>
        <v>iPadNew Buy</v>
      </c>
      <c r="C530">
        <v>409047</v>
      </c>
      <c r="D530" t="s">
        <v>76</v>
      </c>
      <c r="E530" t="s">
        <v>166</v>
      </c>
      <c r="F530" t="s">
        <v>173</v>
      </c>
      <c r="G530" t="s">
        <v>68</v>
      </c>
      <c r="H530" t="s">
        <v>167</v>
      </c>
      <c r="I530" t="s">
        <v>175</v>
      </c>
      <c r="J530" t="s">
        <v>704</v>
      </c>
      <c r="L530" t="s">
        <v>705</v>
      </c>
      <c r="M530" s="25">
        <v>300</v>
      </c>
      <c r="N530" s="4">
        <v>258</v>
      </c>
      <c r="O530">
        <v>2</v>
      </c>
      <c r="T530" t="s">
        <v>178</v>
      </c>
      <c r="U530" t="s">
        <v>66</v>
      </c>
      <c r="V530" s="25">
        <v>228</v>
      </c>
      <c r="W530" s="18" t="s">
        <v>367</v>
      </c>
      <c r="Y530" s="6">
        <f t="shared" si="68"/>
        <v>600</v>
      </c>
      <c r="Z530" s="6">
        <f t="shared" si="69"/>
        <v>456</v>
      </c>
      <c r="AA530" s="6">
        <f t="shared" si="70"/>
        <v>516</v>
      </c>
      <c r="AB530" s="6">
        <f t="shared" si="65"/>
        <v>84</v>
      </c>
      <c r="AC530" t="s">
        <v>16</v>
      </c>
      <c r="AD530" s="3" t="s">
        <v>168</v>
      </c>
    </row>
    <row r="531" spans="1:30" ht="15.75" customHeight="1" x14ac:dyDescent="0.2">
      <c r="A531" s="7" t="str">
        <f t="shared" si="66"/>
        <v>SHENZHEN STRONG TECHNOLOGY CO., LTD.J510New Buy</v>
      </c>
      <c r="B531" s="7" t="str">
        <f t="shared" si="67"/>
        <v>iPadNew Buy</v>
      </c>
      <c r="C531">
        <v>409038</v>
      </c>
      <c r="D531" t="s">
        <v>76</v>
      </c>
      <c r="E531" t="s">
        <v>166</v>
      </c>
      <c r="F531" t="s">
        <v>173</v>
      </c>
      <c r="G531" t="s">
        <v>68</v>
      </c>
      <c r="H531" t="s">
        <v>167</v>
      </c>
      <c r="I531" t="s">
        <v>175</v>
      </c>
      <c r="J531" t="s">
        <v>706</v>
      </c>
      <c r="L531" t="s">
        <v>707</v>
      </c>
      <c r="M531" s="25">
        <v>25</v>
      </c>
      <c r="N531" s="4">
        <v>19</v>
      </c>
      <c r="O531">
        <v>12</v>
      </c>
      <c r="T531" t="s">
        <v>178</v>
      </c>
      <c r="U531" t="s">
        <v>66</v>
      </c>
      <c r="V531" s="25">
        <v>19</v>
      </c>
      <c r="W531" s="18" t="s">
        <v>367</v>
      </c>
      <c r="Y531" s="6">
        <f t="shared" si="68"/>
        <v>300</v>
      </c>
      <c r="Z531" s="6">
        <f t="shared" si="69"/>
        <v>228</v>
      </c>
      <c r="AA531" s="6">
        <f t="shared" si="70"/>
        <v>228</v>
      </c>
      <c r="AB531" s="6">
        <f t="shared" ref="AB531:AB594" si="72">IF(AA531=0,0,Y531-AA531)</f>
        <v>72</v>
      </c>
      <c r="AC531" t="s">
        <v>16</v>
      </c>
      <c r="AD531" s="3" t="s">
        <v>168</v>
      </c>
    </row>
    <row r="532" spans="1:30" ht="15.75" customHeight="1" x14ac:dyDescent="0.2">
      <c r="A532" s="7" t="str">
        <f t="shared" si="66"/>
        <v>SHENZHEN STRONG TECHNOLOGY CO., LTD.J510New Buy</v>
      </c>
      <c r="B532" s="7" t="str">
        <f t="shared" si="67"/>
        <v>iPadNew Buy</v>
      </c>
      <c r="C532">
        <v>409037</v>
      </c>
      <c r="D532" t="s">
        <v>76</v>
      </c>
      <c r="E532" t="s">
        <v>166</v>
      </c>
      <c r="F532" t="s">
        <v>173</v>
      </c>
      <c r="G532" t="s">
        <v>68</v>
      </c>
      <c r="H532" t="s">
        <v>167</v>
      </c>
      <c r="I532" t="s">
        <v>175</v>
      </c>
      <c r="J532" t="s">
        <v>708</v>
      </c>
      <c r="L532" t="s">
        <v>709</v>
      </c>
      <c r="M532" s="25">
        <v>1780</v>
      </c>
      <c r="N532" s="4">
        <v>1780</v>
      </c>
      <c r="O532">
        <v>7</v>
      </c>
      <c r="T532" t="s">
        <v>178</v>
      </c>
      <c r="U532" t="s">
        <v>66</v>
      </c>
      <c r="V532" s="25">
        <v>1352.8</v>
      </c>
      <c r="W532" s="18" t="s">
        <v>367</v>
      </c>
      <c r="Y532" s="6">
        <f t="shared" si="68"/>
        <v>12460</v>
      </c>
      <c r="Z532" s="6">
        <f t="shared" si="69"/>
        <v>9469.6</v>
      </c>
      <c r="AA532" s="6">
        <f t="shared" si="70"/>
        <v>12460</v>
      </c>
      <c r="AB532" s="6">
        <f t="shared" si="72"/>
        <v>0</v>
      </c>
      <c r="AC532" t="s">
        <v>16</v>
      </c>
      <c r="AD532" s="3" t="s">
        <v>168</v>
      </c>
    </row>
    <row r="533" spans="1:30" ht="15.75" customHeight="1" x14ac:dyDescent="0.2">
      <c r="A533" s="7" t="str">
        <f t="shared" si="66"/>
        <v>SHENZHEN STRONG TECHNOLOGY CO., LTD.J510New Buy</v>
      </c>
      <c r="B533" s="7" t="str">
        <f t="shared" si="67"/>
        <v>iPadNew Buy</v>
      </c>
      <c r="C533">
        <v>409036</v>
      </c>
      <c r="D533" t="s">
        <v>76</v>
      </c>
      <c r="E533" t="s">
        <v>166</v>
      </c>
      <c r="F533" t="s">
        <v>173</v>
      </c>
      <c r="G533" t="s">
        <v>68</v>
      </c>
      <c r="H533" t="s">
        <v>167</v>
      </c>
      <c r="I533" t="s">
        <v>175</v>
      </c>
      <c r="J533" t="s">
        <v>710</v>
      </c>
      <c r="L533" t="s">
        <v>711</v>
      </c>
      <c r="M533" s="25">
        <v>790</v>
      </c>
      <c r="N533" s="4">
        <v>710</v>
      </c>
      <c r="O533">
        <v>5</v>
      </c>
      <c r="T533" t="s">
        <v>178</v>
      </c>
      <c r="U533" t="s">
        <v>66</v>
      </c>
      <c r="V533" s="25">
        <v>600.4</v>
      </c>
      <c r="W533" s="18" t="s">
        <v>367</v>
      </c>
      <c r="Y533" s="6">
        <f t="shared" si="68"/>
        <v>3950</v>
      </c>
      <c r="Z533" s="6">
        <f t="shared" si="69"/>
        <v>3002</v>
      </c>
      <c r="AA533" s="6">
        <f t="shared" si="70"/>
        <v>3550</v>
      </c>
      <c r="AB533" s="6">
        <f t="shared" si="72"/>
        <v>400</v>
      </c>
      <c r="AC533" t="s">
        <v>16</v>
      </c>
      <c r="AD533" s="3" t="s">
        <v>168</v>
      </c>
    </row>
    <row r="534" spans="1:30" ht="15.75" customHeight="1" x14ac:dyDescent="0.2">
      <c r="A534" s="7" t="str">
        <f t="shared" si="66"/>
        <v>SHENZHEN STRONG TECHNOLOGY CO., LTD.J510New Buy</v>
      </c>
      <c r="B534" s="7" t="str">
        <f t="shared" si="67"/>
        <v>iPadNew Buy</v>
      </c>
      <c r="C534">
        <v>409035</v>
      </c>
      <c r="D534" t="s">
        <v>76</v>
      </c>
      <c r="E534" t="s">
        <v>166</v>
      </c>
      <c r="F534" t="s">
        <v>173</v>
      </c>
      <c r="G534" t="s">
        <v>68</v>
      </c>
      <c r="H534" t="s">
        <v>167</v>
      </c>
      <c r="I534" t="s">
        <v>175</v>
      </c>
      <c r="J534" t="s">
        <v>712</v>
      </c>
      <c r="L534" t="s">
        <v>713</v>
      </c>
      <c r="M534" s="25">
        <v>1580</v>
      </c>
      <c r="N534" s="4">
        <v>1580</v>
      </c>
      <c r="O534">
        <v>7</v>
      </c>
      <c r="T534" t="s">
        <v>178</v>
      </c>
      <c r="U534" t="s">
        <v>66</v>
      </c>
      <c r="V534" s="25">
        <v>1200.8</v>
      </c>
      <c r="W534" s="18" t="s">
        <v>367</v>
      </c>
      <c r="Y534" s="6">
        <f t="shared" si="68"/>
        <v>11060</v>
      </c>
      <c r="Z534" s="6">
        <f t="shared" si="69"/>
        <v>8405.6</v>
      </c>
      <c r="AA534" s="6">
        <f t="shared" si="70"/>
        <v>11060</v>
      </c>
      <c r="AB534" s="6">
        <f t="shared" si="72"/>
        <v>0</v>
      </c>
      <c r="AC534" t="s">
        <v>16</v>
      </c>
      <c r="AD534" s="3" t="s">
        <v>168</v>
      </c>
    </row>
    <row r="535" spans="1:30" ht="15.75" customHeight="1" x14ac:dyDescent="0.2">
      <c r="A535" s="7" t="str">
        <f t="shared" si="66"/>
        <v>SHENZHEN STRONG TECHNOLOGY CO., LTD.J510New Buy</v>
      </c>
      <c r="B535" s="7" t="str">
        <f t="shared" si="67"/>
        <v>iPadNew Buy</v>
      </c>
      <c r="C535">
        <v>409034</v>
      </c>
      <c r="D535" t="s">
        <v>76</v>
      </c>
      <c r="E535" t="s">
        <v>166</v>
      </c>
      <c r="F535" t="s">
        <v>173</v>
      </c>
      <c r="G535" t="s">
        <v>68</v>
      </c>
      <c r="H535" t="s">
        <v>167</v>
      </c>
      <c r="I535" t="s">
        <v>175</v>
      </c>
      <c r="J535" t="s">
        <v>714</v>
      </c>
      <c r="L535" t="s">
        <v>715</v>
      </c>
      <c r="M535" s="25">
        <v>1880</v>
      </c>
      <c r="N535" s="4">
        <v>1880</v>
      </c>
      <c r="O535">
        <v>4</v>
      </c>
      <c r="T535" t="s">
        <v>178</v>
      </c>
      <c r="U535" t="s">
        <v>66</v>
      </c>
      <c r="V535" s="25">
        <v>1428.8</v>
      </c>
      <c r="W535" s="18" t="s">
        <v>367</v>
      </c>
      <c r="Y535" s="6">
        <f t="shared" si="68"/>
        <v>7520</v>
      </c>
      <c r="Z535" s="6">
        <f t="shared" si="69"/>
        <v>5715.2</v>
      </c>
      <c r="AA535" s="6">
        <f t="shared" si="70"/>
        <v>7520</v>
      </c>
      <c r="AB535" s="6">
        <f t="shared" si="72"/>
        <v>0</v>
      </c>
      <c r="AC535" t="s">
        <v>16</v>
      </c>
      <c r="AD535" s="3" t="s">
        <v>168</v>
      </c>
    </row>
    <row r="536" spans="1:30" ht="15.75" customHeight="1" x14ac:dyDescent="0.2">
      <c r="A536" s="7" t="str">
        <f t="shared" si="66"/>
        <v>SHENZHEN STRONG TECHNOLOGY CO., LTD.J510New Buy</v>
      </c>
      <c r="B536" s="7" t="str">
        <f t="shared" si="67"/>
        <v>iPadNew Buy</v>
      </c>
      <c r="C536">
        <v>409033</v>
      </c>
      <c r="D536" t="s">
        <v>76</v>
      </c>
      <c r="E536" t="s">
        <v>166</v>
      </c>
      <c r="F536" t="s">
        <v>173</v>
      </c>
      <c r="G536" t="s">
        <v>68</v>
      </c>
      <c r="H536" t="s">
        <v>167</v>
      </c>
      <c r="I536" t="s">
        <v>175</v>
      </c>
      <c r="J536" t="s">
        <v>716</v>
      </c>
      <c r="L536" t="s">
        <v>717</v>
      </c>
      <c r="M536" s="25">
        <v>1880</v>
      </c>
      <c r="N536" s="4">
        <v>1880</v>
      </c>
      <c r="O536">
        <v>5</v>
      </c>
      <c r="T536" t="s">
        <v>178</v>
      </c>
      <c r="U536" t="s">
        <v>66</v>
      </c>
      <c r="V536" s="25">
        <v>1428.8</v>
      </c>
      <c r="W536" s="18" t="s">
        <v>367</v>
      </c>
      <c r="Y536" s="6">
        <f t="shared" si="68"/>
        <v>9400</v>
      </c>
      <c r="Z536" s="6">
        <f t="shared" si="69"/>
        <v>7144</v>
      </c>
      <c r="AA536" s="6">
        <f t="shared" si="70"/>
        <v>9400</v>
      </c>
      <c r="AB536" s="6">
        <f t="shared" si="72"/>
        <v>0</v>
      </c>
      <c r="AC536" t="s">
        <v>16</v>
      </c>
      <c r="AD536" s="3" t="s">
        <v>168</v>
      </c>
    </row>
    <row r="537" spans="1:30" ht="15.75" customHeight="1" x14ac:dyDescent="0.2">
      <c r="A537" s="7" t="str">
        <f t="shared" si="66"/>
        <v>SHENZHEN STRONG TECHNOLOGY CO., LTD.J510New Buy</v>
      </c>
      <c r="B537" s="7" t="str">
        <f t="shared" si="67"/>
        <v>iPadNew Buy</v>
      </c>
      <c r="C537">
        <v>409032</v>
      </c>
      <c r="D537" t="s">
        <v>76</v>
      </c>
      <c r="E537" t="s">
        <v>166</v>
      </c>
      <c r="F537" t="s">
        <v>173</v>
      </c>
      <c r="G537" t="s">
        <v>68</v>
      </c>
      <c r="H537" t="s">
        <v>167</v>
      </c>
      <c r="I537" t="s">
        <v>175</v>
      </c>
      <c r="J537" t="s">
        <v>718</v>
      </c>
      <c r="L537" t="s">
        <v>719</v>
      </c>
      <c r="M537" s="25">
        <v>1880</v>
      </c>
      <c r="N537" s="4">
        <v>1880</v>
      </c>
      <c r="O537">
        <v>3</v>
      </c>
      <c r="T537" t="s">
        <v>178</v>
      </c>
      <c r="U537" t="s">
        <v>66</v>
      </c>
      <c r="V537" s="25">
        <v>1428.8</v>
      </c>
      <c r="W537" s="18" t="s">
        <v>367</v>
      </c>
      <c r="Y537" s="6">
        <f t="shared" si="68"/>
        <v>5640</v>
      </c>
      <c r="Z537" s="6">
        <f t="shared" si="69"/>
        <v>4286.3999999999996</v>
      </c>
      <c r="AA537" s="6">
        <f t="shared" si="70"/>
        <v>5640</v>
      </c>
      <c r="AB537" s="6">
        <f t="shared" si="72"/>
        <v>0</v>
      </c>
      <c r="AC537" t="s">
        <v>16</v>
      </c>
      <c r="AD537" s="3" t="s">
        <v>168</v>
      </c>
    </row>
    <row r="538" spans="1:30" ht="15.75" customHeight="1" x14ac:dyDescent="0.2">
      <c r="A538" s="7" t="str">
        <f t="shared" si="66"/>
        <v>SHENZHEN STRONG TECHNOLOGY CO., LTD.J510New Buy</v>
      </c>
      <c r="B538" s="7" t="str">
        <f t="shared" si="67"/>
        <v>iPadNew Buy</v>
      </c>
      <c r="C538">
        <v>409031</v>
      </c>
      <c r="D538" t="s">
        <v>76</v>
      </c>
      <c r="E538" t="s">
        <v>166</v>
      </c>
      <c r="F538" t="s">
        <v>173</v>
      </c>
      <c r="G538" t="s">
        <v>68</v>
      </c>
      <c r="H538" t="s">
        <v>167</v>
      </c>
      <c r="I538" t="s">
        <v>175</v>
      </c>
      <c r="J538" t="s">
        <v>720</v>
      </c>
      <c r="L538" t="s">
        <v>721</v>
      </c>
      <c r="M538" s="25">
        <v>1650</v>
      </c>
      <c r="N538" s="4">
        <v>1650</v>
      </c>
      <c r="O538">
        <v>4</v>
      </c>
      <c r="T538" t="s">
        <v>178</v>
      </c>
      <c r="U538" t="s">
        <v>66</v>
      </c>
      <c r="V538" s="25">
        <v>1254</v>
      </c>
      <c r="W538" s="18" t="s">
        <v>367</v>
      </c>
      <c r="Y538" s="6">
        <f t="shared" si="68"/>
        <v>6600</v>
      </c>
      <c r="Z538" s="6">
        <f t="shared" si="69"/>
        <v>5016</v>
      </c>
      <c r="AA538" s="6">
        <f t="shared" si="70"/>
        <v>6600</v>
      </c>
      <c r="AB538" s="6">
        <f t="shared" si="72"/>
        <v>0</v>
      </c>
      <c r="AC538" t="s">
        <v>16</v>
      </c>
      <c r="AD538" s="3" t="s">
        <v>168</v>
      </c>
    </row>
    <row r="539" spans="1:30" ht="15.75" customHeight="1" x14ac:dyDescent="0.2">
      <c r="A539" s="7" t="str">
        <f t="shared" si="66"/>
        <v>SHENZHEN STRONG TECHNOLOGY CO., LTD.J510Retrofit</v>
      </c>
      <c r="B539" s="7" t="str">
        <f t="shared" si="67"/>
        <v>iPadNew Buy</v>
      </c>
      <c r="C539">
        <v>409021</v>
      </c>
      <c r="D539" t="s">
        <v>76</v>
      </c>
      <c r="E539" t="s">
        <v>166</v>
      </c>
      <c r="F539" t="s">
        <v>173</v>
      </c>
      <c r="G539" t="s">
        <v>68</v>
      </c>
      <c r="H539" t="s">
        <v>170</v>
      </c>
      <c r="I539" t="s">
        <v>68</v>
      </c>
      <c r="J539" t="s">
        <v>722</v>
      </c>
      <c r="L539" t="s">
        <v>723</v>
      </c>
      <c r="M539" s="25">
        <v>410</v>
      </c>
      <c r="N539" s="4">
        <v>410</v>
      </c>
      <c r="O539">
        <v>2</v>
      </c>
      <c r="T539" t="s">
        <v>178</v>
      </c>
      <c r="U539" t="s">
        <v>66</v>
      </c>
      <c r="V539" s="25">
        <v>311.60000000000002</v>
      </c>
      <c r="W539" s="18" t="s">
        <v>367</v>
      </c>
      <c r="Y539" s="6">
        <f t="shared" si="68"/>
        <v>820</v>
      </c>
      <c r="Z539" s="6">
        <f t="shared" si="69"/>
        <v>623.20000000000005</v>
      </c>
      <c r="AA539" s="6">
        <f t="shared" si="70"/>
        <v>820</v>
      </c>
      <c r="AB539" s="6">
        <f t="shared" si="72"/>
        <v>0</v>
      </c>
      <c r="AC539" t="s">
        <v>16</v>
      </c>
      <c r="AD539" s="3" t="s">
        <v>171</v>
      </c>
    </row>
    <row r="540" spans="1:30" ht="15.75" customHeight="1" x14ac:dyDescent="0.2">
      <c r="A540" s="7" t="str">
        <f t="shared" si="66"/>
        <v>SHENZHEN STRONG TECHNOLOGY CO., LTD.J510Retrofit</v>
      </c>
      <c r="B540" s="7" t="str">
        <f t="shared" si="67"/>
        <v>iPadNew Buy</v>
      </c>
      <c r="C540">
        <v>409020</v>
      </c>
      <c r="D540" t="s">
        <v>76</v>
      </c>
      <c r="E540" t="s">
        <v>166</v>
      </c>
      <c r="F540" t="s">
        <v>173</v>
      </c>
      <c r="G540" t="s">
        <v>68</v>
      </c>
      <c r="H540" t="s">
        <v>170</v>
      </c>
      <c r="I540" t="s">
        <v>68</v>
      </c>
      <c r="J540" t="s">
        <v>724</v>
      </c>
      <c r="L540" t="s">
        <v>725</v>
      </c>
      <c r="M540" s="25">
        <v>2150</v>
      </c>
      <c r="N540" s="4">
        <v>1634</v>
      </c>
      <c r="O540">
        <v>16</v>
      </c>
      <c r="T540" t="s">
        <v>178</v>
      </c>
      <c r="U540" t="s">
        <v>66</v>
      </c>
      <c r="V540" s="25">
        <v>1634</v>
      </c>
      <c r="W540" s="18" t="s">
        <v>367</v>
      </c>
      <c r="Y540" s="6">
        <f t="shared" si="68"/>
        <v>34400</v>
      </c>
      <c r="Z540" s="6">
        <f t="shared" si="69"/>
        <v>26144</v>
      </c>
      <c r="AA540" s="6">
        <f t="shared" si="70"/>
        <v>26144</v>
      </c>
      <c r="AB540" s="6">
        <f t="shared" si="72"/>
        <v>8256</v>
      </c>
      <c r="AC540" t="s">
        <v>16</v>
      </c>
      <c r="AD540" s="3" t="s">
        <v>171</v>
      </c>
    </row>
    <row r="541" spans="1:30" ht="15.75" customHeight="1" x14ac:dyDescent="0.2">
      <c r="A541" s="7" t="str">
        <f t="shared" si="66"/>
        <v>SHENZHEN STRONG TECHNOLOGY CO., LTD.J510New Buy</v>
      </c>
      <c r="B541" s="7" t="str">
        <f t="shared" si="67"/>
        <v>iPadNew Buy</v>
      </c>
      <c r="C541">
        <v>409008</v>
      </c>
      <c r="D541" t="s">
        <v>76</v>
      </c>
      <c r="E541" t="s">
        <v>166</v>
      </c>
      <c r="F541" t="s">
        <v>173</v>
      </c>
      <c r="G541" t="s">
        <v>68</v>
      </c>
      <c r="H541" t="s">
        <v>167</v>
      </c>
      <c r="I541" t="s">
        <v>175</v>
      </c>
      <c r="J541" t="s">
        <v>726</v>
      </c>
      <c r="L541" t="s">
        <v>297</v>
      </c>
      <c r="M541" s="4" t="s">
        <v>416</v>
      </c>
      <c r="N541" s="4" t="s">
        <v>367</v>
      </c>
      <c r="O541" t="s">
        <v>175</v>
      </c>
      <c r="T541" t="s">
        <v>178</v>
      </c>
      <c r="U541" t="s">
        <v>66</v>
      </c>
      <c r="V541" s="4" t="s">
        <v>417</v>
      </c>
      <c r="W541" s="18" t="s">
        <v>367</v>
      </c>
      <c r="Y541" s="6">
        <f t="shared" si="68"/>
        <v>0</v>
      </c>
      <c r="Z541" s="6">
        <f t="shared" si="69"/>
        <v>0</v>
      </c>
      <c r="AA541" s="6">
        <f t="shared" si="70"/>
        <v>0</v>
      </c>
      <c r="AB541" s="6">
        <f t="shared" si="72"/>
        <v>0</v>
      </c>
      <c r="AC541" t="s">
        <v>16</v>
      </c>
      <c r="AD541" s="3" t="s">
        <v>168</v>
      </c>
    </row>
    <row r="542" spans="1:30" ht="15.75" customHeight="1" x14ac:dyDescent="0.2">
      <c r="A542" s="7" t="str">
        <f t="shared" si="66"/>
        <v>SHENZHEN STRONG TECHNOLOGY CO., LTD.J510New Buy</v>
      </c>
      <c r="B542" s="7" t="str">
        <f t="shared" si="67"/>
        <v>iPadNew Buy</v>
      </c>
      <c r="C542">
        <v>409007</v>
      </c>
      <c r="D542" t="s">
        <v>76</v>
      </c>
      <c r="E542" t="s">
        <v>166</v>
      </c>
      <c r="F542" t="s">
        <v>173</v>
      </c>
      <c r="G542" t="s">
        <v>68</v>
      </c>
      <c r="H542" t="s">
        <v>167</v>
      </c>
      <c r="I542" t="s">
        <v>175</v>
      </c>
      <c r="J542" t="s">
        <v>726</v>
      </c>
      <c r="L542" t="s">
        <v>297</v>
      </c>
      <c r="M542" s="4" t="s">
        <v>416</v>
      </c>
      <c r="N542" s="4" t="s">
        <v>367</v>
      </c>
      <c r="O542" t="s">
        <v>175</v>
      </c>
      <c r="T542" t="s">
        <v>178</v>
      </c>
      <c r="U542" t="s">
        <v>116</v>
      </c>
      <c r="V542" s="4" t="s">
        <v>417</v>
      </c>
      <c r="W542" s="18" t="s">
        <v>367</v>
      </c>
      <c r="Y542" s="6">
        <f t="shared" si="68"/>
        <v>0</v>
      </c>
      <c r="Z542" s="6">
        <f t="shared" si="69"/>
        <v>0</v>
      </c>
      <c r="AA542" s="6">
        <f t="shared" si="70"/>
        <v>0</v>
      </c>
      <c r="AB542" s="6">
        <f t="shared" si="72"/>
        <v>0</v>
      </c>
      <c r="AC542" t="s">
        <v>33</v>
      </c>
      <c r="AD542" s="3" t="s">
        <v>168</v>
      </c>
    </row>
    <row r="543" spans="1:30" ht="15.75" customHeight="1" x14ac:dyDescent="0.2">
      <c r="A543" s="7" t="str">
        <f t="shared" si="66"/>
        <v>SHENZHEN STRONG TECHNOLOGY CO., LTD.J510New Buy</v>
      </c>
      <c r="B543" s="7" t="str">
        <f t="shared" si="67"/>
        <v>iPadNew Buy</v>
      </c>
      <c r="C543">
        <v>409004</v>
      </c>
      <c r="D543" t="s">
        <v>76</v>
      </c>
      <c r="E543" t="s">
        <v>166</v>
      </c>
      <c r="F543" t="s">
        <v>173</v>
      </c>
      <c r="G543" t="s">
        <v>68</v>
      </c>
      <c r="H543" t="s">
        <v>167</v>
      </c>
      <c r="I543" t="s">
        <v>175</v>
      </c>
      <c r="J543" t="s">
        <v>727</v>
      </c>
      <c r="L543" t="s">
        <v>728</v>
      </c>
      <c r="M543" s="25">
        <v>2960</v>
      </c>
      <c r="N543" s="4">
        <v>2580</v>
      </c>
      <c r="O543" t="s">
        <v>175</v>
      </c>
      <c r="T543" t="s">
        <v>178</v>
      </c>
      <c r="U543" t="s">
        <v>66</v>
      </c>
      <c r="V543" s="25">
        <v>2249.6</v>
      </c>
      <c r="W543" s="18" t="s">
        <v>367</v>
      </c>
      <c r="Y543" s="6">
        <f t="shared" si="68"/>
        <v>0</v>
      </c>
      <c r="Z543" s="6">
        <f t="shared" si="69"/>
        <v>0</v>
      </c>
      <c r="AA543" s="6">
        <f t="shared" si="70"/>
        <v>0</v>
      </c>
      <c r="AB543" s="6">
        <f t="shared" si="72"/>
        <v>0</v>
      </c>
      <c r="AC543" t="s">
        <v>16</v>
      </c>
      <c r="AD543" s="3" t="s">
        <v>168</v>
      </c>
    </row>
    <row r="544" spans="1:30" ht="15.75" customHeight="1" x14ac:dyDescent="0.2">
      <c r="A544" s="7" t="str">
        <f t="shared" si="66"/>
        <v>SHENZHEN STRONG TECHNOLOGY CO., LTD.J510New Buy</v>
      </c>
      <c r="B544" s="7" t="str">
        <f t="shared" si="67"/>
        <v>iPadNew Buy</v>
      </c>
      <c r="C544">
        <v>409003</v>
      </c>
      <c r="D544" t="s">
        <v>76</v>
      </c>
      <c r="E544" t="s">
        <v>166</v>
      </c>
      <c r="F544" t="s">
        <v>173</v>
      </c>
      <c r="G544" t="s">
        <v>68</v>
      </c>
      <c r="H544" t="s">
        <v>167</v>
      </c>
      <c r="I544" t="s">
        <v>175</v>
      </c>
      <c r="J544" t="s">
        <v>729</v>
      </c>
      <c r="L544" t="s">
        <v>730</v>
      </c>
      <c r="M544" s="25">
        <v>2960</v>
      </c>
      <c r="N544" s="4">
        <v>2580</v>
      </c>
      <c r="O544">
        <v>1</v>
      </c>
      <c r="T544" t="s">
        <v>178</v>
      </c>
      <c r="U544" t="s">
        <v>66</v>
      </c>
      <c r="V544" s="25">
        <v>2249.6</v>
      </c>
      <c r="W544" s="18" t="s">
        <v>367</v>
      </c>
      <c r="Y544" s="6">
        <f t="shared" si="68"/>
        <v>2960</v>
      </c>
      <c r="Z544" s="6">
        <f t="shared" si="69"/>
        <v>2249.6</v>
      </c>
      <c r="AA544" s="6">
        <f t="shared" si="70"/>
        <v>2580</v>
      </c>
      <c r="AB544" s="6">
        <f t="shared" si="72"/>
        <v>380</v>
      </c>
      <c r="AC544" t="s">
        <v>16</v>
      </c>
      <c r="AD544" s="3" t="s">
        <v>168</v>
      </c>
    </row>
    <row r="545" spans="1:39" ht="15.75" customHeight="1" x14ac:dyDescent="0.2">
      <c r="A545" s="7" t="str">
        <f t="shared" si="66"/>
        <v>SHENZHEN STRONG TECHNOLOGY CO., LTD.J510New Buy</v>
      </c>
      <c r="B545" s="7" t="str">
        <f t="shared" si="67"/>
        <v>iPadNew Buy</v>
      </c>
      <c r="C545">
        <v>408998</v>
      </c>
      <c r="D545" t="s">
        <v>76</v>
      </c>
      <c r="E545" t="s">
        <v>166</v>
      </c>
      <c r="F545" t="s">
        <v>173</v>
      </c>
      <c r="G545" t="s">
        <v>68</v>
      </c>
      <c r="H545" t="s">
        <v>167</v>
      </c>
      <c r="I545" t="s">
        <v>175</v>
      </c>
      <c r="J545" t="s">
        <v>731</v>
      </c>
      <c r="L545" t="s">
        <v>299</v>
      </c>
      <c r="M545" s="25">
        <v>88</v>
      </c>
      <c r="N545" s="4">
        <v>88</v>
      </c>
      <c r="O545" t="s">
        <v>175</v>
      </c>
      <c r="T545" t="s">
        <v>178</v>
      </c>
      <c r="U545" t="s">
        <v>66</v>
      </c>
      <c r="V545" s="25">
        <v>60.8</v>
      </c>
      <c r="W545" s="18">
        <v>85</v>
      </c>
      <c r="Y545" s="6">
        <f t="shared" si="68"/>
        <v>0</v>
      </c>
      <c r="Z545" s="6">
        <f t="shared" si="69"/>
        <v>0</v>
      </c>
      <c r="AA545" s="6">
        <f t="shared" si="70"/>
        <v>0</v>
      </c>
      <c r="AB545" s="6">
        <f t="shared" si="72"/>
        <v>0</v>
      </c>
      <c r="AC545" t="s">
        <v>16</v>
      </c>
      <c r="AD545" s="3" t="s">
        <v>168</v>
      </c>
    </row>
    <row r="546" spans="1:39" ht="15.75" customHeight="1" x14ac:dyDescent="0.2">
      <c r="A546" s="7" t="str">
        <f t="shared" si="66"/>
        <v>SHENZHEN STRONG TECHNOLOGY CO., LTD.J510New Buy</v>
      </c>
      <c r="B546" s="7" t="str">
        <f t="shared" si="67"/>
        <v>iPadNew Buy</v>
      </c>
      <c r="C546">
        <v>408997</v>
      </c>
      <c r="D546" t="s">
        <v>76</v>
      </c>
      <c r="E546" t="s">
        <v>166</v>
      </c>
      <c r="F546" t="s">
        <v>173</v>
      </c>
      <c r="G546" t="s">
        <v>68</v>
      </c>
      <c r="H546" t="s">
        <v>167</v>
      </c>
      <c r="I546" t="s">
        <v>175</v>
      </c>
      <c r="J546" t="s">
        <v>731</v>
      </c>
      <c r="L546" t="s">
        <v>299</v>
      </c>
      <c r="M546" s="25">
        <v>105</v>
      </c>
      <c r="N546" s="4">
        <v>88</v>
      </c>
      <c r="O546" t="s">
        <v>175</v>
      </c>
      <c r="T546" t="s">
        <v>178</v>
      </c>
      <c r="U546" t="s">
        <v>116</v>
      </c>
      <c r="V546" s="25">
        <v>60.8</v>
      </c>
      <c r="W546" s="18">
        <v>85</v>
      </c>
      <c r="Y546" s="6">
        <f t="shared" si="68"/>
        <v>0</v>
      </c>
      <c r="Z546" s="6">
        <f t="shared" si="69"/>
        <v>0</v>
      </c>
      <c r="AA546" s="6">
        <f t="shared" si="70"/>
        <v>0</v>
      </c>
      <c r="AB546" s="6">
        <f t="shared" si="72"/>
        <v>0</v>
      </c>
      <c r="AC546" t="s">
        <v>33</v>
      </c>
      <c r="AD546" s="3" t="s">
        <v>168</v>
      </c>
    </row>
    <row r="547" spans="1:39" ht="15.75" customHeight="1" x14ac:dyDescent="0.2">
      <c r="A547" s="7" t="str">
        <f t="shared" ref="A547:A610" si="73">CONCATENATE(D547,G547,H547,K547)</f>
        <v>SHENZHEN STRONG TECHNOLOGY CO., LTD.J510New Buy</v>
      </c>
      <c r="B547" s="7" t="str">
        <f t="shared" ref="B547:B610" si="74">_xlfn.CONCAT(F547,K547,"New Buy")</f>
        <v>iPadNew Buy</v>
      </c>
      <c r="C547">
        <v>408992</v>
      </c>
      <c r="D547" t="s">
        <v>76</v>
      </c>
      <c r="E547" t="s">
        <v>166</v>
      </c>
      <c r="F547" t="s">
        <v>173</v>
      </c>
      <c r="G547" t="s">
        <v>68</v>
      </c>
      <c r="H547" t="s">
        <v>167</v>
      </c>
      <c r="I547" t="s">
        <v>175</v>
      </c>
      <c r="J547" t="s">
        <v>732</v>
      </c>
      <c r="L547" t="s">
        <v>301</v>
      </c>
      <c r="M547" s="25">
        <v>80</v>
      </c>
      <c r="N547" s="4">
        <v>71</v>
      </c>
      <c r="O547">
        <v>52</v>
      </c>
      <c r="T547" t="s">
        <v>178</v>
      </c>
      <c r="U547" t="s">
        <v>66</v>
      </c>
      <c r="V547" s="25">
        <v>60.8</v>
      </c>
      <c r="W547" s="18">
        <v>85</v>
      </c>
      <c r="Y547" s="6">
        <f t="shared" ref="Y547:Y610" si="75">IFERROR(O547*M547,0)</f>
        <v>4160</v>
      </c>
      <c r="Z547" s="6">
        <f t="shared" ref="Z547:Z610" si="76">IFERROR(O547*V547,0)</f>
        <v>3161.6</v>
      </c>
      <c r="AA547" s="6">
        <f t="shared" ref="AA547:AA610" si="77">IFERROR(N547*O547,0)</f>
        <v>3692</v>
      </c>
      <c r="AB547" s="6">
        <f t="shared" si="72"/>
        <v>468</v>
      </c>
      <c r="AC547" t="s">
        <v>16</v>
      </c>
      <c r="AD547" s="3" t="s">
        <v>168</v>
      </c>
      <c r="AM547" s="1">
        <f t="shared" ref="AM547:AM586" si="78">MAX(0, (W547*O547)-AA547)</f>
        <v>728</v>
      </c>
    </row>
    <row r="548" spans="1:39" ht="15.75" customHeight="1" x14ac:dyDescent="0.2">
      <c r="A548" s="7" t="str">
        <f t="shared" si="73"/>
        <v>SHENZHEN STRONG TECHNOLOGY CO., LTD.J510New Buy</v>
      </c>
      <c r="B548" s="7" t="str">
        <f t="shared" si="74"/>
        <v>iPadNew Buy</v>
      </c>
      <c r="C548">
        <v>408986</v>
      </c>
      <c r="D548" t="s">
        <v>76</v>
      </c>
      <c r="E548" t="s">
        <v>166</v>
      </c>
      <c r="F548" t="s">
        <v>173</v>
      </c>
      <c r="G548" t="s">
        <v>68</v>
      </c>
      <c r="H548" t="s">
        <v>167</v>
      </c>
      <c r="I548" t="s">
        <v>175</v>
      </c>
      <c r="J548" t="s">
        <v>733</v>
      </c>
      <c r="L548" t="s">
        <v>734</v>
      </c>
      <c r="M548" s="25">
        <v>114</v>
      </c>
      <c r="N548" s="4">
        <v>114</v>
      </c>
      <c r="O548">
        <v>1</v>
      </c>
      <c r="T548" t="s">
        <v>178</v>
      </c>
      <c r="U548" t="s">
        <v>66</v>
      </c>
      <c r="V548" s="25">
        <v>68.400000000000006</v>
      </c>
      <c r="W548" s="18">
        <v>125</v>
      </c>
      <c r="Y548" s="6">
        <f t="shared" si="75"/>
        <v>114</v>
      </c>
      <c r="Z548" s="6">
        <f t="shared" si="76"/>
        <v>68.400000000000006</v>
      </c>
      <c r="AA548" s="6">
        <f t="shared" si="77"/>
        <v>114</v>
      </c>
      <c r="AB548" s="6">
        <f t="shared" si="72"/>
        <v>0</v>
      </c>
      <c r="AC548" t="s">
        <v>16</v>
      </c>
      <c r="AD548" s="3" t="s">
        <v>168</v>
      </c>
      <c r="AM548" s="1">
        <f t="shared" si="78"/>
        <v>11</v>
      </c>
    </row>
    <row r="549" spans="1:39" ht="15.75" customHeight="1" x14ac:dyDescent="0.2">
      <c r="A549" s="7" t="str">
        <f t="shared" si="73"/>
        <v>SHENZHEN STRONG TECHNOLOGY CO., LTD.J510New Buy</v>
      </c>
      <c r="B549" s="7" t="str">
        <f t="shared" si="74"/>
        <v>iPadNew Buy</v>
      </c>
      <c r="C549">
        <v>408985</v>
      </c>
      <c r="D549" t="s">
        <v>76</v>
      </c>
      <c r="E549" t="s">
        <v>166</v>
      </c>
      <c r="F549" t="s">
        <v>173</v>
      </c>
      <c r="G549" t="s">
        <v>68</v>
      </c>
      <c r="H549" t="s">
        <v>167</v>
      </c>
      <c r="I549" t="s">
        <v>175</v>
      </c>
      <c r="J549" t="s">
        <v>733</v>
      </c>
      <c r="L549" t="s">
        <v>734</v>
      </c>
      <c r="M549" s="25">
        <v>126</v>
      </c>
      <c r="N549" s="4">
        <v>114</v>
      </c>
      <c r="O549">
        <v>2</v>
      </c>
      <c r="T549" t="s">
        <v>178</v>
      </c>
      <c r="U549" t="s">
        <v>116</v>
      </c>
      <c r="V549" s="25">
        <v>68.400000000000006</v>
      </c>
      <c r="W549" s="18">
        <v>125</v>
      </c>
      <c r="Y549" s="6">
        <f t="shared" si="75"/>
        <v>252</v>
      </c>
      <c r="Z549" s="6">
        <f t="shared" si="76"/>
        <v>136.80000000000001</v>
      </c>
      <c r="AA549" s="6">
        <f t="shared" si="77"/>
        <v>228</v>
      </c>
      <c r="AB549" s="6">
        <f t="shared" si="72"/>
        <v>24</v>
      </c>
      <c r="AC549" t="s">
        <v>33</v>
      </c>
      <c r="AD549" s="3" t="s">
        <v>168</v>
      </c>
      <c r="AM549" s="1">
        <f t="shared" si="78"/>
        <v>22</v>
      </c>
    </row>
    <row r="550" spans="1:39" ht="15.75" customHeight="1" x14ac:dyDescent="0.2">
      <c r="A550" s="7" t="str">
        <f t="shared" si="73"/>
        <v>SHENZHEN STRONG TECHNOLOGY CO., LTD.J510New Buy</v>
      </c>
      <c r="B550" s="7" t="str">
        <f t="shared" si="74"/>
        <v>iPadNew Buy</v>
      </c>
      <c r="C550">
        <v>408984</v>
      </c>
      <c r="D550" t="s">
        <v>76</v>
      </c>
      <c r="E550" t="s">
        <v>166</v>
      </c>
      <c r="F550" t="s">
        <v>173</v>
      </c>
      <c r="G550" t="s">
        <v>68</v>
      </c>
      <c r="H550" t="s">
        <v>167</v>
      </c>
      <c r="I550" t="s">
        <v>175</v>
      </c>
      <c r="J550" t="s">
        <v>735</v>
      </c>
      <c r="L550" t="s">
        <v>736</v>
      </c>
      <c r="M550" s="25">
        <v>114</v>
      </c>
      <c r="N550" s="4">
        <v>114</v>
      </c>
      <c r="O550">
        <v>1</v>
      </c>
      <c r="T550" t="s">
        <v>178</v>
      </c>
      <c r="U550" t="s">
        <v>66</v>
      </c>
      <c r="V550" s="25">
        <v>68.400000000000006</v>
      </c>
      <c r="W550" s="18">
        <v>125</v>
      </c>
      <c r="Y550" s="6">
        <f t="shared" si="75"/>
        <v>114</v>
      </c>
      <c r="Z550" s="6">
        <f t="shared" si="76"/>
        <v>68.400000000000006</v>
      </c>
      <c r="AA550" s="6">
        <f t="shared" si="77"/>
        <v>114</v>
      </c>
      <c r="AB550" s="6">
        <f t="shared" si="72"/>
        <v>0</v>
      </c>
      <c r="AC550" t="s">
        <v>16</v>
      </c>
      <c r="AD550" s="3" t="s">
        <v>168</v>
      </c>
      <c r="AM550" s="1">
        <f t="shared" si="78"/>
        <v>11</v>
      </c>
    </row>
    <row r="551" spans="1:39" ht="15.75" customHeight="1" x14ac:dyDescent="0.2">
      <c r="A551" s="7" t="str">
        <f t="shared" si="73"/>
        <v>SHENZHEN STRONG TECHNOLOGY CO., LTD.J510New Buy</v>
      </c>
      <c r="B551" s="7" t="str">
        <f t="shared" si="74"/>
        <v>iPadNew Buy</v>
      </c>
      <c r="C551">
        <v>408983</v>
      </c>
      <c r="D551" t="s">
        <v>76</v>
      </c>
      <c r="E551" t="s">
        <v>166</v>
      </c>
      <c r="F551" t="s">
        <v>173</v>
      </c>
      <c r="G551" t="s">
        <v>68</v>
      </c>
      <c r="H551" t="s">
        <v>167</v>
      </c>
      <c r="I551" t="s">
        <v>175</v>
      </c>
      <c r="J551" t="s">
        <v>735</v>
      </c>
      <c r="L551" t="s">
        <v>736</v>
      </c>
      <c r="M551" s="25">
        <v>126</v>
      </c>
      <c r="N551" s="4">
        <v>114</v>
      </c>
      <c r="O551">
        <v>2</v>
      </c>
      <c r="T551" t="s">
        <v>178</v>
      </c>
      <c r="U551" t="s">
        <v>116</v>
      </c>
      <c r="V551" s="25">
        <v>68.400000000000006</v>
      </c>
      <c r="W551" s="18">
        <v>125</v>
      </c>
      <c r="Y551" s="6">
        <f t="shared" si="75"/>
        <v>252</v>
      </c>
      <c r="Z551" s="6">
        <f t="shared" si="76"/>
        <v>136.80000000000001</v>
      </c>
      <c r="AA551" s="6">
        <f t="shared" si="77"/>
        <v>228</v>
      </c>
      <c r="AB551" s="6">
        <f t="shared" si="72"/>
        <v>24</v>
      </c>
      <c r="AC551" t="s">
        <v>33</v>
      </c>
      <c r="AD551" s="3" t="s">
        <v>168</v>
      </c>
      <c r="AM551" s="1">
        <f t="shared" si="78"/>
        <v>22</v>
      </c>
    </row>
    <row r="552" spans="1:39" ht="15.75" customHeight="1" x14ac:dyDescent="0.2">
      <c r="A552" s="7" t="str">
        <f t="shared" si="73"/>
        <v>SHENZHEN STRONG TECHNOLOGY CO., LTD.J510New Buy</v>
      </c>
      <c r="B552" s="7" t="str">
        <f t="shared" si="74"/>
        <v>iPadNew Buy</v>
      </c>
      <c r="C552">
        <v>408980</v>
      </c>
      <c r="D552" t="s">
        <v>76</v>
      </c>
      <c r="E552" t="s">
        <v>166</v>
      </c>
      <c r="F552" t="s">
        <v>173</v>
      </c>
      <c r="G552" t="s">
        <v>68</v>
      </c>
      <c r="H552" t="s">
        <v>167</v>
      </c>
      <c r="I552" t="s">
        <v>175</v>
      </c>
      <c r="J552" t="s">
        <v>737</v>
      </c>
      <c r="L552" t="s">
        <v>303</v>
      </c>
      <c r="M552" s="25">
        <v>70</v>
      </c>
      <c r="N552" s="4">
        <v>68</v>
      </c>
      <c r="O552">
        <v>1</v>
      </c>
      <c r="T552" t="s">
        <v>178</v>
      </c>
      <c r="U552" t="s">
        <v>66</v>
      </c>
      <c r="V552" s="25">
        <v>53.2</v>
      </c>
      <c r="W552" s="18">
        <v>120</v>
      </c>
      <c r="Y552" s="6">
        <f t="shared" si="75"/>
        <v>70</v>
      </c>
      <c r="Z552" s="6">
        <f t="shared" si="76"/>
        <v>53.2</v>
      </c>
      <c r="AA552" s="6">
        <f t="shared" si="77"/>
        <v>68</v>
      </c>
      <c r="AB552" s="6">
        <f t="shared" si="72"/>
        <v>2</v>
      </c>
      <c r="AC552" t="s">
        <v>16</v>
      </c>
      <c r="AD552" s="3" t="s">
        <v>168</v>
      </c>
      <c r="AM552" s="1">
        <f t="shared" si="78"/>
        <v>52</v>
      </c>
    </row>
    <row r="553" spans="1:39" ht="15.75" customHeight="1" x14ac:dyDescent="0.2">
      <c r="A553" s="7" t="str">
        <f t="shared" si="73"/>
        <v>SHENZHEN STRONG TECHNOLOGY CO., LTD.J510New Buy</v>
      </c>
      <c r="B553" s="7" t="str">
        <f t="shared" si="74"/>
        <v>iPadNew Buy</v>
      </c>
      <c r="C553">
        <v>408978</v>
      </c>
      <c r="D553" t="s">
        <v>76</v>
      </c>
      <c r="E553" t="s">
        <v>166</v>
      </c>
      <c r="F553" t="s">
        <v>173</v>
      </c>
      <c r="G553" t="s">
        <v>68</v>
      </c>
      <c r="H553" t="s">
        <v>167</v>
      </c>
      <c r="I553" t="s">
        <v>175</v>
      </c>
      <c r="J553" t="s">
        <v>738</v>
      </c>
      <c r="L553" t="s">
        <v>305</v>
      </c>
      <c r="M553" s="25">
        <v>70</v>
      </c>
      <c r="N553" s="4">
        <v>68</v>
      </c>
      <c r="O553" t="s">
        <v>175</v>
      </c>
      <c r="T553" t="s">
        <v>178</v>
      </c>
      <c r="U553" t="s">
        <v>66</v>
      </c>
      <c r="V553" s="25">
        <v>53.2</v>
      </c>
      <c r="W553" s="18">
        <v>120</v>
      </c>
      <c r="Y553" s="6">
        <f t="shared" si="75"/>
        <v>0</v>
      </c>
      <c r="Z553" s="6">
        <f t="shared" si="76"/>
        <v>0</v>
      </c>
      <c r="AA553" s="6">
        <f t="shared" si="77"/>
        <v>0</v>
      </c>
      <c r="AB553" s="6">
        <f t="shared" si="72"/>
        <v>0</v>
      </c>
      <c r="AC553" t="s">
        <v>16</v>
      </c>
      <c r="AD553" s="3" t="s">
        <v>168</v>
      </c>
    </row>
    <row r="554" spans="1:39" ht="15.75" customHeight="1" x14ac:dyDescent="0.2">
      <c r="A554" s="7" t="str">
        <f t="shared" si="73"/>
        <v>SHENZHEN STRONG TECHNOLOGY CO., LTD.J510New Buy</v>
      </c>
      <c r="B554" s="7" t="str">
        <f t="shared" si="74"/>
        <v>iPadNew Buy</v>
      </c>
      <c r="C554">
        <v>408975</v>
      </c>
      <c r="D554" t="s">
        <v>76</v>
      </c>
      <c r="E554" t="s">
        <v>166</v>
      </c>
      <c r="F554" t="s">
        <v>173</v>
      </c>
      <c r="G554" t="s">
        <v>68</v>
      </c>
      <c r="H554" t="s">
        <v>167</v>
      </c>
      <c r="I554" t="s">
        <v>175</v>
      </c>
      <c r="J554" t="s">
        <v>739</v>
      </c>
      <c r="L554" t="s">
        <v>740</v>
      </c>
      <c r="M554" s="25">
        <v>109</v>
      </c>
      <c r="N554" s="4">
        <v>109</v>
      </c>
      <c r="O554" t="s">
        <v>175</v>
      </c>
      <c r="T554" t="s">
        <v>178</v>
      </c>
      <c r="U554" t="s">
        <v>66</v>
      </c>
      <c r="V554" s="25">
        <v>72.2</v>
      </c>
      <c r="W554" s="18">
        <v>127</v>
      </c>
      <c r="Y554" s="6">
        <f t="shared" si="75"/>
        <v>0</v>
      </c>
      <c r="Z554" s="6">
        <f t="shared" si="76"/>
        <v>0</v>
      </c>
      <c r="AA554" s="6">
        <f t="shared" si="77"/>
        <v>0</v>
      </c>
      <c r="AB554" s="6">
        <f t="shared" si="72"/>
        <v>0</v>
      </c>
      <c r="AC554" t="s">
        <v>16</v>
      </c>
      <c r="AD554" s="3" t="s">
        <v>168</v>
      </c>
    </row>
    <row r="555" spans="1:39" ht="15.75" customHeight="1" x14ac:dyDescent="0.2">
      <c r="A555" s="7" t="str">
        <f t="shared" si="73"/>
        <v>SHENZHEN STRONG TECHNOLOGY CO., LTD.J510New Buy</v>
      </c>
      <c r="B555" s="7" t="str">
        <f t="shared" si="74"/>
        <v>iPadNew Buy</v>
      </c>
      <c r="C555">
        <v>408974</v>
      </c>
      <c r="D555" t="s">
        <v>76</v>
      </c>
      <c r="E555" t="s">
        <v>166</v>
      </c>
      <c r="F555" t="s">
        <v>173</v>
      </c>
      <c r="G555" t="s">
        <v>68</v>
      </c>
      <c r="H555" t="s">
        <v>167</v>
      </c>
      <c r="I555" t="s">
        <v>175</v>
      </c>
      <c r="J555" t="s">
        <v>739</v>
      </c>
      <c r="L555" t="s">
        <v>740</v>
      </c>
      <c r="M555" s="25">
        <v>133</v>
      </c>
      <c r="N555" s="4">
        <v>109</v>
      </c>
      <c r="O555" t="s">
        <v>175</v>
      </c>
      <c r="T555" t="s">
        <v>178</v>
      </c>
      <c r="U555" t="s">
        <v>116</v>
      </c>
      <c r="V555" s="25">
        <v>72.2</v>
      </c>
      <c r="W555" s="18">
        <v>127</v>
      </c>
      <c r="Y555" s="6">
        <f t="shared" si="75"/>
        <v>0</v>
      </c>
      <c r="Z555" s="6">
        <f t="shared" si="76"/>
        <v>0</v>
      </c>
      <c r="AA555" s="6">
        <f t="shared" si="77"/>
        <v>0</v>
      </c>
      <c r="AB555" s="6">
        <f t="shared" si="72"/>
        <v>0</v>
      </c>
      <c r="AC555" t="s">
        <v>33</v>
      </c>
      <c r="AD555" s="3" t="s">
        <v>168</v>
      </c>
    </row>
    <row r="556" spans="1:39" ht="15.75" customHeight="1" x14ac:dyDescent="0.2">
      <c r="A556" s="7" t="str">
        <f t="shared" si="73"/>
        <v>SHENZHEN STRONG TECHNOLOGY CO., LTD.J510New Buy</v>
      </c>
      <c r="B556" s="7" t="str">
        <f t="shared" si="74"/>
        <v>iPadNew Buy</v>
      </c>
      <c r="C556">
        <v>408972</v>
      </c>
      <c r="D556" t="s">
        <v>76</v>
      </c>
      <c r="E556" t="s">
        <v>166</v>
      </c>
      <c r="F556" t="s">
        <v>173</v>
      </c>
      <c r="G556" t="s">
        <v>68</v>
      </c>
      <c r="H556" t="s">
        <v>167</v>
      </c>
      <c r="I556" t="s">
        <v>175</v>
      </c>
      <c r="J556" t="s">
        <v>741</v>
      </c>
      <c r="L556" t="s">
        <v>742</v>
      </c>
      <c r="M556" s="25">
        <v>115.33</v>
      </c>
      <c r="N556" s="4">
        <v>115.33</v>
      </c>
      <c r="O556">
        <v>1</v>
      </c>
      <c r="T556" t="s">
        <v>178</v>
      </c>
      <c r="U556" t="s">
        <v>66</v>
      </c>
      <c r="V556" s="25">
        <v>72.2</v>
      </c>
      <c r="W556" s="18">
        <v>135.71</v>
      </c>
      <c r="Y556" s="6">
        <f t="shared" si="75"/>
        <v>115.33</v>
      </c>
      <c r="Z556" s="6">
        <f t="shared" si="76"/>
        <v>72.2</v>
      </c>
      <c r="AA556" s="6">
        <f t="shared" si="77"/>
        <v>115.33</v>
      </c>
      <c r="AB556" s="6">
        <f t="shared" si="72"/>
        <v>0</v>
      </c>
      <c r="AC556" t="s">
        <v>16</v>
      </c>
      <c r="AD556" s="3" t="s">
        <v>168</v>
      </c>
      <c r="AM556" s="1">
        <f t="shared" si="78"/>
        <v>20.38000000000001</v>
      </c>
    </row>
    <row r="557" spans="1:39" ht="15.75" customHeight="1" x14ac:dyDescent="0.2">
      <c r="A557" s="7" t="str">
        <f t="shared" si="73"/>
        <v>SHENZHEN STRONG TECHNOLOGY CO., LTD.J510New Buy</v>
      </c>
      <c r="B557" s="7" t="str">
        <f t="shared" si="74"/>
        <v>iPadNew Buy</v>
      </c>
      <c r="C557">
        <v>408971</v>
      </c>
      <c r="D557" t="s">
        <v>76</v>
      </c>
      <c r="E557" t="s">
        <v>166</v>
      </c>
      <c r="F557" t="s">
        <v>173</v>
      </c>
      <c r="G557" t="s">
        <v>68</v>
      </c>
      <c r="H557" t="s">
        <v>167</v>
      </c>
      <c r="I557" t="s">
        <v>175</v>
      </c>
      <c r="J557" t="s">
        <v>741</v>
      </c>
      <c r="L557" t="s">
        <v>742</v>
      </c>
      <c r="M557" s="25">
        <v>133</v>
      </c>
      <c r="N557" s="4">
        <v>115.33</v>
      </c>
      <c r="O557">
        <v>2</v>
      </c>
      <c r="T557" t="s">
        <v>178</v>
      </c>
      <c r="U557" t="s">
        <v>116</v>
      </c>
      <c r="V557" s="25">
        <v>72.2</v>
      </c>
      <c r="W557" s="18">
        <v>135.71</v>
      </c>
      <c r="Y557" s="6">
        <f t="shared" si="75"/>
        <v>266</v>
      </c>
      <c r="Z557" s="6">
        <f t="shared" si="76"/>
        <v>144.4</v>
      </c>
      <c r="AA557" s="6">
        <f t="shared" si="77"/>
        <v>230.66</v>
      </c>
      <c r="AB557" s="6">
        <f t="shared" si="72"/>
        <v>35.340000000000003</v>
      </c>
      <c r="AC557" t="s">
        <v>33</v>
      </c>
      <c r="AD557" s="3" t="s">
        <v>168</v>
      </c>
      <c r="AM557" s="1">
        <f t="shared" si="78"/>
        <v>40.760000000000019</v>
      </c>
    </row>
    <row r="558" spans="1:39" ht="15.75" customHeight="1" x14ac:dyDescent="0.2">
      <c r="A558" s="7" t="str">
        <f t="shared" si="73"/>
        <v>SHENZHEN STRONG TECHNOLOGY CO., LTD.J510New Buy</v>
      </c>
      <c r="B558" s="7" t="str">
        <f t="shared" si="74"/>
        <v>iPadNew Buy</v>
      </c>
      <c r="C558">
        <v>408969</v>
      </c>
      <c r="D558" t="s">
        <v>76</v>
      </c>
      <c r="E558" t="s">
        <v>166</v>
      </c>
      <c r="F558" t="s">
        <v>173</v>
      </c>
      <c r="G558" t="s">
        <v>68</v>
      </c>
      <c r="H558" t="s">
        <v>167</v>
      </c>
      <c r="I558" t="s">
        <v>175</v>
      </c>
      <c r="J558" t="s">
        <v>743</v>
      </c>
      <c r="L558" t="s">
        <v>307</v>
      </c>
      <c r="M558" s="25">
        <v>84</v>
      </c>
      <c r="N558" s="4">
        <v>84</v>
      </c>
      <c r="O558">
        <v>1</v>
      </c>
      <c r="T558" t="s">
        <v>178</v>
      </c>
      <c r="U558" t="s">
        <v>66</v>
      </c>
      <c r="V558" s="25">
        <v>53.2</v>
      </c>
      <c r="W558" s="18" t="s">
        <v>367</v>
      </c>
      <c r="Y558" s="6">
        <f t="shared" si="75"/>
        <v>84</v>
      </c>
      <c r="Z558" s="6">
        <f t="shared" si="76"/>
        <v>53.2</v>
      </c>
      <c r="AA558" s="6">
        <f t="shared" si="77"/>
        <v>84</v>
      </c>
      <c r="AB558" s="6">
        <f t="shared" si="72"/>
        <v>0</v>
      </c>
      <c r="AC558" t="s">
        <v>16</v>
      </c>
      <c r="AD558" s="3" t="s">
        <v>168</v>
      </c>
    </row>
    <row r="559" spans="1:39" ht="15.75" customHeight="1" x14ac:dyDescent="0.2">
      <c r="A559" s="7" t="str">
        <f t="shared" si="73"/>
        <v>SHENZHEN STRONG TECHNOLOGY CO., LTD.J510New Buy</v>
      </c>
      <c r="B559" s="7" t="str">
        <f t="shared" si="74"/>
        <v>iPadNew Buy</v>
      </c>
      <c r="C559">
        <v>408968</v>
      </c>
      <c r="D559" t="s">
        <v>76</v>
      </c>
      <c r="E559" t="s">
        <v>166</v>
      </c>
      <c r="F559" t="s">
        <v>173</v>
      </c>
      <c r="G559" t="s">
        <v>68</v>
      </c>
      <c r="H559" t="s">
        <v>167</v>
      </c>
      <c r="I559" t="s">
        <v>175</v>
      </c>
      <c r="J559" t="s">
        <v>743</v>
      </c>
      <c r="L559" t="s">
        <v>307</v>
      </c>
      <c r="M559" s="25">
        <v>98</v>
      </c>
      <c r="N559" s="4">
        <v>84</v>
      </c>
      <c r="O559">
        <v>1</v>
      </c>
      <c r="T559" t="s">
        <v>178</v>
      </c>
      <c r="U559" t="s">
        <v>116</v>
      </c>
      <c r="V559" s="25">
        <v>53.2</v>
      </c>
      <c r="W559" s="18" t="s">
        <v>367</v>
      </c>
      <c r="Y559" s="6">
        <f t="shared" si="75"/>
        <v>98</v>
      </c>
      <c r="Z559" s="6">
        <f t="shared" si="76"/>
        <v>53.2</v>
      </c>
      <c r="AA559" s="6">
        <f t="shared" si="77"/>
        <v>84</v>
      </c>
      <c r="AB559" s="6">
        <f t="shared" si="72"/>
        <v>14</v>
      </c>
      <c r="AC559" t="s">
        <v>33</v>
      </c>
      <c r="AD559" s="3" t="s">
        <v>168</v>
      </c>
    </row>
    <row r="560" spans="1:39" ht="15.75" customHeight="1" x14ac:dyDescent="0.2">
      <c r="A560" s="7" t="str">
        <f t="shared" si="73"/>
        <v>SHENZHEN STRONG TECHNOLOGY CO., LTD.J510New Buy</v>
      </c>
      <c r="B560" s="7" t="str">
        <f t="shared" si="74"/>
        <v>iPadNew Buy</v>
      </c>
      <c r="C560">
        <v>408963</v>
      </c>
      <c r="D560" t="s">
        <v>76</v>
      </c>
      <c r="E560" t="s">
        <v>166</v>
      </c>
      <c r="F560" t="s">
        <v>173</v>
      </c>
      <c r="G560" t="s">
        <v>68</v>
      </c>
      <c r="H560" t="s">
        <v>167</v>
      </c>
      <c r="I560" t="s">
        <v>175</v>
      </c>
      <c r="J560" t="s">
        <v>744</v>
      </c>
      <c r="L560" t="s">
        <v>309</v>
      </c>
      <c r="M560" s="25">
        <v>84</v>
      </c>
      <c r="N560" s="4">
        <v>84</v>
      </c>
      <c r="O560" t="s">
        <v>175</v>
      </c>
      <c r="T560" t="s">
        <v>178</v>
      </c>
      <c r="U560" t="s">
        <v>66</v>
      </c>
      <c r="V560" s="25">
        <v>53.2</v>
      </c>
      <c r="W560" s="18" t="s">
        <v>367</v>
      </c>
      <c r="Y560" s="6">
        <f t="shared" si="75"/>
        <v>0</v>
      </c>
      <c r="Z560" s="6">
        <f t="shared" si="76"/>
        <v>0</v>
      </c>
      <c r="AA560" s="6">
        <f t="shared" si="77"/>
        <v>0</v>
      </c>
      <c r="AB560" s="6">
        <f t="shared" si="72"/>
        <v>0</v>
      </c>
      <c r="AC560" t="s">
        <v>16</v>
      </c>
      <c r="AD560" s="3" t="s">
        <v>168</v>
      </c>
    </row>
    <row r="561" spans="1:39" ht="15.75" customHeight="1" x14ac:dyDescent="0.2">
      <c r="A561" s="7" t="str">
        <f t="shared" si="73"/>
        <v>SHENZHEN STRONG TECHNOLOGY CO., LTD.J510New Buy</v>
      </c>
      <c r="B561" s="7" t="str">
        <f t="shared" si="74"/>
        <v>iPadNew Buy</v>
      </c>
      <c r="C561">
        <v>408962</v>
      </c>
      <c r="D561" t="s">
        <v>76</v>
      </c>
      <c r="E561" t="s">
        <v>166</v>
      </c>
      <c r="F561" t="s">
        <v>173</v>
      </c>
      <c r="G561" t="s">
        <v>68</v>
      </c>
      <c r="H561" t="s">
        <v>167</v>
      </c>
      <c r="I561" t="s">
        <v>175</v>
      </c>
      <c r="J561" t="s">
        <v>744</v>
      </c>
      <c r="L561" t="s">
        <v>309</v>
      </c>
      <c r="M561" s="25">
        <v>98</v>
      </c>
      <c r="N561" s="4">
        <v>84</v>
      </c>
      <c r="O561" t="s">
        <v>175</v>
      </c>
      <c r="T561" t="s">
        <v>178</v>
      </c>
      <c r="U561" t="s">
        <v>116</v>
      </c>
      <c r="V561" s="25">
        <v>53.2</v>
      </c>
      <c r="W561" s="18" t="s">
        <v>367</v>
      </c>
      <c r="Y561" s="6">
        <f t="shared" si="75"/>
        <v>0</v>
      </c>
      <c r="Z561" s="6">
        <f t="shared" si="76"/>
        <v>0</v>
      </c>
      <c r="AA561" s="6">
        <f t="shared" si="77"/>
        <v>0</v>
      </c>
      <c r="AB561" s="6">
        <f t="shared" si="72"/>
        <v>0</v>
      </c>
      <c r="AC561" t="s">
        <v>33</v>
      </c>
      <c r="AD561" s="3" t="s">
        <v>168</v>
      </c>
    </row>
    <row r="562" spans="1:39" ht="15.75" customHeight="1" x14ac:dyDescent="0.2">
      <c r="A562" s="7" t="str">
        <f t="shared" si="73"/>
        <v>SHENZHEN STRONG TECHNOLOGY CO., LTD.J510New Buy</v>
      </c>
      <c r="B562" s="7" t="str">
        <f t="shared" si="74"/>
        <v>iPadNew Buy</v>
      </c>
      <c r="C562">
        <v>408955</v>
      </c>
      <c r="D562" t="s">
        <v>76</v>
      </c>
      <c r="E562" t="s">
        <v>166</v>
      </c>
      <c r="F562" t="s">
        <v>173</v>
      </c>
      <c r="G562" t="s">
        <v>68</v>
      </c>
      <c r="H562" t="s">
        <v>167</v>
      </c>
      <c r="I562" t="s">
        <v>175</v>
      </c>
      <c r="J562" t="s">
        <v>745</v>
      </c>
      <c r="L562" t="s">
        <v>746</v>
      </c>
      <c r="M562" s="25">
        <v>183.67</v>
      </c>
      <c r="N562" s="4">
        <v>183.67</v>
      </c>
      <c r="O562">
        <v>1</v>
      </c>
      <c r="T562" t="s">
        <v>178</v>
      </c>
      <c r="U562" t="s">
        <v>66</v>
      </c>
      <c r="V562" s="25">
        <v>110.2</v>
      </c>
      <c r="W562" s="18" t="s">
        <v>367</v>
      </c>
      <c r="Y562" s="6">
        <f t="shared" si="75"/>
        <v>183.67</v>
      </c>
      <c r="Z562" s="6">
        <f t="shared" si="76"/>
        <v>110.2</v>
      </c>
      <c r="AA562" s="6">
        <f t="shared" si="77"/>
        <v>183.67</v>
      </c>
      <c r="AB562" s="6">
        <f t="shared" si="72"/>
        <v>0</v>
      </c>
      <c r="AC562" t="s">
        <v>16</v>
      </c>
      <c r="AD562" s="3" t="s">
        <v>168</v>
      </c>
    </row>
    <row r="563" spans="1:39" ht="15.75" customHeight="1" x14ac:dyDescent="0.2">
      <c r="A563" s="7" t="str">
        <f t="shared" si="73"/>
        <v>SHENZHEN STRONG TECHNOLOGY CO., LTD.J510New Buy</v>
      </c>
      <c r="B563" s="7" t="str">
        <f t="shared" si="74"/>
        <v>iPadNew Buy</v>
      </c>
      <c r="C563">
        <v>408954</v>
      </c>
      <c r="D563" t="s">
        <v>76</v>
      </c>
      <c r="E563" t="s">
        <v>166</v>
      </c>
      <c r="F563" t="s">
        <v>173</v>
      </c>
      <c r="G563" t="s">
        <v>68</v>
      </c>
      <c r="H563" t="s">
        <v>167</v>
      </c>
      <c r="I563" t="s">
        <v>175</v>
      </c>
      <c r="J563" t="s">
        <v>745</v>
      </c>
      <c r="L563" t="s">
        <v>746</v>
      </c>
      <c r="M563" s="25">
        <v>203</v>
      </c>
      <c r="N563" s="4">
        <v>183.67</v>
      </c>
      <c r="O563">
        <v>2</v>
      </c>
      <c r="T563" t="s">
        <v>178</v>
      </c>
      <c r="U563" t="s">
        <v>116</v>
      </c>
      <c r="V563" s="25">
        <v>110.2</v>
      </c>
      <c r="W563" s="18" t="s">
        <v>367</v>
      </c>
      <c r="Y563" s="6">
        <f t="shared" si="75"/>
        <v>406</v>
      </c>
      <c r="Z563" s="6">
        <f t="shared" si="76"/>
        <v>220.4</v>
      </c>
      <c r="AA563" s="6">
        <f t="shared" si="77"/>
        <v>367.34</v>
      </c>
      <c r="AB563" s="6">
        <f t="shared" si="72"/>
        <v>38.660000000000025</v>
      </c>
      <c r="AC563" t="s">
        <v>33</v>
      </c>
      <c r="AD563" s="3" t="s">
        <v>168</v>
      </c>
    </row>
    <row r="564" spans="1:39" ht="15.75" customHeight="1" x14ac:dyDescent="0.2">
      <c r="A564" s="7" t="str">
        <f t="shared" si="73"/>
        <v>SHENZHEN STRONG TECHNOLOGY CO., LTD.J510New Buy</v>
      </c>
      <c r="B564" s="7" t="str">
        <f t="shared" si="74"/>
        <v>iPadNew Buy</v>
      </c>
      <c r="C564">
        <v>408952</v>
      </c>
      <c r="D564" t="s">
        <v>76</v>
      </c>
      <c r="E564" t="s">
        <v>166</v>
      </c>
      <c r="F564" t="s">
        <v>173</v>
      </c>
      <c r="G564" t="s">
        <v>68</v>
      </c>
      <c r="H564" t="s">
        <v>167</v>
      </c>
      <c r="I564" t="s">
        <v>175</v>
      </c>
      <c r="J564" t="s">
        <v>747</v>
      </c>
      <c r="L564" t="s">
        <v>748</v>
      </c>
      <c r="M564" s="25">
        <v>183.67</v>
      </c>
      <c r="N564" s="4">
        <v>183.67</v>
      </c>
      <c r="O564" t="s">
        <v>175</v>
      </c>
      <c r="T564" t="s">
        <v>178</v>
      </c>
      <c r="U564" t="s">
        <v>66</v>
      </c>
      <c r="V564" s="25">
        <v>110.2</v>
      </c>
      <c r="W564" s="18" t="s">
        <v>367</v>
      </c>
      <c r="Y564" s="6">
        <f t="shared" si="75"/>
        <v>0</v>
      </c>
      <c r="Z564" s="6">
        <f t="shared" si="76"/>
        <v>0</v>
      </c>
      <c r="AA564" s="6">
        <f t="shared" si="77"/>
        <v>0</v>
      </c>
      <c r="AB564" s="6">
        <f t="shared" si="72"/>
        <v>0</v>
      </c>
      <c r="AC564" t="s">
        <v>16</v>
      </c>
      <c r="AD564" s="3" t="s">
        <v>168</v>
      </c>
    </row>
    <row r="565" spans="1:39" ht="15.75" customHeight="1" x14ac:dyDescent="0.2">
      <c r="A565" s="7" t="str">
        <f t="shared" si="73"/>
        <v>SHENZHEN STRONG TECHNOLOGY CO., LTD.J510New Buy</v>
      </c>
      <c r="B565" s="7" t="str">
        <f t="shared" si="74"/>
        <v>iPadNew Buy</v>
      </c>
      <c r="C565">
        <v>408951</v>
      </c>
      <c r="D565" t="s">
        <v>76</v>
      </c>
      <c r="E565" t="s">
        <v>166</v>
      </c>
      <c r="F565" t="s">
        <v>173</v>
      </c>
      <c r="G565" t="s">
        <v>68</v>
      </c>
      <c r="H565" t="s">
        <v>167</v>
      </c>
      <c r="I565" t="s">
        <v>175</v>
      </c>
      <c r="J565" t="s">
        <v>747</v>
      </c>
      <c r="L565" t="s">
        <v>748</v>
      </c>
      <c r="M565" s="25">
        <v>203</v>
      </c>
      <c r="N565" s="4">
        <v>183.67</v>
      </c>
      <c r="O565" t="s">
        <v>175</v>
      </c>
      <c r="T565" t="s">
        <v>178</v>
      </c>
      <c r="U565" t="s">
        <v>116</v>
      </c>
      <c r="V565" s="25">
        <v>110.2</v>
      </c>
      <c r="W565" s="18" t="s">
        <v>367</v>
      </c>
      <c r="Y565" s="6">
        <f t="shared" si="75"/>
        <v>0</v>
      </c>
      <c r="Z565" s="6">
        <f t="shared" si="76"/>
        <v>0</v>
      </c>
      <c r="AA565" s="6">
        <f t="shared" si="77"/>
        <v>0</v>
      </c>
      <c r="AB565" s="6">
        <f t="shared" si="72"/>
        <v>0</v>
      </c>
      <c r="AC565" t="s">
        <v>33</v>
      </c>
      <c r="AD565" s="3" t="s">
        <v>168</v>
      </c>
    </row>
    <row r="566" spans="1:39" ht="15.75" customHeight="1" x14ac:dyDescent="0.2">
      <c r="A566" s="7" t="str">
        <f t="shared" si="73"/>
        <v>SHENZHEN STRONG TECHNOLOGY CO., LTD.J510New Buy</v>
      </c>
      <c r="B566" s="7" t="str">
        <f t="shared" si="74"/>
        <v>iPadNew Buy</v>
      </c>
      <c r="C566">
        <v>408949</v>
      </c>
      <c r="D566" t="s">
        <v>76</v>
      </c>
      <c r="E566" t="s">
        <v>166</v>
      </c>
      <c r="F566" t="s">
        <v>173</v>
      </c>
      <c r="G566" t="s">
        <v>68</v>
      </c>
      <c r="H566" t="s">
        <v>167</v>
      </c>
      <c r="I566" t="s">
        <v>175</v>
      </c>
      <c r="J566" t="s">
        <v>749</v>
      </c>
      <c r="L566" t="s">
        <v>750</v>
      </c>
      <c r="M566" s="25">
        <v>114</v>
      </c>
      <c r="N566" s="4">
        <v>114</v>
      </c>
      <c r="O566">
        <v>1</v>
      </c>
      <c r="T566" t="s">
        <v>178</v>
      </c>
      <c r="U566" t="s">
        <v>66</v>
      </c>
      <c r="V566" s="25">
        <v>68.400000000000006</v>
      </c>
      <c r="W566" s="18">
        <v>125</v>
      </c>
      <c r="Y566" s="6">
        <f t="shared" si="75"/>
        <v>114</v>
      </c>
      <c r="Z566" s="6">
        <f t="shared" si="76"/>
        <v>68.400000000000006</v>
      </c>
      <c r="AA566" s="6">
        <f t="shared" si="77"/>
        <v>114</v>
      </c>
      <c r="AB566" s="6">
        <f t="shared" si="72"/>
        <v>0</v>
      </c>
      <c r="AC566" t="s">
        <v>16</v>
      </c>
      <c r="AD566" s="3" t="s">
        <v>168</v>
      </c>
      <c r="AM566" s="1">
        <f t="shared" si="78"/>
        <v>11</v>
      </c>
    </row>
    <row r="567" spans="1:39" ht="15.75" customHeight="1" x14ac:dyDescent="0.2">
      <c r="A567" s="7" t="str">
        <f t="shared" si="73"/>
        <v>SHENZHEN STRONG TECHNOLOGY CO., LTD.J510New Buy</v>
      </c>
      <c r="B567" s="7" t="str">
        <f t="shared" si="74"/>
        <v>iPadNew Buy</v>
      </c>
      <c r="C567">
        <v>408948</v>
      </c>
      <c r="D567" t="s">
        <v>76</v>
      </c>
      <c r="E567" t="s">
        <v>166</v>
      </c>
      <c r="F567" t="s">
        <v>173</v>
      </c>
      <c r="G567" t="s">
        <v>68</v>
      </c>
      <c r="H567" t="s">
        <v>167</v>
      </c>
      <c r="I567" t="s">
        <v>175</v>
      </c>
      <c r="J567" t="s">
        <v>749</v>
      </c>
      <c r="L567" t="s">
        <v>750</v>
      </c>
      <c r="M567" s="25">
        <v>126</v>
      </c>
      <c r="N567" s="4">
        <v>114</v>
      </c>
      <c r="O567">
        <v>2</v>
      </c>
      <c r="T567" t="s">
        <v>178</v>
      </c>
      <c r="U567" t="s">
        <v>116</v>
      </c>
      <c r="V567" s="25">
        <v>68.400000000000006</v>
      </c>
      <c r="W567" s="18">
        <v>125</v>
      </c>
      <c r="Y567" s="6">
        <f t="shared" si="75"/>
        <v>252</v>
      </c>
      <c r="Z567" s="6">
        <f t="shared" si="76"/>
        <v>136.80000000000001</v>
      </c>
      <c r="AA567" s="6">
        <f t="shared" si="77"/>
        <v>228</v>
      </c>
      <c r="AB567" s="6">
        <f t="shared" si="72"/>
        <v>24</v>
      </c>
      <c r="AC567" t="s">
        <v>33</v>
      </c>
      <c r="AD567" s="3" t="s">
        <v>168</v>
      </c>
      <c r="AM567" s="1">
        <f t="shared" si="78"/>
        <v>22</v>
      </c>
    </row>
    <row r="568" spans="1:39" ht="15.75" customHeight="1" x14ac:dyDescent="0.2">
      <c r="A568" s="7" t="str">
        <f t="shared" si="73"/>
        <v>SHENZHEN STRONG TECHNOLOGY CO., LTD.J510New Buy</v>
      </c>
      <c r="B568" s="7" t="str">
        <f t="shared" si="74"/>
        <v>iPadNew Buy</v>
      </c>
      <c r="C568">
        <v>408946</v>
      </c>
      <c r="D568" t="s">
        <v>76</v>
      </c>
      <c r="E568" t="s">
        <v>166</v>
      </c>
      <c r="F568" t="s">
        <v>173</v>
      </c>
      <c r="G568" t="s">
        <v>68</v>
      </c>
      <c r="H568" t="s">
        <v>167</v>
      </c>
      <c r="I568" t="s">
        <v>175</v>
      </c>
      <c r="J568" t="s">
        <v>751</v>
      </c>
      <c r="L568" t="s">
        <v>752</v>
      </c>
      <c r="M568" s="25">
        <v>114</v>
      </c>
      <c r="N568" s="4">
        <v>114</v>
      </c>
      <c r="O568">
        <v>1</v>
      </c>
      <c r="T568" t="s">
        <v>178</v>
      </c>
      <c r="U568" t="s">
        <v>66</v>
      </c>
      <c r="V568" s="25">
        <v>68.400000000000006</v>
      </c>
      <c r="W568" s="18">
        <v>125</v>
      </c>
      <c r="Y568" s="6">
        <f t="shared" si="75"/>
        <v>114</v>
      </c>
      <c r="Z568" s="6">
        <f t="shared" si="76"/>
        <v>68.400000000000006</v>
      </c>
      <c r="AA568" s="6">
        <f t="shared" si="77"/>
        <v>114</v>
      </c>
      <c r="AB568" s="6">
        <f t="shared" si="72"/>
        <v>0</v>
      </c>
      <c r="AC568" t="s">
        <v>16</v>
      </c>
      <c r="AD568" s="3" t="s">
        <v>168</v>
      </c>
      <c r="AM568" s="1">
        <f t="shared" si="78"/>
        <v>11</v>
      </c>
    </row>
    <row r="569" spans="1:39" ht="15.75" customHeight="1" x14ac:dyDescent="0.2">
      <c r="A569" s="7" t="str">
        <f t="shared" si="73"/>
        <v>SHENZHEN STRONG TECHNOLOGY CO., LTD.J510New Buy</v>
      </c>
      <c r="B569" s="7" t="str">
        <f t="shared" si="74"/>
        <v>iPadNew Buy</v>
      </c>
      <c r="C569">
        <v>408945</v>
      </c>
      <c r="D569" t="s">
        <v>76</v>
      </c>
      <c r="E569" t="s">
        <v>166</v>
      </c>
      <c r="F569" t="s">
        <v>173</v>
      </c>
      <c r="G569" t="s">
        <v>68</v>
      </c>
      <c r="H569" t="s">
        <v>167</v>
      </c>
      <c r="I569" t="s">
        <v>175</v>
      </c>
      <c r="J569" t="s">
        <v>751</v>
      </c>
      <c r="L569" t="s">
        <v>752</v>
      </c>
      <c r="M569" s="25">
        <v>126</v>
      </c>
      <c r="N569" s="4">
        <v>114</v>
      </c>
      <c r="O569">
        <v>2</v>
      </c>
      <c r="T569" t="s">
        <v>178</v>
      </c>
      <c r="U569" t="s">
        <v>116</v>
      </c>
      <c r="V569" s="25">
        <v>68.400000000000006</v>
      </c>
      <c r="W569" s="18">
        <v>125</v>
      </c>
      <c r="Y569" s="6">
        <f t="shared" si="75"/>
        <v>252</v>
      </c>
      <c r="Z569" s="6">
        <f t="shared" si="76"/>
        <v>136.80000000000001</v>
      </c>
      <c r="AA569" s="6">
        <f t="shared" si="77"/>
        <v>228</v>
      </c>
      <c r="AB569" s="6">
        <f t="shared" si="72"/>
        <v>24</v>
      </c>
      <c r="AC569" t="s">
        <v>33</v>
      </c>
      <c r="AD569" s="3" t="s">
        <v>168</v>
      </c>
      <c r="AM569" s="1">
        <f t="shared" si="78"/>
        <v>22</v>
      </c>
    </row>
    <row r="570" spans="1:39" ht="15.75" customHeight="1" x14ac:dyDescent="0.2">
      <c r="A570" s="7" t="str">
        <f t="shared" si="73"/>
        <v>SHENZHEN STRONG TECHNOLOGY CO., LTD.J510New Buy</v>
      </c>
      <c r="B570" s="7" t="str">
        <f t="shared" si="74"/>
        <v>iPadNew Buy</v>
      </c>
      <c r="C570">
        <v>408942</v>
      </c>
      <c r="D570" t="s">
        <v>76</v>
      </c>
      <c r="E570" t="s">
        <v>166</v>
      </c>
      <c r="F570" t="s">
        <v>173</v>
      </c>
      <c r="G570" t="s">
        <v>68</v>
      </c>
      <c r="H570" t="s">
        <v>167</v>
      </c>
      <c r="I570" t="s">
        <v>175</v>
      </c>
      <c r="J570" t="s">
        <v>753</v>
      </c>
      <c r="L570" t="s">
        <v>311</v>
      </c>
      <c r="M570" s="25">
        <v>150</v>
      </c>
      <c r="N570" s="4">
        <v>138</v>
      </c>
      <c r="O570" t="s">
        <v>175</v>
      </c>
      <c r="T570" t="s">
        <v>178</v>
      </c>
      <c r="U570" t="s">
        <v>66</v>
      </c>
      <c r="V570" s="25">
        <v>114</v>
      </c>
      <c r="W570" s="18">
        <v>176</v>
      </c>
      <c r="Y570" s="6">
        <f t="shared" si="75"/>
        <v>0</v>
      </c>
      <c r="Z570" s="6">
        <f t="shared" si="76"/>
        <v>0</v>
      </c>
      <c r="AA570" s="6">
        <f t="shared" si="77"/>
        <v>0</v>
      </c>
      <c r="AB570" s="6">
        <f t="shared" si="72"/>
        <v>0</v>
      </c>
      <c r="AC570" t="s">
        <v>16</v>
      </c>
      <c r="AD570" s="3" t="s">
        <v>168</v>
      </c>
    </row>
    <row r="571" spans="1:39" ht="15.75" customHeight="1" x14ac:dyDescent="0.2">
      <c r="A571" s="7" t="str">
        <f t="shared" si="73"/>
        <v>SHENZHEN STRONG TECHNOLOGY CO., LTD.J510New Buy</v>
      </c>
      <c r="B571" s="7" t="str">
        <f t="shared" si="74"/>
        <v>iPadNew Buy</v>
      </c>
      <c r="C571">
        <v>408941</v>
      </c>
      <c r="D571" t="s">
        <v>76</v>
      </c>
      <c r="E571" t="s">
        <v>166</v>
      </c>
      <c r="F571" t="s">
        <v>173</v>
      </c>
      <c r="G571" t="s">
        <v>68</v>
      </c>
      <c r="H571" t="s">
        <v>167</v>
      </c>
      <c r="I571" t="s">
        <v>175</v>
      </c>
      <c r="J571" t="s">
        <v>753</v>
      </c>
      <c r="L571" t="s">
        <v>311</v>
      </c>
      <c r="M571" s="25">
        <v>210</v>
      </c>
      <c r="N571" s="4">
        <v>138</v>
      </c>
      <c r="O571" t="s">
        <v>175</v>
      </c>
      <c r="T571" t="s">
        <v>178</v>
      </c>
      <c r="U571" t="s">
        <v>116</v>
      </c>
      <c r="V571" s="25">
        <v>114</v>
      </c>
      <c r="W571" s="18">
        <v>176</v>
      </c>
      <c r="Y571" s="6">
        <f t="shared" si="75"/>
        <v>0</v>
      </c>
      <c r="Z571" s="6">
        <f t="shared" si="76"/>
        <v>0</v>
      </c>
      <c r="AA571" s="6">
        <f t="shared" si="77"/>
        <v>0</v>
      </c>
      <c r="AB571" s="6">
        <f t="shared" si="72"/>
        <v>0</v>
      </c>
      <c r="AC571" t="s">
        <v>33</v>
      </c>
      <c r="AD571" s="3" t="s">
        <v>168</v>
      </c>
    </row>
    <row r="572" spans="1:39" ht="15.75" customHeight="1" x14ac:dyDescent="0.2">
      <c r="A572" s="7" t="str">
        <f t="shared" si="73"/>
        <v>SHENZHEN STRONG TECHNOLOGY CO., LTD.J510New Buy</v>
      </c>
      <c r="B572" s="7" t="str">
        <f t="shared" si="74"/>
        <v>iPadNew Buy</v>
      </c>
      <c r="C572">
        <v>408934</v>
      </c>
      <c r="D572" t="s">
        <v>76</v>
      </c>
      <c r="E572" t="s">
        <v>166</v>
      </c>
      <c r="F572" t="s">
        <v>173</v>
      </c>
      <c r="G572" t="s">
        <v>68</v>
      </c>
      <c r="H572" t="s">
        <v>167</v>
      </c>
      <c r="I572" t="s">
        <v>175</v>
      </c>
      <c r="J572" t="s">
        <v>754</v>
      </c>
      <c r="L572" t="s">
        <v>313</v>
      </c>
      <c r="M572" s="25">
        <v>285</v>
      </c>
      <c r="N572" s="4">
        <v>260</v>
      </c>
      <c r="O572" t="s">
        <v>175</v>
      </c>
      <c r="T572" t="s">
        <v>178</v>
      </c>
      <c r="U572" t="s">
        <v>66</v>
      </c>
      <c r="V572" s="25">
        <v>216.6</v>
      </c>
      <c r="W572" s="18">
        <v>176</v>
      </c>
      <c r="Y572" s="6">
        <f t="shared" si="75"/>
        <v>0</v>
      </c>
      <c r="Z572" s="6">
        <f t="shared" si="76"/>
        <v>0</v>
      </c>
      <c r="AA572" s="6">
        <f t="shared" si="77"/>
        <v>0</v>
      </c>
      <c r="AB572" s="6">
        <f t="shared" si="72"/>
        <v>0</v>
      </c>
      <c r="AC572" t="s">
        <v>16</v>
      </c>
      <c r="AD572" s="3" t="s">
        <v>168</v>
      </c>
    </row>
    <row r="573" spans="1:39" ht="15.75" customHeight="1" x14ac:dyDescent="0.2">
      <c r="A573" s="7" t="str">
        <f t="shared" si="73"/>
        <v>SHENZHEN STRONG TECHNOLOGY CO., LTD.J510New Buy</v>
      </c>
      <c r="B573" s="7" t="str">
        <f t="shared" si="74"/>
        <v>iPadNew Buy</v>
      </c>
      <c r="C573">
        <v>408933</v>
      </c>
      <c r="D573" t="s">
        <v>76</v>
      </c>
      <c r="E573" t="s">
        <v>166</v>
      </c>
      <c r="F573" t="s">
        <v>173</v>
      </c>
      <c r="G573" t="s">
        <v>68</v>
      </c>
      <c r="H573" t="s">
        <v>167</v>
      </c>
      <c r="I573" t="s">
        <v>175</v>
      </c>
      <c r="J573" t="s">
        <v>755</v>
      </c>
      <c r="L573" t="s">
        <v>756</v>
      </c>
      <c r="M573" s="25">
        <v>2960</v>
      </c>
      <c r="N573" s="4">
        <v>2580</v>
      </c>
      <c r="O573" t="s">
        <v>175</v>
      </c>
      <c r="T573" t="s">
        <v>178</v>
      </c>
      <c r="U573" t="s">
        <v>66</v>
      </c>
      <c r="V573" s="25">
        <v>2249.6</v>
      </c>
      <c r="W573" s="18" t="s">
        <v>367</v>
      </c>
      <c r="Y573" s="6">
        <f t="shared" si="75"/>
        <v>0</v>
      </c>
      <c r="Z573" s="6">
        <f t="shared" si="76"/>
        <v>0</v>
      </c>
      <c r="AA573" s="6">
        <f t="shared" si="77"/>
        <v>0</v>
      </c>
      <c r="AB573" s="6">
        <f t="shared" si="72"/>
        <v>0</v>
      </c>
      <c r="AC573" t="s">
        <v>16</v>
      </c>
      <c r="AD573" s="3" t="s">
        <v>168</v>
      </c>
    </row>
    <row r="574" spans="1:39" ht="15.75" customHeight="1" x14ac:dyDescent="0.2">
      <c r="A574" s="7" t="str">
        <f t="shared" si="73"/>
        <v>SHENZHEN STRONG TECHNOLOGY CO., LTD.J510New Buy</v>
      </c>
      <c r="B574" s="7" t="str">
        <f t="shared" si="74"/>
        <v>iPadNew Buy</v>
      </c>
      <c r="C574">
        <v>408932</v>
      </c>
      <c r="D574" t="s">
        <v>76</v>
      </c>
      <c r="E574" t="s">
        <v>166</v>
      </c>
      <c r="F574" t="s">
        <v>173</v>
      </c>
      <c r="G574" t="s">
        <v>68</v>
      </c>
      <c r="H574" t="s">
        <v>167</v>
      </c>
      <c r="I574" t="s">
        <v>175</v>
      </c>
      <c r="J574" t="s">
        <v>757</v>
      </c>
      <c r="L574" t="s">
        <v>758</v>
      </c>
      <c r="M574" s="25">
        <v>2960</v>
      </c>
      <c r="N574" s="4">
        <v>2580</v>
      </c>
      <c r="O574" t="s">
        <v>175</v>
      </c>
      <c r="T574" t="s">
        <v>178</v>
      </c>
      <c r="U574" t="s">
        <v>66</v>
      </c>
      <c r="V574" s="25">
        <v>2249.6</v>
      </c>
      <c r="W574" s="18" t="s">
        <v>367</v>
      </c>
      <c r="Y574" s="6">
        <f t="shared" si="75"/>
        <v>0</v>
      </c>
      <c r="Z574" s="6">
        <f t="shared" si="76"/>
        <v>0</v>
      </c>
      <c r="AA574" s="6">
        <f t="shared" si="77"/>
        <v>0</v>
      </c>
      <c r="AB574" s="6">
        <f t="shared" si="72"/>
        <v>0</v>
      </c>
      <c r="AC574" t="s">
        <v>16</v>
      </c>
      <c r="AD574" s="3" t="s">
        <v>168</v>
      </c>
    </row>
    <row r="575" spans="1:39" ht="15.75" customHeight="1" x14ac:dyDescent="0.2">
      <c r="A575" s="7" t="str">
        <f t="shared" si="73"/>
        <v>SHENZHEN STRONG TECHNOLOGY CO., LTD.J510New Buy</v>
      </c>
      <c r="B575" s="7" t="str">
        <f t="shared" si="74"/>
        <v>iPadNew Buy</v>
      </c>
      <c r="C575">
        <v>408931</v>
      </c>
      <c r="D575" t="s">
        <v>76</v>
      </c>
      <c r="E575" t="s">
        <v>166</v>
      </c>
      <c r="F575" t="s">
        <v>173</v>
      </c>
      <c r="G575" t="s">
        <v>68</v>
      </c>
      <c r="H575" t="s">
        <v>167</v>
      </c>
      <c r="I575" t="s">
        <v>175</v>
      </c>
      <c r="J575" t="s">
        <v>759</v>
      </c>
      <c r="L575" t="s">
        <v>760</v>
      </c>
      <c r="M575" s="25">
        <v>396</v>
      </c>
      <c r="N575" s="4">
        <v>396</v>
      </c>
      <c r="O575">
        <v>1</v>
      </c>
      <c r="T575" t="s">
        <v>178</v>
      </c>
      <c r="U575" t="s">
        <v>66</v>
      </c>
      <c r="V575" s="25">
        <v>250.8</v>
      </c>
      <c r="W575" s="18">
        <v>420</v>
      </c>
      <c r="Y575" s="6">
        <f t="shared" si="75"/>
        <v>396</v>
      </c>
      <c r="Z575" s="6">
        <f t="shared" si="76"/>
        <v>250.8</v>
      </c>
      <c r="AA575" s="6">
        <f t="shared" si="77"/>
        <v>396</v>
      </c>
      <c r="AB575" s="6">
        <f t="shared" si="72"/>
        <v>0</v>
      </c>
      <c r="AC575" t="s">
        <v>16</v>
      </c>
      <c r="AD575" s="3" t="s">
        <v>168</v>
      </c>
      <c r="AM575" s="1">
        <f t="shared" si="78"/>
        <v>24</v>
      </c>
    </row>
    <row r="576" spans="1:39" ht="15.75" customHeight="1" x14ac:dyDescent="0.2">
      <c r="A576" s="7" t="str">
        <f t="shared" si="73"/>
        <v>SHENZHEN STRONG TECHNOLOGY CO., LTD.J510New Buy</v>
      </c>
      <c r="B576" s="7" t="str">
        <f t="shared" si="74"/>
        <v>iPadNew Buy</v>
      </c>
      <c r="C576">
        <v>408930</v>
      </c>
      <c r="D576" t="s">
        <v>76</v>
      </c>
      <c r="E576" t="s">
        <v>166</v>
      </c>
      <c r="F576" t="s">
        <v>173</v>
      </c>
      <c r="G576" t="s">
        <v>68</v>
      </c>
      <c r="H576" t="s">
        <v>167</v>
      </c>
      <c r="I576" t="s">
        <v>175</v>
      </c>
      <c r="J576" t="s">
        <v>759</v>
      </c>
      <c r="L576" t="s">
        <v>760</v>
      </c>
      <c r="M576" s="25">
        <v>462</v>
      </c>
      <c r="N576" s="4">
        <v>396</v>
      </c>
      <c r="O576">
        <v>1</v>
      </c>
      <c r="T576" t="s">
        <v>178</v>
      </c>
      <c r="U576" t="s">
        <v>116</v>
      </c>
      <c r="V576" s="25">
        <v>250.8</v>
      </c>
      <c r="W576" s="18">
        <v>420</v>
      </c>
      <c r="Y576" s="6">
        <f t="shared" si="75"/>
        <v>462</v>
      </c>
      <c r="Z576" s="6">
        <f t="shared" si="76"/>
        <v>250.8</v>
      </c>
      <c r="AA576" s="6">
        <f t="shared" si="77"/>
        <v>396</v>
      </c>
      <c r="AB576" s="6">
        <f t="shared" si="72"/>
        <v>66</v>
      </c>
      <c r="AC576" t="s">
        <v>33</v>
      </c>
      <c r="AD576" s="3" t="s">
        <v>168</v>
      </c>
      <c r="AM576" s="1">
        <f t="shared" si="78"/>
        <v>24</v>
      </c>
    </row>
    <row r="577" spans="1:39" ht="15.75" customHeight="1" x14ac:dyDescent="0.2">
      <c r="A577" s="7" t="str">
        <f t="shared" si="73"/>
        <v>SHENZHEN STRONG TECHNOLOGY CO., LTD.J510New Buy</v>
      </c>
      <c r="B577" s="7" t="str">
        <f t="shared" si="74"/>
        <v>iPadNew Buy</v>
      </c>
      <c r="C577">
        <v>408929</v>
      </c>
      <c r="D577" t="s">
        <v>76</v>
      </c>
      <c r="E577" t="s">
        <v>166</v>
      </c>
      <c r="F577" t="s">
        <v>173</v>
      </c>
      <c r="G577" t="s">
        <v>68</v>
      </c>
      <c r="H577" t="s">
        <v>167</v>
      </c>
      <c r="I577" t="s">
        <v>175</v>
      </c>
      <c r="J577" t="s">
        <v>761</v>
      </c>
      <c r="L577" t="s">
        <v>762</v>
      </c>
      <c r="M577" s="25">
        <v>330</v>
      </c>
      <c r="N577" s="4">
        <v>330</v>
      </c>
      <c r="O577">
        <v>1</v>
      </c>
      <c r="T577" t="s">
        <v>178</v>
      </c>
      <c r="U577" t="s">
        <v>66</v>
      </c>
      <c r="V577" s="25">
        <v>250.8</v>
      </c>
      <c r="W577" s="18">
        <v>420</v>
      </c>
      <c r="Y577" s="6">
        <f t="shared" si="75"/>
        <v>330</v>
      </c>
      <c r="Z577" s="6">
        <f t="shared" si="76"/>
        <v>250.8</v>
      </c>
      <c r="AA577" s="6">
        <f t="shared" si="77"/>
        <v>330</v>
      </c>
      <c r="AB577" s="6">
        <f t="shared" si="72"/>
        <v>0</v>
      </c>
      <c r="AC577" t="s">
        <v>16</v>
      </c>
      <c r="AD577" s="3" t="s">
        <v>168</v>
      </c>
      <c r="AM577" s="1">
        <f t="shared" si="78"/>
        <v>90</v>
      </c>
    </row>
    <row r="578" spans="1:39" ht="15.75" customHeight="1" x14ac:dyDescent="0.2">
      <c r="A578" s="7" t="str">
        <f t="shared" si="73"/>
        <v>SHENZHEN STRONG TECHNOLOGY CO., LTD.J510New Buy</v>
      </c>
      <c r="B578" s="7" t="str">
        <f t="shared" si="74"/>
        <v>iPadNew Buy</v>
      </c>
      <c r="C578">
        <v>408927</v>
      </c>
      <c r="D578" t="s">
        <v>76</v>
      </c>
      <c r="E578" t="s">
        <v>166</v>
      </c>
      <c r="F578" t="s">
        <v>173</v>
      </c>
      <c r="G578" t="s">
        <v>68</v>
      </c>
      <c r="H578" t="s">
        <v>167</v>
      </c>
      <c r="I578" t="s">
        <v>175</v>
      </c>
      <c r="J578" t="s">
        <v>763</v>
      </c>
      <c r="L578" t="s">
        <v>764</v>
      </c>
      <c r="M578" s="25">
        <v>396</v>
      </c>
      <c r="N578" s="4">
        <v>396</v>
      </c>
      <c r="O578">
        <v>1</v>
      </c>
      <c r="T578" t="s">
        <v>178</v>
      </c>
      <c r="U578" t="s">
        <v>66</v>
      </c>
      <c r="V578" s="25">
        <v>250.8</v>
      </c>
      <c r="W578" s="18">
        <v>420</v>
      </c>
      <c r="Y578" s="6">
        <f t="shared" si="75"/>
        <v>396</v>
      </c>
      <c r="Z578" s="6">
        <f t="shared" si="76"/>
        <v>250.8</v>
      </c>
      <c r="AA578" s="6">
        <f t="shared" si="77"/>
        <v>396</v>
      </c>
      <c r="AB578" s="6">
        <f t="shared" si="72"/>
        <v>0</v>
      </c>
      <c r="AC578" t="s">
        <v>16</v>
      </c>
      <c r="AD578" s="3" t="s">
        <v>168</v>
      </c>
      <c r="AM578" s="1">
        <f t="shared" si="78"/>
        <v>24</v>
      </c>
    </row>
    <row r="579" spans="1:39" ht="15.75" customHeight="1" x14ac:dyDescent="0.2">
      <c r="A579" s="7" t="str">
        <f t="shared" si="73"/>
        <v>SHENZHEN STRONG TECHNOLOGY CO., LTD.J510New Buy</v>
      </c>
      <c r="B579" s="7" t="str">
        <f t="shared" si="74"/>
        <v>iPadNew Buy</v>
      </c>
      <c r="C579">
        <v>408926</v>
      </c>
      <c r="D579" t="s">
        <v>76</v>
      </c>
      <c r="E579" t="s">
        <v>166</v>
      </c>
      <c r="F579" t="s">
        <v>173</v>
      </c>
      <c r="G579" t="s">
        <v>68</v>
      </c>
      <c r="H579" t="s">
        <v>167</v>
      </c>
      <c r="I579" t="s">
        <v>175</v>
      </c>
      <c r="J579" t="s">
        <v>763</v>
      </c>
      <c r="L579" t="s">
        <v>764</v>
      </c>
      <c r="M579" s="25">
        <v>462</v>
      </c>
      <c r="N579" s="4">
        <v>396</v>
      </c>
      <c r="O579">
        <v>1</v>
      </c>
      <c r="T579" t="s">
        <v>178</v>
      </c>
      <c r="U579" t="s">
        <v>116</v>
      </c>
      <c r="V579" s="25">
        <v>250.8</v>
      </c>
      <c r="W579" s="18">
        <v>420</v>
      </c>
      <c r="Y579" s="6">
        <f t="shared" si="75"/>
        <v>462</v>
      </c>
      <c r="Z579" s="6">
        <f t="shared" si="76"/>
        <v>250.8</v>
      </c>
      <c r="AA579" s="6">
        <f t="shared" si="77"/>
        <v>396</v>
      </c>
      <c r="AB579" s="6">
        <f t="shared" si="72"/>
        <v>66</v>
      </c>
      <c r="AC579" t="s">
        <v>33</v>
      </c>
      <c r="AD579" s="3" t="s">
        <v>168</v>
      </c>
      <c r="AM579" s="1">
        <f t="shared" si="78"/>
        <v>24</v>
      </c>
    </row>
    <row r="580" spans="1:39" ht="15.75" customHeight="1" x14ac:dyDescent="0.2">
      <c r="A580" s="7" t="str">
        <f t="shared" si="73"/>
        <v>SHENZHEN STRONG TECHNOLOGY CO., LTD.J510New Buy</v>
      </c>
      <c r="B580" s="7" t="str">
        <f t="shared" si="74"/>
        <v>iPadNew Buy</v>
      </c>
      <c r="C580">
        <v>408925</v>
      </c>
      <c r="D580" t="s">
        <v>76</v>
      </c>
      <c r="E580" t="s">
        <v>166</v>
      </c>
      <c r="F580" t="s">
        <v>173</v>
      </c>
      <c r="G580" t="s">
        <v>68</v>
      </c>
      <c r="H580" t="s">
        <v>167</v>
      </c>
      <c r="I580" t="s">
        <v>175</v>
      </c>
      <c r="J580" t="s">
        <v>765</v>
      </c>
      <c r="L580" t="s">
        <v>766</v>
      </c>
      <c r="M580" s="25">
        <v>330</v>
      </c>
      <c r="N580" s="4">
        <v>330</v>
      </c>
      <c r="O580">
        <v>1</v>
      </c>
      <c r="T580" t="s">
        <v>178</v>
      </c>
      <c r="U580" t="s">
        <v>66</v>
      </c>
      <c r="V580" s="25">
        <v>250.8</v>
      </c>
      <c r="W580" s="18">
        <v>420</v>
      </c>
      <c r="Y580" s="6">
        <f t="shared" si="75"/>
        <v>330</v>
      </c>
      <c r="Z580" s="6">
        <f t="shared" si="76"/>
        <v>250.8</v>
      </c>
      <c r="AA580" s="6">
        <f t="shared" si="77"/>
        <v>330</v>
      </c>
      <c r="AB580" s="6">
        <f t="shared" si="72"/>
        <v>0</v>
      </c>
      <c r="AC580" t="s">
        <v>16</v>
      </c>
      <c r="AD580" s="3" t="s">
        <v>168</v>
      </c>
      <c r="AM580" s="1">
        <f t="shared" si="78"/>
        <v>90</v>
      </c>
    </row>
    <row r="581" spans="1:39" ht="15.75" customHeight="1" x14ac:dyDescent="0.2">
      <c r="A581" s="7" t="str">
        <f t="shared" si="73"/>
        <v>SHENZHEN STRONG TECHNOLOGY CO., LTD.J510New Buy</v>
      </c>
      <c r="B581" s="7" t="str">
        <f t="shared" si="74"/>
        <v>iPadNew Buy</v>
      </c>
      <c r="C581">
        <v>408923</v>
      </c>
      <c r="D581" t="s">
        <v>76</v>
      </c>
      <c r="E581" t="s">
        <v>166</v>
      </c>
      <c r="F581" t="s">
        <v>173</v>
      </c>
      <c r="G581" t="s">
        <v>68</v>
      </c>
      <c r="H581" t="s">
        <v>167</v>
      </c>
      <c r="I581" t="s">
        <v>175</v>
      </c>
      <c r="J581" t="s">
        <v>767</v>
      </c>
      <c r="L581" t="s">
        <v>315</v>
      </c>
      <c r="M581" s="25">
        <v>79.64</v>
      </c>
      <c r="N581" s="4">
        <v>79.64</v>
      </c>
      <c r="O581">
        <v>98</v>
      </c>
      <c r="T581" t="s">
        <v>178</v>
      </c>
      <c r="U581" t="s">
        <v>66</v>
      </c>
      <c r="V581" s="25">
        <v>54.72</v>
      </c>
      <c r="W581" s="18">
        <v>86</v>
      </c>
      <c r="Y581" s="6">
        <f t="shared" si="75"/>
        <v>7804.72</v>
      </c>
      <c r="Z581" s="6">
        <f t="shared" si="76"/>
        <v>5362.5599999999995</v>
      </c>
      <c r="AA581" s="6">
        <f t="shared" si="77"/>
        <v>7804.72</v>
      </c>
      <c r="AB581" s="6">
        <f t="shared" si="72"/>
        <v>0</v>
      </c>
      <c r="AC581" t="s">
        <v>16</v>
      </c>
      <c r="AD581" s="3" t="s">
        <v>168</v>
      </c>
      <c r="AM581" s="1">
        <f t="shared" si="78"/>
        <v>623.27999999999975</v>
      </c>
    </row>
    <row r="582" spans="1:39" ht="15.75" customHeight="1" x14ac:dyDescent="0.2">
      <c r="A582" s="7" t="str">
        <f t="shared" si="73"/>
        <v>SHENZHEN STRONG TECHNOLOGY CO., LTD.J510New Buy</v>
      </c>
      <c r="B582" s="7" t="str">
        <f t="shared" si="74"/>
        <v>iPadNew Buy</v>
      </c>
      <c r="C582">
        <v>408922</v>
      </c>
      <c r="D582" t="s">
        <v>76</v>
      </c>
      <c r="E582" t="s">
        <v>166</v>
      </c>
      <c r="F582" t="s">
        <v>173</v>
      </c>
      <c r="G582" t="s">
        <v>68</v>
      </c>
      <c r="H582" t="s">
        <v>167</v>
      </c>
      <c r="I582" t="s">
        <v>175</v>
      </c>
      <c r="J582" t="s">
        <v>767</v>
      </c>
      <c r="L582" t="s">
        <v>315</v>
      </c>
      <c r="M582" s="25">
        <v>95</v>
      </c>
      <c r="N582" s="4">
        <v>79.64</v>
      </c>
      <c r="O582">
        <v>100</v>
      </c>
      <c r="T582" t="s">
        <v>178</v>
      </c>
      <c r="U582" t="s">
        <v>116</v>
      </c>
      <c r="V582" s="25">
        <v>54.72</v>
      </c>
      <c r="W582" s="18">
        <v>86</v>
      </c>
      <c r="Y582" s="6">
        <f t="shared" si="75"/>
        <v>9500</v>
      </c>
      <c r="Z582" s="6">
        <f t="shared" si="76"/>
        <v>5472</v>
      </c>
      <c r="AA582" s="6">
        <f t="shared" si="77"/>
        <v>7964</v>
      </c>
      <c r="AB582" s="6">
        <f t="shared" si="72"/>
        <v>1536</v>
      </c>
      <c r="AC582" t="s">
        <v>33</v>
      </c>
      <c r="AD582" s="3" t="s">
        <v>168</v>
      </c>
      <c r="AM582" s="1">
        <f t="shared" si="78"/>
        <v>636</v>
      </c>
    </row>
    <row r="583" spans="1:39" ht="15.75" customHeight="1" x14ac:dyDescent="0.2">
      <c r="A583" s="7" t="str">
        <f t="shared" si="73"/>
        <v>SHENZHEN STRONG TECHNOLOGY CO., LTD.J510New Buy</v>
      </c>
      <c r="B583" s="7" t="str">
        <f t="shared" si="74"/>
        <v>iPadNew Buy</v>
      </c>
      <c r="C583">
        <v>408913</v>
      </c>
      <c r="D583" t="s">
        <v>76</v>
      </c>
      <c r="E583" t="s">
        <v>166</v>
      </c>
      <c r="F583" t="s">
        <v>173</v>
      </c>
      <c r="G583" t="s">
        <v>68</v>
      </c>
      <c r="H583" t="s">
        <v>167</v>
      </c>
      <c r="I583" t="s">
        <v>175</v>
      </c>
      <c r="J583" t="s">
        <v>768</v>
      </c>
      <c r="L583" t="s">
        <v>317</v>
      </c>
      <c r="M583" s="25">
        <v>72</v>
      </c>
      <c r="N583" s="4">
        <v>66</v>
      </c>
      <c r="O583">
        <v>100</v>
      </c>
      <c r="T583" t="s">
        <v>178</v>
      </c>
      <c r="U583" t="s">
        <v>66</v>
      </c>
      <c r="V583" s="25">
        <v>54.72</v>
      </c>
      <c r="W583" s="18">
        <v>86</v>
      </c>
      <c r="Y583" s="6">
        <f t="shared" si="75"/>
        <v>7200</v>
      </c>
      <c r="Z583" s="6">
        <f t="shared" si="76"/>
        <v>5472</v>
      </c>
      <c r="AA583" s="6">
        <f t="shared" si="77"/>
        <v>6600</v>
      </c>
      <c r="AB583" s="6">
        <f t="shared" si="72"/>
        <v>600</v>
      </c>
      <c r="AC583" t="s">
        <v>16</v>
      </c>
      <c r="AD583" s="3" t="s">
        <v>168</v>
      </c>
      <c r="AM583" s="1">
        <f t="shared" si="78"/>
        <v>2000</v>
      </c>
    </row>
    <row r="584" spans="1:39" ht="15.75" customHeight="1" x14ac:dyDescent="0.2">
      <c r="A584" s="7" t="str">
        <f t="shared" si="73"/>
        <v>SHENZHEN STRONG TECHNOLOGY CO., LTD.J510New Buy</v>
      </c>
      <c r="B584" s="7" t="str">
        <f t="shared" si="74"/>
        <v>iPadNew Buy</v>
      </c>
      <c r="C584">
        <v>408908</v>
      </c>
      <c r="D584" t="s">
        <v>76</v>
      </c>
      <c r="E584" t="s">
        <v>166</v>
      </c>
      <c r="F584" t="s">
        <v>173</v>
      </c>
      <c r="G584" t="s">
        <v>68</v>
      </c>
      <c r="H584" t="s">
        <v>167</v>
      </c>
      <c r="I584" t="s">
        <v>175</v>
      </c>
      <c r="J584" t="s">
        <v>769</v>
      </c>
      <c r="L584" t="s">
        <v>319</v>
      </c>
      <c r="M584" s="25">
        <v>81.5</v>
      </c>
      <c r="N584" s="4">
        <v>81.5</v>
      </c>
      <c r="O584">
        <v>40</v>
      </c>
      <c r="T584" t="s">
        <v>178</v>
      </c>
      <c r="U584" t="s">
        <v>66</v>
      </c>
      <c r="V584" s="25">
        <v>54.72</v>
      </c>
      <c r="W584" s="18">
        <v>86</v>
      </c>
      <c r="Y584" s="6">
        <f t="shared" si="75"/>
        <v>3260</v>
      </c>
      <c r="Z584" s="6">
        <f t="shared" si="76"/>
        <v>2188.8000000000002</v>
      </c>
      <c r="AA584" s="6">
        <f t="shared" si="77"/>
        <v>3260</v>
      </c>
      <c r="AB584" s="6">
        <f t="shared" si="72"/>
        <v>0</v>
      </c>
      <c r="AC584" t="s">
        <v>16</v>
      </c>
      <c r="AD584" s="3" t="s">
        <v>168</v>
      </c>
      <c r="AM584" s="1">
        <f t="shared" si="78"/>
        <v>180</v>
      </c>
    </row>
    <row r="585" spans="1:39" ht="15.75" customHeight="1" x14ac:dyDescent="0.2">
      <c r="A585" s="7" t="str">
        <f t="shared" si="73"/>
        <v>SHENZHEN STRONG TECHNOLOGY CO., LTD.J510New Buy</v>
      </c>
      <c r="B585" s="7" t="str">
        <f t="shared" si="74"/>
        <v>iPadNew Buy</v>
      </c>
      <c r="C585">
        <v>408907</v>
      </c>
      <c r="D585" t="s">
        <v>76</v>
      </c>
      <c r="E585" t="s">
        <v>166</v>
      </c>
      <c r="F585" t="s">
        <v>173</v>
      </c>
      <c r="G585" t="s">
        <v>68</v>
      </c>
      <c r="H585" t="s">
        <v>167</v>
      </c>
      <c r="I585" t="s">
        <v>175</v>
      </c>
      <c r="J585" t="s">
        <v>769</v>
      </c>
      <c r="L585" t="s">
        <v>319</v>
      </c>
      <c r="M585" s="25">
        <v>95</v>
      </c>
      <c r="N585" s="4">
        <v>81.5</v>
      </c>
      <c r="O585">
        <v>40</v>
      </c>
      <c r="T585" t="s">
        <v>178</v>
      </c>
      <c r="U585" t="s">
        <v>116</v>
      </c>
      <c r="V585" s="25">
        <v>54.72</v>
      </c>
      <c r="W585" s="18">
        <v>86</v>
      </c>
      <c r="Y585" s="6">
        <f t="shared" si="75"/>
        <v>3800</v>
      </c>
      <c r="Z585" s="6">
        <f t="shared" si="76"/>
        <v>2188.8000000000002</v>
      </c>
      <c r="AA585" s="6">
        <f t="shared" si="77"/>
        <v>3260</v>
      </c>
      <c r="AB585" s="6">
        <f t="shared" si="72"/>
        <v>540</v>
      </c>
      <c r="AC585" t="s">
        <v>33</v>
      </c>
      <c r="AD585" s="3" t="s">
        <v>168</v>
      </c>
      <c r="AM585" s="1">
        <f t="shared" si="78"/>
        <v>180</v>
      </c>
    </row>
    <row r="586" spans="1:39" ht="15.75" customHeight="1" x14ac:dyDescent="0.2">
      <c r="A586" s="7" t="str">
        <f t="shared" si="73"/>
        <v>SHENZHEN STRONG TECHNOLOGY CO., LTD.J510New Buy</v>
      </c>
      <c r="B586" s="7" t="str">
        <f t="shared" si="74"/>
        <v>iPadNew Buy</v>
      </c>
      <c r="C586">
        <v>408904</v>
      </c>
      <c r="D586" t="s">
        <v>76</v>
      </c>
      <c r="E586" t="s">
        <v>166</v>
      </c>
      <c r="F586" t="s">
        <v>173</v>
      </c>
      <c r="G586" t="s">
        <v>68</v>
      </c>
      <c r="H586" t="s">
        <v>167</v>
      </c>
      <c r="I586" t="s">
        <v>175</v>
      </c>
      <c r="J586" t="s">
        <v>770</v>
      </c>
      <c r="L586" t="s">
        <v>321</v>
      </c>
      <c r="M586" s="25">
        <v>72</v>
      </c>
      <c r="N586" s="4">
        <v>68</v>
      </c>
      <c r="O586">
        <v>40</v>
      </c>
      <c r="T586" t="s">
        <v>178</v>
      </c>
      <c r="U586" t="s">
        <v>66</v>
      </c>
      <c r="V586" s="25">
        <v>54.72</v>
      </c>
      <c r="W586" s="18">
        <v>86</v>
      </c>
      <c r="Y586" s="6">
        <f t="shared" si="75"/>
        <v>2880</v>
      </c>
      <c r="Z586" s="6">
        <f t="shared" si="76"/>
        <v>2188.8000000000002</v>
      </c>
      <c r="AA586" s="6">
        <f t="shared" si="77"/>
        <v>2720</v>
      </c>
      <c r="AB586" s="6">
        <f t="shared" si="72"/>
        <v>160</v>
      </c>
      <c r="AC586" t="s">
        <v>16</v>
      </c>
      <c r="AD586" s="3" t="s">
        <v>168</v>
      </c>
      <c r="AM586" s="1">
        <f t="shared" si="78"/>
        <v>720</v>
      </c>
    </row>
    <row r="587" spans="1:39" ht="15.75" customHeight="1" x14ac:dyDescent="0.2">
      <c r="A587" s="7" t="str">
        <f t="shared" si="73"/>
        <v>SHENZHEN STRONG TECHNOLOGY CO., LTD.J510New Buy</v>
      </c>
      <c r="B587" s="7" t="str">
        <f t="shared" si="74"/>
        <v>iPadNew Buy</v>
      </c>
      <c r="C587">
        <v>408900</v>
      </c>
      <c r="D587" t="s">
        <v>76</v>
      </c>
      <c r="E587" t="s">
        <v>166</v>
      </c>
      <c r="F587" t="s">
        <v>173</v>
      </c>
      <c r="G587" t="s">
        <v>68</v>
      </c>
      <c r="H587" t="s">
        <v>167</v>
      </c>
      <c r="I587" t="s">
        <v>175</v>
      </c>
      <c r="J587" t="s">
        <v>771</v>
      </c>
      <c r="L587" t="s">
        <v>772</v>
      </c>
      <c r="M587" s="25">
        <v>294</v>
      </c>
      <c r="N587" s="4">
        <v>294</v>
      </c>
      <c r="O587" t="s">
        <v>175</v>
      </c>
      <c r="T587" t="s">
        <v>178</v>
      </c>
      <c r="U587" t="s">
        <v>66</v>
      </c>
      <c r="V587" s="25">
        <v>186.2</v>
      </c>
      <c r="W587" s="18">
        <v>211</v>
      </c>
      <c r="Y587" s="6">
        <f t="shared" si="75"/>
        <v>0</v>
      </c>
      <c r="Z587" s="6">
        <f t="shared" si="76"/>
        <v>0</v>
      </c>
      <c r="AA587" s="6">
        <f t="shared" si="77"/>
        <v>0</v>
      </c>
      <c r="AB587" s="6">
        <f t="shared" si="72"/>
        <v>0</v>
      </c>
      <c r="AC587" t="s">
        <v>16</v>
      </c>
      <c r="AD587" s="3" t="s">
        <v>168</v>
      </c>
    </row>
    <row r="588" spans="1:39" ht="15.75" customHeight="1" x14ac:dyDescent="0.2">
      <c r="A588" s="7" t="str">
        <f t="shared" si="73"/>
        <v>SHENZHEN STRONG TECHNOLOGY CO., LTD.J510New Buy</v>
      </c>
      <c r="B588" s="7" t="str">
        <f t="shared" si="74"/>
        <v>iPadNew Buy</v>
      </c>
      <c r="C588">
        <v>408899</v>
      </c>
      <c r="D588" t="s">
        <v>76</v>
      </c>
      <c r="E588" t="s">
        <v>166</v>
      </c>
      <c r="F588" t="s">
        <v>173</v>
      </c>
      <c r="G588" t="s">
        <v>68</v>
      </c>
      <c r="H588" t="s">
        <v>167</v>
      </c>
      <c r="I588" t="s">
        <v>175</v>
      </c>
      <c r="J588" t="s">
        <v>771</v>
      </c>
      <c r="L588" t="s">
        <v>772</v>
      </c>
      <c r="M588" s="25">
        <v>343</v>
      </c>
      <c r="N588" s="4">
        <v>294</v>
      </c>
      <c r="O588" t="s">
        <v>175</v>
      </c>
      <c r="T588" t="s">
        <v>178</v>
      </c>
      <c r="U588" t="s">
        <v>116</v>
      </c>
      <c r="V588" s="25">
        <v>186.2</v>
      </c>
      <c r="W588" s="18">
        <v>211</v>
      </c>
      <c r="Y588" s="6">
        <f t="shared" si="75"/>
        <v>0</v>
      </c>
      <c r="Z588" s="6">
        <f t="shared" si="76"/>
        <v>0</v>
      </c>
      <c r="AA588" s="6">
        <f t="shared" si="77"/>
        <v>0</v>
      </c>
      <c r="AB588" s="6">
        <f t="shared" si="72"/>
        <v>0</v>
      </c>
      <c r="AC588" t="s">
        <v>33</v>
      </c>
      <c r="AD588" s="3" t="s">
        <v>168</v>
      </c>
    </row>
    <row r="589" spans="1:39" ht="15.75" customHeight="1" x14ac:dyDescent="0.2">
      <c r="A589" s="7" t="str">
        <f t="shared" si="73"/>
        <v>SHENZHEN STRONG TECHNOLOGY CO., LTD.J510New Buy</v>
      </c>
      <c r="B589" s="7" t="str">
        <f t="shared" si="74"/>
        <v>iPadNew Buy</v>
      </c>
      <c r="C589">
        <v>408898</v>
      </c>
      <c r="D589" t="s">
        <v>76</v>
      </c>
      <c r="E589" t="s">
        <v>166</v>
      </c>
      <c r="F589" t="s">
        <v>173</v>
      </c>
      <c r="G589" t="s">
        <v>68</v>
      </c>
      <c r="H589" t="s">
        <v>167</v>
      </c>
      <c r="I589" t="s">
        <v>175</v>
      </c>
      <c r="J589" t="s">
        <v>773</v>
      </c>
      <c r="L589" t="s">
        <v>774</v>
      </c>
      <c r="M589" s="25">
        <v>294</v>
      </c>
      <c r="N589" s="4">
        <v>294</v>
      </c>
      <c r="O589">
        <v>1</v>
      </c>
      <c r="T589" t="s">
        <v>178</v>
      </c>
      <c r="U589" t="s">
        <v>66</v>
      </c>
      <c r="V589" s="25">
        <v>186.2</v>
      </c>
      <c r="W589" s="18">
        <v>211</v>
      </c>
      <c r="Y589" s="6">
        <f t="shared" si="75"/>
        <v>294</v>
      </c>
      <c r="Z589" s="6">
        <f t="shared" si="76"/>
        <v>186.2</v>
      </c>
      <c r="AA589" s="6">
        <f t="shared" si="77"/>
        <v>294</v>
      </c>
      <c r="AB589" s="6">
        <f t="shared" si="72"/>
        <v>0</v>
      </c>
      <c r="AC589" t="s">
        <v>16</v>
      </c>
      <c r="AD589" s="3" t="s">
        <v>168</v>
      </c>
    </row>
    <row r="590" spans="1:39" ht="15.75" customHeight="1" x14ac:dyDescent="0.2">
      <c r="A590" s="7" t="str">
        <f t="shared" si="73"/>
        <v>SHENZHEN STRONG TECHNOLOGY CO., LTD.J510New Buy</v>
      </c>
      <c r="B590" s="7" t="str">
        <f t="shared" si="74"/>
        <v>iPadNew Buy</v>
      </c>
      <c r="C590">
        <v>408897</v>
      </c>
      <c r="D590" t="s">
        <v>76</v>
      </c>
      <c r="E590" t="s">
        <v>166</v>
      </c>
      <c r="F590" t="s">
        <v>173</v>
      </c>
      <c r="G590" t="s">
        <v>68</v>
      </c>
      <c r="H590" t="s">
        <v>167</v>
      </c>
      <c r="I590" t="s">
        <v>175</v>
      </c>
      <c r="J590" t="s">
        <v>773</v>
      </c>
      <c r="L590" t="s">
        <v>774</v>
      </c>
      <c r="M590" s="25">
        <v>343</v>
      </c>
      <c r="N590" s="4">
        <v>294</v>
      </c>
      <c r="O590">
        <v>2</v>
      </c>
      <c r="T590" t="s">
        <v>178</v>
      </c>
      <c r="U590" t="s">
        <v>116</v>
      </c>
      <c r="V590" s="25">
        <v>186.2</v>
      </c>
      <c r="W590" s="18">
        <v>211</v>
      </c>
      <c r="Y590" s="6">
        <f t="shared" si="75"/>
        <v>686</v>
      </c>
      <c r="Z590" s="6">
        <f t="shared" si="76"/>
        <v>372.4</v>
      </c>
      <c r="AA590" s="6">
        <f t="shared" si="77"/>
        <v>588</v>
      </c>
      <c r="AB590" s="6">
        <f t="shared" si="72"/>
        <v>98</v>
      </c>
      <c r="AC590" t="s">
        <v>33</v>
      </c>
      <c r="AD590" s="3" t="s">
        <v>168</v>
      </c>
    </row>
    <row r="591" spans="1:39" ht="15.75" customHeight="1" x14ac:dyDescent="0.2">
      <c r="A591" s="7" t="str">
        <f t="shared" si="73"/>
        <v>SHENZHEN STRONG TECHNOLOGY CO., LTD.J510New Buy</v>
      </c>
      <c r="B591" s="7" t="str">
        <f t="shared" si="74"/>
        <v>iPadNew Buy</v>
      </c>
      <c r="C591">
        <v>408895</v>
      </c>
      <c r="D591" t="s">
        <v>76</v>
      </c>
      <c r="E591" t="s">
        <v>166</v>
      </c>
      <c r="F591" t="s">
        <v>173</v>
      </c>
      <c r="G591" t="s">
        <v>68</v>
      </c>
      <c r="H591" t="s">
        <v>167</v>
      </c>
      <c r="I591" t="s">
        <v>175</v>
      </c>
      <c r="J591" t="s">
        <v>775</v>
      </c>
      <c r="L591" t="s">
        <v>776</v>
      </c>
      <c r="M591" s="4" t="s">
        <v>416</v>
      </c>
      <c r="N591" s="4" t="s">
        <v>367</v>
      </c>
      <c r="O591">
        <v>1</v>
      </c>
      <c r="T591" t="s">
        <v>178</v>
      </c>
      <c r="U591" t="s">
        <v>66</v>
      </c>
      <c r="V591" s="4" t="s">
        <v>417</v>
      </c>
      <c r="W591" s="18" t="s">
        <v>367</v>
      </c>
      <c r="Y591" s="6">
        <f t="shared" si="75"/>
        <v>0</v>
      </c>
      <c r="Z591" s="6">
        <f t="shared" si="76"/>
        <v>0</v>
      </c>
      <c r="AA591" s="6">
        <f t="shared" si="77"/>
        <v>0</v>
      </c>
      <c r="AB591" s="6">
        <f t="shared" si="72"/>
        <v>0</v>
      </c>
      <c r="AC591" t="s">
        <v>16</v>
      </c>
      <c r="AD591" s="3" t="s">
        <v>168</v>
      </c>
    </row>
    <row r="592" spans="1:39" ht="15.75" customHeight="1" x14ac:dyDescent="0.2">
      <c r="A592" s="7" t="str">
        <f t="shared" si="73"/>
        <v>SHENZHEN STRONG TECHNOLOGY CO., LTD.J510New Buy</v>
      </c>
      <c r="B592" s="7" t="str">
        <f t="shared" si="74"/>
        <v>iPadNew Buy</v>
      </c>
      <c r="C592">
        <v>408894</v>
      </c>
      <c r="D592" t="s">
        <v>76</v>
      </c>
      <c r="E592" t="s">
        <v>166</v>
      </c>
      <c r="F592" t="s">
        <v>173</v>
      </c>
      <c r="G592" t="s">
        <v>68</v>
      </c>
      <c r="H592" t="s">
        <v>167</v>
      </c>
      <c r="I592" t="s">
        <v>175</v>
      </c>
      <c r="J592" t="s">
        <v>775</v>
      </c>
      <c r="L592" t="s">
        <v>776</v>
      </c>
      <c r="M592" s="4" t="s">
        <v>416</v>
      </c>
      <c r="N592" s="4" t="s">
        <v>367</v>
      </c>
      <c r="O592">
        <v>1</v>
      </c>
      <c r="T592" t="s">
        <v>178</v>
      </c>
      <c r="U592" t="s">
        <v>116</v>
      </c>
      <c r="V592" s="4" t="s">
        <v>417</v>
      </c>
      <c r="W592" s="18" t="s">
        <v>367</v>
      </c>
      <c r="Y592" s="6">
        <f t="shared" si="75"/>
        <v>0</v>
      </c>
      <c r="Z592" s="6">
        <f t="shared" si="76"/>
        <v>0</v>
      </c>
      <c r="AA592" s="6">
        <f t="shared" si="77"/>
        <v>0</v>
      </c>
      <c r="AB592" s="6">
        <f t="shared" si="72"/>
        <v>0</v>
      </c>
      <c r="AC592" t="s">
        <v>33</v>
      </c>
      <c r="AD592" s="3" t="s">
        <v>168</v>
      </c>
    </row>
    <row r="593" spans="1:39" ht="15.75" customHeight="1" x14ac:dyDescent="0.2">
      <c r="A593" s="7" t="str">
        <f t="shared" si="73"/>
        <v>SHENZHEN STRONG TECHNOLOGY CO., LTD.J510New Buy</v>
      </c>
      <c r="B593" s="7" t="str">
        <f t="shared" si="74"/>
        <v>iPadNew Buy</v>
      </c>
      <c r="C593">
        <v>408893</v>
      </c>
      <c r="D593" t="s">
        <v>76</v>
      </c>
      <c r="E593" t="s">
        <v>166</v>
      </c>
      <c r="F593" t="s">
        <v>173</v>
      </c>
      <c r="G593" t="s">
        <v>68</v>
      </c>
      <c r="H593" t="s">
        <v>167</v>
      </c>
      <c r="I593" t="s">
        <v>175</v>
      </c>
      <c r="J593" t="s">
        <v>777</v>
      </c>
      <c r="L593" t="s">
        <v>778</v>
      </c>
      <c r="M593" s="4" t="s">
        <v>416</v>
      </c>
      <c r="N593" s="4" t="s">
        <v>367</v>
      </c>
      <c r="O593">
        <v>1</v>
      </c>
      <c r="T593" t="s">
        <v>178</v>
      </c>
      <c r="U593" t="s">
        <v>66</v>
      </c>
      <c r="V593" s="4" t="s">
        <v>417</v>
      </c>
      <c r="W593" s="18" t="s">
        <v>367</v>
      </c>
      <c r="Y593" s="6">
        <f t="shared" si="75"/>
        <v>0</v>
      </c>
      <c r="Z593" s="6">
        <f t="shared" si="76"/>
        <v>0</v>
      </c>
      <c r="AA593" s="6">
        <f t="shared" si="77"/>
        <v>0</v>
      </c>
      <c r="AB593" s="6">
        <f t="shared" si="72"/>
        <v>0</v>
      </c>
      <c r="AC593" t="s">
        <v>16</v>
      </c>
      <c r="AD593" s="3" t="s">
        <v>168</v>
      </c>
    </row>
    <row r="594" spans="1:39" ht="15.75" customHeight="1" x14ac:dyDescent="0.2">
      <c r="A594" s="7" t="str">
        <f t="shared" si="73"/>
        <v>SHENZHEN STRONG TECHNOLOGY CO., LTD.J510New Buy</v>
      </c>
      <c r="B594" s="7" t="str">
        <f t="shared" si="74"/>
        <v>iPadNew Buy</v>
      </c>
      <c r="C594">
        <v>408892</v>
      </c>
      <c r="D594" t="s">
        <v>76</v>
      </c>
      <c r="E594" t="s">
        <v>166</v>
      </c>
      <c r="F594" t="s">
        <v>173</v>
      </c>
      <c r="G594" t="s">
        <v>68</v>
      </c>
      <c r="H594" t="s">
        <v>167</v>
      </c>
      <c r="I594" t="s">
        <v>175</v>
      </c>
      <c r="J594" t="s">
        <v>777</v>
      </c>
      <c r="L594" t="s">
        <v>778</v>
      </c>
      <c r="M594" s="4" t="s">
        <v>416</v>
      </c>
      <c r="N594" s="4" t="s">
        <v>367</v>
      </c>
      <c r="O594">
        <v>1</v>
      </c>
      <c r="T594" t="s">
        <v>178</v>
      </c>
      <c r="U594" t="s">
        <v>116</v>
      </c>
      <c r="V594" s="4" t="s">
        <v>417</v>
      </c>
      <c r="W594" s="18" t="s">
        <v>367</v>
      </c>
      <c r="Y594" s="6">
        <f t="shared" si="75"/>
        <v>0</v>
      </c>
      <c r="Z594" s="6">
        <f t="shared" si="76"/>
        <v>0</v>
      </c>
      <c r="AA594" s="6">
        <f t="shared" si="77"/>
        <v>0</v>
      </c>
      <c r="AB594" s="6">
        <f t="shared" si="72"/>
        <v>0</v>
      </c>
      <c r="AC594" t="s">
        <v>33</v>
      </c>
      <c r="AD594" s="3" t="s">
        <v>168</v>
      </c>
    </row>
    <row r="595" spans="1:39" ht="15.75" customHeight="1" x14ac:dyDescent="0.2">
      <c r="A595" s="7" t="str">
        <f t="shared" si="73"/>
        <v>SHENZHEN STRONG TECHNOLOGY CO., LTD.J510New Buy</v>
      </c>
      <c r="B595" s="7" t="str">
        <f t="shared" si="74"/>
        <v>iPadNew Buy</v>
      </c>
      <c r="C595">
        <v>408891</v>
      </c>
      <c r="D595" t="s">
        <v>76</v>
      </c>
      <c r="E595" t="s">
        <v>166</v>
      </c>
      <c r="F595" t="s">
        <v>173</v>
      </c>
      <c r="G595" t="s">
        <v>68</v>
      </c>
      <c r="H595" t="s">
        <v>167</v>
      </c>
      <c r="I595" t="s">
        <v>175</v>
      </c>
      <c r="J595" t="s">
        <v>779</v>
      </c>
      <c r="L595" t="s">
        <v>780</v>
      </c>
      <c r="M595" s="4" t="s">
        <v>416</v>
      </c>
      <c r="N595" s="4" t="s">
        <v>367</v>
      </c>
      <c r="O595">
        <v>1</v>
      </c>
      <c r="T595" t="s">
        <v>178</v>
      </c>
      <c r="U595" t="s">
        <v>66</v>
      </c>
      <c r="V595" s="4" t="s">
        <v>417</v>
      </c>
      <c r="W595" s="18" t="s">
        <v>367</v>
      </c>
      <c r="Y595" s="6">
        <f t="shared" si="75"/>
        <v>0</v>
      </c>
      <c r="Z595" s="6">
        <f t="shared" si="76"/>
        <v>0</v>
      </c>
      <c r="AA595" s="6">
        <f t="shared" si="77"/>
        <v>0</v>
      </c>
      <c r="AB595" s="6">
        <f t="shared" ref="AB595:AB658" si="79">IF(AA595=0,0,Y595-AA595)</f>
        <v>0</v>
      </c>
      <c r="AC595" t="s">
        <v>16</v>
      </c>
      <c r="AD595" s="3" t="s">
        <v>168</v>
      </c>
    </row>
    <row r="596" spans="1:39" ht="15.75" customHeight="1" x14ac:dyDescent="0.2">
      <c r="A596" s="7" t="str">
        <f t="shared" si="73"/>
        <v>SHENZHEN STRONG TECHNOLOGY CO., LTD.J510New Buy</v>
      </c>
      <c r="B596" s="7" t="str">
        <f t="shared" si="74"/>
        <v>iPadNew Buy</v>
      </c>
      <c r="C596">
        <v>408890</v>
      </c>
      <c r="D596" t="s">
        <v>76</v>
      </c>
      <c r="E596" t="s">
        <v>166</v>
      </c>
      <c r="F596" t="s">
        <v>173</v>
      </c>
      <c r="G596" t="s">
        <v>68</v>
      </c>
      <c r="H596" t="s">
        <v>167</v>
      </c>
      <c r="I596" t="s">
        <v>175</v>
      </c>
      <c r="J596" t="s">
        <v>781</v>
      </c>
      <c r="L596" t="s">
        <v>782</v>
      </c>
      <c r="M596" s="4" t="s">
        <v>416</v>
      </c>
      <c r="N596" s="4" t="s">
        <v>367</v>
      </c>
      <c r="O596">
        <v>1</v>
      </c>
      <c r="T596" t="s">
        <v>178</v>
      </c>
      <c r="U596" t="s">
        <v>66</v>
      </c>
      <c r="V596" s="4" t="s">
        <v>417</v>
      </c>
      <c r="W596" s="18" t="s">
        <v>367</v>
      </c>
      <c r="Y596" s="6">
        <f t="shared" si="75"/>
        <v>0</v>
      </c>
      <c r="Z596" s="6">
        <f t="shared" si="76"/>
        <v>0</v>
      </c>
      <c r="AA596" s="6">
        <f t="shared" si="77"/>
        <v>0</v>
      </c>
      <c r="AB596" s="6">
        <f t="shared" si="79"/>
        <v>0</v>
      </c>
      <c r="AC596" t="s">
        <v>16</v>
      </c>
      <c r="AD596" s="3" t="s">
        <v>168</v>
      </c>
    </row>
    <row r="597" spans="1:39" ht="15.75" customHeight="1" x14ac:dyDescent="0.2">
      <c r="A597" s="7" t="str">
        <f t="shared" si="73"/>
        <v>SHENZHEN STRONG TECHNOLOGY CO., LTD.J510New Buy</v>
      </c>
      <c r="B597" s="7" t="str">
        <f t="shared" si="74"/>
        <v>iPadNew Buy</v>
      </c>
      <c r="C597">
        <v>408889</v>
      </c>
      <c r="D597" t="s">
        <v>76</v>
      </c>
      <c r="E597" t="s">
        <v>166</v>
      </c>
      <c r="F597" t="s">
        <v>173</v>
      </c>
      <c r="G597" t="s">
        <v>68</v>
      </c>
      <c r="H597" t="s">
        <v>167</v>
      </c>
      <c r="I597" t="s">
        <v>175</v>
      </c>
      <c r="J597" t="s">
        <v>783</v>
      </c>
      <c r="L597" t="s">
        <v>784</v>
      </c>
      <c r="M597" s="25">
        <v>222</v>
      </c>
      <c r="N597" s="4">
        <v>222</v>
      </c>
      <c r="O597">
        <v>1</v>
      </c>
      <c r="T597" t="s">
        <v>178</v>
      </c>
      <c r="U597" t="s">
        <v>66</v>
      </c>
      <c r="V597" s="25">
        <v>140.6</v>
      </c>
      <c r="W597" s="18" t="s">
        <v>367</v>
      </c>
      <c r="Y597" s="6">
        <f t="shared" si="75"/>
        <v>222</v>
      </c>
      <c r="Z597" s="6">
        <f t="shared" si="76"/>
        <v>140.6</v>
      </c>
      <c r="AA597" s="6">
        <f t="shared" si="77"/>
        <v>222</v>
      </c>
      <c r="AB597" s="6">
        <f t="shared" si="79"/>
        <v>0</v>
      </c>
      <c r="AC597" t="s">
        <v>16</v>
      </c>
      <c r="AD597" s="3" t="s">
        <v>168</v>
      </c>
    </row>
    <row r="598" spans="1:39" ht="15.75" customHeight="1" x14ac:dyDescent="0.2">
      <c r="A598" s="7" t="str">
        <f t="shared" si="73"/>
        <v>SHENZHEN STRONG TECHNOLOGY CO., LTD.J510New Buy</v>
      </c>
      <c r="B598" s="7" t="str">
        <f t="shared" si="74"/>
        <v>iPadNew Buy</v>
      </c>
      <c r="C598">
        <v>408888</v>
      </c>
      <c r="D598" t="s">
        <v>76</v>
      </c>
      <c r="E598" t="s">
        <v>166</v>
      </c>
      <c r="F598" t="s">
        <v>173</v>
      </c>
      <c r="G598" t="s">
        <v>68</v>
      </c>
      <c r="H598" t="s">
        <v>167</v>
      </c>
      <c r="I598" t="s">
        <v>175</v>
      </c>
      <c r="J598" t="s">
        <v>783</v>
      </c>
      <c r="L598" t="s">
        <v>784</v>
      </c>
      <c r="M598" s="25">
        <v>259</v>
      </c>
      <c r="N598" s="4">
        <v>222</v>
      </c>
      <c r="O598">
        <v>1</v>
      </c>
      <c r="T598" t="s">
        <v>178</v>
      </c>
      <c r="U598" t="s">
        <v>116</v>
      </c>
      <c r="V598" s="25">
        <v>140.6</v>
      </c>
      <c r="W598" s="18" t="s">
        <v>367</v>
      </c>
      <c r="Y598" s="6">
        <f t="shared" si="75"/>
        <v>259</v>
      </c>
      <c r="Z598" s="6">
        <f t="shared" si="76"/>
        <v>140.6</v>
      </c>
      <c r="AA598" s="6">
        <f t="shared" si="77"/>
        <v>222</v>
      </c>
      <c r="AB598" s="6">
        <f t="shared" si="79"/>
        <v>37</v>
      </c>
      <c r="AC598" t="s">
        <v>33</v>
      </c>
      <c r="AD598" s="3" t="s">
        <v>168</v>
      </c>
    </row>
    <row r="599" spans="1:39" ht="15.75" customHeight="1" x14ac:dyDescent="0.2">
      <c r="A599" s="7" t="str">
        <f t="shared" si="73"/>
        <v>SHENZHEN STRONG TECHNOLOGY CO., LTD.J510New Buy</v>
      </c>
      <c r="B599" s="7" t="str">
        <f t="shared" si="74"/>
        <v>iPadNew Buy</v>
      </c>
      <c r="C599">
        <v>408887</v>
      </c>
      <c r="D599" t="s">
        <v>76</v>
      </c>
      <c r="E599" t="s">
        <v>166</v>
      </c>
      <c r="F599" t="s">
        <v>173</v>
      </c>
      <c r="G599" t="s">
        <v>68</v>
      </c>
      <c r="H599" t="s">
        <v>167</v>
      </c>
      <c r="I599" t="s">
        <v>175</v>
      </c>
      <c r="J599" t="s">
        <v>785</v>
      </c>
      <c r="L599" t="s">
        <v>786</v>
      </c>
      <c r="M599" s="25">
        <v>222</v>
      </c>
      <c r="N599" s="4">
        <v>222</v>
      </c>
      <c r="O599">
        <v>1</v>
      </c>
      <c r="T599" t="s">
        <v>178</v>
      </c>
      <c r="U599" t="s">
        <v>66</v>
      </c>
      <c r="V599" s="25">
        <v>140.6</v>
      </c>
      <c r="W599" s="18" t="s">
        <v>367</v>
      </c>
      <c r="Y599" s="6">
        <f t="shared" si="75"/>
        <v>222</v>
      </c>
      <c r="Z599" s="6">
        <f t="shared" si="76"/>
        <v>140.6</v>
      </c>
      <c r="AA599" s="6">
        <f t="shared" si="77"/>
        <v>222</v>
      </c>
      <c r="AB599" s="6">
        <f t="shared" si="79"/>
        <v>0</v>
      </c>
      <c r="AC599" t="s">
        <v>16</v>
      </c>
      <c r="AD599" s="3" t="s">
        <v>168</v>
      </c>
    </row>
    <row r="600" spans="1:39" ht="15.75" customHeight="1" x14ac:dyDescent="0.2">
      <c r="A600" s="7" t="str">
        <f t="shared" si="73"/>
        <v>SHENZHEN STRONG TECHNOLOGY CO., LTD.J510New Buy</v>
      </c>
      <c r="B600" s="7" t="str">
        <f t="shared" si="74"/>
        <v>iPadNew Buy</v>
      </c>
      <c r="C600">
        <v>408886</v>
      </c>
      <c r="D600" t="s">
        <v>76</v>
      </c>
      <c r="E600" t="s">
        <v>166</v>
      </c>
      <c r="F600" t="s">
        <v>173</v>
      </c>
      <c r="G600" t="s">
        <v>68</v>
      </c>
      <c r="H600" t="s">
        <v>167</v>
      </c>
      <c r="I600" t="s">
        <v>175</v>
      </c>
      <c r="J600" t="s">
        <v>785</v>
      </c>
      <c r="L600" t="s">
        <v>786</v>
      </c>
      <c r="M600" s="25">
        <v>259</v>
      </c>
      <c r="N600" s="4">
        <v>222</v>
      </c>
      <c r="O600">
        <v>1</v>
      </c>
      <c r="T600" t="s">
        <v>178</v>
      </c>
      <c r="U600" t="s">
        <v>116</v>
      </c>
      <c r="V600" s="25">
        <v>140.6</v>
      </c>
      <c r="W600" s="18" t="s">
        <v>367</v>
      </c>
      <c r="Y600" s="6">
        <f t="shared" si="75"/>
        <v>259</v>
      </c>
      <c r="Z600" s="6">
        <f t="shared" si="76"/>
        <v>140.6</v>
      </c>
      <c r="AA600" s="6">
        <f t="shared" si="77"/>
        <v>222</v>
      </c>
      <c r="AB600" s="6">
        <f t="shared" si="79"/>
        <v>37</v>
      </c>
      <c r="AC600" t="s">
        <v>33</v>
      </c>
      <c r="AD600" s="3" t="s">
        <v>168</v>
      </c>
    </row>
    <row r="601" spans="1:39" ht="15.75" customHeight="1" x14ac:dyDescent="0.2">
      <c r="A601" s="7" t="str">
        <f t="shared" si="73"/>
        <v>SHENZHEN STRONG TECHNOLOGY CO., LTD.J510New Buy</v>
      </c>
      <c r="B601" s="7" t="str">
        <f t="shared" si="74"/>
        <v>iPadNew Buy</v>
      </c>
      <c r="C601">
        <v>408885</v>
      </c>
      <c r="D601" t="s">
        <v>76</v>
      </c>
      <c r="E601" t="s">
        <v>166</v>
      </c>
      <c r="F601" t="s">
        <v>173</v>
      </c>
      <c r="G601" t="s">
        <v>68</v>
      </c>
      <c r="H601" t="s">
        <v>167</v>
      </c>
      <c r="I601" t="s">
        <v>175</v>
      </c>
      <c r="J601" t="s">
        <v>787</v>
      </c>
      <c r="L601" t="s">
        <v>788</v>
      </c>
      <c r="M601" s="25">
        <v>2960</v>
      </c>
      <c r="N601" s="4">
        <v>2580</v>
      </c>
      <c r="O601" t="s">
        <v>175</v>
      </c>
      <c r="T601" t="s">
        <v>178</v>
      </c>
      <c r="U601" t="s">
        <v>66</v>
      </c>
      <c r="V601" s="25">
        <v>2249.6</v>
      </c>
      <c r="W601" s="18" t="s">
        <v>367</v>
      </c>
      <c r="Y601" s="6">
        <f t="shared" si="75"/>
        <v>0</v>
      </c>
      <c r="Z601" s="6">
        <f t="shared" si="76"/>
        <v>0</v>
      </c>
      <c r="AA601" s="6">
        <f t="shared" si="77"/>
        <v>0</v>
      </c>
      <c r="AB601" s="6">
        <f t="shared" si="79"/>
        <v>0</v>
      </c>
      <c r="AC601" t="s">
        <v>16</v>
      </c>
      <c r="AD601" s="3" t="s">
        <v>168</v>
      </c>
    </row>
    <row r="602" spans="1:39" ht="15.75" customHeight="1" x14ac:dyDescent="0.2">
      <c r="A602" s="7" t="str">
        <f t="shared" si="73"/>
        <v>SHENZHEN STRONG TECHNOLOGY CO., LTD.J510New Buy</v>
      </c>
      <c r="B602" s="7" t="str">
        <f t="shared" si="74"/>
        <v>iPadNew Buy</v>
      </c>
      <c r="C602">
        <v>408884</v>
      </c>
      <c r="D602" t="s">
        <v>76</v>
      </c>
      <c r="E602" t="s">
        <v>166</v>
      </c>
      <c r="F602" t="s">
        <v>173</v>
      </c>
      <c r="G602" t="s">
        <v>68</v>
      </c>
      <c r="H602" t="s">
        <v>167</v>
      </c>
      <c r="I602" t="s">
        <v>175</v>
      </c>
      <c r="J602" t="s">
        <v>789</v>
      </c>
      <c r="L602" t="s">
        <v>790</v>
      </c>
      <c r="M602" s="25">
        <v>2960</v>
      </c>
      <c r="N602" s="4">
        <v>2580</v>
      </c>
      <c r="O602" t="s">
        <v>175</v>
      </c>
      <c r="T602" t="s">
        <v>178</v>
      </c>
      <c r="U602" t="s">
        <v>66</v>
      </c>
      <c r="V602" s="25">
        <v>2249.6</v>
      </c>
      <c r="W602" s="18" t="s">
        <v>367</v>
      </c>
      <c r="Y602" s="6">
        <f t="shared" si="75"/>
        <v>0</v>
      </c>
      <c r="Z602" s="6">
        <f t="shared" si="76"/>
        <v>0</v>
      </c>
      <c r="AA602" s="6">
        <f t="shared" si="77"/>
        <v>0</v>
      </c>
      <c r="AB602" s="6">
        <f t="shared" si="79"/>
        <v>0</v>
      </c>
      <c r="AC602" t="s">
        <v>16</v>
      </c>
      <c r="AD602" s="3" t="s">
        <v>168</v>
      </c>
    </row>
    <row r="603" spans="1:39" ht="15.75" customHeight="1" x14ac:dyDescent="0.2">
      <c r="A603" s="7" t="str">
        <f t="shared" si="73"/>
        <v>SHENZHEN STRONG TECHNOLOGY CO., LTD.J510New Buy</v>
      </c>
      <c r="B603" s="7" t="str">
        <f t="shared" si="74"/>
        <v>iPadNew Buy</v>
      </c>
      <c r="C603">
        <v>408879</v>
      </c>
      <c r="D603" t="s">
        <v>76</v>
      </c>
      <c r="E603" t="s">
        <v>166</v>
      </c>
      <c r="F603" t="s">
        <v>173</v>
      </c>
      <c r="G603" t="s">
        <v>68</v>
      </c>
      <c r="H603" t="s">
        <v>167</v>
      </c>
      <c r="I603" t="s">
        <v>175</v>
      </c>
      <c r="J603" t="s">
        <v>791</v>
      </c>
      <c r="L603" t="s">
        <v>323</v>
      </c>
      <c r="M603" s="25">
        <v>204</v>
      </c>
      <c r="N603" s="4">
        <v>204</v>
      </c>
      <c r="O603">
        <v>1</v>
      </c>
      <c r="T603" t="s">
        <v>178</v>
      </c>
      <c r="U603" t="s">
        <v>66</v>
      </c>
      <c r="V603" s="25">
        <v>129.19999999999999</v>
      </c>
      <c r="W603" s="18">
        <v>71</v>
      </c>
      <c r="Y603" s="6">
        <f t="shared" si="75"/>
        <v>204</v>
      </c>
      <c r="Z603" s="6">
        <f t="shared" si="76"/>
        <v>129.19999999999999</v>
      </c>
      <c r="AA603" s="6">
        <f t="shared" si="77"/>
        <v>204</v>
      </c>
      <c r="AB603" s="6">
        <f t="shared" si="79"/>
        <v>0</v>
      </c>
      <c r="AC603" t="s">
        <v>16</v>
      </c>
      <c r="AD603" s="3" t="s">
        <v>168</v>
      </c>
    </row>
    <row r="604" spans="1:39" ht="15.75" customHeight="1" x14ac:dyDescent="0.2">
      <c r="A604" s="7" t="str">
        <f t="shared" si="73"/>
        <v>SHENZHEN STRONG TECHNOLOGY CO., LTD.J510New Buy</v>
      </c>
      <c r="B604" s="7" t="str">
        <f t="shared" si="74"/>
        <v>iPadNew Buy</v>
      </c>
      <c r="C604">
        <v>408878</v>
      </c>
      <c r="D604" t="s">
        <v>76</v>
      </c>
      <c r="E604" t="s">
        <v>166</v>
      </c>
      <c r="F604" t="s">
        <v>173</v>
      </c>
      <c r="G604" t="s">
        <v>68</v>
      </c>
      <c r="H604" t="s">
        <v>167</v>
      </c>
      <c r="I604" t="s">
        <v>175</v>
      </c>
      <c r="J604" t="s">
        <v>791</v>
      </c>
      <c r="L604" t="s">
        <v>323</v>
      </c>
      <c r="M604" s="25">
        <v>238</v>
      </c>
      <c r="N604" s="4">
        <v>204</v>
      </c>
      <c r="O604">
        <v>1</v>
      </c>
      <c r="T604" t="s">
        <v>178</v>
      </c>
      <c r="U604" t="s">
        <v>116</v>
      </c>
      <c r="V604" s="25">
        <v>129.19999999999999</v>
      </c>
      <c r="W604" s="18">
        <v>71</v>
      </c>
      <c r="Y604" s="6">
        <f t="shared" si="75"/>
        <v>238</v>
      </c>
      <c r="Z604" s="6">
        <f t="shared" si="76"/>
        <v>129.19999999999999</v>
      </c>
      <c r="AA604" s="6">
        <f t="shared" si="77"/>
        <v>204</v>
      </c>
      <c r="AB604" s="6">
        <f t="shared" si="79"/>
        <v>34</v>
      </c>
      <c r="AC604" t="s">
        <v>33</v>
      </c>
      <c r="AD604" s="3" t="s">
        <v>168</v>
      </c>
    </row>
    <row r="605" spans="1:39" ht="15.75" customHeight="1" x14ac:dyDescent="0.2">
      <c r="A605" s="7" t="str">
        <f t="shared" si="73"/>
        <v>SHENZHEN STRONG TECHNOLOGY CO., LTD.J510New Buy</v>
      </c>
      <c r="B605" s="7" t="str">
        <f t="shared" si="74"/>
        <v>iPadNew Buy</v>
      </c>
      <c r="C605">
        <v>408873</v>
      </c>
      <c r="D605" t="s">
        <v>76</v>
      </c>
      <c r="E605" t="s">
        <v>166</v>
      </c>
      <c r="F605" t="s">
        <v>173</v>
      </c>
      <c r="G605" t="s">
        <v>68</v>
      </c>
      <c r="H605" t="s">
        <v>167</v>
      </c>
      <c r="I605" t="s">
        <v>175</v>
      </c>
      <c r="J605" t="s">
        <v>792</v>
      </c>
      <c r="L605" t="s">
        <v>325</v>
      </c>
      <c r="M605" s="4" t="s">
        <v>416</v>
      </c>
      <c r="N605" s="4" t="s">
        <v>367</v>
      </c>
      <c r="O605">
        <v>1</v>
      </c>
      <c r="T605" t="s">
        <v>178</v>
      </c>
      <c r="U605" t="s">
        <v>66</v>
      </c>
      <c r="V605" s="4" t="s">
        <v>417</v>
      </c>
      <c r="W605" s="18" t="s">
        <v>367</v>
      </c>
      <c r="Y605" s="6">
        <f t="shared" si="75"/>
        <v>0</v>
      </c>
      <c r="Z605" s="6">
        <f t="shared" si="76"/>
        <v>0</v>
      </c>
      <c r="AA605" s="6">
        <f t="shared" si="77"/>
        <v>0</v>
      </c>
      <c r="AB605" s="6">
        <f t="shared" si="79"/>
        <v>0</v>
      </c>
      <c r="AC605" t="s">
        <v>16</v>
      </c>
      <c r="AD605" s="3" t="s">
        <v>168</v>
      </c>
    </row>
    <row r="606" spans="1:39" ht="15.75" customHeight="1" x14ac:dyDescent="0.2">
      <c r="A606" s="7" t="str">
        <f t="shared" si="73"/>
        <v>SHENZHEN STRONG TECHNOLOGY CO., LTD.J510New Buy</v>
      </c>
      <c r="B606" s="7" t="str">
        <f t="shared" si="74"/>
        <v>iPadNew Buy</v>
      </c>
      <c r="C606">
        <v>408872</v>
      </c>
      <c r="D606" t="s">
        <v>76</v>
      </c>
      <c r="E606" t="s">
        <v>166</v>
      </c>
      <c r="F606" t="s">
        <v>173</v>
      </c>
      <c r="G606" t="s">
        <v>68</v>
      </c>
      <c r="H606" t="s">
        <v>167</v>
      </c>
      <c r="I606" t="s">
        <v>175</v>
      </c>
      <c r="J606" t="s">
        <v>792</v>
      </c>
      <c r="L606" t="s">
        <v>325</v>
      </c>
      <c r="M606" s="4" t="s">
        <v>416</v>
      </c>
      <c r="N606" s="4" t="s">
        <v>367</v>
      </c>
      <c r="O606">
        <v>1</v>
      </c>
      <c r="T606" t="s">
        <v>178</v>
      </c>
      <c r="U606" t="s">
        <v>116</v>
      </c>
      <c r="V606" s="4" t="s">
        <v>417</v>
      </c>
      <c r="W606" s="18" t="s">
        <v>367</v>
      </c>
      <c r="Y606" s="6">
        <f t="shared" si="75"/>
        <v>0</v>
      </c>
      <c r="Z606" s="6">
        <f t="shared" si="76"/>
        <v>0</v>
      </c>
      <c r="AA606" s="6">
        <f t="shared" si="77"/>
        <v>0</v>
      </c>
      <c r="AB606" s="6">
        <f t="shared" si="79"/>
        <v>0</v>
      </c>
      <c r="AC606" t="s">
        <v>33</v>
      </c>
      <c r="AD606" s="3" t="s">
        <v>168</v>
      </c>
    </row>
    <row r="607" spans="1:39" ht="15.75" customHeight="1" x14ac:dyDescent="0.2">
      <c r="A607" s="7" t="str">
        <f t="shared" si="73"/>
        <v>SHENZHEN STRONG TECHNOLOGY CO., LTD.J510New Buy</v>
      </c>
      <c r="B607" s="7" t="str">
        <f t="shared" si="74"/>
        <v>iPadNew Buy</v>
      </c>
      <c r="C607">
        <v>408869</v>
      </c>
      <c r="D607" t="s">
        <v>76</v>
      </c>
      <c r="E607" t="s">
        <v>166</v>
      </c>
      <c r="F607" t="s">
        <v>173</v>
      </c>
      <c r="G607" t="s">
        <v>68</v>
      </c>
      <c r="H607" t="s">
        <v>167</v>
      </c>
      <c r="I607" t="s">
        <v>175</v>
      </c>
      <c r="J607" t="s">
        <v>354</v>
      </c>
      <c r="L607" t="s">
        <v>327</v>
      </c>
      <c r="M607" s="25">
        <v>70</v>
      </c>
      <c r="N607" s="4">
        <v>68</v>
      </c>
      <c r="O607">
        <v>1</v>
      </c>
      <c r="T607" t="s">
        <v>178</v>
      </c>
      <c r="U607" t="s">
        <v>66</v>
      </c>
      <c r="V607" s="25">
        <v>53.2</v>
      </c>
      <c r="W607" s="18">
        <v>120</v>
      </c>
      <c r="Y607" s="6">
        <f t="shared" si="75"/>
        <v>70</v>
      </c>
      <c r="Z607" s="6">
        <f t="shared" si="76"/>
        <v>53.2</v>
      </c>
      <c r="AA607" s="6">
        <f t="shared" si="77"/>
        <v>68</v>
      </c>
      <c r="AB607" s="6">
        <f t="shared" si="79"/>
        <v>2</v>
      </c>
      <c r="AC607" t="s">
        <v>16</v>
      </c>
      <c r="AD607" s="3" t="s">
        <v>168</v>
      </c>
      <c r="AM607" s="1">
        <f t="shared" ref="AM607:AM616" si="80">MAX(0, (W607*O607)-AA607)</f>
        <v>52</v>
      </c>
    </row>
    <row r="608" spans="1:39" ht="15.75" customHeight="1" x14ac:dyDescent="0.2">
      <c r="A608" s="7" t="str">
        <f t="shared" si="73"/>
        <v>SHENZHEN STRONG TECHNOLOGY CO., LTD.J510New Buy</v>
      </c>
      <c r="B608" s="7" t="str">
        <f t="shared" si="74"/>
        <v>iPadNew Buy</v>
      </c>
      <c r="C608">
        <v>408867</v>
      </c>
      <c r="D608" t="s">
        <v>76</v>
      </c>
      <c r="E608" t="s">
        <v>166</v>
      </c>
      <c r="F608" t="s">
        <v>173</v>
      </c>
      <c r="G608" t="s">
        <v>68</v>
      </c>
      <c r="H608" t="s">
        <v>167</v>
      </c>
      <c r="I608" t="s">
        <v>175</v>
      </c>
      <c r="J608" t="s">
        <v>355</v>
      </c>
      <c r="L608" t="s">
        <v>329</v>
      </c>
      <c r="M608" s="25">
        <v>70</v>
      </c>
      <c r="N608" s="4">
        <v>68</v>
      </c>
      <c r="O608">
        <v>1</v>
      </c>
      <c r="T608" t="s">
        <v>178</v>
      </c>
      <c r="U608" t="s">
        <v>66</v>
      </c>
      <c r="V608" s="25">
        <v>53.2</v>
      </c>
      <c r="W608" s="18">
        <v>120</v>
      </c>
      <c r="Y608" s="6">
        <f t="shared" si="75"/>
        <v>70</v>
      </c>
      <c r="Z608" s="6">
        <f t="shared" si="76"/>
        <v>53.2</v>
      </c>
      <c r="AA608" s="6">
        <f t="shared" si="77"/>
        <v>68</v>
      </c>
      <c r="AB608" s="6">
        <f t="shared" si="79"/>
        <v>2</v>
      </c>
      <c r="AC608" t="s">
        <v>16</v>
      </c>
      <c r="AD608" s="3" t="s">
        <v>168</v>
      </c>
      <c r="AM608" s="1">
        <f t="shared" si="80"/>
        <v>52</v>
      </c>
    </row>
    <row r="609" spans="1:39" ht="15.75" customHeight="1" x14ac:dyDescent="0.2">
      <c r="A609" s="7" t="str">
        <f t="shared" si="73"/>
        <v>SHENZHEN STRONG TECHNOLOGY CO., LTD.J510New Buy</v>
      </c>
      <c r="B609" s="7" t="str">
        <f t="shared" si="74"/>
        <v>iPadNew Buy</v>
      </c>
      <c r="C609">
        <v>408865</v>
      </c>
      <c r="D609" t="s">
        <v>76</v>
      </c>
      <c r="E609" t="s">
        <v>166</v>
      </c>
      <c r="F609" t="s">
        <v>173</v>
      </c>
      <c r="G609" t="s">
        <v>68</v>
      </c>
      <c r="H609" t="s">
        <v>167</v>
      </c>
      <c r="I609" t="s">
        <v>175</v>
      </c>
      <c r="J609" t="s">
        <v>793</v>
      </c>
      <c r="L609" t="s">
        <v>794</v>
      </c>
      <c r="M609" s="25">
        <v>109</v>
      </c>
      <c r="N609" s="4">
        <v>109</v>
      </c>
      <c r="O609">
        <v>1</v>
      </c>
      <c r="T609" t="s">
        <v>178</v>
      </c>
      <c r="U609" t="s">
        <v>66</v>
      </c>
      <c r="V609" s="25">
        <v>72.2</v>
      </c>
      <c r="W609" s="18">
        <v>127</v>
      </c>
      <c r="Y609" s="6">
        <f t="shared" si="75"/>
        <v>109</v>
      </c>
      <c r="Z609" s="6">
        <f t="shared" si="76"/>
        <v>72.2</v>
      </c>
      <c r="AA609" s="6">
        <f t="shared" si="77"/>
        <v>109</v>
      </c>
      <c r="AB609" s="6">
        <f t="shared" si="79"/>
        <v>0</v>
      </c>
      <c r="AC609" t="s">
        <v>16</v>
      </c>
      <c r="AD609" s="3" t="s">
        <v>168</v>
      </c>
      <c r="AM609" s="1">
        <f t="shared" si="80"/>
        <v>18</v>
      </c>
    </row>
    <row r="610" spans="1:39" ht="15.75" customHeight="1" x14ac:dyDescent="0.2">
      <c r="A610" s="7" t="str">
        <f t="shared" si="73"/>
        <v>SHENZHEN STRONG TECHNOLOGY CO., LTD.J510New Buy</v>
      </c>
      <c r="B610" s="7" t="str">
        <f t="shared" si="74"/>
        <v>iPadNew Buy</v>
      </c>
      <c r="C610">
        <v>408864</v>
      </c>
      <c r="D610" t="s">
        <v>76</v>
      </c>
      <c r="E610" t="s">
        <v>166</v>
      </c>
      <c r="F610" t="s">
        <v>173</v>
      </c>
      <c r="G610" t="s">
        <v>68</v>
      </c>
      <c r="H610" t="s">
        <v>167</v>
      </c>
      <c r="I610" t="s">
        <v>175</v>
      </c>
      <c r="J610" t="s">
        <v>793</v>
      </c>
      <c r="L610" t="s">
        <v>794</v>
      </c>
      <c r="M610" s="25">
        <v>133</v>
      </c>
      <c r="N610" s="4">
        <v>109</v>
      </c>
      <c r="O610">
        <v>1</v>
      </c>
      <c r="T610" t="s">
        <v>178</v>
      </c>
      <c r="U610" t="s">
        <v>116</v>
      </c>
      <c r="V610" s="25">
        <v>72.2</v>
      </c>
      <c r="W610" s="18">
        <v>127</v>
      </c>
      <c r="Y610" s="6">
        <f t="shared" si="75"/>
        <v>133</v>
      </c>
      <c r="Z610" s="6">
        <f t="shared" si="76"/>
        <v>72.2</v>
      </c>
      <c r="AA610" s="6">
        <f t="shared" si="77"/>
        <v>109</v>
      </c>
      <c r="AB610" s="6">
        <f t="shared" si="79"/>
        <v>24</v>
      </c>
      <c r="AC610" t="s">
        <v>33</v>
      </c>
      <c r="AD610" s="3" t="s">
        <v>168</v>
      </c>
      <c r="AM610" s="1">
        <f t="shared" si="80"/>
        <v>18</v>
      </c>
    </row>
    <row r="611" spans="1:39" ht="15.75" customHeight="1" x14ac:dyDescent="0.2">
      <c r="A611" s="7" t="str">
        <f t="shared" ref="A611:A674" si="81">CONCATENATE(D611,G611,H611,K611)</f>
        <v>SHENZHEN STRONG TECHNOLOGY CO., LTD.J510New Buy</v>
      </c>
      <c r="B611" s="7" t="str">
        <f t="shared" ref="B611:B674" si="82">_xlfn.CONCAT(F611,K611,"New Buy")</f>
        <v>iPadNew Buy</v>
      </c>
      <c r="C611">
        <v>408861</v>
      </c>
      <c r="D611" t="s">
        <v>76</v>
      </c>
      <c r="E611" t="s">
        <v>166</v>
      </c>
      <c r="F611" t="s">
        <v>173</v>
      </c>
      <c r="G611" t="s">
        <v>68</v>
      </c>
      <c r="H611" t="s">
        <v>167</v>
      </c>
      <c r="I611" t="s">
        <v>175</v>
      </c>
      <c r="J611" t="s">
        <v>795</v>
      </c>
      <c r="L611" t="s">
        <v>796</v>
      </c>
      <c r="M611" s="25">
        <v>109</v>
      </c>
      <c r="N611" s="4">
        <v>109</v>
      </c>
      <c r="O611">
        <v>1</v>
      </c>
      <c r="T611" t="s">
        <v>178</v>
      </c>
      <c r="U611" t="s">
        <v>66</v>
      </c>
      <c r="V611" s="25">
        <v>72.2</v>
      </c>
      <c r="W611" s="18">
        <v>135.71</v>
      </c>
      <c r="Y611" s="6">
        <f t="shared" ref="Y611:Y674" si="83">IFERROR(O611*M611,0)</f>
        <v>109</v>
      </c>
      <c r="Z611" s="6">
        <f t="shared" ref="Z611:Z674" si="84">IFERROR(O611*V611,0)</f>
        <v>72.2</v>
      </c>
      <c r="AA611" s="6">
        <f t="shared" ref="AA611:AA674" si="85">IFERROR(N611*O611,0)</f>
        <v>109</v>
      </c>
      <c r="AB611" s="6">
        <f t="shared" si="79"/>
        <v>0</v>
      </c>
      <c r="AC611" t="s">
        <v>16</v>
      </c>
      <c r="AD611" s="3" t="s">
        <v>168</v>
      </c>
      <c r="AM611" s="1">
        <f t="shared" si="80"/>
        <v>26.710000000000008</v>
      </c>
    </row>
    <row r="612" spans="1:39" ht="15.75" customHeight="1" x14ac:dyDescent="0.2">
      <c r="A612" s="7" t="str">
        <f t="shared" si="81"/>
        <v>SHENZHEN STRONG TECHNOLOGY CO., LTD.J510New Buy</v>
      </c>
      <c r="B612" s="7" t="str">
        <f t="shared" si="82"/>
        <v>iPadNew Buy</v>
      </c>
      <c r="C612">
        <v>408860</v>
      </c>
      <c r="D612" t="s">
        <v>76</v>
      </c>
      <c r="E612" t="s">
        <v>166</v>
      </c>
      <c r="F612" t="s">
        <v>173</v>
      </c>
      <c r="G612" t="s">
        <v>68</v>
      </c>
      <c r="H612" t="s">
        <v>167</v>
      </c>
      <c r="I612" t="s">
        <v>175</v>
      </c>
      <c r="J612" t="s">
        <v>795</v>
      </c>
      <c r="L612" t="s">
        <v>796</v>
      </c>
      <c r="M612" s="25">
        <v>133</v>
      </c>
      <c r="N612" s="4">
        <v>109</v>
      </c>
      <c r="O612">
        <v>1</v>
      </c>
      <c r="T612" t="s">
        <v>178</v>
      </c>
      <c r="U612" t="s">
        <v>116</v>
      </c>
      <c r="V612" s="25">
        <v>72.2</v>
      </c>
      <c r="W612" s="18">
        <v>135.71</v>
      </c>
      <c r="Y612" s="6">
        <f t="shared" si="83"/>
        <v>133</v>
      </c>
      <c r="Z612" s="6">
        <f t="shared" si="84"/>
        <v>72.2</v>
      </c>
      <c r="AA612" s="6">
        <f t="shared" si="85"/>
        <v>109</v>
      </c>
      <c r="AB612" s="6">
        <f t="shared" si="79"/>
        <v>24</v>
      </c>
      <c r="AC612" t="s">
        <v>33</v>
      </c>
      <c r="AD612" s="3" t="s">
        <v>168</v>
      </c>
      <c r="AM612" s="1">
        <f t="shared" si="80"/>
        <v>26.710000000000008</v>
      </c>
    </row>
    <row r="613" spans="1:39" ht="15.75" customHeight="1" x14ac:dyDescent="0.2">
      <c r="A613" s="7" t="str">
        <f t="shared" si="81"/>
        <v>SHENZHEN STRONG TECHNOLOGY CO., LTD.J510New Buy</v>
      </c>
      <c r="B613" s="7" t="str">
        <f t="shared" si="82"/>
        <v>iPadNew Buy</v>
      </c>
      <c r="C613">
        <v>408855</v>
      </c>
      <c r="D613" t="s">
        <v>76</v>
      </c>
      <c r="E613" t="s">
        <v>166</v>
      </c>
      <c r="F613" t="s">
        <v>173</v>
      </c>
      <c r="G613" t="s">
        <v>68</v>
      </c>
      <c r="H613" t="s">
        <v>167</v>
      </c>
      <c r="I613" t="s">
        <v>175</v>
      </c>
      <c r="J613" t="s">
        <v>797</v>
      </c>
      <c r="L613" t="s">
        <v>798</v>
      </c>
      <c r="M613" s="25">
        <v>114</v>
      </c>
      <c r="N613" s="4">
        <v>114</v>
      </c>
      <c r="O613" t="s">
        <v>175</v>
      </c>
      <c r="T613" t="s">
        <v>178</v>
      </c>
      <c r="U613" t="s">
        <v>66</v>
      </c>
      <c r="V613" s="25">
        <v>72.2</v>
      </c>
      <c r="W613" s="18">
        <v>103.14</v>
      </c>
      <c r="Y613" s="6">
        <f t="shared" si="83"/>
        <v>0</v>
      </c>
      <c r="Z613" s="6">
        <f t="shared" si="84"/>
        <v>0</v>
      </c>
      <c r="AA613" s="6">
        <f t="shared" si="85"/>
        <v>0</v>
      </c>
      <c r="AB613" s="6">
        <f t="shared" si="79"/>
        <v>0</v>
      </c>
      <c r="AC613" t="s">
        <v>16</v>
      </c>
      <c r="AD613" s="3" t="s">
        <v>168</v>
      </c>
    </row>
    <row r="614" spans="1:39" ht="15.75" customHeight="1" x14ac:dyDescent="0.2">
      <c r="A614" s="7" t="str">
        <f t="shared" si="81"/>
        <v>SHENZHEN STRONG TECHNOLOGY CO., LTD.J510New Buy</v>
      </c>
      <c r="B614" s="7" t="str">
        <f t="shared" si="82"/>
        <v>iPadNew Buy</v>
      </c>
      <c r="C614">
        <v>408854</v>
      </c>
      <c r="D614" t="s">
        <v>76</v>
      </c>
      <c r="E614" t="s">
        <v>166</v>
      </c>
      <c r="F614" t="s">
        <v>173</v>
      </c>
      <c r="G614" t="s">
        <v>68</v>
      </c>
      <c r="H614" t="s">
        <v>167</v>
      </c>
      <c r="I614" t="s">
        <v>175</v>
      </c>
      <c r="J614" t="s">
        <v>797</v>
      </c>
      <c r="L614" t="s">
        <v>798</v>
      </c>
      <c r="M614" s="25">
        <v>133</v>
      </c>
      <c r="N614" s="4">
        <v>114</v>
      </c>
      <c r="O614" t="s">
        <v>175</v>
      </c>
      <c r="T614" t="s">
        <v>178</v>
      </c>
      <c r="U614" t="s">
        <v>116</v>
      </c>
      <c r="V614" s="25">
        <v>72.2</v>
      </c>
      <c r="W614" s="18">
        <v>103.14</v>
      </c>
      <c r="Y614" s="6">
        <f t="shared" si="83"/>
        <v>0</v>
      </c>
      <c r="Z614" s="6">
        <f t="shared" si="84"/>
        <v>0</v>
      </c>
      <c r="AA614" s="6">
        <f t="shared" si="85"/>
        <v>0</v>
      </c>
      <c r="AB614" s="6">
        <f t="shared" si="79"/>
        <v>0</v>
      </c>
      <c r="AC614" t="s">
        <v>33</v>
      </c>
      <c r="AD614" s="3" t="s">
        <v>168</v>
      </c>
    </row>
    <row r="615" spans="1:39" ht="15.75" customHeight="1" x14ac:dyDescent="0.2">
      <c r="A615" s="7" t="str">
        <f t="shared" si="81"/>
        <v>SHENZHEN STRONG TECHNOLOGY CO., LTD.J510New Buy</v>
      </c>
      <c r="B615" s="7" t="str">
        <f t="shared" si="82"/>
        <v>iPadNew Buy</v>
      </c>
      <c r="C615">
        <v>408849</v>
      </c>
      <c r="D615" t="s">
        <v>76</v>
      </c>
      <c r="E615" t="s">
        <v>166</v>
      </c>
      <c r="F615" t="s">
        <v>173</v>
      </c>
      <c r="G615" t="s">
        <v>68</v>
      </c>
      <c r="H615" t="s">
        <v>167</v>
      </c>
      <c r="I615" t="s">
        <v>175</v>
      </c>
      <c r="J615" t="s">
        <v>799</v>
      </c>
      <c r="L615" t="s">
        <v>800</v>
      </c>
      <c r="M615" s="25">
        <v>114</v>
      </c>
      <c r="N615" s="4">
        <v>114</v>
      </c>
      <c r="O615">
        <v>1</v>
      </c>
      <c r="T615" t="s">
        <v>178</v>
      </c>
      <c r="U615" t="s">
        <v>66</v>
      </c>
      <c r="V615" s="25">
        <v>72.2</v>
      </c>
      <c r="W615" s="18">
        <v>114.29</v>
      </c>
      <c r="Y615" s="6">
        <f t="shared" si="83"/>
        <v>114</v>
      </c>
      <c r="Z615" s="6">
        <f t="shared" si="84"/>
        <v>72.2</v>
      </c>
      <c r="AA615" s="6">
        <f t="shared" si="85"/>
        <v>114</v>
      </c>
      <c r="AB615" s="6">
        <f t="shared" si="79"/>
        <v>0</v>
      </c>
      <c r="AC615" t="s">
        <v>16</v>
      </c>
      <c r="AD615" s="3" t="s">
        <v>168</v>
      </c>
      <c r="AM615" s="1">
        <f t="shared" si="80"/>
        <v>0.29000000000000625</v>
      </c>
    </row>
    <row r="616" spans="1:39" ht="15.75" customHeight="1" x14ac:dyDescent="0.2">
      <c r="A616" s="7" t="str">
        <f t="shared" si="81"/>
        <v>SHENZHEN STRONG TECHNOLOGY CO., LTD.J510New Buy</v>
      </c>
      <c r="B616" s="7" t="str">
        <f t="shared" si="82"/>
        <v>iPadNew Buy</v>
      </c>
      <c r="C616">
        <v>408848</v>
      </c>
      <c r="D616" t="s">
        <v>76</v>
      </c>
      <c r="E616" t="s">
        <v>166</v>
      </c>
      <c r="F616" t="s">
        <v>173</v>
      </c>
      <c r="G616" t="s">
        <v>68</v>
      </c>
      <c r="H616" t="s">
        <v>167</v>
      </c>
      <c r="I616" t="s">
        <v>175</v>
      </c>
      <c r="J616" t="s">
        <v>799</v>
      </c>
      <c r="L616" t="s">
        <v>800</v>
      </c>
      <c r="M616" s="25">
        <v>133</v>
      </c>
      <c r="N616" s="4">
        <v>114</v>
      </c>
      <c r="O616">
        <v>1</v>
      </c>
      <c r="T616" t="s">
        <v>178</v>
      </c>
      <c r="U616" t="s">
        <v>116</v>
      </c>
      <c r="V616" s="25">
        <v>72.2</v>
      </c>
      <c r="W616" s="18">
        <v>114.29</v>
      </c>
      <c r="Y616" s="6">
        <f t="shared" si="83"/>
        <v>133</v>
      </c>
      <c r="Z616" s="6">
        <f t="shared" si="84"/>
        <v>72.2</v>
      </c>
      <c r="AA616" s="6">
        <f t="shared" si="85"/>
        <v>114</v>
      </c>
      <c r="AB616" s="6">
        <f t="shared" si="79"/>
        <v>19</v>
      </c>
      <c r="AC616" t="s">
        <v>33</v>
      </c>
      <c r="AD616" s="3" t="s">
        <v>168</v>
      </c>
      <c r="AM616" s="1">
        <f t="shared" si="80"/>
        <v>0.29000000000000625</v>
      </c>
    </row>
    <row r="617" spans="1:39" ht="15.75" customHeight="1" x14ac:dyDescent="0.2">
      <c r="A617" s="7" t="str">
        <f t="shared" si="81"/>
        <v>SHENZHEN STRONG TECHNOLOGY CO., LTD.J510New Buy</v>
      </c>
      <c r="B617" s="7" t="str">
        <f t="shared" si="82"/>
        <v>iPadNew Buy</v>
      </c>
      <c r="C617">
        <v>408845</v>
      </c>
      <c r="D617" t="s">
        <v>76</v>
      </c>
      <c r="E617" t="s">
        <v>166</v>
      </c>
      <c r="F617" t="s">
        <v>173</v>
      </c>
      <c r="G617" t="s">
        <v>68</v>
      </c>
      <c r="H617" t="s">
        <v>167</v>
      </c>
      <c r="I617" t="s">
        <v>175</v>
      </c>
      <c r="J617" t="s">
        <v>801</v>
      </c>
      <c r="L617" t="s">
        <v>802</v>
      </c>
      <c r="M617" s="25">
        <v>249.5</v>
      </c>
      <c r="N617" s="4">
        <v>249.5</v>
      </c>
      <c r="O617">
        <v>1</v>
      </c>
      <c r="T617" t="s">
        <v>178</v>
      </c>
      <c r="U617" t="s">
        <v>66</v>
      </c>
      <c r="V617" s="25">
        <v>158.08000000000001</v>
      </c>
      <c r="W617" s="18">
        <v>156.13999999999999</v>
      </c>
      <c r="Y617" s="6">
        <f t="shared" si="83"/>
        <v>249.5</v>
      </c>
      <c r="Z617" s="6">
        <f t="shared" si="84"/>
        <v>158.08000000000001</v>
      </c>
      <c r="AA617" s="6">
        <f t="shared" si="85"/>
        <v>249.5</v>
      </c>
      <c r="AB617" s="6">
        <f t="shared" si="79"/>
        <v>0</v>
      </c>
      <c r="AC617" t="s">
        <v>16</v>
      </c>
      <c r="AD617" s="3" t="s">
        <v>168</v>
      </c>
    </row>
    <row r="618" spans="1:39" ht="15.75" customHeight="1" x14ac:dyDescent="0.2">
      <c r="A618" s="7" t="str">
        <f t="shared" si="81"/>
        <v>SHENZHEN STRONG TECHNOLOGY CO., LTD.J510New Buy</v>
      </c>
      <c r="B618" s="7" t="str">
        <f t="shared" si="82"/>
        <v>iPadNew Buy</v>
      </c>
      <c r="C618">
        <v>408844</v>
      </c>
      <c r="D618" t="s">
        <v>76</v>
      </c>
      <c r="E618" t="s">
        <v>166</v>
      </c>
      <c r="F618" t="s">
        <v>173</v>
      </c>
      <c r="G618" t="s">
        <v>68</v>
      </c>
      <c r="H618" t="s">
        <v>167</v>
      </c>
      <c r="I618" t="s">
        <v>175</v>
      </c>
      <c r="J618" t="s">
        <v>801</v>
      </c>
      <c r="L618" t="s">
        <v>802</v>
      </c>
      <c r="M618" s="25">
        <v>291</v>
      </c>
      <c r="N618" s="4">
        <v>249.5</v>
      </c>
      <c r="O618">
        <v>1</v>
      </c>
      <c r="T618" t="s">
        <v>178</v>
      </c>
      <c r="U618" t="s">
        <v>116</v>
      </c>
      <c r="V618" s="25">
        <v>158.08000000000001</v>
      </c>
      <c r="W618" s="18">
        <v>156.13999999999999</v>
      </c>
      <c r="Y618" s="6">
        <f t="shared" si="83"/>
        <v>291</v>
      </c>
      <c r="Z618" s="6">
        <f t="shared" si="84"/>
        <v>158.08000000000001</v>
      </c>
      <c r="AA618" s="6">
        <f t="shared" si="85"/>
        <v>249.5</v>
      </c>
      <c r="AB618" s="6">
        <f t="shared" si="79"/>
        <v>41.5</v>
      </c>
      <c r="AC618" t="s">
        <v>33</v>
      </c>
      <c r="AD618" s="3" t="s">
        <v>168</v>
      </c>
    </row>
    <row r="619" spans="1:39" ht="15.75" customHeight="1" x14ac:dyDescent="0.2">
      <c r="A619" s="7" t="str">
        <f t="shared" si="81"/>
        <v>SHENZHEN STRONG TECHNOLOGY CO., LTD.J510New Buy</v>
      </c>
      <c r="B619" s="7" t="str">
        <f t="shared" si="82"/>
        <v>iPadNew Buy</v>
      </c>
      <c r="C619">
        <v>408843</v>
      </c>
      <c r="D619" t="s">
        <v>76</v>
      </c>
      <c r="E619" t="s">
        <v>166</v>
      </c>
      <c r="F619" t="s">
        <v>173</v>
      </c>
      <c r="G619" t="s">
        <v>68</v>
      </c>
      <c r="H619" t="s">
        <v>167</v>
      </c>
      <c r="I619" t="s">
        <v>175</v>
      </c>
      <c r="J619" t="s">
        <v>803</v>
      </c>
      <c r="L619" t="s">
        <v>804</v>
      </c>
      <c r="M619" s="25">
        <v>249.5</v>
      </c>
      <c r="N619" s="4">
        <v>249.5</v>
      </c>
      <c r="O619" t="s">
        <v>175</v>
      </c>
      <c r="T619" t="s">
        <v>178</v>
      </c>
      <c r="U619" t="s">
        <v>66</v>
      </c>
      <c r="V619" s="25">
        <v>158.08000000000001</v>
      </c>
      <c r="W619" s="18">
        <v>162</v>
      </c>
      <c r="Y619" s="6">
        <f t="shared" si="83"/>
        <v>0</v>
      </c>
      <c r="Z619" s="6">
        <f t="shared" si="84"/>
        <v>0</v>
      </c>
      <c r="AA619" s="6">
        <f t="shared" si="85"/>
        <v>0</v>
      </c>
      <c r="AB619" s="6">
        <f t="shared" si="79"/>
        <v>0</v>
      </c>
      <c r="AC619" t="s">
        <v>16</v>
      </c>
      <c r="AD619" s="3" t="s">
        <v>168</v>
      </c>
    </row>
    <row r="620" spans="1:39" ht="15.75" customHeight="1" x14ac:dyDescent="0.2">
      <c r="A620" s="7" t="str">
        <f t="shared" si="81"/>
        <v>SHENZHEN STRONG TECHNOLOGY CO., LTD.J510New Buy</v>
      </c>
      <c r="B620" s="7" t="str">
        <f t="shared" si="82"/>
        <v>iPadNew Buy</v>
      </c>
      <c r="C620">
        <v>408842</v>
      </c>
      <c r="D620" t="s">
        <v>76</v>
      </c>
      <c r="E620" t="s">
        <v>166</v>
      </c>
      <c r="F620" t="s">
        <v>173</v>
      </c>
      <c r="G620" t="s">
        <v>68</v>
      </c>
      <c r="H620" t="s">
        <v>167</v>
      </c>
      <c r="I620" t="s">
        <v>175</v>
      </c>
      <c r="J620" t="s">
        <v>803</v>
      </c>
      <c r="L620" t="s">
        <v>804</v>
      </c>
      <c r="M620" s="25">
        <v>291</v>
      </c>
      <c r="N620" s="4">
        <v>249.5</v>
      </c>
      <c r="O620" t="s">
        <v>175</v>
      </c>
      <c r="T620" t="s">
        <v>178</v>
      </c>
      <c r="U620" t="s">
        <v>116</v>
      </c>
      <c r="V620" s="25">
        <v>158.08000000000001</v>
      </c>
      <c r="W620" s="18">
        <v>162</v>
      </c>
      <c r="Y620" s="6">
        <f t="shared" si="83"/>
        <v>0</v>
      </c>
      <c r="Z620" s="6">
        <f t="shared" si="84"/>
        <v>0</v>
      </c>
      <c r="AA620" s="6">
        <f t="shared" si="85"/>
        <v>0</v>
      </c>
      <c r="AB620" s="6">
        <f t="shared" si="79"/>
        <v>0</v>
      </c>
      <c r="AC620" t="s">
        <v>33</v>
      </c>
      <c r="AD620" s="3" t="s">
        <v>168</v>
      </c>
    </row>
    <row r="621" spans="1:39" ht="15.75" customHeight="1" x14ac:dyDescent="0.2">
      <c r="A621" s="7" t="str">
        <f t="shared" si="81"/>
        <v>SHENZHEN STRONG TECHNOLOGY CO., LTD.J510New Buy</v>
      </c>
      <c r="B621" s="7" t="str">
        <f t="shared" si="82"/>
        <v>iPadNew Buy</v>
      </c>
      <c r="C621">
        <v>408837</v>
      </c>
      <c r="D621" t="s">
        <v>76</v>
      </c>
      <c r="E621" t="s">
        <v>166</v>
      </c>
      <c r="F621" t="s">
        <v>173</v>
      </c>
      <c r="G621" t="s">
        <v>68</v>
      </c>
      <c r="H621" t="s">
        <v>167</v>
      </c>
      <c r="I621" t="s">
        <v>175</v>
      </c>
      <c r="J621" t="s">
        <v>805</v>
      </c>
      <c r="L621" t="s">
        <v>331</v>
      </c>
      <c r="M621" s="25">
        <v>221</v>
      </c>
      <c r="N621" s="4">
        <v>202.98</v>
      </c>
      <c r="O621" t="s">
        <v>175</v>
      </c>
      <c r="T621" t="s">
        <v>178</v>
      </c>
      <c r="U621" t="s">
        <v>66</v>
      </c>
      <c r="V621" s="25">
        <v>167.96</v>
      </c>
      <c r="W621" s="18">
        <v>100</v>
      </c>
      <c r="Y621" s="6">
        <f t="shared" si="83"/>
        <v>0</v>
      </c>
      <c r="Z621" s="6">
        <f t="shared" si="84"/>
        <v>0</v>
      </c>
      <c r="AA621" s="6">
        <f t="shared" si="85"/>
        <v>0</v>
      </c>
      <c r="AB621" s="6">
        <f t="shared" si="79"/>
        <v>0</v>
      </c>
      <c r="AC621" t="s">
        <v>16</v>
      </c>
      <c r="AD621" s="3" t="s">
        <v>168</v>
      </c>
    </row>
    <row r="622" spans="1:39" ht="15.75" customHeight="1" x14ac:dyDescent="0.2">
      <c r="A622" s="7" t="str">
        <f t="shared" si="81"/>
        <v>SHENZHEN STRONG TECHNOLOGY CO., LTD.J510New Buy</v>
      </c>
      <c r="B622" s="7" t="str">
        <f t="shared" si="82"/>
        <v>iPadNew Buy</v>
      </c>
      <c r="C622">
        <v>408836</v>
      </c>
      <c r="D622" t="s">
        <v>76</v>
      </c>
      <c r="E622" t="s">
        <v>166</v>
      </c>
      <c r="F622" t="s">
        <v>173</v>
      </c>
      <c r="G622" t="s">
        <v>68</v>
      </c>
      <c r="H622" t="s">
        <v>167</v>
      </c>
      <c r="I622" t="s">
        <v>175</v>
      </c>
      <c r="J622" t="s">
        <v>805</v>
      </c>
      <c r="L622" t="s">
        <v>331</v>
      </c>
      <c r="M622" s="25">
        <v>310</v>
      </c>
      <c r="N622" s="4">
        <v>202.98</v>
      </c>
      <c r="O622" t="s">
        <v>175</v>
      </c>
      <c r="T622" t="s">
        <v>178</v>
      </c>
      <c r="U622" t="s">
        <v>116</v>
      </c>
      <c r="V622" s="25">
        <v>167.96</v>
      </c>
      <c r="W622" s="18">
        <v>100</v>
      </c>
      <c r="Y622" s="6">
        <f t="shared" si="83"/>
        <v>0</v>
      </c>
      <c r="Z622" s="6">
        <f t="shared" si="84"/>
        <v>0</v>
      </c>
      <c r="AA622" s="6">
        <f t="shared" si="85"/>
        <v>0</v>
      </c>
      <c r="AB622" s="6">
        <f t="shared" si="79"/>
        <v>0</v>
      </c>
      <c r="AC622" t="s">
        <v>33</v>
      </c>
      <c r="AD622" s="3" t="s">
        <v>168</v>
      </c>
    </row>
    <row r="623" spans="1:39" ht="15.75" customHeight="1" x14ac:dyDescent="0.2">
      <c r="A623" s="7" t="str">
        <f t="shared" si="81"/>
        <v>SHENZHEN STRONG TECHNOLOGY CO., LTD.J510New Buy</v>
      </c>
      <c r="B623" s="7" t="str">
        <f t="shared" si="82"/>
        <v>iPadNew Buy</v>
      </c>
      <c r="C623">
        <v>408829</v>
      </c>
      <c r="D623" t="s">
        <v>76</v>
      </c>
      <c r="E623" t="s">
        <v>166</v>
      </c>
      <c r="F623" t="s">
        <v>173</v>
      </c>
      <c r="G623" t="s">
        <v>68</v>
      </c>
      <c r="H623" t="s">
        <v>167</v>
      </c>
      <c r="I623" t="s">
        <v>175</v>
      </c>
      <c r="J623" t="s">
        <v>806</v>
      </c>
      <c r="L623" t="s">
        <v>333</v>
      </c>
      <c r="M623" s="25">
        <v>221</v>
      </c>
      <c r="N623" s="4">
        <v>202.98</v>
      </c>
      <c r="O623" t="s">
        <v>175</v>
      </c>
      <c r="T623" t="s">
        <v>178</v>
      </c>
      <c r="U623" t="s">
        <v>66</v>
      </c>
      <c r="V623" s="25">
        <v>167.96</v>
      </c>
      <c r="W623" s="18">
        <v>100</v>
      </c>
      <c r="Y623" s="6">
        <f t="shared" si="83"/>
        <v>0</v>
      </c>
      <c r="Z623" s="6">
        <f t="shared" si="84"/>
        <v>0</v>
      </c>
      <c r="AA623" s="6">
        <f t="shared" si="85"/>
        <v>0</v>
      </c>
      <c r="AB623" s="6">
        <f t="shared" si="79"/>
        <v>0</v>
      </c>
      <c r="AC623" t="s">
        <v>16</v>
      </c>
      <c r="AD623" s="3" t="s">
        <v>168</v>
      </c>
    </row>
    <row r="624" spans="1:39" ht="15.75" customHeight="1" x14ac:dyDescent="0.2">
      <c r="A624" s="7" t="str">
        <f t="shared" si="81"/>
        <v>SHENZHEN STRONG TECHNOLOGY CO., LTD.J510New Buy</v>
      </c>
      <c r="B624" s="7" t="str">
        <f t="shared" si="82"/>
        <v>iPadNew Buy</v>
      </c>
      <c r="C624">
        <v>408828</v>
      </c>
      <c r="D624" t="s">
        <v>76</v>
      </c>
      <c r="E624" t="s">
        <v>166</v>
      </c>
      <c r="F624" t="s">
        <v>173</v>
      </c>
      <c r="G624" t="s">
        <v>68</v>
      </c>
      <c r="H624" t="s">
        <v>167</v>
      </c>
      <c r="I624" t="s">
        <v>175</v>
      </c>
      <c r="J624" t="s">
        <v>806</v>
      </c>
      <c r="L624" t="s">
        <v>333</v>
      </c>
      <c r="M624" s="25">
        <v>310</v>
      </c>
      <c r="N624" s="4">
        <v>202.98</v>
      </c>
      <c r="O624" t="s">
        <v>175</v>
      </c>
      <c r="T624" t="s">
        <v>178</v>
      </c>
      <c r="U624" t="s">
        <v>116</v>
      </c>
      <c r="V624" s="25">
        <v>167.96</v>
      </c>
      <c r="W624" s="18">
        <v>100</v>
      </c>
      <c r="Y624" s="6">
        <f t="shared" si="83"/>
        <v>0</v>
      </c>
      <c r="Z624" s="6">
        <f t="shared" si="84"/>
        <v>0</v>
      </c>
      <c r="AA624" s="6">
        <f t="shared" si="85"/>
        <v>0</v>
      </c>
      <c r="AB624" s="6">
        <f t="shared" si="79"/>
        <v>0</v>
      </c>
      <c r="AC624" t="s">
        <v>33</v>
      </c>
      <c r="AD624" s="3" t="s">
        <v>168</v>
      </c>
    </row>
    <row r="625" spans="1:30" ht="15.75" customHeight="1" x14ac:dyDescent="0.2">
      <c r="A625" s="7" t="str">
        <f t="shared" si="81"/>
        <v>SHENZHEN STRONG TECHNOLOGY CO., LTD.J510New Buy</v>
      </c>
      <c r="B625" s="7" t="str">
        <f t="shared" si="82"/>
        <v>iPadNew Buy</v>
      </c>
      <c r="C625">
        <v>408825</v>
      </c>
      <c r="D625" t="s">
        <v>76</v>
      </c>
      <c r="E625" t="s">
        <v>166</v>
      </c>
      <c r="F625" t="s">
        <v>173</v>
      </c>
      <c r="G625" t="s">
        <v>68</v>
      </c>
      <c r="H625" t="s">
        <v>167</v>
      </c>
      <c r="I625" t="s">
        <v>175</v>
      </c>
      <c r="J625" t="s">
        <v>807</v>
      </c>
      <c r="L625" t="s">
        <v>808</v>
      </c>
      <c r="M625" s="25">
        <v>45</v>
      </c>
      <c r="N625" s="4">
        <v>45</v>
      </c>
      <c r="O625">
        <v>2</v>
      </c>
      <c r="T625" t="s">
        <v>178</v>
      </c>
      <c r="U625" t="s">
        <v>66</v>
      </c>
      <c r="V625" s="25">
        <v>34.200000000000003</v>
      </c>
      <c r="W625" s="18" t="s">
        <v>367</v>
      </c>
      <c r="Y625" s="6">
        <f t="shared" si="83"/>
        <v>90</v>
      </c>
      <c r="Z625" s="6">
        <f t="shared" si="84"/>
        <v>68.400000000000006</v>
      </c>
      <c r="AA625" s="6">
        <f t="shared" si="85"/>
        <v>90</v>
      </c>
      <c r="AB625" s="6">
        <f t="shared" si="79"/>
        <v>0</v>
      </c>
      <c r="AC625" t="s">
        <v>16</v>
      </c>
      <c r="AD625" s="3" t="s">
        <v>168</v>
      </c>
    </row>
    <row r="626" spans="1:30" ht="15.75" customHeight="1" x14ac:dyDescent="0.2">
      <c r="A626" s="7" t="str">
        <f t="shared" si="81"/>
        <v>SHENZHEN STRONG TECHNOLOGY CO., LTD.J510New Buy</v>
      </c>
      <c r="B626" s="7" t="str">
        <f t="shared" si="82"/>
        <v>iPadNew Buy</v>
      </c>
      <c r="C626">
        <v>408817</v>
      </c>
      <c r="D626" t="s">
        <v>76</v>
      </c>
      <c r="E626" t="s">
        <v>166</v>
      </c>
      <c r="F626" t="s">
        <v>173</v>
      </c>
      <c r="G626" t="s">
        <v>68</v>
      </c>
      <c r="H626" t="s">
        <v>167</v>
      </c>
      <c r="I626" t="s">
        <v>175</v>
      </c>
      <c r="J626" t="s">
        <v>809</v>
      </c>
      <c r="L626" t="s">
        <v>810</v>
      </c>
      <c r="M626" s="25">
        <v>95</v>
      </c>
      <c r="N626" s="4">
        <v>90</v>
      </c>
      <c r="O626">
        <v>2</v>
      </c>
      <c r="T626" t="s">
        <v>178</v>
      </c>
      <c r="U626" t="s">
        <v>66</v>
      </c>
      <c r="V626" s="25">
        <v>72.2</v>
      </c>
      <c r="W626" s="18" t="s">
        <v>367</v>
      </c>
      <c r="Y626" s="6">
        <f t="shared" si="83"/>
        <v>190</v>
      </c>
      <c r="Z626" s="6">
        <f t="shared" si="84"/>
        <v>144.4</v>
      </c>
      <c r="AA626" s="6">
        <f t="shared" si="85"/>
        <v>180</v>
      </c>
      <c r="AB626" s="6">
        <f t="shared" si="79"/>
        <v>10</v>
      </c>
      <c r="AC626" t="s">
        <v>16</v>
      </c>
      <c r="AD626" s="3" t="s">
        <v>168</v>
      </c>
    </row>
    <row r="627" spans="1:30" ht="15.75" customHeight="1" x14ac:dyDescent="0.2">
      <c r="A627" s="7" t="str">
        <f t="shared" si="81"/>
        <v>SHENZHEN STRONG TECHNOLOGY CO., LTD.J510New Buy</v>
      </c>
      <c r="B627" s="7" t="str">
        <f t="shared" si="82"/>
        <v>iPadNew Buy</v>
      </c>
      <c r="C627">
        <v>408814</v>
      </c>
      <c r="D627" t="s">
        <v>76</v>
      </c>
      <c r="E627" t="s">
        <v>166</v>
      </c>
      <c r="F627" t="s">
        <v>173</v>
      </c>
      <c r="G627" t="s">
        <v>68</v>
      </c>
      <c r="H627" t="s">
        <v>167</v>
      </c>
      <c r="I627" t="s">
        <v>175</v>
      </c>
      <c r="J627" t="s">
        <v>811</v>
      </c>
      <c r="L627" t="s">
        <v>812</v>
      </c>
      <c r="M627" s="25">
        <v>58</v>
      </c>
      <c r="N627" s="4">
        <v>50</v>
      </c>
      <c r="O627">
        <v>1</v>
      </c>
      <c r="T627" t="s">
        <v>178</v>
      </c>
      <c r="U627" t="s">
        <v>66</v>
      </c>
      <c r="V627" s="25">
        <v>44.08</v>
      </c>
      <c r="W627" s="18" t="s">
        <v>367</v>
      </c>
      <c r="Y627" s="6">
        <f t="shared" si="83"/>
        <v>58</v>
      </c>
      <c r="Z627" s="6">
        <f t="shared" si="84"/>
        <v>44.08</v>
      </c>
      <c r="AA627" s="6">
        <f t="shared" si="85"/>
        <v>50</v>
      </c>
      <c r="AB627" s="6">
        <f t="shared" si="79"/>
        <v>8</v>
      </c>
      <c r="AC627" t="s">
        <v>16</v>
      </c>
      <c r="AD627" s="3" t="s">
        <v>168</v>
      </c>
    </row>
    <row r="628" spans="1:30" ht="15.75" customHeight="1" x14ac:dyDescent="0.2">
      <c r="A628" s="7" t="str">
        <f t="shared" si="81"/>
        <v>SHENZHEN STRONG TECHNOLOGY CO., LTD.J510New Buy</v>
      </c>
      <c r="B628" s="7" t="str">
        <f t="shared" si="82"/>
        <v>iPadNew Buy</v>
      </c>
      <c r="C628">
        <v>408813</v>
      </c>
      <c r="D628" t="s">
        <v>76</v>
      </c>
      <c r="E628" t="s">
        <v>166</v>
      </c>
      <c r="F628" t="s">
        <v>173</v>
      </c>
      <c r="G628" t="s">
        <v>68</v>
      </c>
      <c r="H628" t="s">
        <v>167</v>
      </c>
      <c r="I628" t="s">
        <v>175</v>
      </c>
      <c r="J628" t="s">
        <v>813</v>
      </c>
      <c r="L628" t="s">
        <v>814</v>
      </c>
      <c r="M628" s="25">
        <v>1470</v>
      </c>
      <c r="N628" s="4">
        <v>1470</v>
      </c>
      <c r="O628">
        <v>1</v>
      </c>
      <c r="T628" t="s">
        <v>178</v>
      </c>
      <c r="U628" t="s">
        <v>66</v>
      </c>
      <c r="V628" s="25">
        <v>1117.2</v>
      </c>
      <c r="W628" s="18" t="s">
        <v>367</v>
      </c>
      <c r="Y628" s="6">
        <f t="shared" si="83"/>
        <v>1470</v>
      </c>
      <c r="Z628" s="6">
        <f t="shared" si="84"/>
        <v>1117.2</v>
      </c>
      <c r="AA628" s="6">
        <f t="shared" si="85"/>
        <v>1470</v>
      </c>
      <c r="AB628" s="6">
        <f t="shared" si="79"/>
        <v>0</v>
      </c>
      <c r="AC628" t="s">
        <v>16</v>
      </c>
      <c r="AD628" s="3" t="s">
        <v>168</v>
      </c>
    </row>
    <row r="629" spans="1:30" ht="15.75" customHeight="1" x14ac:dyDescent="0.2">
      <c r="A629" s="7" t="str">
        <f t="shared" si="81"/>
        <v>SHENZHEN STRONG TECHNOLOGY CO., LTD.J510New Buy</v>
      </c>
      <c r="B629" s="7" t="str">
        <f t="shared" si="82"/>
        <v>iPadNew Buy</v>
      </c>
      <c r="C629">
        <v>408812</v>
      </c>
      <c r="D629" t="s">
        <v>76</v>
      </c>
      <c r="E629" t="s">
        <v>166</v>
      </c>
      <c r="F629" t="s">
        <v>173</v>
      </c>
      <c r="G629" t="s">
        <v>68</v>
      </c>
      <c r="H629" t="s">
        <v>167</v>
      </c>
      <c r="I629" t="s">
        <v>175</v>
      </c>
      <c r="J629" t="s">
        <v>815</v>
      </c>
      <c r="L629" t="s">
        <v>816</v>
      </c>
      <c r="M629" s="25">
        <v>350</v>
      </c>
      <c r="N629" s="4">
        <v>266</v>
      </c>
      <c r="O629">
        <v>52</v>
      </c>
      <c r="T629" t="s">
        <v>178</v>
      </c>
      <c r="U629" t="s">
        <v>66</v>
      </c>
      <c r="V629" s="25">
        <v>266</v>
      </c>
      <c r="W629" s="18" t="s">
        <v>367</v>
      </c>
      <c r="Y629" s="6">
        <f t="shared" si="83"/>
        <v>18200</v>
      </c>
      <c r="Z629" s="6">
        <f t="shared" si="84"/>
        <v>13832</v>
      </c>
      <c r="AA629" s="6">
        <f t="shared" si="85"/>
        <v>13832</v>
      </c>
      <c r="AB629" s="6">
        <f t="shared" si="79"/>
        <v>4368</v>
      </c>
      <c r="AC629" t="s">
        <v>16</v>
      </c>
      <c r="AD629" s="3" t="s">
        <v>168</v>
      </c>
    </row>
    <row r="630" spans="1:30" ht="15.75" customHeight="1" x14ac:dyDescent="0.2">
      <c r="A630" s="7" t="str">
        <f t="shared" si="81"/>
        <v>SHENZHEN STRONG TECHNOLOGY CO., LTD.J510New Buy</v>
      </c>
      <c r="B630" s="7" t="str">
        <f t="shared" si="82"/>
        <v>iPadNew Buy</v>
      </c>
      <c r="C630">
        <v>408804</v>
      </c>
      <c r="D630" t="s">
        <v>76</v>
      </c>
      <c r="E630" t="s">
        <v>166</v>
      </c>
      <c r="F630" t="s">
        <v>173</v>
      </c>
      <c r="G630" t="s">
        <v>68</v>
      </c>
      <c r="H630" t="s">
        <v>167</v>
      </c>
      <c r="I630" t="s">
        <v>175</v>
      </c>
      <c r="J630" t="s">
        <v>817</v>
      </c>
      <c r="L630" t="s">
        <v>818</v>
      </c>
      <c r="M630" s="25">
        <v>2080</v>
      </c>
      <c r="N630" s="4">
        <v>2080</v>
      </c>
      <c r="O630">
        <v>52</v>
      </c>
      <c r="T630" t="s">
        <v>178</v>
      </c>
      <c r="U630" t="s">
        <v>66</v>
      </c>
      <c r="V630" s="25">
        <v>1580.8</v>
      </c>
      <c r="W630" s="18" t="s">
        <v>367</v>
      </c>
      <c r="Y630" s="6">
        <f t="shared" si="83"/>
        <v>108160</v>
      </c>
      <c r="Z630" s="6">
        <f t="shared" si="84"/>
        <v>82201.599999999991</v>
      </c>
      <c r="AA630" s="6">
        <f t="shared" si="85"/>
        <v>108160</v>
      </c>
      <c r="AB630" s="6">
        <f t="shared" si="79"/>
        <v>0</v>
      </c>
      <c r="AC630" t="s">
        <v>16</v>
      </c>
      <c r="AD630" s="3" t="s">
        <v>168</v>
      </c>
    </row>
    <row r="631" spans="1:30" ht="15.75" customHeight="1" x14ac:dyDescent="0.2">
      <c r="A631" s="7" t="str">
        <f t="shared" si="81"/>
        <v>SHENZHEN STRONG TECHNOLOGY CO., LTD.J510New Buy</v>
      </c>
      <c r="B631" s="7" t="str">
        <f t="shared" si="82"/>
        <v>iPadNew Buy</v>
      </c>
      <c r="C631">
        <v>408783</v>
      </c>
      <c r="D631" t="s">
        <v>76</v>
      </c>
      <c r="E631" t="s">
        <v>166</v>
      </c>
      <c r="F631" t="s">
        <v>173</v>
      </c>
      <c r="G631" t="s">
        <v>68</v>
      </c>
      <c r="H631" t="s">
        <v>167</v>
      </c>
      <c r="I631" t="s">
        <v>175</v>
      </c>
      <c r="J631" t="s">
        <v>819</v>
      </c>
      <c r="L631" t="s">
        <v>820</v>
      </c>
      <c r="M631" s="25">
        <v>450</v>
      </c>
      <c r="N631" s="4">
        <v>430</v>
      </c>
      <c r="O631">
        <v>52</v>
      </c>
      <c r="T631" t="s">
        <v>178</v>
      </c>
      <c r="U631" t="s">
        <v>66</v>
      </c>
      <c r="V631" s="25">
        <v>342</v>
      </c>
      <c r="W631" s="18" t="s">
        <v>367</v>
      </c>
      <c r="Y631" s="6">
        <f t="shared" si="83"/>
        <v>23400</v>
      </c>
      <c r="Z631" s="6">
        <f t="shared" si="84"/>
        <v>17784</v>
      </c>
      <c r="AA631" s="6">
        <f t="shared" si="85"/>
        <v>22360</v>
      </c>
      <c r="AB631" s="6">
        <f t="shared" si="79"/>
        <v>1040</v>
      </c>
      <c r="AC631" t="s">
        <v>16</v>
      </c>
      <c r="AD631" s="3" t="s">
        <v>168</v>
      </c>
    </row>
    <row r="632" spans="1:30" ht="15.75" customHeight="1" x14ac:dyDescent="0.2">
      <c r="A632" s="7" t="str">
        <f t="shared" si="81"/>
        <v>SHENZHEN STRONG TECHNOLOGY CO., LTD.J510New Buy</v>
      </c>
      <c r="B632" s="7" t="str">
        <f t="shared" si="82"/>
        <v>iPadNew Buy</v>
      </c>
      <c r="C632">
        <v>408782</v>
      </c>
      <c r="D632" t="s">
        <v>76</v>
      </c>
      <c r="E632" t="s">
        <v>166</v>
      </c>
      <c r="F632" t="s">
        <v>173</v>
      </c>
      <c r="G632" t="s">
        <v>68</v>
      </c>
      <c r="H632" t="s">
        <v>167</v>
      </c>
      <c r="I632" t="s">
        <v>175</v>
      </c>
      <c r="J632" t="s">
        <v>821</v>
      </c>
      <c r="L632" t="s">
        <v>822</v>
      </c>
      <c r="M632" s="25">
        <v>60</v>
      </c>
      <c r="N632" s="4">
        <v>60</v>
      </c>
      <c r="O632">
        <v>1</v>
      </c>
      <c r="T632" t="s">
        <v>178</v>
      </c>
      <c r="U632" t="s">
        <v>66</v>
      </c>
      <c r="V632" s="25">
        <v>45.6</v>
      </c>
      <c r="W632" s="18" t="s">
        <v>367</v>
      </c>
      <c r="Y632" s="6">
        <f t="shared" si="83"/>
        <v>60</v>
      </c>
      <c r="Z632" s="6">
        <f t="shared" si="84"/>
        <v>45.6</v>
      </c>
      <c r="AA632" s="6">
        <f t="shared" si="85"/>
        <v>60</v>
      </c>
      <c r="AB632" s="6">
        <f t="shared" si="79"/>
        <v>0</v>
      </c>
      <c r="AC632" t="s">
        <v>16</v>
      </c>
      <c r="AD632" s="3" t="s">
        <v>168</v>
      </c>
    </row>
    <row r="633" spans="1:30" ht="15.75" customHeight="1" x14ac:dyDescent="0.2">
      <c r="A633" s="7" t="str">
        <f t="shared" si="81"/>
        <v>SHENZHEN STRONG TECHNOLOGY CO., LTD.J510New Buy</v>
      </c>
      <c r="B633" s="7" t="str">
        <f t="shared" si="82"/>
        <v>iPadNew Buy</v>
      </c>
      <c r="C633">
        <v>408781</v>
      </c>
      <c r="D633" t="s">
        <v>76</v>
      </c>
      <c r="E633" t="s">
        <v>166</v>
      </c>
      <c r="F633" t="s">
        <v>173</v>
      </c>
      <c r="G633" t="s">
        <v>68</v>
      </c>
      <c r="H633" t="s">
        <v>167</v>
      </c>
      <c r="I633" t="s">
        <v>175</v>
      </c>
      <c r="J633" t="s">
        <v>823</v>
      </c>
      <c r="L633" t="s">
        <v>824</v>
      </c>
      <c r="M633" s="25">
        <v>360</v>
      </c>
      <c r="N633" s="4">
        <v>360</v>
      </c>
      <c r="O633">
        <v>2</v>
      </c>
      <c r="T633" t="s">
        <v>178</v>
      </c>
      <c r="U633" t="s">
        <v>66</v>
      </c>
      <c r="V633" s="25">
        <v>273.60000000000002</v>
      </c>
      <c r="W633" s="18" t="s">
        <v>367</v>
      </c>
      <c r="Y633" s="6">
        <f t="shared" si="83"/>
        <v>720</v>
      </c>
      <c r="Z633" s="6">
        <f t="shared" si="84"/>
        <v>547.20000000000005</v>
      </c>
      <c r="AA633" s="6">
        <f t="shared" si="85"/>
        <v>720</v>
      </c>
      <c r="AB633" s="6">
        <f t="shared" si="79"/>
        <v>0</v>
      </c>
      <c r="AC633" t="s">
        <v>16</v>
      </c>
      <c r="AD633" s="3" t="s">
        <v>168</v>
      </c>
    </row>
    <row r="634" spans="1:30" ht="15.75" customHeight="1" x14ac:dyDescent="0.2">
      <c r="A634" s="7" t="str">
        <f t="shared" si="81"/>
        <v>SHENZHEN STRONG TECHNOLOGY CO., LTD.J510New Buy</v>
      </c>
      <c r="B634" s="7" t="str">
        <f t="shared" si="82"/>
        <v>iPadNew Buy</v>
      </c>
      <c r="C634">
        <v>408780</v>
      </c>
      <c r="D634" t="s">
        <v>76</v>
      </c>
      <c r="E634" t="s">
        <v>166</v>
      </c>
      <c r="F634" t="s">
        <v>173</v>
      </c>
      <c r="G634" t="s">
        <v>68</v>
      </c>
      <c r="H634" t="s">
        <v>167</v>
      </c>
      <c r="I634" t="s">
        <v>175</v>
      </c>
      <c r="J634" t="s">
        <v>825</v>
      </c>
      <c r="L634" t="s">
        <v>826</v>
      </c>
      <c r="M634" s="25">
        <v>940</v>
      </c>
      <c r="N634" s="4">
        <v>940</v>
      </c>
      <c r="O634">
        <v>1</v>
      </c>
      <c r="T634" t="s">
        <v>178</v>
      </c>
      <c r="U634" t="s">
        <v>66</v>
      </c>
      <c r="V634" s="25">
        <v>714.4</v>
      </c>
      <c r="W634" s="18" t="s">
        <v>367</v>
      </c>
      <c r="Y634" s="6">
        <f t="shared" si="83"/>
        <v>940</v>
      </c>
      <c r="Z634" s="6">
        <f t="shared" si="84"/>
        <v>714.4</v>
      </c>
      <c r="AA634" s="6">
        <f t="shared" si="85"/>
        <v>940</v>
      </c>
      <c r="AB634" s="6">
        <f t="shared" si="79"/>
        <v>0</v>
      </c>
      <c r="AC634" t="s">
        <v>16</v>
      </c>
      <c r="AD634" s="3" t="s">
        <v>168</v>
      </c>
    </row>
    <row r="635" spans="1:30" ht="15.75" customHeight="1" x14ac:dyDescent="0.2">
      <c r="A635" s="7" t="str">
        <f t="shared" si="81"/>
        <v>SHENZHEN STRONG TECHNOLOGY CO., LTD.J510New Buy</v>
      </c>
      <c r="B635" s="7" t="str">
        <f t="shared" si="82"/>
        <v>iPadNew Buy</v>
      </c>
      <c r="C635">
        <v>408778</v>
      </c>
      <c r="D635" t="s">
        <v>76</v>
      </c>
      <c r="E635" t="s">
        <v>166</v>
      </c>
      <c r="F635" t="s">
        <v>173</v>
      </c>
      <c r="G635" t="s">
        <v>68</v>
      </c>
      <c r="H635" t="s">
        <v>167</v>
      </c>
      <c r="I635" t="s">
        <v>175</v>
      </c>
      <c r="J635" t="s">
        <v>827</v>
      </c>
      <c r="L635" t="s">
        <v>828</v>
      </c>
      <c r="M635" s="25">
        <v>2080</v>
      </c>
      <c r="N635" s="4">
        <v>2080</v>
      </c>
      <c r="O635">
        <v>2</v>
      </c>
      <c r="T635" t="s">
        <v>178</v>
      </c>
      <c r="U635" t="s">
        <v>66</v>
      </c>
      <c r="V635" s="25">
        <v>1580.8</v>
      </c>
      <c r="W635" s="18" t="s">
        <v>367</v>
      </c>
      <c r="Y635" s="6">
        <f t="shared" si="83"/>
        <v>4160</v>
      </c>
      <c r="Z635" s="6">
        <f t="shared" si="84"/>
        <v>3161.6</v>
      </c>
      <c r="AA635" s="6">
        <f t="shared" si="85"/>
        <v>4160</v>
      </c>
      <c r="AB635" s="6">
        <f t="shared" si="79"/>
        <v>0</v>
      </c>
      <c r="AC635" t="s">
        <v>16</v>
      </c>
      <c r="AD635" s="3" t="s">
        <v>168</v>
      </c>
    </row>
    <row r="636" spans="1:30" ht="15.75" customHeight="1" x14ac:dyDescent="0.2">
      <c r="A636" s="7" t="str">
        <f t="shared" si="81"/>
        <v>SHENZHEN STRONG TECHNOLOGY CO., LTD.J510New Buy</v>
      </c>
      <c r="B636" s="7" t="str">
        <f t="shared" si="82"/>
        <v>iPadNew Buy</v>
      </c>
      <c r="C636">
        <v>408777</v>
      </c>
      <c r="D636" t="s">
        <v>76</v>
      </c>
      <c r="E636" t="s">
        <v>166</v>
      </c>
      <c r="F636" t="s">
        <v>173</v>
      </c>
      <c r="G636" t="s">
        <v>68</v>
      </c>
      <c r="H636" t="s">
        <v>167</v>
      </c>
      <c r="I636" t="s">
        <v>175</v>
      </c>
      <c r="J636" t="s">
        <v>829</v>
      </c>
      <c r="L636" t="s">
        <v>830</v>
      </c>
      <c r="M636" s="25">
        <v>2080</v>
      </c>
      <c r="N636" s="4">
        <v>2080</v>
      </c>
      <c r="O636">
        <v>1</v>
      </c>
      <c r="T636" t="s">
        <v>178</v>
      </c>
      <c r="U636" t="s">
        <v>66</v>
      </c>
      <c r="V636" s="25">
        <v>1580.8</v>
      </c>
      <c r="W636" s="18" t="s">
        <v>367</v>
      </c>
      <c r="Y636" s="6">
        <f t="shared" si="83"/>
        <v>2080</v>
      </c>
      <c r="Z636" s="6">
        <f t="shared" si="84"/>
        <v>1580.8</v>
      </c>
      <c r="AA636" s="6">
        <f t="shared" si="85"/>
        <v>2080</v>
      </c>
      <c r="AB636" s="6">
        <f t="shared" si="79"/>
        <v>0</v>
      </c>
      <c r="AC636" t="s">
        <v>16</v>
      </c>
      <c r="AD636" s="3" t="s">
        <v>168</v>
      </c>
    </row>
    <row r="637" spans="1:30" ht="15.75" customHeight="1" x14ac:dyDescent="0.2">
      <c r="A637" s="7" t="str">
        <f t="shared" si="81"/>
        <v>SHENZHEN STRONG TECHNOLOGY CO., LTD.J510New Buy</v>
      </c>
      <c r="B637" s="7" t="str">
        <f t="shared" si="82"/>
        <v>iPadNew Buy</v>
      </c>
      <c r="C637">
        <v>408776</v>
      </c>
      <c r="D637" t="s">
        <v>76</v>
      </c>
      <c r="E637" t="s">
        <v>166</v>
      </c>
      <c r="F637" t="s">
        <v>173</v>
      </c>
      <c r="G637" t="s">
        <v>68</v>
      </c>
      <c r="H637" t="s">
        <v>167</v>
      </c>
      <c r="I637" t="s">
        <v>175</v>
      </c>
      <c r="J637" t="s">
        <v>831</v>
      </c>
      <c r="L637" t="s">
        <v>832</v>
      </c>
      <c r="M637" s="25">
        <v>360</v>
      </c>
      <c r="N637" s="4">
        <v>360</v>
      </c>
      <c r="O637">
        <v>1</v>
      </c>
      <c r="T637" t="s">
        <v>178</v>
      </c>
      <c r="U637" t="s">
        <v>66</v>
      </c>
      <c r="V637" s="25">
        <v>273.60000000000002</v>
      </c>
      <c r="W637" s="18" t="s">
        <v>367</v>
      </c>
      <c r="Y637" s="6">
        <f t="shared" si="83"/>
        <v>360</v>
      </c>
      <c r="Z637" s="6">
        <f t="shared" si="84"/>
        <v>273.60000000000002</v>
      </c>
      <c r="AA637" s="6">
        <f t="shared" si="85"/>
        <v>360</v>
      </c>
      <c r="AB637" s="6">
        <f t="shared" si="79"/>
        <v>0</v>
      </c>
      <c r="AC637" t="s">
        <v>16</v>
      </c>
      <c r="AD637" s="3" t="s">
        <v>168</v>
      </c>
    </row>
    <row r="638" spans="1:30" ht="15.75" customHeight="1" x14ac:dyDescent="0.2">
      <c r="A638" s="7" t="str">
        <f t="shared" si="81"/>
        <v>SHENZHEN STRONG TECHNOLOGY CO., LTD.J510New Buy</v>
      </c>
      <c r="B638" s="7" t="str">
        <f t="shared" si="82"/>
        <v>iPadNew Buy</v>
      </c>
      <c r="C638">
        <v>408775</v>
      </c>
      <c r="D638" t="s">
        <v>76</v>
      </c>
      <c r="E638" t="s">
        <v>166</v>
      </c>
      <c r="F638" t="s">
        <v>173</v>
      </c>
      <c r="G638" t="s">
        <v>68</v>
      </c>
      <c r="H638" t="s">
        <v>167</v>
      </c>
      <c r="I638" t="s">
        <v>175</v>
      </c>
      <c r="J638" t="s">
        <v>833</v>
      </c>
      <c r="L638" t="s">
        <v>834</v>
      </c>
      <c r="M638" s="25">
        <v>60</v>
      </c>
      <c r="N638" s="4">
        <v>60</v>
      </c>
      <c r="O638">
        <v>1</v>
      </c>
      <c r="T638" t="s">
        <v>178</v>
      </c>
      <c r="U638" t="s">
        <v>66</v>
      </c>
      <c r="V638" s="25">
        <v>45.6</v>
      </c>
      <c r="W638" s="18" t="s">
        <v>367</v>
      </c>
      <c r="Y638" s="6">
        <f t="shared" si="83"/>
        <v>60</v>
      </c>
      <c r="Z638" s="6">
        <f t="shared" si="84"/>
        <v>45.6</v>
      </c>
      <c r="AA638" s="6">
        <f t="shared" si="85"/>
        <v>60</v>
      </c>
      <c r="AB638" s="6">
        <f t="shared" si="79"/>
        <v>0</v>
      </c>
      <c r="AC638" t="s">
        <v>16</v>
      </c>
      <c r="AD638" s="3" t="s">
        <v>168</v>
      </c>
    </row>
    <row r="639" spans="1:30" ht="15.75" customHeight="1" x14ac:dyDescent="0.2">
      <c r="A639" s="7" t="str">
        <f t="shared" si="81"/>
        <v>SHENZHEN STRONG TECHNOLOGY CO., LTD.J510New Buy</v>
      </c>
      <c r="B639" s="7" t="str">
        <f t="shared" si="82"/>
        <v>iPadNew Buy</v>
      </c>
      <c r="C639">
        <v>408774</v>
      </c>
      <c r="D639" t="s">
        <v>76</v>
      </c>
      <c r="E639" t="s">
        <v>166</v>
      </c>
      <c r="F639" t="s">
        <v>173</v>
      </c>
      <c r="G639" t="s">
        <v>68</v>
      </c>
      <c r="H639" t="s">
        <v>167</v>
      </c>
      <c r="I639" t="s">
        <v>175</v>
      </c>
      <c r="J639" t="s">
        <v>835</v>
      </c>
      <c r="L639" t="s">
        <v>836</v>
      </c>
      <c r="M639" s="25">
        <v>620</v>
      </c>
      <c r="N639" s="4">
        <v>620</v>
      </c>
      <c r="O639">
        <v>1</v>
      </c>
      <c r="T639" t="s">
        <v>178</v>
      </c>
      <c r="U639" t="s">
        <v>66</v>
      </c>
      <c r="V639" s="25">
        <v>471.2</v>
      </c>
      <c r="W639" s="18" t="s">
        <v>367</v>
      </c>
      <c r="Y639" s="6">
        <f t="shared" si="83"/>
        <v>620</v>
      </c>
      <c r="Z639" s="6">
        <f t="shared" si="84"/>
        <v>471.2</v>
      </c>
      <c r="AA639" s="6">
        <f t="shared" si="85"/>
        <v>620</v>
      </c>
      <c r="AB639" s="6">
        <f t="shared" si="79"/>
        <v>0</v>
      </c>
      <c r="AC639" t="s">
        <v>16</v>
      </c>
      <c r="AD639" s="3" t="s">
        <v>168</v>
      </c>
    </row>
    <row r="640" spans="1:30" ht="15.75" customHeight="1" x14ac:dyDescent="0.2">
      <c r="A640" s="7" t="str">
        <f t="shared" si="81"/>
        <v>SHENZHEN STRONG TECHNOLOGY CO., LTD.J510New Buy</v>
      </c>
      <c r="B640" s="7" t="str">
        <f t="shared" si="82"/>
        <v>iPadNew Buy</v>
      </c>
      <c r="C640">
        <v>408770</v>
      </c>
      <c r="D640" t="s">
        <v>76</v>
      </c>
      <c r="E640" t="s">
        <v>166</v>
      </c>
      <c r="F640" t="s">
        <v>173</v>
      </c>
      <c r="G640" t="s">
        <v>68</v>
      </c>
      <c r="H640" t="s">
        <v>167</v>
      </c>
      <c r="I640" t="s">
        <v>175</v>
      </c>
      <c r="J640" t="s">
        <v>837</v>
      </c>
      <c r="L640" t="s">
        <v>838</v>
      </c>
      <c r="M640" s="25">
        <v>1490</v>
      </c>
      <c r="N640" s="4">
        <v>1490</v>
      </c>
      <c r="O640">
        <v>1</v>
      </c>
      <c r="T640" t="s">
        <v>178</v>
      </c>
      <c r="U640" t="s">
        <v>66</v>
      </c>
      <c r="V640" s="25">
        <v>1132.4000000000001</v>
      </c>
      <c r="W640" s="18" t="s">
        <v>367</v>
      </c>
      <c r="Y640" s="6">
        <f t="shared" si="83"/>
        <v>1490</v>
      </c>
      <c r="Z640" s="6">
        <f t="shared" si="84"/>
        <v>1132.4000000000001</v>
      </c>
      <c r="AA640" s="6">
        <f t="shared" si="85"/>
        <v>1490</v>
      </c>
      <c r="AB640" s="6">
        <f t="shared" si="79"/>
        <v>0</v>
      </c>
      <c r="AC640" t="s">
        <v>16</v>
      </c>
      <c r="AD640" s="3" t="s">
        <v>168</v>
      </c>
    </row>
    <row r="641" spans="1:30" ht="15.75" customHeight="1" x14ac:dyDescent="0.2">
      <c r="A641" s="7" t="str">
        <f t="shared" si="81"/>
        <v>SHENZHEN STRONG TECHNOLOGY CO., LTD.J510New Buy</v>
      </c>
      <c r="B641" s="7" t="str">
        <f t="shared" si="82"/>
        <v>iPadNew Buy</v>
      </c>
      <c r="C641">
        <v>408769</v>
      </c>
      <c r="D641" t="s">
        <v>76</v>
      </c>
      <c r="E641" t="s">
        <v>166</v>
      </c>
      <c r="F641" t="s">
        <v>173</v>
      </c>
      <c r="G641" t="s">
        <v>68</v>
      </c>
      <c r="H641" t="s">
        <v>167</v>
      </c>
      <c r="I641" t="s">
        <v>175</v>
      </c>
      <c r="J641" t="s">
        <v>839</v>
      </c>
      <c r="L641" t="s">
        <v>840</v>
      </c>
      <c r="M641" s="25">
        <v>510</v>
      </c>
      <c r="N641" s="4">
        <v>510</v>
      </c>
      <c r="O641">
        <v>2</v>
      </c>
      <c r="T641" t="s">
        <v>178</v>
      </c>
      <c r="U641" t="s">
        <v>66</v>
      </c>
      <c r="V641" s="25">
        <v>387.6</v>
      </c>
      <c r="W641" s="18" t="s">
        <v>367</v>
      </c>
      <c r="Y641" s="6">
        <f t="shared" si="83"/>
        <v>1020</v>
      </c>
      <c r="Z641" s="6">
        <f t="shared" si="84"/>
        <v>775.2</v>
      </c>
      <c r="AA641" s="6">
        <f t="shared" si="85"/>
        <v>1020</v>
      </c>
      <c r="AB641" s="6">
        <f t="shared" si="79"/>
        <v>0</v>
      </c>
      <c r="AC641" t="s">
        <v>16</v>
      </c>
      <c r="AD641" s="3" t="s">
        <v>168</v>
      </c>
    </row>
    <row r="642" spans="1:30" ht="15.75" customHeight="1" x14ac:dyDescent="0.2">
      <c r="A642" s="7" t="str">
        <f t="shared" si="81"/>
        <v>SHENZHEN STRONG TECHNOLOGY CO., LTD.J510New Buy</v>
      </c>
      <c r="B642" s="7" t="str">
        <f t="shared" si="82"/>
        <v>iPadNew Buy</v>
      </c>
      <c r="C642">
        <v>408768</v>
      </c>
      <c r="D642" t="s">
        <v>76</v>
      </c>
      <c r="E642" t="s">
        <v>166</v>
      </c>
      <c r="F642" t="s">
        <v>173</v>
      </c>
      <c r="G642" t="s">
        <v>68</v>
      </c>
      <c r="H642" t="s">
        <v>167</v>
      </c>
      <c r="I642" t="s">
        <v>175</v>
      </c>
      <c r="J642" t="s">
        <v>841</v>
      </c>
      <c r="L642" t="s">
        <v>842</v>
      </c>
      <c r="M642" s="25">
        <v>1650</v>
      </c>
      <c r="N642" s="4">
        <v>1650</v>
      </c>
      <c r="O642">
        <v>1</v>
      </c>
      <c r="T642" t="s">
        <v>178</v>
      </c>
      <c r="U642" t="s">
        <v>66</v>
      </c>
      <c r="V642" s="25">
        <v>1254</v>
      </c>
      <c r="W642" s="18" t="s">
        <v>367</v>
      </c>
      <c r="Y642" s="6">
        <f t="shared" si="83"/>
        <v>1650</v>
      </c>
      <c r="Z642" s="6">
        <f t="shared" si="84"/>
        <v>1254</v>
      </c>
      <c r="AA642" s="6">
        <f t="shared" si="85"/>
        <v>1650</v>
      </c>
      <c r="AB642" s="6">
        <f t="shared" si="79"/>
        <v>0</v>
      </c>
      <c r="AC642" t="s">
        <v>16</v>
      </c>
      <c r="AD642" s="3" t="s">
        <v>168</v>
      </c>
    </row>
    <row r="643" spans="1:30" ht="15.75" customHeight="1" x14ac:dyDescent="0.2">
      <c r="A643" s="7" t="str">
        <f t="shared" si="81"/>
        <v>SHENZHEN STRONG TECHNOLOGY CO., LTD.J510New Buy</v>
      </c>
      <c r="B643" s="7" t="str">
        <f t="shared" si="82"/>
        <v>iPadNew Buy</v>
      </c>
      <c r="C643">
        <v>408762</v>
      </c>
      <c r="D643" t="s">
        <v>76</v>
      </c>
      <c r="E643" t="s">
        <v>166</v>
      </c>
      <c r="F643" t="s">
        <v>173</v>
      </c>
      <c r="G643" t="s">
        <v>68</v>
      </c>
      <c r="H643" t="s">
        <v>167</v>
      </c>
      <c r="I643" t="s">
        <v>175</v>
      </c>
      <c r="J643" t="s">
        <v>843</v>
      </c>
      <c r="L643" t="s">
        <v>844</v>
      </c>
      <c r="M643" s="25">
        <v>1250</v>
      </c>
      <c r="N643" s="4">
        <v>1250</v>
      </c>
      <c r="O643">
        <v>1</v>
      </c>
      <c r="T643" t="s">
        <v>178</v>
      </c>
      <c r="U643" t="s">
        <v>66</v>
      </c>
      <c r="V643" s="25">
        <v>950</v>
      </c>
      <c r="W643" s="18" t="s">
        <v>367</v>
      </c>
      <c r="Y643" s="6">
        <f t="shared" si="83"/>
        <v>1250</v>
      </c>
      <c r="Z643" s="6">
        <f t="shared" si="84"/>
        <v>950</v>
      </c>
      <c r="AA643" s="6">
        <f t="shared" si="85"/>
        <v>1250</v>
      </c>
      <c r="AB643" s="6">
        <f t="shared" si="79"/>
        <v>0</v>
      </c>
      <c r="AC643" t="s">
        <v>16</v>
      </c>
      <c r="AD643" s="3" t="s">
        <v>168</v>
      </c>
    </row>
    <row r="644" spans="1:30" ht="15.75" customHeight="1" x14ac:dyDescent="0.2">
      <c r="A644" s="7" t="str">
        <f t="shared" si="81"/>
        <v>SHENZHEN STRONG TECHNOLOGY CO., LTD.J510New Buy</v>
      </c>
      <c r="B644" s="7" t="str">
        <f t="shared" si="82"/>
        <v>iPadNew Buy</v>
      </c>
      <c r="C644">
        <v>408761</v>
      </c>
      <c r="D644" t="s">
        <v>76</v>
      </c>
      <c r="E644" t="s">
        <v>166</v>
      </c>
      <c r="F644" t="s">
        <v>173</v>
      </c>
      <c r="G644" t="s">
        <v>68</v>
      </c>
      <c r="H644" t="s">
        <v>167</v>
      </c>
      <c r="I644" t="s">
        <v>175</v>
      </c>
      <c r="J644" t="s">
        <v>845</v>
      </c>
      <c r="L644" t="s">
        <v>846</v>
      </c>
      <c r="M644" s="25">
        <v>1250</v>
      </c>
      <c r="N644" s="4">
        <v>1250</v>
      </c>
      <c r="O644">
        <v>1</v>
      </c>
      <c r="T644" t="s">
        <v>178</v>
      </c>
      <c r="U644" t="s">
        <v>66</v>
      </c>
      <c r="V644" s="25">
        <v>950</v>
      </c>
      <c r="W644" s="18" t="s">
        <v>367</v>
      </c>
      <c r="Y644" s="6">
        <f t="shared" si="83"/>
        <v>1250</v>
      </c>
      <c r="Z644" s="6">
        <f t="shared" si="84"/>
        <v>950</v>
      </c>
      <c r="AA644" s="6">
        <f t="shared" si="85"/>
        <v>1250</v>
      </c>
      <c r="AB644" s="6">
        <f t="shared" si="79"/>
        <v>0</v>
      </c>
      <c r="AC644" t="s">
        <v>16</v>
      </c>
      <c r="AD644" s="3" t="s">
        <v>168</v>
      </c>
    </row>
    <row r="645" spans="1:30" ht="15.75" customHeight="1" x14ac:dyDescent="0.2">
      <c r="A645" s="7" t="str">
        <f t="shared" si="81"/>
        <v>SHENZHEN STRONG TECHNOLOGY CO., LTD.J510New Buy</v>
      </c>
      <c r="B645" s="7" t="str">
        <f t="shared" si="82"/>
        <v>iPadNew Buy</v>
      </c>
      <c r="C645">
        <v>408760</v>
      </c>
      <c r="D645" t="s">
        <v>76</v>
      </c>
      <c r="E645" t="s">
        <v>166</v>
      </c>
      <c r="F645" t="s">
        <v>173</v>
      </c>
      <c r="G645" t="s">
        <v>68</v>
      </c>
      <c r="H645" t="s">
        <v>167</v>
      </c>
      <c r="I645" t="s">
        <v>175</v>
      </c>
      <c r="J645" t="s">
        <v>847</v>
      </c>
      <c r="L645" t="s">
        <v>848</v>
      </c>
      <c r="M645" s="25">
        <v>690</v>
      </c>
      <c r="N645" s="4">
        <v>690</v>
      </c>
      <c r="O645">
        <v>1</v>
      </c>
      <c r="T645" t="s">
        <v>178</v>
      </c>
      <c r="U645" t="s">
        <v>66</v>
      </c>
      <c r="V645" s="25">
        <v>524.4</v>
      </c>
      <c r="W645" s="18" t="s">
        <v>367</v>
      </c>
      <c r="Y645" s="6">
        <f t="shared" si="83"/>
        <v>690</v>
      </c>
      <c r="Z645" s="6">
        <f t="shared" si="84"/>
        <v>524.4</v>
      </c>
      <c r="AA645" s="6">
        <f t="shared" si="85"/>
        <v>690</v>
      </c>
      <c r="AB645" s="6">
        <f t="shared" si="79"/>
        <v>0</v>
      </c>
      <c r="AC645" t="s">
        <v>16</v>
      </c>
      <c r="AD645" s="3" t="s">
        <v>168</v>
      </c>
    </row>
    <row r="646" spans="1:30" ht="15.75" customHeight="1" x14ac:dyDescent="0.2">
      <c r="A646" s="7" t="str">
        <f t="shared" si="81"/>
        <v>SHENZHEN STRONG TECHNOLOGY CO., LTD.J510New Buy</v>
      </c>
      <c r="B646" s="7" t="str">
        <f t="shared" si="82"/>
        <v>iPadNew Buy</v>
      </c>
      <c r="C646">
        <v>408759</v>
      </c>
      <c r="D646" t="s">
        <v>76</v>
      </c>
      <c r="E646" t="s">
        <v>166</v>
      </c>
      <c r="F646" t="s">
        <v>173</v>
      </c>
      <c r="G646" t="s">
        <v>68</v>
      </c>
      <c r="H646" t="s">
        <v>167</v>
      </c>
      <c r="I646" t="s">
        <v>175</v>
      </c>
      <c r="J646" t="s">
        <v>849</v>
      </c>
      <c r="L646" t="s">
        <v>850</v>
      </c>
      <c r="M646" s="25">
        <v>690</v>
      </c>
      <c r="N646" s="4">
        <v>690</v>
      </c>
      <c r="O646">
        <v>1</v>
      </c>
      <c r="T646" t="s">
        <v>178</v>
      </c>
      <c r="U646" t="s">
        <v>66</v>
      </c>
      <c r="V646" s="25">
        <v>524.4</v>
      </c>
      <c r="W646" s="18" t="s">
        <v>367</v>
      </c>
      <c r="Y646" s="6">
        <f t="shared" si="83"/>
        <v>690</v>
      </c>
      <c r="Z646" s="6">
        <f t="shared" si="84"/>
        <v>524.4</v>
      </c>
      <c r="AA646" s="6">
        <f t="shared" si="85"/>
        <v>690</v>
      </c>
      <c r="AB646" s="6">
        <f t="shared" si="79"/>
        <v>0</v>
      </c>
      <c r="AC646" t="s">
        <v>16</v>
      </c>
      <c r="AD646" s="3" t="s">
        <v>168</v>
      </c>
    </row>
    <row r="647" spans="1:30" ht="15.75" customHeight="1" x14ac:dyDescent="0.2">
      <c r="A647" s="7" t="str">
        <f t="shared" si="81"/>
        <v>SHENZHEN STRONG TECHNOLOGY CO., LTD.J510New Buy</v>
      </c>
      <c r="B647" s="7" t="str">
        <f t="shared" si="82"/>
        <v>iPadNew Buy</v>
      </c>
      <c r="C647">
        <v>408757</v>
      </c>
      <c r="D647" t="s">
        <v>76</v>
      </c>
      <c r="E647" t="s">
        <v>166</v>
      </c>
      <c r="F647" t="s">
        <v>173</v>
      </c>
      <c r="G647" t="s">
        <v>68</v>
      </c>
      <c r="H647" t="s">
        <v>167</v>
      </c>
      <c r="I647" t="s">
        <v>175</v>
      </c>
      <c r="J647" t="s">
        <v>851</v>
      </c>
      <c r="L647" t="s">
        <v>852</v>
      </c>
      <c r="M647" s="25">
        <v>68</v>
      </c>
      <c r="N647" s="4">
        <v>51.68</v>
      </c>
      <c r="O647">
        <v>2</v>
      </c>
      <c r="T647" t="s">
        <v>178</v>
      </c>
      <c r="U647" t="s">
        <v>66</v>
      </c>
      <c r="V647" s="25">
        <v>51.68</v>
      </c>
      <c r="W647" s="18" t="s">
        <v>367</v>
      </c>
      <c r="Y647" s="6">
        <f t="shared" si="83"/>
        <v>136</v>
      </c>
      <c r="Z647" s="6">
        <f t="shared" si="84"/>
        <v>103.36</v>
      </c>
      <c r="AA647" s="6">
        <f t="shared" si="85"/>
        <v>103.36</v>
      </c>
      <c r="AB647" s="6">
        <f t="shared" si="79"/>
        <v>32.64</v>
      </c>
      <c r="AC647" t="s">
        <v>16</v>
      </c>
      <c r="AD647" s="3" t="s">
        <v>168</v>
      </c>
    </row>
    <row r="648" spans="1:30" ht="15.75" customHeight="1" x14ac:dyDescent="0.2">
      <c r="A648" s="7" t="str">
        <f t="shared" si="81"/>
        <v>SHENZHEN STRONG TECHNOLOGY CO., LTD.J510New Buy</v>
      </c>
      <c r="B648" s="7" t="str">
        <f t="shared" si="82"/>
        <v>iPadNew Buy</v>
      </c>
      <c r="C648">
        <v>408756</v>
      </c>
      <c r="D648" t="s">
        <v>76</v>
      </c>
      <c r="E648" t="s">
        <v>166</v>
      </c>
      <c r="F648" t="s">
        <v>173</v>
      </c>
      <c r="G648" t="s">
        <v>68</v>
      </c>
      <c r="H648" t="s">
        <v>167</v>
      </c>
      <c r="I648" t="s">
        <v>175</v>
      </c>
      <c r="J648" t="s">
        <v>853</v>
      </c>
      <c r="L648" t="s">
        <v>854</v>
      </c>
      <c r="M648" s="25">
        <v>480</v>
      </c>
      <c r="N648" s="4">
        <v>480</v>
      </c>
      <c r="O648">
        <v>1</v>
      </c>
      <c r="T648" t="s">
        <v>178</v>
      </c>
      <c r="U648" t="s">
        <v>66</v>
      </c>
      <c r="V648" s="25">
        <v>364.8</v>
      </c>
      <c r="W648" s="18" t="s">
        <v>367</v>
      </c>
      <c r="Y648" s="6">
        <f t="shared" si="83"/>
        <v>480</v>
      </c>
      <c r="Z648" s="6">
        <f t="shared" si="84"/>
        <v>364.8</v>
      </c>
      <c r="AA648" s="6">
        <f t="shared" si="85"/>
        <v>480</v>
      </c>
      <c r="AB648" s="6">
        <f t="shared" si="79"/>
        <v>0</v>
      </c>
      <c r="AC648" t="s">
        <v>16</v>
      </c>
      <c r="AD648" s="3" t="s">
        <v>168</v>
      </c>
    </row>
    <row r="649" spans="1:30" ht="15.75" customHeight="1" x14ac:dyDescent="0.2">
      <c r="A649" s="7" t="str">
        <f t="shared" si="81"/>
        <v>SHENZHEN STRONG TECHNOLOGY CO., LTD.J510New Buy</v>
      </c>
      <c r="B649" s="7" t="str">
        <f t="shared" si="82"/>
        <v>iPadNew Buy</v>
      </c>
      <c r="C649">
        <v>408755</v>
      </c>
      <c r="D649" t="s">
        <v>76</v>
      </c>
      <c r="E649" t="s">
        <v>166</v>
      </c>
      <c r="F649" t="s">
        <v>173</v>
      </c>
      <c r="G649" t="s">
        <v>68</v>
      </c>
      <c r="H649" t="s">
        <v>167</v>
      </c>
      <c r="I649" t="s">
        <v>175</v>
      </c>
      <c r="J649" t="s">
        <v>855</v>
      </c>
      <c r="L649" t="s">
        <v>856</v>
      </c>
      <c r="M649" s="25">
        <v>45</v>
      </c>
      <c r="N649" s="4">
        <v>40</v>
      </c>
      <c r="O649">
        <v>2</v>
      </c>
      <c r="T649" t="s">
        <v>178</v>
      </c>
      <c r="U649" t="s">
        <v>66</v>
      </c>
      <c r="V649" s="25">
        <v>34.200000000000003</v>
      </c>
      <c r="W649" s="18" t="s">
        <v>367</v>
      </c>
      <c r="Y649" s="6">
        <f t="shared" si="83"/>
        <v>90</v>
      </c>
      <c r="Z649" s="6">
        <f t="shared" si="84"/>
        <v>68.400000000000006</v>
      </c>
      <c r="AA649" s="6">
        <f t="shared" si="85"/>
        <v>80</v>
      </c>
      <c r="AB649" s="6">
        <f t="shared" si="79"/>
        <v>10</v>
      </c>
      <c r="AC649" t="s">
        <v>16</v>
      </c>
      <c r="AD649" s="3" t="s">
        <v>168</v>
      </c>
    </row>
    <row r="650" spans="1:30" ht="15.75" customHeight="1" x14ac:dyDescent="0.2">
      <c r="A650" s="7" t="str">
        <f t="shared" si="81"/>
        <v>SHENZHEN STRONG TECHNOLOGY CO., LTD.J510New Buy</v>
      </c>
      <c r="B650" s="7" t="str">
        <f t="shared" si="82"/>
        <v>iPadNew Buy</v>
      </c>
      <c r="C650">
        <v>408754</v>
      </c>
      <c r="D650" t="s">
        <v>76</v>
      </c>
      <c r="E650" t="s">
        <v>166</v>
      </c>
      <c r="F650" t="s">
        <v>173</v>
      </c>
      <c r="G650" t="s">
        <v>68</v>
      </c>
      <c r="H650" t="s">
        <v>167</v>
      </c>
      <c r="I650" t="s">
        <v>175</v>
      </c>
      <c r="J650" t="s">
        <v>857</v>
      </c>
      <c r="L650" t="s">
        <v>858</v>
      </c>
      <c r="M650" s="25">
        <v>95</v>
      </c>
      <c r="N650" s="4">
        <v>95</v>
      </c>
      <c r="O650">
        <v>1</v>
      </c>
      <c r="T650" t="s">
        <v>178</v>
      </c>
      <c r="U650" t="s">
        <v>66</v>
      </c>
      <c r="V650" s="25">
        <v>72.2</v>
      </c>
      <c r="W650" s="18" t="s">
        <v>367</v>
      </c>
      <c r="Y650" s="6">
        <f t="shared" si="83"/>
        <v>95</v>
      </c>
      <c r="Z650" s="6">
        <f t="shared" si="84"/>
        <v>72.2</v>
      </c>
      <c r="AA650" s="6">
        <f t="shared" si="85"/>
        <v>95</v>
      </c>
      <c r="AB650" s="6">
        <f t="shared" si="79"/>
        <v>0</v>
      </c>
      <c r="AC650" t="s">
        <v>16</v>
      </c>
      <c r="AD650" s="3" t="s">
        <v>168</v>
      </c>
    </row>
    <row r="651" spans="1:30" ht="15.75" customHeight="1" x14ac:dyDescent="0.2">
      <c r="A651" s="7" t="str">
        <f t="shared" si="81"/>
        <v>SHENZHEN STRONG TECHNOLOGY CO., LTD.J510New Buy</v>
      </c>
      <c r="B651" s="7" t="str">
        <f t="shared" si="82"/>
        <v>iPadNew Buy</v>
      </c>
      <c r="C651">
        <v>408753</v>
      </c>
      <c r="D651" t="s">
        <v>76</v>
      </c>
      <c r="E651" t="s">
        <v>166</v>
      </c>
      <c r="F651" t="s">
        <v>173</v>
      </c>
      <c r="G651" t="s">
        <v>68</v>
      </c>
      <c r="H651" t="s">
        <v>167</v>
      </c>
      <c r="I651" t="s">
        <v>175</v>
      </c>
      <c r="J651" t="s">
        <v>859</v>
      </c>
      <c r="L651" t="s">
        <v>860</v>
      </c>
      <c r="M651" s="25">
        <v>350</v>
      </c>
      <c r="N651" s="4">
        <v>280</v>
      </c>
      <c r="O651">
        <v>2</v>
      </c>
      <c r="T651" t="s">
        <v>178</v>
      </c>
      <c r="U651" t="s">
        <v>66</v>
      </c>
      <c r="V651" s="25">
        <v>266</v>
      </c>
      <c r="W651" s="18" t="s">
        <v>367</v>
      </c>
      <c r="Y651" s="6">
        <f t="shared" si="83"/>
        <v>700</v>
      </c>
      <c r="Z651" s="6">
        <f t="shared" si="84"/>
        <v>532</v>
      </c>
      <c r="AA651" s="6">
        <f t="shared" si="85"/>
        <v>560</v>
      </c>
      <c r="AB651" s="6">
        <f t="shared" si="79"/>
        <v>140</v>
      </c>
      <c r="AC651" t="s">
        <v>16</v>
      </c>
      <c r="AD651" s="3" t="s">
        <v>168</v>
      </c>
    </row>
    <row r="652" spans="1:30" ht="15.75" customHeight="1" x14ac:dyDescent="0.2">
      <c r="A652" s="7" t="str">
        <f t="shared" si="81"/>
        <v>SHENZHEN STRONG TECHNOLOGY CO., LTD.J510New Buy</v>
      </c>
      <c r="B652" s="7" t="str">
        <f t="shared" si="82"/>
        <v>iPadNew Buy</v>
      </c>
      <c r="C652">
        <v>408752</v>
      </c>
      <c r="D652" t="s">
        <v>76</v>
      </c>
      <c r="E652" t="s">
        <v>166</v>
      </c>
      <c r="F652" t="s">
        <v>173</v>
      </c>
      <c r="G652" t="s">
        <v>68</v>
      </c>
      <c r="H652" t="s">
        <v>167</v>
      </c>
      <c r="I652" t="s">
        <v>175</v>
      </c>
      <c r="J652" t="s">
        <v>861</v>
      </c>
      <c r="L652" t="s">
        <v>862</v>
      </c>
      <c r="M652" s="25">
        <v>2550</v>
      </c>
      <c r="N652" s="4">
        <v>2550</v>
      </c>
      <c r="O652">
        <v>1</v>
      </c>
      <c r="T652" t="s">
        <v>178</v>
      </c>
      <c r="U652" t="s">
        <v>66</v>
      </c>
      <c r="V652" s="25">
        <v>1938</v>
      </c>
      <c r="W652" s="18" t="s">
        <v>367</v>
      </c>
      <c r="Y652" s="6">
        <f t="shared" si="83"/>
        <v>2550</v>
      </c>
      <c r="Z652" s="6">
        <f t="shared" si="84"/>
        <v>1938</v>
      </c>
      <c r="AA652" s="6">
        <f t="shared" si="85"/>
        <v>2550</v>
      </c>
      <c r="AB652" s="6">
        <f t="shared" si="79"/>
        <v>0</v>
      </c>
      <c r="AC652" t="s">
        <v>16</v>
      </c>
      <c r="AD652" s="3" t="s">
        <v>168</v>
      </c>
    </row>
    <row r="653" spans="1:30" ht="15.75" customHeight="1" x14ac:dyDescent="0.2">
      <c r="A653" s="7" t="str">
        <f t="shared" si="81"/>
        <v>SHENZHEN STRONG TECHNOLOGY CO., LTD.J510New Buy</v>
      </c>
      <c r="B653" s="7" t="str">
        <f t="shared" si="82"/>
        <v>iPadNew Buy</v>
      </c>
      <c r="C653">
        <v>408750</v>
      </c>
      <c r="D653" t="s">
        <v>76</v>
      </c>
      <c r="E653" t="s">
        <v>166</v>
      </c>
      <c r="F653" t="s">
        <v>173</v>
      </c>
      <c r="G653" t="s">
        <v>68</v>
      </c>
      <c r="H653" t="s">
        <v>167</v>
      </c>
      <c r="I653" t="s">
        <v>175</v>
      </c>
      <c r="J653" t="s">
        <v>863</v>
      </c>
      <c r="L653" t="s">
        <v>864</v>
      </c>
      <c r="M653" s="25">
        <v>22.5</v>
      </c>
      <c r="N653" s="4">
        <v>22.5</v>
      </c>
      <c r="O653">
        <v>2</v>
      </c>
      <c r="T653" t="s">
        <v>178</v>
      </c>
      <c r="U653" t="s">
        <v>66</v>
      </c>
      <c r="V653" s="25">
        <v>17.100000000000001</v>
      </c>
      <c r="W653" s="18" t="s">
        <v>367</v>
      </c>
      <c r="Y653" s="6">
        <f t="shared" si="83"/>
        <v>45</v>
      </c>
      <c r="Z653" s="6">
        <f t="shared" si="84"/>
        <v>34.200000000000003</v>
      </c>
      <c r="AA653" s="6">
        <f t="shared" si="85"/>
        <v>45</v>
      </c>
      <c r="AB653" s="6">
        <f t="shared" si="79"/>
        <v>0</v>
      </c>
      <c r="AC653" t="s">
        <v>16</v>
      </c>
      <c r="AD653" s="3" t="s">
        <v>168</v>
      </c>
    </row>
    <row r="654" spans="1:30" ht="15.75" customHeight="1" x14ac:dyDescent="0.2">
      <c r="A654" s="7" t="str">
        <f t="shared" si="81"/>
        <v>SHENZHEN STRONG TECHNOLOGY CO., LTD.J510New Buy</v>
      </c>
      <c r="B654" s="7" t="str">
        <f t="shared" si="82"/>
        <v>iPadNew Buy</v>
      </c>
      <c r="C654">
        <v>408749</v>
      </c>
      <c r="D654" t="s">
        <v>76</v>
      </c>
      <c r="E654" t="s">
        <v>166</v>
      </c>
      <c r="F654" t="s">
        <v>173</v>
      </c>
      <c r="G654" t="s">
        <v>68</v>
      </c>
      <c r="H654" t="s">
        <v>167</v>
      </c>
      <c r="I654" t="s">
        <v>175</v>
      </c>
      <c r="J654" t="s">
        <v>865</v>
      </c>
      <c r="L654" t="s">
        <v>866</v>
      </c>
      <c r="M654" s="25">
        <v>12460</v>
      </c>
      <c r="N654" s="4">
        <v>10800</v>
      </c>
      <c r="O654">
        <v>40</v>
      </c>
      <c r="T654" t="s">
        <v>178</v>
      </c>
      <c r="U654" t="s">
        <v>66</v>
      </c>
      <c r="V654" s="25">
        <v>9469.6</v>
      </c>
      <c r="W654" s="18" t="s">
        <v>367</v>
      </c>
      <c r="Y654" s="6">
        <f t="shared" si="83"/>
        <v>498400</v>
      </c>
      <c r="Z654" s="6">
        <f t="shared" si="84"/>
        <v>378784</v>
      </c>
      <c r="AA654" s="6">
        <f t="shared" si="85"/>
        <v>432000</v>
      </c>
      <c r="AB654" s="6">
        <f t="shared" si="79"/>
        <v>66400</v>
      </c>
      <c r="AC654" t="s">
        <v>16</v>
      </c>
      <c r="AD654" s="3" t="s">
        <v>168</v>
      </c>
    </row>
    <row r="655" spans="1:30" ht="15.75" customHeight="1" x14ac:dyDescent="0.2">
      <c r="A655" s="7" t="str">
        <f t="shared" si="81"/>
        <v>SHENZHEN STRONG TECHNOLOGY CO., LTD.J510New Buy</v>
      </c>
      <c r="B655" s="7" t="str">
        <f t="shared" si="82"/>
        <v>iPadNew Buy</v>
      </c>
      <c r="C655">
        <v>408748</v>
      </c>
      <c r="D655" t="s">
        <v>76</v>
      </c>
      <c r="E655" t="s">
        <v>166</v>
      </c>
      <c r="F655" t="s">
        <v>173</v>
      </c>
      <c r="G655" t="s">
        <v>68</v>
      </c>
      <c r="H655" t="s">
        <v>167</v>
      </c>
      <c r="I655" t="s">
        <v>175</v>
      </c>
      <c r="J655" t="s">
        <v>867</v>
      </c>
      <c r="L655" t="s">
        <v>868</v>
      </c>
      <c r="M655" s="25">
        <v>12460</v>
      </c>
      <c r="N655" s="4">
        <v>11800</v>
      </c>
      <c r="O655">
        <v>40</v>
      </c>
      <c r="T655" t="s">
        <v>178</v>
      </c>
      <c r="U655" t="s">
        <v>66</v>
      </c>
      <c r="V655" s="25">
        <v>9469.6</v>
      </c>
      <c r="W655" s="18" t="s">
        <v>367</v>
      </c>
      <c r="Y655" s="6">
        <f t="shared" si="83"/>
        <v>498400</v>
      </c>
      <c r="Z655" s="6">
        <f t="shared" si="84"/>
        <v>378784</v>
      </c>
      <c r="AA655" s="6">
        <f t="shared" si="85"/>
        <v>472000</v>
      </c>
      <c r="AB655" s="6">
        <f t="shared" si="79"/>
        <v>26400</v>
      </c>
      <c r="AC655" t="s">
        <v>16</v>
      </c>
      <c r="AD655" s="3" t="s">
        <v>168</v>
      </c>
    </row>
    <row r="656" spans="1:30" ht="15.75" customHeight="1" x14ac:dyDescent="0.2">
      <c r="A656" s="7" t="str">
        <f t="shared" si="81"/>
        <v>SHENZHEN STRONG TECHNOLOGY CO., LTD.J510New Buy</v>
      </c>
      <c r="B656" s="7" t="str">
        <f t="shared" si="82"/>
        <v>iPadNew Buy</v>
      </c>
      <c r="C656">
        <v>408747</v>
      </c>
      <c r="D656" t="s">
        <v>76</v>
      </c>
      <c r="E656" t="s">
        <v>166</v>
      </c>
      <c r="F656" t="s">
        <v>173</v>
      </c>
      <c r="G656" t="s">
        <v>68</v>
      </c>
      <c r="H656" t="s">
        <v>167</v>
      </c>
      <c r="I656" t="s">
        <v>175</v>
      </c>
      <c r="J656" t="s">
        <v>869</v>
      </c>
      <c r="L656" t="s">
        <v>870</v>
      </c>
      <c r="M656" s="25">
        <v>275</v>
      </c>
      <c r="N656" s="4">
        <v>275</v>
      </c>
      <c r="O656">
        <v>40</v>
      </c>
      <c r="T656" t="s">
        <v>178</v>
      </c>
      <c r="U656" t="s">
        <v>66</v>
      </c>
      <c r="V656" s="25">
        <v>209</v>
      </c>
      <c r="W656" s="18" t="s">
        <v>367</v>
      </c>
      <c r="Y656" s="6">
        <f t="shared" si="83"/>
        <v>11000</v>
      </c>
      <c r="Z656" s="6">
        <f t="shared" si="84"/>
        <v>8360</v>
      </c>
      <c r="AA656" s="6">
        <f t="shared" si="85"/>
        <v>11000</v>
      </c>
      <c r="AB656" s="6">
        <f t="shared" si="79"/>
        <v>0</v>
      </c>
      <c r="AC656" t="s">
        <v>16</v>
      </c>
      <c r="AD656" s="3" t="s">
        <v>168</v>
      </c>
    </row>
    <row r="657" spans="1:30" ht="15.75" customHeight="1" x14ac:dyDescent="0.2">
      <c r="A657" s="7" t="str">
        <f t="shared" si="81"/>
        <v>SHENZHEN STRONG TECHNOLOGY CO., LTD.J510New Buy</v>
      </c>
      <c r="B657" s="7" t="str">
        <f t="shared" si="82"/>
        <v>iPadNew Buy</v>
      </c>
      <c r="C657">
        <v>408746</v>
      </c>
      <c r="D657" t="s">
        <v>76</v>
      </c>
      <c r="E657" t="s">
        <v>166</v>
      </c>
      <c r="F657" t="s">
        <v>173</v>
      </c>
      <c r="G657" t="s">
        <v>68</v>
      </c>
      <c r="H657" t="s">
        <v>167</v>
      </c>
      <c r="I657" t="s">
        <v>175</v>
      </c>
      <c r="J657" t="s">
        <v>871</v>
      </c>
      <c r="L657" t="s">
        <v>872</v>
      </c>
      <c r="M657" s="25">
        <v>275</v>
      </c>
      <c r="N657" s="4">
        <v>275</v>
      </c>
      <c r="O657">
        <v>1</v>
      </c>
      <c r="T657" t="s">
        <v>178</v>
      </c>
      <c r="U657" t="s">
        <v>66</v>
      </c>
      <c r="V657" s="25">
        <v>209</v>
      </c>
      <c r="W657" s="18" t="s">
        <v>367</v>
      </c>
      <c r="Y657" s="6">
        <f t="shared" si="83"/>
        <v>275</v>
      </c>
      <c r="Z657" s="6">
        <f t="shared" si="84"/>
        <v>209</v>
      </c>
      <c r="AA657" s="6">
        <f t="shared" si="85"/>
        <v>275</v>
      </c>
      <c r="AB657" s="6">
        <f t="shared" si="79"/>
        <v>0</v>
      </c>
      <c r="AC657" t="s">
        <v>16</v>
      </c>
      <c r="AD657" s="3" t="s">
        <v>168</v>
      </c>
    </row>
    <row r="658" spans="1:30" ht="15.75" customHeight="1" x14ac:dyDescent="0.2">
      <c r="A658" s="7" t="str">
        <f t="shared" si="81"/>
        <v>SHENZHEN STRONG TECHNOLOGY CO., LTD.J510New Buy</v>
      </c>
      <c r="B658" s="7" t="str">
        <f t="shared" si="82"/>
        <v>iPadNew Buy</v>
      </c>
      <c r="C658">
        <v>408745</v>
      </c>
      <c r="D658" t="s">
        <v>76</v>
      </c>
      <c r="E658" t="s">
        <v>166</v>
      </c>
      <c r="F658" t="s">
        <v>173</v>
      </c>
      <c r="G658" t="s">
        <v>68</v>
      </c>
      <c r="H658" t="s">
        <v>167</v>
      </c>
      <c r="I658" t="s">
        <v>175</v>
      </c>
      <c r="J658" t="s">
        <v>873</v>
      </c>
      <c r="L658" t="s">
        <v>874</v>
      </c>
      <c r="M658" s="25">
        <v>75</v>
      </c>
      <c r="N658" s="4">
        <v>65</v>
      </c>
      <c r="O658">
        <v>1</v>
      </c>
      <c r="T658" t="s">
        <v>178</v>
      </c>
      <c r="U658" t="s">
        <v>66</v>
      </c>
      <c r="V658" s="25">
        <v>57</v>
      </c>
      <c r="W658" s="18" t="s">
        <v>367</v>
      </c>
      <c r="Y658" s="6">
        <f t="shared" si="83"/>
        <v>75</v>
      </c>
      <c r="Z658" s="6">
        <f t="shared" si="84"/>
        <v>57</v>
      </c>
      <c r="AA658" s="6">
        <f t="shared" si="85"/>
        <v>65</v>
      </c>
      <c r="AB658" s="6">
        <f t="shared" si="79"/>
        <v>10</v>
      </c>
      <c r="AC658" t="s">
        <v>16</v>
      </c>
      <c r="AD658" s="3" t="s">
        <v>168</v>
      </c>
    </row>
    <row r="659" spans="1:30" ht="15.75" customHeight="1" x14ac:dyDescent="0.2">
      <c r="A659" s="7" t="str">
        <f t="shared" si="81"/>
        <v>SHENZHEN STRONG TECHNOLOGY CO., LTD.J510New Buy</v>
      </c>
      <c r="B659" s="7" t="str">
        <f t="shared" si="82"/>
        <v>iPadNew Buy</v>
      </c>
      <c r="C659">
        <v>408743</v>
      </c>
      <c r="D659" t="s">
        <v>76</v>
      </c>
      <c r="E659" t="s">
        <v>166</v>
      </c>
      <c r="F659" t="s">
        <v>173</v>
      </c>
      <c r="G659" t="s">
        <v>68</v>
      </c>
      <c r="H659" t="s">
        <v>167</v>
      </c>
      <c r="I659" t="s">
        <v>175</v>
      </c>
      <c r="J659" t="s">
        <v>875</v>
      </c>
      <c r="L659" t="s">
        <v>876</v>
      </c>
      <c r="M659" s="25">
        <v>2380</v>
      </c>
      <c r="N659" s="4">
        <v>2350</v>
      </c>
      <c r="O659">
        <v>1</v>
      </c>
      <c r="T659" t="s">
        <v>178</v>
      </c>
      <c r="U659" t="s">
        <v>66</v>
      </c>
      <c r="V659" s="25">
        <v>1808.8</v>
      </c>
      <c r="W659" s="18" t="s">
        <v>367</v>
      </c>
      <c r="Y659" s="6">
        <f t="shared" si="83"/>
        <v>2380</v>
      </c>
      <c r="Z659" s="6">
        <f t="shared" si="84"/>
        <v>1808.8</v>
      </c>
      <c r="AA659" s="6">
        <f t="shared" si="85"/>
        <v>2350</v>
      </c>
      <c r="AB659" s="6">
        <f t="shared" ref="AB659:AB715" si="86">IF(AA659=0,0,Y659-AA659)</f>
        <v>30</v>
      </c>
      <c r="AC659" t="s">
        <v>16</v>
      </c>
      <c r="AD659" s="3" t="s">
        <v>168</v>
      </c>
    </row>
    <row r="660" spans="1:30" ht="15.75" customHeight="1" x14ac:dyDescent="0.2">
      <c r="A660" s="7" t="str">
        <f t="shared" si="81"/>
        <v>SHENZHEN STRONG TECHNOLOGY CO., LTD.J510New Buy</v>
      </c>
      <c r="B660" s="7" t="str">
        <f t="shared" si="82"/>
        <v>iPadNew Buy</v>
      </c>
      <c r="C660">
        <v>408742</v>
      </c>
      <c r="D660" t="s">
        <v>76</v>
      </c>
      <c r="E660" t="s">
        <v>166</v>
      </c>
      <c r="F660" t="s">
        <v>173</v>
      </c>
      <c r="G660" t="s">
        <v>68</v>
      </c>
      <c r="H660" t="s">
        <v>167</v>
      </c>
      <c r="I660" t="s">
        <v>175</v>
      </c>
      <c r="J660" t="s">
        <v>877</v>
      </c>
      <c r="L660" t="s">
        <v>878</v>
      </c>
      <c r="M660" s="25">
        <v>2555</v>
      </c>
      <c r="N660" s="4">
        <v>2480</v>
      </c>
      <c r="O660">
        <v>1</v>
      </c>
      <c r="T660" t="s">
        <v>178</v>
      </c>
      <c r="U660" t="s">
        <v>66</v>
      </c>
      <c r="V660" s="25">
        <v>1941.8</v>
      </c>
      <c r="W660" s="18" t="s">
        <v>367</v>
      </c>
      <c r="Y660" s="6">
        <f t="shared" si="83"/>
        <v>2555</v>
      </c>
      <c r="Z660" s="6">
        <f t="shared" si="84"/>
        <v>1941.8</v>
      </c>
      <c r="AA660" s="6">
        <f t="shared" si="85"/>
        <v>2480</v>
      </c>
      <c r="AB660" s="6">
        <f t="shared" si="86"/>
        <v>75</v>
      </c>
      <c r="AC660" t="s">
        <v>16</v>
      </c>
      <c r="AD660" s="3" t="s">
        <v>168</v>
      </c>
    </row>
    <row r="661" spans="1:30" ht="15.75" customHeight="1" x14ac:dyDescent="0.2">
      <c r="A661" s="7" t="str">
        <f t="shared" si="81"/>
        <v>SHENZHEN STRONG TECHNOLOGY CO., LTD.J510New Buy</v>
      </c>
      <c r="B661" s="7" t="str">
        <f t="shared" si="82"/>
        <v>iPadNew Buy</v>
      </c>
      <c r="C661">
        <v>408737</v>
      </c>
      <c r="D661" t="s">
        <v>76</v>
      </c>
      <c r="E661" t="s">
        <v>166</v>
      </c>
      <c r="F661" t="s">
        <v>173</v>
      </c>
      <c r="G661" t="s">
        <v>68</v>
      </c>
      <c r="H661" t="s">
        <v>167</v>
      </c>
      <c r="I661" t="s">
        <v>175</v>
      </c>
      <c r="J661" t="s">
        <v>879</v>
      </c>
      <c r="L661" t="s">
        <v>880</v>
      </c>
      <c r="M661" s="25">
        <v>58</v>
      </c>
      <c r="N661" s="4">
        <v>44.08</v>
      </c>
      <c r="O661">
        <v>1</v>
      </c>
      <c r="T661" t="s">
        <v>178</v>
      </c>
      <c r="U661" t="s">
        <v>66</v>
      </c>
      <c r="V661" s="25">
        <v>44.08</v>
      </c>
      <c r="W661" s="18" t="s">
        <v>367</v>
      </c>
      <c r="Y661" s="6">
        <f t="shared" si="83"/>
        <v>58</v>
      </c>
      <c r="Z661" s="6">
        <f t="shared" si="84"/>
        <v>44.08</v>
      </c>
      <c r="AA661" s="6">
        <f t="shared" si="85"/>
        <v>44.08</v>
      </c>
      <c r="AB661" s="6">
        <f t="shared" si="86"/>
        <v>13.920000000000002</v>
      </c>
      <c r="AC661" t="s">
        <v>16</v>
      </c>
      <c r="AD661" s="3" t="s">
        <v>168</v>
      </c>
    </row>
    <row r="662" spans="1:30" ht="15.75" customHeight="1" x14ac:dyDescent="0.2">
      <c r="A662" s="7" t="str">
        <f t="shared" si="81"/>
        <v>SHENZHEN STRONG TECHNOLOGY CO., LTD.J510New Buy</v>
      </c>
      <c r="B662" s="7" t="str">
        <f t="shared" si="82"/>
        <v>iPadNew Buy</v>
      </c>
      <c r="C662">
        <v>408736</v>
      </c>
      <c r="D662" t="s">
        <v>76</v>
      </c>
      <c r="E662" t="s">
        <v>166</v>
      </c>
      <c r="F662" t="s">
        <v>173</v>
      </c>
      <c r="G662" t="s">
        <v>68</v>
      </c>
      <c r="H662" t="s">
        <v>167</v>
      </c>
      <c r="I662" t="s">
        <v>175</v>
      </c>
      <c r="J662" t="s">
        <v>881</v>
      </c>
      <c r="L662" t="s">
        <v>882</v>
      </c>
      <c r="M662" s="25">
        <v>13.5</v>
      </c>
      <c r="N662" s="4">
        <v>10.26</v>
      </c>
      <c r="O662">
        <v>1</v>
      </c>
      <c r="T662" t="s">
        <v>178</v>
      </c>
      <c r="U662" t="s">
        <v>66</v>
      </c>
      <c r="V662" s="25">
        <v>10.26</v>
      </c>
      <c r="W662" s="18" t="s">
        <v>367</v>
      </c>
      <c r="Y662" s="6">
        <f t="shared" si="83"/>
        <v>13.5</v>
      </c>
      <c r="Z662" s="6">
        <f t="shared" si="84"/>
        <v>10.26</v>
      </c>
      <c r="AA662" s="6">
        <f t="shared" si="85"/>
        <v>10.26</v>
      </c>
      <c r="AB662" s="6">
        <f t="shared" si="86"/>
        <v>3.24</v>
      </c>
      <c r="AC662" t="s">
        <v>16</v>
      </c>
      <c r="AD662" s="3" t="s">
        <v>168</v>
      </c>
    </row>
    <row r="663" spans="1:30" ht="15.75" customHeight="1" x14ac:dyDescent="0.2">
      <c r="A663" s="7" t="str">
        <f t="shared" si="81"/>
        <v>SHENZHEN STRONG TECHNOLOGY CO., LTD.J510New Buy</v>
      </c>
      <c r="B663" s="7" t="str">
        <f t="shared" si="82"/>
        <v>iPadNew Buy</v>
      </c>
      <c r="C663">
        <v>408735</v>
      </c>
      <c r="D663" t="s">
        <v>76</v>
      </c>
      <c r="E663" t="s">
        <v>166</v>
      </c>
      <c r="F663" t="s">
        <v>173</v>
      </c>
      <c r="G663" t="s">
        <v>68</v>
      </c>
      <c r="H663" t="s">
        <v>167</v>
      </c>
      <c r="I663" t="s">
        <v>175</v>
      </c>
      <c r="J663" t="s">
        <v>883</v>
      </c>
      <c r="L663" t="s">
        <v>884</v>
      </c>
      <c r="M663" s="25">
        <v>50</v>
      </c>
      <c r="N663" s="4">
        <v>38</v>
      </c>
      <c r="O663">
        <v>1</v>
      </c>
      <c r="T663" t="s">
        <v>178</v>
      </c>
      <c r="U663" t="s">
        <v>66</v>
      </c>
      <c r="V663" s="25">
        <v>38</v>
      </c>
      <c r="W663" s="18" t="s">
        <v>367</v>
      </c>
      <c r="Y663" s="6">
        <f t="shared" si="83"/>
        <v>50</v>
      </c>
      <c r="Z663" s="6">
        <f t="shared" si="84"/>
        <v>38</v>
      </c>
      <c r="AA663" s="6">
        <f t="shared" si="85"/>
        <v>38</v>
      </c>
      <c r="AB663" s="6">
        <f t="shared" si="86"/>
        <v>12</v>
      </c>
      <c r="AC663" t="s">
        <v>16</v>
      </c>
      <c r="AD663" s="3" t="s">
        <v>168</v>
      </c>
    </row>
    <row r="664" spans="1:30" ht="15.75" customHeight="1" x14ac:dyDescent="0.2">
      <c r="A664" s="7" t="str">
        <f t="shared" si="81"/>
        <v>SHENZHEN STRONG TECHNOLOGY CO., LTD.J510New Buy</v>
      </c>
      <c r="B664" s="7" t="str">
        <f t="shared" si="82"/>
        <v>iPadNew Buy</v>
      </c>
      <c r="C664">
        <v>408734</v>
      </c>
      <c r="D664" t="s">
        <v>76</v>
      </c>
      <c r="E664" t="s">
        <v>166</v>
      </c>
      <c r="F664" t="s">
        <v>173</v>
      </c>
      <c r="G664" t="s">
        <v>68</v>
      </c>
      <c r="H664" t="s">
        <v>167</v>
      </c>
      <c r="I664" t="s">
        <v>175</v>
      </c>
      <c r="J664" t="s">
        <v>885</v>
      </c>
      <c r="L664" t="s">
        <v>886</v>
      </c>
      <c r="M664" s="25">
        <v>25</v>
      </c>
      <c r="N664" s="4">
        <v>23</v>
      </c>
      <c r="O664">
        <v>1</v>
      </c>
      <c r="T664" t="s">
        <v>178</v>
      </c>
      <c r="U664" t="s">
        <v>66</v>
      </c>
      <c r="V664" s="25">
        <v>19</v>
      </c>
      <c r="W664" s="18" t="s">
        <v>367</v>
      </c>
      <c r="Y664" s="6">
        <f t="shared" si="83"/>
        <v>25</v>
      </c>
      <c r="Z664" s="6">
        <f t="shared" si="84"/>
        <v>19</v>
      </c>
      <c r="AA664" s="6">
        <f t="shared" si="85"/>
        <v>23</v>
      </c>
      <c r="AB664" s="6">
        <f t="shared" si="86"/>
        <v>2</v>
      </c>
      <c r="AC664" t="s">
        <v>16</v>
      </c>
      <c r="AD664" s="3" t="s">
        <v>168</v>
      </c>
    </row>
    <row r="665" spans="1:30" ht="15.75" customHeight="1" x14ac:dyDescent="0.2">
      <c r="A665" s="7" t="str">
        <f t="shared" si="81"/>
        <v>SHENZHEN STRONG TECHNOLOGY CO., LTD.J510New Buy</v>
      </c>
      <c r="B665" s="7" t="str">
        <f t="shared" si="82"/>
        <v>iPadNew Buy</v>
      </c>
      <c r="C665">
        <v>408733</v>
      </c>
      <c r="D665" t="s">
        <v>76</v>
      </c>
      <c r="E665" t="s">
        <v>166</v>
      </c>
      <c r="F665" t="s">
        <v>173</v>
      </c>
      <c r="G665" t="s">
        <v>68</v>
      </c>
      <c r="H665" t="s">
        <v>167</v>
      </c>
      <c r="I665" t="s">
        <v>175</v>
      </c>
      <c r="J665" t="s">
        <v>887</v>
      </c>
      <c r="L665" t="s">
        <v>888</v>
      </c>
      <c r="M665" s="25">
        <v>1350</v>
      </c>
      <c r="N665" s="4">
        <v>1350</v>
      </c>
      <c r="O665">
        <v>98</v>
      </c>
      <c r="T665" t="s">
        <v>178</v>
      </c>
      <c r="U665" t="s">
        <v>66</v>
      </c>
      <c r="V665" s="25">
        <v>1026</v>
      </c>
      <c r="W665" s="18" t="s">
        <v>367</v>
      </c>
      <c r="Y665" s="6">
        <f t="shared" si="83"/>
        <v>132300</v>
      </c>
      <c r="Z665" s="6">
        <f t="shared" si="84"/>
        <v>100548</v>
      </c>
      <c r="AA665" s="6">
        <f t="shared" si="85"/>
        <v>132300</v>
      </c>
      <c r="AB665" s="6">
        <f t="shared" si="86"/>
        <v>0</v>
      </c>
      <c r="AC665" t="s">
        <v>16</v>
      </c>
      <c r="AD665" s="3" t="s">
        <v>168</v>
      </c>
    </row>
    <row r="666" spans="1:30" ht="15.75" customHeight="1" x14ac:dyDescent="0.2">
      <c r="A666" s="7" t="str">
        <f t="shared" si="81"/>
        <v>SHENZHEN STRONG TECHNOLOGY CO., LTD.J510New Buy</v>
      </c>
      <c r="B666" s="7" t="str">
        <f t="shared" si="82"/>
        <v>iPadNew Buy</v>
      </c>
      <c r="C666">
        <v>408732</v>
      </c>
      <c r="D666" t="s">
        <v>76</v>
      </c>
      <c r="E666" t="s">
        <v>166</v>
      </c>
      <c r="F666" t="s">
        <v>173</v>
      </c>
      <c r="G666" t="s">
        <v>68</v>
      </c>
      <c r="H666" t="s">
        <v>167</v>
      </c>
      <c r="I666" t="s">
        <v>175</v>
      </c>
      <c r="J666" t="s">
        <v>889</v>
      </c>
      <c r="L666" t="s">
        <v>890</v>
      </c>
      <c r="M666" s="25">
        <v>13</v>
      </c>
      <c r="N666" s="4">
        <v>12</v>
      </c>
      <c r="O666">
        <v>100</v>
      </c>
      <c r="T666" t="s">
        <v>178</v>
      </c>
      <c r="U666" t="s">
        <v>66</v>
      </c>
      <c r="V666" s="25">
        <v>9.8800000000000008</v>
      </c>
      <c r="W666" s="18" t="s">
        <v>367</v>
      </c>
      <c r="Y666" s="6">
        <f t="shared" si="83"/>
        <v>1300</v>
      </c>
      <c r="Z666" s="6">
        <f t="shared" si="84"/>
        <v>988.00000000000011</v>
      </c>
      <c r="AA666" s="6">
        <f t="shared" si="85"/>
        <v>1200</v>
      </c>
      <c r="AB666" s="6">
        <f t="shared" si="86"/>
        <v>100</v>
      </c>
      <c r="AC666" t="s">
        <v>16</v>
      </c>
      <c r="AD666" s="3" t="s">
        <v>168</v>
      </c>
    </row>
    <row r="667" spans="1:30" ht="15.75" customHeight="1" x14ac:dyDescent="0.2">
      <c r="A667" s="7" t="str">
        <f t="shared" si="81"/>
        <v>SHENZHEN STRONG TECHNOLOGY CO., LTD.J510New Buy</v>
      </c>
      <c r="B667" s="7" t="str">
        <f t="shared" si="82"/>
        <v>iPadNew Buy</v>
      </c>
      <c r="C667">
        <v>408729</v>
      </c>
      <c r="D667" t="s">
        <v>76</v>
      </c>
      <c r="E667" t="s">
        <v>166</v>
      </c>
      <c r="F667" t="s">
        <v>173</v>
      </c>
      <c r="G667" t="s">
        <v>68</v>
      </c>
      <c r="H667" t="s">
        <v>167</v>
      </c>
      <c r="I667" t="s">
        <v>175</v>
      </c>
      <c r="J667" t="s">
        <v>891</v>
      </c>
      <c r="L667" t="s">
        <v>892</v>
      </c>
      <c r="M667" s="25">
        <v>33100</v>
      </c>
      <c r="N667" s="4">
        <v>18077</v>
      </c>
      <c r="O667">
        <v>100</v>
      </c>
      <c r="T667" t="s">
        <v>178</v>
      </c>
      <c r="U667" t="s">
        <v>66</v>
      </c>
      <c r="V667" s="25">
        <v>25156</v>
      </c>
      <c r="W667" s="18" t="s">
        <v>367</v>
      </c>
      <c r="Y667" s="6">
        <f t="shared" si="83"/>
        <v>3310000</v>
      </c>
      <c r="Z667" s="6">
        <f t="shared" si="84"/>
        <v>2515600</v>
      </c>
      <c r="AA667" s="6">
        <f t="shared" si="85"/>
        <v>1807700</v>
      </c>
      <c r="AB667" s="6">
        <f t="shared" si="86"/>
        <v>1502300</v>
      </c>
      <c r="AC667" t="s">
        <v>16</v>
      </c>
      <c r="AD667" s="3" t="s">
        <v>168</v>
      </c>
    </row>
    <row r="668" spans="1:30" ht="15.75" customHeight="1" x14ac:dyDescent="0.2">
      <c r="A668" s="7" t="str">
        <f t="shared" si="81"/>
        <v>SHENZHEN STRONG TECHNOLOGY CO., LTD.J510New Buy</v>
      </c>
      <c r="B668" s="7" t="str">
        <f t="shared" si="82"/>
        <v>iPadNew Buy</v>
      </c>
      <c r="C668">
        <v>408728</v>
      </c>
      <c r="D668" t="s">
        <v>76</v>
      </c>
      <c r="E668" t="s">
        <v>166</v>
      </c>
      <c r="F668" t="s">
        <v>173</v>
      </c>
      <c r="G668" t="s">
        <v>68</v>
      </c>
      <c r="H668" t="s">
        <v>167</v>
      </c>
      <c r="I668" t="s">
        <v>175</v>
      </c>
      <c r="J668" t="s">
        <v>893</v>
      </c>
      <c r="L668" t="s">
        <v>894</v>
      </c>
      <c r="M668" s="25">
        <v>1710</v>
      </c>
      <c r="N668" s="4">
        <v>1680</v>
      </c>
      <c r="O668">
        <v>40</v>
      </c>
      <c r="T668" t="s">
        <v>178</v>
      </c>
      <c r="U668" t="s">
        <v>66</v>
      </c>
      <c r="V668" s="25">
        <v>1299.5999999999999</v>
      </c>
      <c r="W668" s="18" t="s">
        <v>367</v>
      </c>
      <c r="Y668" s="6">
        <f t="shared" si="83"/>
        <v>68400</v>
      </c>
      <c r="Z668" s="6">
        <f t="shared" si="84"/>
        <v>51984</v>
      </c>
      <c r="AA668" s="6">
        <f t="shared" si="85"/>
        <v>67200</v>
      </c>
      <c r="AB668" s="6">
        <f t="shared" si="86"/>
        <v>1200</v>
      </c>
      <c r="AC668" t="s">
        <v>16</v>
      </c>
      <c r="AD668" s="3" t="s">
        <v>168</v>
      </c>
    </row>
    <row r="669" spans="1:30" ht="15.75" customHeight="1" x14ac:dyDescent="0.2">
      <c r="A669" s="7" t="str">
        <f t="shared" si="81"/>
        <v>SHENZHEN STRONG TECHNOLOGY CO., LTD.J510New Buy</v>
      </c>
      <c r="B669" s="7" t="str">
        <f t="shared" si="82"/>
        <v>iPadNew Buy</v>
      </c>
      <c r="C669">
        <v>408727</v>
      </c>
      <c r="D669" t="s">
        <v>76</v>
      </c>
      <c r="E669" t="s">
        <v>166</v>
      </c>
      <c r="F669" t="s">
        <v>173</v>
      </c>
      <c r="G669" t="s">
        <v>68</v>
      </c>
      <c r="H669" t="s">
        <v>167</v>
      </c>
      <c r="I669" t="s">
        <v>175</v>
      </c>
      <c r="J669" t="s">
        <v>895</v>
      </c>
      <c r="L669" t="s">
        <v>896</v>
      </c>
      <c r="M669" s="25">
        <v>2980</v>
      </c>
      <c r="N669" s="4">
        <v>2880</v>
      </c>
      <c r="O669">
        <v>40</v>
      </c>
      <c r="T669" t="s">
        <v>178</v>
      </c>
      <c r="U669" t="s">
        <v>66</v>
      </c>
      <c r="V669" s="25">
        <v>2264.8000000000002</v>
      </c>
      <c r="W669" s="18" t="s">
        <v>367</v>
      </c>
      <c r="Y669" s="6">
        <f t="shared" si="83"/>
        <v>119200</v>
      </c>
      <c r="Z669" s="6">
        <f t="shared" si="84"/>
        <v>90592</v>
      </c>
      <c r="AA669" s="6">
        <f t="shared" si="85"/>
        <v>115200</v>
      </c>
      <c r="AB669" s="6">
        <f t="shared" si="86"/>
        <v>4000</v>
      </c>
      <c r="AC669" t="s">
        <v>16</v>
      </c>
      <c r="AD669" s="3" t="s">
        <v>168</v>
      </c>
    </row>
    <row r="670" spans="1:30" ht="15.75" customHeight="1" x14ac:dyDescent="0.2">
      <c r="A670" s="7" t="str">
        <f t="shared" si="81"/>
        <v>SHENZHEN STRONG TECHNOLOGY CO., LTD.J510New Buy</v>
      </c>
      <c r="B670" s="7" t="str">
        <f t="shared" si="82"/>
        <v>iPadNew Buy</v>
      </c>
      <c r="C670">
        <v>408726</v>
      </c>
      <c r="D670" t="s">
        <v>76</v>
      </c>
      <c r="E670" t="s">
        <v>166</v>
      </c>
      <c r="F670" t="s">
        <v>173</v>
      </c>
      <c r="G670" t="s">
        <v>68</v>
      </c>
      <c r="H670" t="s">
        <v>167</v>
      </c>
      <c r="I670" t="s">
        <v>175</v>
      </c>
      <c r="J670" t="s">
        <v>897</v>
      </c>
      <c r="L670" t="s">
        <v>898</v>
      </c>
      <c r="M670" s="25">
        <v>580</v>
      </c>
      <c r="N670" s="4">
        <v>575</v>
      </c>
      <c r="O670">
        <v>40</v>
      </c>
      <c r="T670" t="s">
        <v>178</v>
      </c>
      <c r="U670" t="s">
        <v>66</v>
      </c>
      <c r="V670" s="25">
        <v>440.8</v>
      </c>
      <c r="W670" s="18" t="s">
        <v>367</v>
      </c>
      <c r="Y670" s="6">
        <f t="shared" si="83"/>
        <v>23200</v>
      </c>
      <c r="Z670" s="6">
        <f t="shared" si="84"/>
        <v>17632</v>
      </c>
      <c r="AA670" s="6">
        <f t="shared" si="85"/>
        <v>23000</v>
      </c>
      <c r="AB670" s="6">
        <f t="shared" si="86"/>
        <v>200</v>
      </c>
      <c r="AC670" t="s">
        <v>16</v>
      </c>
      <c r="AD670" s="3" t="s">
        <v>168</v>
      </c>
    </row>
    <row r="671" spans="1:30" ht="15.75" customHeight="1" x14ac:dyDescent="0.2">
      <c r="A671" s="7" t="str">
        <f t="shared" si="81"/>
        <v>SHENZHEN STRONG TECHNOLOGY CO., LTD.J510New Buy</v>
      </c>
      <c r="B671" s="7" t="str">
        <f t="shared" si="82"/>
        <v>iPadNew Buy</v>
      </c>
      <c r="C671">
        <v>408725</v>
      </c>
      <c r="D671" t="s">
        <v>76</v>
      </c>
      <c r="E671" t="s">
        <v>166</v>
      </c>
      <c r="F671" t="s">
        <v>173</v>
      </c>
      <c r="G671" t="s">
        <v>68</v>
      </c>
      <c r="H671" t="s">
        <v>167</v>
      </c>
      <c r="I671" t="s">
        <v>175</v>
      </c>
      <c r="J671" t="s">
        <v>899</v>
      </c>
      <c r="L671" t="s">
        <v>900</v>
      </c>
      <c r="M671" s="25">
        <v>580</v>
      </c>
      <c r="N671" s="4">
        <v>575</v>
      </c>
      <c r="O671">
        <v>1</v>
      </c>
      <c r="T671" t="s">
        <v>178</v>
      </c>
      <c r="U671" t="s">
        <v>66</v>
      </c>
      <c r="V671" s="25">
        <v>440.8</v>
      </c>
      <c r="W671" s="18" t="s">
        <v>367</v>
      </c>
      <c r="Y671" s="6">
        <f t="shared" si="83"/>
        <v>580</v>
      </c>
      <c r="Z671" s="6">
        <f t="shared" si="84"/>
        <v>440.8</v>
      </c>
      <c r="AA671" s="6">
        <f t="shared" si="85"/>
        <v>575</v>
      </c>
      <c r="AB671" s="6">
        <f t="shared" si="86"/>
        <v>5</v>
      </c>
      <c r="AC671" t="s">
        <v>16</v>
      </c>
      <c r="AD671" s="3" t="s">
        <v>168</v>
      </c>
    </row>
    <row r="672" spans="1:30" ht="15.75" customHeight="1" x14ac:dyDescent="0.2">
      <c r="A672" s="7" t="str">
        <f t="shared" si="81"/>
        <v>SHENZHEN STRONG TECHNOLOGY CO., LTD.J510New Buy</v>
      </c>
      <c r="B672" s="7" t="str">
        <f t="shared" si="82"/>
        <v>iPadNew Buy</v>
      </c>
      <c r="C672">
        <v>408723</v>
      </c>
      <c r="D672" t="s">
        <v>76</v>
      </c>
      <c r="E672" t="s">
        <v>166</v>
      </c>
      <c r="F672" t="s">
        <v>173</v>
      </c>
      <c r="G672" t="s">
        <v>68</v>
      </c>
      <c r="H672" t="s">
        <v>167</v>
      </c>
      <c r="I672" t="s">
        <v>175</v>
      </c>
      <c r="J672" t="s">
        <v>901</v>
      </c>
      <c r="L672" t="s">
        <v>902</v>
      </c>
      <c r="M672" s="25">
        <v>3560</v>
      </c>
      <c r="N672" s="4">
        <v>3150</v>
      </c>
      <c r="O672">
        <v>2</v>
      </c>
      <c r="T672" t="s">
        <v>178</v>
      </c>
      <c r="U672" t="s">
        <v>66</v>
      </c>
      <c r="V672" s="25">
        <v>2705.6</v>
      </c>
      <c r="W672" s="18" t="s">
        <v>367</v>
      </c>
      <c r="Y672" s="6">
        <f t="shared" si="83"/>
        <v>7120</v>
      </c>
      <c r="Z672" s="6">
        <f t="shared" si="84"/>
        <v>5411.2</v>
      </c>
      <c r="AA672" s="6">
        <f t="shared" si="85"/>
        <v>6300</v>
      </c>
      <c r="AB672" s="6">
        <f t="shared" si="86"/>
        <v>820</v>
      </c>
      <c r="AC672" t="s">
        <v>16</v>
      </c>
      <c r="AD672" s="3" t="s">
        <v>168</v>
      </c>
    </row>
    <row r="673" spans="1:30" ht="15.75" customHeight="1" x14ac:dyDescent="0.2">
      <c r="A673" s="7" t="str">
        <f t="shared" si="81"/>
        <v>SHENZHEN STRONG TECHNOLOGY CO., LTD.J510New Buy</v>
      </c>
      <c r="B673" s="7" t="str">
        <f t="shared" si="82"/>
        <v>iPadNew Buy</v>
      </c>
      <c r="C673">
        <v>408722</v>
      </c>
      <c r="D673" t="s">
        <v>76</v>
      </c>
      <c r="E673" t="s">
        <v>166</v>
      </c>
      <c r="F673" t="s">
        <v>173</v>
      </c>
      <c r="G673" t="s">
        <v>68</v>
      </c>
      <c r="H673" t="s">
        <v>167</v>
      </c>
      <c r="I673" t="s">
        <v>175</v>
      </c>
      <c r="J673" t="s">
        <v>903</v>
      </c>
      <c r="L673" t="s">
        <v>904</v>
      </c>
      <c r="M673" s="25">
        <v>3560</v>
      </c>
      <c r="N673" s="4">
        <v>3150</v>
      </c>
      <c r="O673">
        <v>1</v>
      </c>
      <c r="T673" t="s">
        <v>178</v>
      </c>
      <c r="U673" t="s">
        <v>66</v>
      </c>
      <c r="V673" s="25">
        <v>2705.6</v>
      </c>
      <c r="W673" s="18" t="s">
        <v>367</v>
      </c>
      <c r="Y673" s="6">
        <f t="shared" si="83"/>
        <v>3560</v>
      </c>
      <c r="Z673" s="6">
        <f t="shared" si="84"/>
        <v>2705.6</v>
      </c>
      <c r="AA673" s="6">
        <f t="shared" si="85"/>
        <v>3150</v>
      </c>
      <c r="AB673" s="6">
        <f t="shared" si="86"/>
        <v>410</v>
      </c>
      <c r="AC673" t="s">
        <v>16</v>
      </c>
      <c r="AD673" s="3" t="s">
        <v>168</v>
      </c>
    </row>
    <row r="674" spans="1:30" ht="15.75" customHeight="1" x14ac:dyDescent="0.2">
      <c r="A674" s="7" t="str">
        <f t="shared" si="81"/>
        <v>SHENZHEN STRONG TECHNOLOGY CO., LTD.J510New Buy</v>
      </c>
      <c r="B674" s="7" t="str">
        <f t="shared" si="82"/>
        <v>iPadNew Buy</v>
      </c>
      <c r="C674">
        <v>408721</v>
      </c>
      <c r="D674" t="s">
        <v>76</v>
      </c>
      <c r="E674" t="s">
        <v>166</v>
      </c>
      <c r="F674" t="s">
        <v>173</v>
      </c>
      <c r="G674" t="s">
        <v>68</v>
      </c>
      <c r="H674" t="s">
        <v>167</v>
      </c>
      <c r="I674" t="s">
        <v>175</v>
      </c>
      <c r="J674" t="s">
        <v>905</v>
      </c>
      <c r="L674" t="s">
        <v>906</v>
      </c>
      <c r="M674" s="25">
        <v>2880</v>
      </c>
      <c r="N674" s="4">
        <v>2780</v>
      </c>
      <c r="O674">
        <v>2</v>
      </c>
      <c r="T674" t="s">
        <v>178</v>
      </c>
      <c r="U674" t="s">
        <v>66</v>
      </c>
      <c r="V674" s="25">
        <v>2188.8000000000002</v>
      </c>
      <c r="W674" s="18" t="s">
        <v>367</v>
      </c>
      <c r="Y674" s="6">
        <f t="shared" si="83"/>
        <v>5760</v>
      </c>
      <c r="Z674" s="6">
        <f t="shared" si="84"/>
        <v>4377.6000000000004</v>
      </c>
      <c r="AA674" s="6">
        <f t="shared" si="85"/>
        <v>5560</v>
      </c>
      <c r="AB674" s="6">
        <f t="shared" si="86"/>
        <v>200</v>
      </c>
      <c r="AC674" t="s">
        <v>16</v>
      </c>
      <c r="AD674" s="3" t="s">
        <v>168</v>
      </c>
    </row>
    <row r="675" spans="1:30" ht="15.75" customHeight="1" x14ac:dyDescent="0.2">
      <c r="A675" s="7" t="str">
        <f t="shared" ref="A675:A738" si="87">CONCATENATE(D675,G675,H675,K675)</f>
        <v>SHENZHEN STRONG TECHNOLOGY CO., LTD.J510New Buy</v>
      </c>
      <c r="B675" s="7" t="str">
        <f t="shared" ref="B675:B738" si="88">_xlfn.CONCAT(F675,K675,"New Buy")</f>
        <v>iPadNew Buy</v>
      </c>
      <c r="C675">
        <v>408720</v>
      </c>
      <c r="D675" t="s">
        <v>76</v>
      </c>
      <c r="E675" t="s">
        <v>166</v>
      </c>
      <c r="F675" t="s">
        <v>173</v>
      </c>
      <c r="G675" t="s">
        <v>68</v>
      </c>
      <c r="H675" t="s">
        <v>167</v>
      </c>
      <c r="I675" t="s">
        <v>175</v>
      </c>
      <c r="J675" t="s">
        <v>907</v>
      </c>
      <c r="L675" t="s">
        <v>908</v>
      </c>
      <c r="M675" s="25">
        <v>2880</v>
      </c>
      <c r="N675" s="4">
        <v>2780</v>
      </c>
      <c r="O675">
        <v>1</v>
      </c>
      <c r="T675" t="s">
        <v>178</v>
      </c>
      <c r="U675" t="s">
        <v>66</v>
      </c>
      <c r="V675" s="25">
        <v>2188.8000000000002</v>
      </c>
      <c r="W675" s="18" t="s">
        <v>367</v>
      </c>
      <c r="Y675" s="6">
        <f t="shared" ref="Y675:Y738" si="89">IFERROR(O675*M675,0)</f>
        <v>2880</v>
      </c>
      <c r="Z675" s="6">
        <f t="shared" ref="Z675:Z738" si="90">IFERROR(O675*V675,0)</f>
        <v>2188.8000000000002</v>
      </c>
      <c r="AA675" s="6">
        <f t="shared" ref="AA675:AA738" si="91">IFERROR(N675*O675,0)</f>
        <v>2780</v>
      </c>
      <c r="AB675" s="6">
        <f t="shared" si="86"/>
        <v>100</v>
      </c>
      <c r="AC675" t="s">
        <v>16</v>
      </c>
      <c r="AD675" s="3" t="s">
        <v>168</v>
      </c>
    </row>
    <row r="676" spans="1:30" ht="15.75" customHeight="1" x14ac:dyDescent="0.2">
      <c r="A676" s="7" t="str">
        <f t="shared" si="87"/>
        <v>SHENZHEN STRONG TECHNOLOGY CO., LTD.J510New Buy</v>
      </c>
      <c r="B676" s="7" t="str">
        <f t="shared" si="88"/>
        <v>iPadNew Buy</v>
      </c>
      <c r="C676">
        <v>408719</v>
      </c>
      <c r="D676" t="s">
        <v>76</v>
      </c>
      <c r="E676" t="s">
        <v>166</v>
      </c>
      <c r="F676" t="s">
        <v>173</v>
      </c>
      <c r="G676" t="s">
        <v>68</v>
      </c>
      <c r="H676" t="s">
        <v>167</v>
      </c>
      <c r="I676" t="s">
        <v>175</v>
      </c>
      <c r="J676" t="s">
        <v>909</v>
      </c>
      <c r="L676" t="s">
        <v>910</v>
      </c>
      <c r="M676" s="25">
        <v>34200</v>
      </c>
      <c r="N676" s="4">
        <v>30390</v>
      </c>
      <c r="O676">
        <v>1</v>
      </c>
      <c r="T676" t="s">
        <v>178</v>
      </c>
      <c r="U676" t="s">
        <v>66</v>
      </c>
      <c r="V676" s="25">
        <v>25992</v>
      </c>
      <c r="W676" s="18" t="s">
        <v>367</v>
      </c>
      <c r="Y676" s="6">
        <f t="shared" si="89"/>
        <v>34200</v>
      </c>
      <c r="Z676" s="6">
        <f t="shared" si="90"/>
        <v>25992</v>
      </c>
      <c r="AA676" s="6">
        <f t="shared" si="91"/>
        <v>30390</v>
      </c>
      <c r="AB676" s="6">
        <f t="shared" si="86"/>
        <v>3810</v>
      </c>
      <c r="AC676" t="s">
        <v>16</v>
      </c>
      <c r="AD676" s="3" t="s">
        <v>168</v>
      </c>
    </row>
    <row r="677" spans="1:30" ht="15.75" customHeight="1" x14ac:dyDescent="0.2">
      <c r="A677" s="7" t="str">
        <f t="shared" si="87"/>
        <v>SHENZHEN STRONG TECHNOLOGY CO., LTD.J510New Buy</v>
      </c>
      <c r="B677" s="7" t="str">
        <f t="shared" si="88"/>
        <v>iPadNew Buy</v>
      </c>
      <c r="C677">
        <v>408718</v>
      </c>
      <c r="D677" t="s">
        <v>76</v>
      </c>
      <c r="E677" t="s">
        <v>166</v>
      </c>
      <c r="F677" t="s">
        <v>173</v>
      </c>
      <c r="G677" t="s">
        <v>68</v>
      </c>
      <c r="H677" t="s">
        <v>167</v>
      </c>
      <c r="I677" t="s">
        <v>175</v>
      </c>
      <c r="J677" t="s">
        <v>911</v>
      </c>
      <c r="L677" t="s">
        <v>912</v>
      </c>
      <c r="M677" s="25">
        <v>495</v>
      </c>
      <c r="N677" s="4">
        <v>495</v>
      </c>
      <c r="O677">
        <v>1</v>
      </c>
      <c r="T677" t="s">
        <v>178</v>
      </c>
      <c r="U677" t="s">
        <v>66</v>
      </c>
      <c r="V677" s="25">
        <v>376.2</v>
      </c>
      <c r="W677" s="18" t="s">
        <v>367</v>
      </c>
      <c r="Y677" s="6">
        <f t="shared" si="89"/>
        <v>495</v>
      </c>
      <c r="Z677" s="6">
        <f t="shared" si="90"/>
        <v>376.2</v>
      </c>
      <c r="AA677" s="6">
        <f t="shared" si="91"/>
        <v>495</v>
      </c>
      <c r="AB677" s="6">
        <f t="shared" si="86"/>
        <v>0</v>
      </c>
      <c r="AC677" t="s">
        <v>16</v>
      </c>
      <c r="AD677" s="3" t="s">
        <v>168</v>
      </c>
    </row>
    <row r="678" spans="1:30" ht="15.75" customHeight="1" x14ac:dyDescent="0.2">
      <c r="A678" s="7" t="str">
        <f t="shared" si="87"/>
        <v>SHENZHEN STRONG TECHNOLOGY CO., LTD.J510New Buy</v>
      </c>
      <c r="B678" s="7" t="str">
        <f t="shared" si="88"/>
        <v>iPadNew Buy</v>
      </c>
      <c r="C678">
        <v>408717</v>
      </c>
      <c r="D678" t="s">
        <v>76</v>
      </c>
      <c r="E678" t="s">
        <v>166</v>
      </c>
      <c r="F678" t="s">
        <v>173</v>
      </c>
      <c r="G678" t="s">
        <v>68</v>
      </c>
      <c r="H678" t="s">
        <v>167</v>
      </c>
      <c r="I678" t="s">
        <v>175</v>
      </c>
      <c r="J678" t="s">
        <v>913</v>
      </c>
      <c r="L678" t="s">
        <v>914</v>
      </c>
      <c r="M678" s="25">
        <v>2580</v>
      </c>
      <c r="N678" s="4">
        <v>2580</v>
      </c>
      <c r="O678">
        <v>1</v>
      </c>
      <c r="T678" t="s">
        <v>178</v>
      </c>
      <c r="U678" t="s">
        <v>66</v>
      </c>
      <c r="V678" s="25">
        <v>1960.8</v>
      </c>
      <c r="W678" s="18" t="s">
        <v>367</v>
      </c>
      <c r="Y678" s="6">
        <f t="shared" si="89"/>
        <v>2580</v>
      </c>
      <c r="Z678" s="6">
        <f t="shared" si="90"/>
        <v>1960.8</v>
      </c>
      <c r="AA678" s="6">
        <f t="shared" si="91"/>
        <v>2580</v>
      </c>
      <c r="AB678" s="6">
        <f t="shared" si="86"/>
        <v>0</v>
      </c>
      <c r="AC678" t="s">
        <v>16</v>
      </c>
      <c r="AD678" s="3" t="s">
        <v>168</v>
      </c>
    </row>
    <row r="679" spans="1:30" ht="15.75" customHeight="1" x14ac:dyDescent="0.2">
      <c r="A679" s="7" t="str">
        <f t="shared" si="87"/>
        <v>SHENZHEN STRONG TECHNOLOGY CO., LTD.J510New Buy</v>
      </c>
      <c r="B679" s="7" t="str">
        <f t="shared" si="88"/>
        <v>iPadNew Buy</v>
      </c>
      <c r="C679">
        <v>408716</v>
      </c>
      <c r="D679" t="s">
        <v>76</v>
      </c>
      <c r="E679" t="s">
        <v>166</v>
      </c>
      <c r="F679" t="s">
        <v>173</v>
      </c>
      <c r="G679" t="s">
        <v>68</v>
      </c>
      <c r="H679" t="s">
        <v>167</v>
      </c>
      <c r="I679" t="s">
        <v>175</v>
      </c>
      <c r="J679" t="s">
        <v>915</v>
      </c>
      <c r="L679" t="s">
        <v>916</v>
      </c>
      <c r="M679" s="25">
        <v>550</v>
      </c>
      <c r="N679" s="4">
        <v>550</v>
      </c>
      <c r="O679">
        <v>1</v>
      </c>
      <c r="T679" t="s">
        <v>178</v>
      </c>
      <c r="U679" t="s">
        <v>66</v>
      </c>
      <c r="V679" s="25">
        <v>418</v>
      </c>
      <c r="W679" s="18" t="s">
        <v>367</v>
      </c>
      <c r="Y679" s="6">
        <f t="shared" si="89"/>
        <v>550</v>
      </c>
      <c r="Z679" s="6">
        <f t="shared" si="90"/>
        <v>418</v>
      </c>
      <c r="AA679" s="6">
        <f t="shared" si="91"/>
        <v>550</v>
      </c>
      <c r="AB679" s="6">
        <f t="shared" si="86"/>
        <v>0</v>
      </c>
      <c r="AC679" t="s">
        <v>16</v>
      </c>
      <c r="AD679" s="3" t="s">
        <v>168</v>
      </c>
    </row>
    <row r="680" spans="1:30" ht="15.75" customHeight="1" x14ac:dyDescent="0.2">
      <c r="A680" s="7" t="str">
        <f t="shared" si="87"/>
        <v>SHENZHEN STRONG TECHNOLOGY CO., LTD.J510New Buy</v>
      </c>
      <c r="B680" s="7" t="str">
        <f t="shared" si="88"/>
        <v>iPadNew Buy</v>
      </c>
      <c r="C680">
        <v>408715</v>
      </c>
      <c r="D680" t="s">
        <v>76</v>
      </c>
      <c r="E680" t="s">
        <v>166</v>
      </c>
      <c r="F680" t="s">
        <v>173</v>
      </c>
      <c r="G680" t="s">
        <v>68</v>
      </c>
      <c r="H680" t="s">
        <v>167</v>
      </c>
      <c r="I680" t="s">
        <v>175</v>
      </c>
      <c r="J680" t="s">
        <v>917</v>
      </c>
      <c r="L680" t="s">
        <v>918</v>
      </c>
      <c r="M680" s="25">
        <v>1050</v>
      </c>
      <c r="N680" s="4">
        <v>1050</v>
      </c>
      <c r="O680">
        <v>1</v>
      </c>
      <c r="T680" t="s">
        <v>178</v>
      </c>
      <c r="U680" t="s">
        <v>66</v>
      </c>
      <c r="V680" s="25">
        <v>798</v>
      </c>
      <c r="W680" s="18" t="s">
        <v>367</v>
      </c>
      <c r="Y680" s="6">
        <f t="shared" si="89"/>
        <v>1050</v>
      </c>
      <c r="Z680" s="6">
        <f t="shared" si="90"/>
        <v>798</v>
      </c>
      <c r="AA680" s="6">
        <f t="shared" si="91"/>
        <v>1050</v>
      </c>
      <c r="AB680" s="6">
        <f t="shared" si="86"/>
        <v>0</v>
      </c>
      <c r="AC680" t="s">
        <v>16</v>
      </c>
      <c r="AD680" s="3" t="s">
        <v>168</v>
      </c>
    </row>
    <row r="681" spans="1:30" ht="15.75" customHeight="1" x14ac:dyDescent="0.2">
      <c r="A681" s="7" t="str">
        <f t="shared" si="87"/>
        <v>SHENZHEN STRONG TECHNOLOGY CO., LTD.J510New Buy</v>
      </c>
      <c r="B681" s="7" t="str">
        <f t="shared" si="88"/>
        <v>iPadNew Buy</v>
      </c>
      <c r="C681">
        <v>408714</v>
      </c>
      <c r="D681" t="s">
        <v>76</v>
      </c>
      <c r="E681" t="s">
        <v>166</v>
      </c>
      <c r="F681" t="s">
        <v>173</v>
      </c>
      <c r="G681" t="s">
        <v>68</v>
      </c>
      <c r="H681" t="s">
        <v>167</v>
      </c>
      <c r="I681" t="s">
        <v>175</v>
      </c>
      <c r="J681" t="s">
        <v>919</v>
      </c>
      <c r="L681" t="s">
        <v>920</v>
      </c>
      <c r="M681" s="25">
        <v>960</v>
      </c>
      <c r="N681" s="4">
        <v>960</v>
      </c>
      <c r="O681">
        <v>1</v>
      </c>
      <c r="T681" t="s">
        <v>178</v>
      </c>
      <c r="U681" t="s">
        <v>66</v>
      </c>
      <c r="V681" s="25">
        <v>729.6</v>
      </c>
      <c r="W681" s="18" t="s">
        <v>367</v>
      </c>
      <c r="Y681" s="6">
        <f t="shared" si="89"/>
        <v>960</v>
      </c>
      <c r="Z681" s="6">
        <f t="shared" si="90"/>
        <v>729.6</v>
      </c>
      <c r="AA681" s="6">
        <f t="shared" si="91"/>
        <v>960</v>
      </c>
      <c r="AB681" s="6">
        <f t="shared" si="86"/>
        <v>0</v>
      </c>
      <c r="AC681" t="s">
        <v>16</v>
      </c>
      <c r="AD681" s="3" t="s">
        <v>168</v>
      </c>
    </row>
    <row r="682" spans="1:30" ht="15.75" customHeight="1" x14ac:dyDescent="0.2">
      <c r="A682" s="7" t="str">
        <f t="shared" si="87"/>
        <v>SHENZHEN STRONG TECHNOLOGY CO., LTD.J510New Buy</v>
      </c>
      <c r="B682" s="7" t="str">
        <f t="shared" si="88"/>
        <v>iPadNew Buy</v>
      </c>
      <c r="C682">
        <v>408712</v>
      </c>
      <c r="D682" t="s">
        <v>76</v>
      </c>
      <c r="E682" t="s">
        <v>166</v>
      </c>
      <c r="F682" t="s">
        <v>173</v>
      </c>
      <c r="G682" t="s">
        <v>68</v>
      </c>
      <c r="H682" t="s">
        <v>167</v>
      </c>
      <c r="I682" t="s">
        <v>175</v>
      </c>
      <c r="J682" t="s">
        <v>921</v>
      </c>
      <c r="L682" t="s">
        <v>922</v>
      </c>
      <c r="M682" s="25">
        <v>38</v>
      </c>
      <c r="N682" s="4">
        <v>35</v>
      </c>
      <c r="O682">
        <v>1</v>
      </c>
      <c r="T682" t="s">
        <v>178</v>
      </c>
      <c r="U682" t="s">
        <v>66</v>
      </c>
      <c r="V682" s="25">
        <v>28.88</v>
      </c>
      <c r="W682" s="18" t="s">
        <v>367</v>
      </c>
      <c r="Y682" s="6">
        <f t="shared" si="89"/>
        <v>38</v>
      </c>
      <c r="Z682" s="6">
        <f t="shared" si="90"/>
        <v>28.88</v>
      </c>
      <c r="AA682" s="6">
        <f t="shared" si="91"/>
        <v>35</v>
      </c>
      <c r="AB682" s="6">
        <f t="shared" si="86"/>
        <v>3</v>
      </c>
      <c r="AC682" t="s">
        <v>16</v>
      </c>
      <c r="AD682" s="3" t="s">
        <v>168</v>
      </c>
    </row>
    <row r="683" spans="1:30" ht="15.75" customHeight="1" x14ac:dyDescent="0.2">
      <c r="A683" s="7" t="str">
        <f t="shared" si="87"/>
        <v>SHENZHEN STRONG TECHNOLOGY CO., LTD.J510New Buy</v>
      </c>
      <c r="B683" s="7" t="str">
        <f t="shared" si="88"/>
        <v>iPadNew Buy</v>
      </c>
      <c r="C683">
        <v>408710</v>
      </c>
      <c r="D683" t="s">
        <v>76</v>
      </c>
      <c r="E683" t="s">
        <v>166</v>
      </c>
      <c r="F683" t="s">
        <v>173</v>
      </c>
      <c r="G683" t="s">
        <v>68</v>
      </c>
      <c r="H683" t="s">
        <v>167</v>
      </c>
      <c r="I683" t="s">
        <v>175</v>
      </c>
      <c r="J683" t="s">
        <v>923</v>
      </c>
      <c r="L683" t="s">
        <v>924</v>
      </c>
      <c r="M683" s="25">
        <v>1460</v>
      </c>
      <c r="N683" s="4">
        <v>1460</v>
      </c>
      <c r="O683">
        <v>1</v>
      </c>
      <c r="T683" t="s">
        <v>178</v>
      </c>
      <c r="U683" t="s">
        <v>66</v>
      </c>
      <c r="V683" s="25">
        <v>1109.5999999999999</v>
      </c>
      <c r="W683" s="18" t="s">
        <v>367</v>
      </c>
      <c r="Y683" s="6">
        <f t="shared" si="89"/>
        <v>1460</v>
      </c>
      <c r="Z683" s="6">
        <f t="shared" si="90"/>
        <v>1109.5999999999999</v>
      </c>
      <c r="AA683" s="6">
        <f t="shared" si="91"/>
        <v>1460</v>
      </c>
      <c r="AB683" s="6">
        <f t="shared" si="86"/>
        <v>0</v>
      </c>
      <c r="AC683" t="s">
        <v>16</v>
      </c>
      <c r="AD683" s="3" t="s">
        <v>168</v>
      </c>
    </row>
    <row r="684" spans="1:30" ht="15.75" customHeight="1" x14ac:dyDescent="0.2">
      <c r="A684" s="7" t="str">
        <f t="shared" si="87"/>
        <v>SHENZHEN STRONG TECHNOLOGY CO., LTD.J510New Buy</v>
      </c>
      <c r="B684" s="7" t="str">
        <f t="shared" si="88"/>
        <v>iPadNew Buy</v>
      </c>
      <c r="C684">
        <v>408709</v>
      </c>
      <c r="D684" t="s">
        <v>76</v>
      </c>
      <c r="E684" t="s">
        <v>166</v>
      </c>
      <c r="F684" t="s">
        <v>173</v>
      </c>
      <c r="G684" t="s">
        <v>68</v>
      </c>
      <c r="H684" t="s">
        <v>167</v>
      </c>
      <c r="I684" t="s">
        <v>175</v>
      </c>
      <c r="J684" t="s">
        <v>925</v>
      </c>
      <c r="L684" t="s">
        <v>926</v>
      </c>
      <c r="M684" s="25">
        <v>60</v>
      </c>
      <c r="N684" s="4">
        <v>50</v>
      </c>
      <c r="O684">
        <v>1</v>
      </c>
      <c r="T684" t="s">
        <v>178</v>
      </c>
      <c r="U684" t="s">
        <v>66</v>
      </c>
      <c r="V684" s="25">
        <v>45.6</v>
      </c>
      <c r="W684" s="18" t="s">
        <v>367</v>
      </c>
      <c r="Y684" s="6">
        <f t="shared" si="89"/>
        <v>60</v>
      </c>
      <c r="Z684" s="6">
        <f t="shared" si="90"/>
        <v>45.6</v>
      </c>
      <c r="AA684" s="6">
        <f t="shared" si="91"/>
        <v>50</v>
      </c>
      <c r="AB684" s="6">
        <f t="shared" si="86"/>
        <v>10</v>
      </c>
      <c r="AC684" t="s">
        <v>16</v>
      </c>
      <c r="AD684" s="3" t="s">
        <v>168</v>
      </c>
    </row>
    <row r="685" spans="1:30" ht="15.75" customHeight="1" x14ac:dyDescent="0.2">
      <c r="A685" s="7" t="str">
        <f t="shared" si="87"/>
        <v>SHENZHEN STRONG TECHNOLOGY CO., LTD.J510New Buy</v>
      </c>
      <c r="B685" s="7" t="str">
        <f t="shared" si="88"/>
        <v>iPadNew Buy</v>
      </c>
      <c r="C685">
        <v>408708</v>
      </c>
      <c r="D685" t="s">
        <v>76</v>
      </c>
      <c r="E685" t="s">
        <v>166</v>
      </c>
      <c r="F685" t="s">
        <v>173</v>
      </c>
      <c r="G685" t="s">
        <v>68</v>
      </c>
      <c r="H685" t="s">
        <v>167</v>
      </c>
      <c r="I685" t="s">
        <v>175</v>
      </c>
      <c r="J685" t="s">
        <v>927</v>
      </c>
      <c r="L685" t="s">
        <v>928</v>
      </c>
      <c r="M685" s="25">
        <v>1550</v>
      </c>
      <c r="N685" s="4">
        <v>1420</v>
      </c>
      <c r="O685">
        <v>1</v>
      </c>
      <c r="T685" t="s">
        <v>178</v>
      </c>
      <c r="U685" t="s">
        <v>66</v>
      </c>
      <c r="V685" s="25">
        <v>1178</v>
      </c>
      <c r="W685" s="18" t="s">
        <v>367</v>
      </c>
      <c r="Y685" s="6">
        <f t="shared" si="89"/>
        <v>1550</v>
      </c>
      <c r="Z685" s="6">
        <f t="shared" si="90"/>
        <v>1178</v>
      </c>
      <c r="AA685" s="6">
        <f t="shared" si="91"/>
        <v>1420</v>
      </c>
      <c r="AB685" s="6">
        <f t="shared" si="86"/>
        <v>130</v>
      </c>
      <c r="AC685" t="s">
        <v>16</v>
      </c>
      <c r="AD685" s="3" t="s">
        <v>168</v>
      </c>
    </row>
    <row r="686" spans="1:30" ht="15.75" customHeight="1" x14ac:dyDescent="0.2">
      <c r="A686" s="7" t="str">
        <f t="shared" si="87"/>
        <v>SHENZHEN STRONG TECHNOLOGY CO., LTD.J510New Buy</v>
      </c>
      <c r="B686" s="7" t="str">
        <f t="shared" si="88"/>
        <v>iPadNew Buy</v>
      </c>
      <c r="C686">
        <v>408707</v>
      </c>
      <c r="D686" t="s">
        <v>76</v>
      </c>
      <c r="E686" t="s">
        <v>166</v>
      </c>
      <c r="F686" t="s">
        <v>173</v>
      </c>
      <c r="G686" t="s">
        <v>68</v>
      </c>
      <c r="H686" t="s">
        <v>167</v>
      </c>
      <c r="I686" t="s">
        <v>175</v>
      </c>
      <c r="J686" t="s">
        <v>929</v>
      </c>
      <c r="L686" t="s">
        <v>930</v>
      </c>
      <c r="M686" s="25">
        <v>1020</v>
      </c>
      <c r="N686" s="4">
        <v>1020</v>
      </c>
      <c r="O686">
        <v>1</v>
      </c>
      <c r="T686" t="s">
        <v>178</v>
      </c>
      <c r="U686" t="s">
        <v>66</v>
      </c>
      <c r="V686" s="25">
        <v>775.2</v>
      </c>
      <c r="W686" s="18" t="s">
        <v>367</v>
      </c>
      <c r="Y686" s="6">
        <f t="shared" si="89"/>
        <v>1020</v>
      </c>
      <c r="Z686" s="6">
        <f t="shared" si="90"/>
        <v>775.2</v>
      </c>
      <c r="AA686" s="6">
        <f t="shared" si="91"/>
        <v>1020</v>
      </c>
      <c r="AB686" s="6">
        <f t="shared" si="86"/>
        <v>0</v>
      </c>
      <c r="AC686" t="s">
        <v>16</v>
      </c>
      <c r="AD686" s="3" t="s">
        <v>168</v>
      </c>
    </row>
    <row r="687" spans="1:30" ht="15.75" customHeight="1" x14ac:dyDescent="0.2">
      <c r="A687" s="7" t="str">
        <f t="shared" si="87"/>
        <v>SHENZHEN STRONG TECHNOLOGY CO., LTD.J510New Buy</v>
      </c>
      <c r="B687" s="7" t="str">
        <f t="shared" si="88"/>
        <v>iPadNew Buy</v>
      </c>
      <c r="C687">
        <v>408706</v>
      </c>
      <c r="D687" t="s">
        <v>76</v>
      </c>
      <c r="E687" t="s">
        <v>166</v>
      </c>
      <c r="F687" t="s">
        <v>173</v>
      </c>
      <c r="G687" t="s">
        <v>68</v>
      </c>
      <c r="H687" t="s">
        <v>167</v>
      </c>
      <c r="I687" t="s">
        <v>175</v>
      </c>
      <c r="J687" t="s">
        <v>931</v>
      </c>
      <c r="L687" t="s">
        <v>932</v>
      </c>
      <c r="M687" s="25">
        <v>1380</v>
      </c>
      <c r="N687" s="4">
        <v>1350</v>
      </c>
      <c r="O687">
        <v>1</v>
      </c>
      <c r="T687" t="s">
        <v>178</v>
      </c>
      <c r="U687" t="s">
        <v>66</v>
      </c>
      <c r="V687" s="25">
        <v>1048.8</v>
      </c>
      <c r="W687" s="18" t="s">
        <v>367</v>
      </c>
      <c r="Y687" s="6">
        <f t="shared" si="89"/>
        <v>1380</v>
      </c>
      <c r="Z687" s="6">
        <f t="shared" si="90"/>
        <v>1048.8</v>
      </c>
      <c r="AA687" s="6">
        <f t="shared" si="91"/>
        <v>1350</v>
      </c>
      <c r="AB687" s="6">
        <f t="shared" si="86"/>
        <v>30</v>
      </c>
      <c r="AC687" t="s">
        <v>16</v>
      </c>
      <c r="AD687" s="3" t="s">
        <v>168</v>
      </c>
    </row>
    <row r="688" spans="1:30" ht="15.75" customHeight="1" x14ac:dyDescent="0.2">
      <c r="A688" s="7" t="str">
        <f t="shared" si="87"/>
        <v>SHENZHEN STRONG TECHNOLOGY CO., LTD.J510New Buy</v>
      </c>
      <c r="B688" s="7" t="str">
        <f t="shared" si="88"/>
        <v>iPadNew Buy</v>
      </c>
      <c r="C688">
        <v>408705</v>
      </c>
      <c r="D688" t="s">
        <v>76</v>
      </c>
      <c r="E688" t="s">
        <v>166</v>
      </c>
      <c r="F688" t="s">
        <v>173</v>
      </c>
      <c r="G688" t="s">
        <v>68</v>
      </c>
      <c r="H688" t="s">
        <v>167</v>
      </c>
      <c r="I688" t="s">
        <v>175</v>
      </c>
      <c r="J688" t="s">
        <v>933</v>
      </c>
      <c r="L688" t="s">
        <v>934</v>
      </c>
      <c r="M688" s="25">
        <v>1880</v>
      </c>
      <c r="N688" s="4">
        <v>1880</v>
      </c>
      <c r="O688">
        <v>1</v>
      </c>
      <c r="T688" t="s">
        <v>178</v>
      </c>
      <c r="U688" t="s">
        <v>66</v>
      </c>
      <c r="V688" s="25">
        <v>1428.8</v>
      </c>
      <c r="W688" s="18" t="s">
        <v>367</v>
      </c>
      <c r="Y688" s="6">
        <f t="shared" si="89"/>
        <v>1880</v>
      </c>
      <c r="Z688" s="6">
        <f t="shared" si="90"/>
        <v>1428.8</v>
      </c>
      <c r="AA688" s="6">
        <f t="shared" si="91"/>
        <v>1880</v>
      </c>
      <c r="AB688" s="6">
        <f t="shared" si="86"/>
        <v>0</v>
      </c>
      <c r="AC688" t="s">
        <v>16</v>
      </c>
      <c r="AD688" s="3" t="s">
        <v>168</v>
      </c>
    </row>
    <row r="689" spans="1:30" ht="15.75" customHeight="1" x14ac:dyDescent="0.2">
      <c r="A689" s="7" t="str">
        <f t="shared" si="87"/>
        <v>SHENZHEN STRONG TECHNOLOGY CO., LTD.J510New Buy</v>
      </c>
      <c r="B689" s="7" t="str">
        <f t="shared" si="88"/>
        <v>iPadNew Buy</v>
      </c>
      <c r="C689">
        <v>408704</v>
      </c>
      <c r="D689" t="s">
        <v>76</v>
      </c>
      <c r="E689" t="s">
        <v>166</v>
      </c>
      <c r="F689" t="s">
        <v>173</v>
      </c>
      <c r="G689" t="s">
        <v>68</v>
      </c>
      <c r="H689" t="s">
        <v>167</v>
      </c>
      <c r="I689" t="s">
        <v>175</v>
      </c>
      <c r="J689" t="s">
        <v>935</v>
      </c>
      <c r="L689" t="s">
        <v>936</v>
      </c>
      <c r="M689" s="25">
        <v>60</v>
      </c>
      <c r="N689" s="4">
        <v>50</v>
      </c>
      <c r="O689">
        <v>1</v>
      </c>
      <c r="T689" t="s">
        <v>178</v>
      </c>
      <c r="U689" t="s">
        <v>66</v>
      </c>
      <c r="V689" s="25">
        <v>45.6</v>
      </c>
      <c r="W689" s="18" t="s">
        <v>367</v>
      </c>
      <c r="Y689" s="6">
        <f t="shared" si="89"/>
        <v>60</v>
      </c>
      <c r="Z689" s="6">
        <f t="shared" si="90"/>
        <v>45.6</v>
      </c>
      <c r="AA689" s="6">
        <f t="shared" si="91"/>
        <v>50</v>
      </c>
      <c r="AB689" s="6">
        <f t="shared" si="86"/>
        <v>10</v>
      </c>
      <c r="AC689" t="s">
        <v>16</v>
      </c>
      <c r="AD689" s="3" t="s">
        <v>168</v>
      </c>
    </row>
    <row r="690" spans="1:30" ht="15.75" customHeight="1" x14ac:dyDescent="0.2">
      <c r="A690" s="7" t="str">
        <f t="shared" si="87"/>
        <v>SHENZHEN STRONG TECHNOLOGY CO., LTD.J510New Buy</v>
      </c>
      <c r="B690" s="7" t="str">
        <f t="shared" si="88"/>
        <v>iPadNew Buy</v>
      </c>
      <c r="C690">
        <v>408703</v>
      </c>
      <c r="D690" t="s">
        <v>76</v>
      </c>
      <c r="E690" t="s">
        <v>166</v>
      </c>
      <c r="F690" t="s">
        <v>173</v>
      </c>
      <c r="G690" t="s">
        <v>68</v>
      </c>
      <c r="H690" t="s">
        <v>167</v>
      </c>
      <c r="I690" t="s">
        <v>175</v>
      </c>
      <c r="J690" t="s">
        <v>937</v>
      </c>
      <c r="L690" t="s">
        <v>938</v>
      </c>
      <c r="M690" s="25">
        <v>1380</v>
      </c>
      <c r="N690" s="4">
        <v>1350</v>
      </c>
      <c r="O690">
        <v>1</v>
      </c>
      <c r="T690" t="s">
        <v>178</v>
      </c>
      <c r="U690" t="s">
        <v>66</v>
      </c>
      <c r="V690" s="25">
        <v>1048.8</v>
      </c>
      <c r="W690" s="18" t="s">
        <v>367</v>
      </c>
      <c r="Y690" s="6">
        <f t="shared" si="89"/>
        <v>1380</v>
      </c>
      <c r="Z690" s="6">
        <f t="shared" si="90"/>
        <v>1048.8</v>
      </c>
      <c r="AA690" s="6">
        <f t="shared" si="91"/>
        <v>1350</v>
      </c>
      <c r="AB690" s="6">
        <f t="shared" si="86"/>
        <v>30</v>
      </c>
      <c r="AC690" t="s">
        <v>16</v>
      </c>
      <c r="AD690" s="3" t="s">
        <v>168</v>
      </c>
    </row>
    <row r="691" spans="1:30" ht="15.75" customHeight="1" x14ac:dyDescent="0.2">
      <c r="A691" s="7" t="str">
        <f t="shared" si="87"/>
        <v>SHENZHEN STRONG TECHNOLOGY CO., LTD.J510New Buy</v>
      </c>
      <c r="B691" s="7" t="str">
        <f t="shared" si="88"/>
        <v>iPadNew Buy</v>
      </c>
      <c r="C691">
        <v>408702</v>
      </c>
      <c r="D691" t="s">
        <v>76</v>
      </c>
      <c r="E691" t="s">
        <v>166</v>
      </c>
      <c r="F691" t="s">
        <v>173</v>
      </c>
      <c r="G691" t="s">
        <v>68</v>
      </c>
      <c r="H691" t="s">
        <v>167</v>
      </c>
      <c r="I691" t="s">
        <v>175</v>
      </c>
      <c r="J691" t="s">
        <v>939</v>
      </c>
      <c r="L691" t="s">
        <v>940</v>
      </c>
      <c r="M691" s="25">
        <v>1880</v>
      </c>
      <c r="N691" s="4">
        <v>1880</v>
      </c>
      <c r="O691">
        <v>1</v>
      </c>
      <c r="T691" t="s">
        <v>178</v>
      </c>
      <c r="U691" t="s">
        <v>66</v>
      </c>
      <c r="V691" s="25">
        <v>1428.8</v>
      </c>
      <c r="W691" s="18" t="s">
        <v>367</v>
      </c>
      <c r="Y691" s="6">
        <f t="shared" si="89"/>
        <v>1880</v>
      </c>
      <c r="Z691" s="6">
        <f t="shared" si="90"/>
        <v>1428.8</v>
      </c>
      <c r="AA691" s="6">
        <f t="shared" si="91"/>
        <v>1880</v>
      </c>
      <c r="AB691" s="6">
        <f t="shared" si="86"/>
        <v>0</v>
      </c>
      <c r="AC691" t="s">
        <v>16</v>
      </c>
      <c r="AD691" s="3" t="s">
        <v>168</v>
      </c>
    </row>
    <row r="692" spans="1:30" ht="15.75" customHeight="1" x14ac:dyDescent="0.2">
      <c r="A692" s="7" t="str">
        <f t="shared" si="87"/>
        <v>SHENZHEN STRONG TECHNOLOGY CO., LTD.J510New Buy</v>
      </c>
      <c r="B692" s="7" t="str">
        <f t="shared" si="88"/>
        <v>iPadNew Buy</v>
      </c>
      <c r="C692">
        <v>408701</v>
      </c>
      <c r="D692" t="s">
        <v>76</v>
      </c>
      <c r="E692" t="s">
        <v>166</v>
      </c>
      <c r="F692" t="s">
        <v>173</v>
      </c>
      <c r="G692" t="s">
        <v>68</v>
      </c>
      <c r="H692" t="s">
        <v>167</v>
      </c>
      <c r="I692" t="s">
        <v>175</v>
      </c>
      <c r="J692" t="s">
        <v>941</v>
      </c>
      <c r="L692" t="s">
        <v>942</v>
      </c>
      <c r="M692" s="25">
        <v>58</v>
      </c>
      <c r="N692" s="4">
        <v>50</v>
      </c>
      <c r="O692">
        <v>1</v>
      </c>
      <c r="T692" t="s">
        <v>178</v>
      </c>
      <c r="U692" t="s">
        <v>66</v>
      </c>
      <c r="V692" s="25">
        <v>44.08</v>
      </c>
      <c r="W692" s="18" t="s">
        <v>367</v>
      </c>
      <c r="Y692" s="6">
        <f t="shared" si="89"/>
        <v>58</v>
      </c>
      <c r="Z692" s="6">
        <f t="shared" si="90"/>
        <v>44.08</v>
      </c>
      <c r="AA692" s="6">
        <f t="shared" si="91"/>
        <v>50</v>
      </c>
      <c r="AB692" s="6">
        <f t="shared" si="86"/>
        <v>8</v>
      </c>
      <c r="AC692" t="s">
        <v>16</v>
      </c>
      <c r="AD692" s="3" t="s">
        <v>168</v>
      </c>
    </row>
    <row r="693" spans="1:30" ht="15.75" customHeight="1" x14ac:dyDescent="0.2">
      <c r="A693" s="7" t="str">
        <f t="shared" si="87"/>
        <v>SHENZHEN STRONG TECHNOLOGY CO., LTD.J510New Buy</v>
      </c>
      <c r="B693" s="7" t="str">
        <f t="shared" si="88"/>
        <v>iPadNew Buy</v>
      </c>
      <c r="C693">
        <v>408700</v>
      </c>
      <c r="D693" t="s">
        <v>76</v>
      </c>
      <c r="E693" t="s">
        <v>166</v>
      </c>
      <c r="F693" t="s">
        <v>173</v>
      </c>
      <c r="G693" t="s">
        <v>68</v>
      </c>
      <c r="H693" t="s">
        <v>167</v>
      </c>
      <c r="I693" t="s">
        <v>175</v>
      </c>
      <c r="J693" t="s">
        <v>943</v>
      </c>
      <c r="L693" t="s">
        <v>944</v>
      </c>
      <c r="M693" s="25">
        <v>354</v>
      </c>
      <c r="N693" s="4">
        <v>300</v>
      </c>
      <c r="O693">
        <v>1</v>
      </c>
      <c r="T693" t="s">
        <v>178</v>
      </c>
      <c r="U693" t="s">
        <v>66</v>
      </c>
      <c r="V693" s="25">
        <v>269.04000000000002</v>
      </c>
      <c r="W693" s="18" t="s">
        <v>367</v>
      </c>
      <c r="Y693" s="6">
        <f t="shared" si="89"/>
        <v>354</v>
      </c>
      <c r="Z693" s="6">
        <f t="shared" si="90"/>
        <v>269.04000000000002</v>
      </c>
      <c r="AA693" s="6">
        <f t="shared" si="91"/>
        <v>300</v>
      </c>
      <c r="AB693" s="6">
        <f t="shared" si="86"/>
        <v>54</v>
      </c>
      <c r="AC693" t="s">
        <v>16</v>
      </c>
      <c r="AD693" s="3" t="s">
        <v>168</v>
      </c>
    </row>
    <row r="694" spans="1:30" ht="15.75" customHeight="1" x14ac:dyDescent="0.2">
      <c r="A694" s="7" t="str">
        <f t="shared" si="87"/>
        <v>SHENZHEN STRONG TECHNOLOGY CO., LTD.J510New Buy</v>
      </c>
      <c r="B694" s="7" t="str">
        <f t="shared" si="88"/>
        <v>iPadNew Buy</v>
      </c>
      <c r="C694">
        <v>408697</v>
      </c>
      <c r="D694" t="s">
        <v>76</v>
      </c>
      <c r="E694" t="s">
        <v>166</v>
      </c>
      <c r="F694" t="s">
        <v>173</v>
      </c>
      <c r="G694" t="s">
        <v>68</v>
      </c>
      <c r="H694" t="s">
        <v>167</v>
      </c>
      <c r="I694" t="s">
        <v>175</v>
      </c>
      <c r="J694" t="s">
        <v>945</v>
      </c>
      <c r="L694" t="s">
        <v>946</v>
      </c>
      <c r="M694" s="25">
        <v>120</v>
      </c>
      <c r="N694" s="4">
        <v>91.2</v>
      </c>
      <c r="O694">
        <v>1</v>
      </c>
      <c r="T694" t="s">
        <v>178</v>
      </c>
      <c r="U694" t="s">
        <v>66</v>
      </c>
      <c r="V694" s="25">
        <v>91.2</v>
      </c>
      <c r="W694" s="18" t="s">
        <v>367</v>
      </c>
      <c r="Y694" s="6">
        <f t="shared" si="89"/>
        <v>120</v>
      </c>
      <c r="Z694" s="6">
        <f t="shared" si="90"/>
        <v>91.2</v>
      </c>
      <c r="AA694" s="6">
        <f t="shared" si="91"/>
        <v>91.2</v>
      </c>
      <c r="AB694" s="6">
        <f t="shared" si="86"/>
        <v>28.799999999999997</v>
      </c>
      <c r="AC694" t="s">
        <v>16</v>
      </c>
      <c r="AD694" s="3" t="s">
        <v>168</v>
      </c>
    </row>
    <row r="695" spans="1:30" ht="15.75" customHeight="1" x14ac:dyDescent="0.2">
      <c r="A695" s="7" t="str">
        <f t="shared" si="87"/>
        <v>SHENZHEN STRONG TECHNOLOGY CO., LTD.J510New Buy</v>
      </c>
      <c r="B695" s="7" t="str">
        <f t="shared" si="88"/>
        <v>iPadNew Buy</v>
      </c>
      <c r="C695">
        <v>408696</v>
      </c>
      <c r="D695" t="s">
        <v>76</v>
      </c>
      <c r="E695" t="s">
        <v>166</v>
      </c>
      <c r="F695" t="s">
        <v>173</v>
      </c>
      <c r="G695" t="s">
        <v>68</v>
      </c>
      <c r="H695" t="s">
        <v>167</v>
      </c>
      <c r="I695" t="s">
        <v>175</v>
      </c>
      <c r="J695" t="s">
        <v>947</v>
      </c>
      <c r="L695" t="s">
        <v>948</v>
      </c>
      <c r="M695" s="25">
        <v>66</v>
      </c>
      <c r="N695" s="4">
        <v>66</v>
      </c>
      <c r="O695">
        <v>1</v>
      </c>
      <c r="T695" t="s">
        <v>178</v>
      </c>
      <c r="U695" t="s">
        <v>66</v>
      </c>
      <c r="V695" s="25">
        <v>50.16</v>
      </c>
      <c r="W695" s="18" t="s">
        <v>367</v>
      </c>
      <c r="Y695" s="6">
        <f t="shared" si="89"/>
        <v>66</v>
      </c>
      <c r="Z695" s="6">
        <f t="shared" si="90"/>
        <v>50.16</v>
      </c>
      <c r="AA695" s="6">
        <f t="shared" si="91"/>
        <v>66</v>
      </c>
      <c r="AB695" s="6">
        <f t="shared" si="86"/>
        <v>0</v>
      </c>
      <c r="AC695" t="s">
        <v>16</v>
      </c>
      <c r="AD695" s="3" t="s">
        <v>168</v>
      </c>
    </row>
    <row r="696" spans="1:30" ht="15.75" customHeight="1" x14ac:dyDescent="0.2">
      <c r="A696" s="7" t="str">
        <f t="shared" si="87"/>
        <v>SHENZHEN STRONG TECHNOLOGY CO., LTD.J510New Buy</v>
      </c>
      <c r="B696" s="7" t="str">
        <f t="shared" si="88"/>
        <v>iPadNew Buy</v>
      </c>
      <c r="C696">
        <v>408693</v>
      </c>
      <c r="D696" t="s">
        <v>76</v>
      </c>
      <c r="E696" t="s">
        <v>166</v>
      </c>
      <c r="F696" t="s">
        <v>173</v>
      </c>
      <c r="G696" t="s">
        <v>68</v>
      </c>
      <c r="H696" t="s">
        <v>167</v>
      </c>
      <c r="I696" t="s">
        <v>175</v>
      </c>
      <c r="J696" t="s">
        <v>949</v>
      </c>
      <c r="L696" t="s">
        <v>950</v>
      </c>
      <c r="M696" s="25">
        <v>159</v>
      </c>
      <c r="N696" s="4">
        <v>159</v>
      </c>
      <c r="O696">
        <v>1</v>
      </c>
      <c r="T696" t="s">
        <v>178</v>
      </c>
      <c r="U696" t="s">
        <v>66</v>
      </c>
      <c r="V696" s="25">
        <v>120.84</v>
      </c>
      <c r="W696" s="18" t="s">
        <v>367</v>
      </c>
      <c r="Y696" s="6">
        <f t="shared" si="89"/>
        <v>159</v>
      </c>
      <c r="Z696" s="6">
        <f t="shared" si="90"/>
        <v>120.84</v>
      </c>
      <c r="AA696" s="6">
        <f t="shared" si="91"/>
        <v>159</v>
      </c>
      <c r="AB696" s="6">
        <f t="shared" si="86"/>
        <v>0</v>
      </c>
      <c r="AC696" t="s">
        <v>16</v>
      </c>
      <c r="AD696" s="3" t="s">
        <v>168</v>
      </c>
    </row>
    <row r="697" spans="1:30" ht="15.75" customHeight="1" x14ac:dyDescent="0.2">
      <c r="A697" s="7" t="str">
        <f t="shared" si="87"/>
        <v>SHENZHEN STRONG TECHNOLOGY CO., LTD.J510New Buy</v>
      </c>
      <c r="B697" s="7" t="str">
        <f t="shared" si="88"/>
        <v>iPadNew Buy</v>
      </c>
      <c r="C697">
        <v>408678</v>
      </c>
      <c r="D697" t="s">
        <v>76</v>
      </c>
      <c r="E697" t="s">
        <v>166</v>
      </c>
      <c r="F697" t="s">
        <v>173</v>
      </c>
      <c r="G697" t="s">
        <v>68</v>
      </c>
      <c r="H697" t="s">
        <v>167</v>
      </c>
      <c r="I697" t="s">
        <v>175</v>
      </c>
      <c r="J697" t="s">
        <v>951</v>
      </c>
      <c r="L697" t="s">
        <v>952</v>
      </c>
      <c r="M697" s="25">
        <v>120</v>
      </c>
      <c r="N697" s="4">
        <v>91.2</v>
      </c>
      <c r="O697">
        <v>1</v>
      </c>
      <c r="T697" t="s">
        <v>178</v>
      </c>
      <c r="U697" t="s">
        <v>66</v>
      </c>
      <c r="V697" s="25">
        <v>91.2</v>
      </c>
      <c r="W697" s="18" t="s">
        <v>367</v>
      </c>
      <c r="Y697" s="6">
        <f t="shared" si="89"/>
        <v>120</v>
      </c>
      <c r="Z697" s="6">
        <f t="shared" si="90"/>
        <v>91.2</v>
      </c>
      <c r="AA697" s="6">
        <f t="shared" si="91"/>
        <v>91.2</v>
      </c>
      <c r="AB697" s="6">
        <f t="shared" si="86"/>
        <v>28.799999999999997</v>
      </c>
      <c r="AC697" t="s">
        <v>16</v>
      </c>
      <c r="AD697" s="3" t="s">
        <v>168</v>
      </c>
    </row>
    <row r="698" spans="1:30" ht="15.75" customHeight="1" x14ac:dyDescent="0.2">
      <c r="A698" s="7" t="str">
        <f t="shared" si="87"/>
        <v>SHENZHEN STRONG TECHNOLOGY CO., LTD.J510New Buy</v>
      </c>
      <c r="B698" s="7" t="str">
        <f t="shared" si="88"/>
        <v>iPadNew Buy</v>
      </c>
      <c r="C698">
        <v>408677</v>
      </c>
      <c r="D698" t="s">
        <v>76</v>
      </c>
      <c r="E698" t="s">
        <v>166</v>
      </c>
      <c r="F698" t="s">
        <v>173</v>
      </c>
      <c r="G698" t="s">
        <v>68</v>
      </c>
      <c r="H698" t="s">
        <v>167</v>
      </c>
      <c r="I698" t="s">
        <v>175</v>
      </c>
      <c r="J698" t="s">
        <v>953</v>
      </c>
      <c r="L698" t="s">
        <v>954</v>
      </c>
      <c r="M698" s="25">
        <v>40.15</v>
      </c>
      <c r="N698" s="4">
        <v>35</v>
      </c>
      <c r="O698">
        <v>1</v>
      </c>
      <c r="T698" t="s">
        <v>178</v>
      </c>
      <c r="U698" t="s">
        <v>66</v>
      </c>
      <c r="V698" s="25">
        <v>30.51</v>
      </c>
      <c r="W698" s="18" t="s">
        <v>367</v>
      </c>
      <c r="Y698" s="6">
        <f t="shared" si="89"/>
        <v>40.15</v>
      </c>
      <c r="Z698" s="6">
        <f t="shared" si="90"/>
        <v>30.51</v>
      </c>
      <c r="AA698" s="6">
        <f t="shared" si="91"/>
        <v>35</v>
      </c>
      <c r="AB698" s="6">
        <f t="shared" si="86"/>
        <v>5.1499999999999986</v>
      </c>
      <c r="AC698" t="s">
        <v>16</v>
      </c>
      <c r="AD698" s="3" t="s">
        <v>168</v>
      </c>
    </row>
    <row r="699" spans="1:30" ht="15.75" customHeight="1" x14ac:dyDescent="0.2">
      <c r="A699" s="7" t="str">
        <f t="shared" si="87"/>
        <v>SHENZHEN STRONG TECHNOLOGY CO., LTD.J510New Buy</v>
      </c>
      <c r="B699" s="7" t="str">
        <f t="shared" si="88"/>
        <v>iPadNew Buy</v>
      </c>
      <c r="C699">
        <v>408676</v>
      </c>
      <c r="D699" t="s">
        <v>76</v>
      </c>
      <c r="E699" t="s">
        <v>166</v>
      </c>
      <c r="F699" t="s">
        <v>173</v>
      </c>
      <c r="G699" t="s">
        <v>68</v>
      </c>
      <c r="H699" t="s">
        <v>167</v>
      </c>
      <c r="I699" t="s">
        <v>175</v>
      </c>
      <c r="J699" t="s">
        <v>955</v>
      </c>
      <c r="L699" t="s">
        <v>956</v>
      </c>
      <c r="M699" s="25">
        <v>30</v>
      </c>
      <c r="N699" s="4">
        <v>25</v>
      </c>
      <c r="O699">
        <v>1</v>
      </c>
      <c r="T699" t="s">
        <v>178</v>
      </c>
      <c r="U699" t="s">
        <v>66</v>
      </c>
      <c r="V699" s="25">
        <v>22.8</v>
      </c>
      <c r="W699" s="18" t="s">
        <v>367</v>
      </c>
      <c r="Y699" s="6">
        <f t="shared" si="89"/>
        <v>30</v>
      </c>
      <c r="Z699" s="6">
        <f t="shared" si="90"/>
        <v>22.8</v>
      </c>
      <c r="AA699" s="6">
        <f t="shared" si="91"/>
        <v>25</v>
      </c>
      <c r="AB699" s="6">
        <f t="shared" si="86"/>
        <v>5</v>
      </c>
      <c r="AC699" t="s">
        <v>16</v>
      </c>
      <c r="AD699" s="3" t="s">
        <v>168</v>
      </c>
    </row>
    <row r="700" spans="1:30" ht="15.75" customHeight="1" x14ac:dyDescent="0.2">
      <c r="A700" s="7" t="str">
        <f t="shared" si="87"/>
        <v>SHENZHEN STRONG TECHNOLOGY CO., LTD.J510New Buy</v>
      </c>
      <c r="B700" s="7" t="str">
        <f t="shared" si="88"/>
        <v>iPadNew Buy</v>
      </c>
      <c r="C700">
        <v>408675</v>
      </c>
      <c r="D700" t="s">
        <v>76</v>
      </c>
      <c r="E700" t="s">
        <v>166</v>
      </c>
      <c r="F700" t="s">
        <v>173</v>
      </c>
      <c r="G700" t="s">
        <v>68</v>
      </c>
      <c r="H700" t="s">
        <v>167</v>
      </c>
      <c r="I700" t="s">
        <v>175</v>
      </c>
      <c r="J700" t="s">
        <v>957</v>
      </c>
      <c r="L700" t="s">
        <v>958</v>
      </c>
      <c r="M700" s="25">
        <v>65</v>
      </c>
      <c r="N700" s="4">
        <v>60</v>
      </c>
      <c r="O700">
        <v>1</v>
      </c>
      <c r="T700" t="s">
        <v>178</v>
      </c>
      <c r="U700" t="s">
        <v>66</v>
      </c>
      <c r="V700" s="25">
        <v>49.4</v>
      </c>
      <c r="W700" s="18" t="s">
        <v>367</v>
      </c>
      <c r="Y700" s="6">
        <f t="shared" si="89"/>
        <v>65</v>
      </c>
      <c r="Z700" s="6">
        <f t="shared" si="90"/>
        <v>49.4</v>
      </c>
      <c r="AA700" s="6">
        <f t="shared" si="91"/>
        <v>60</v>
      </c>
      <c r="AB700" s="6">
        <f t="shared" si="86"/>
        <v>5</v>
      </c>
      <c r="AC700" t="s">
        <v>16</v>
      </c>
      <c r="AD700" s="3" t="s">
        <v>168</v>
      </c>
    </row>
    <row r="701" spans="1:30" ht="15.75" customHeight="1" x14ac:dyDescent="0.2">
      <c r="A701" s="7" t="str">
        <f t="shared" si="87"/>
        <v>SHENZHEN STRONG TECHNOLOGY CO., LTD.J510New Buy</v>
      </c>
      <c r="B701" s="7" t="str">
        <f t="shared" si="88"/>
        <v>iPadNew Buy</v>
      </c>
      <c r="C701">
        <v>408669</v>
      </c>
      <c r="D701" t="s">
        <v>76</v>
      </c>
      <c r="E701" t="s">
        <v>166</v>
      </c>
      <c r="F701" t="s">
        <v>173</v>
      </c>
      <c r="G701" t="s">
        <v>68</v>
      </c>
      <c r="H701" t="s">
        <v>167</v>
      </c>
      <c r="I701" t="s">
        <v>175</v>
      </c>
      <c r="J701" t="s">
        <v>959</v>
      </c>
      <c r="L701" t="s">
        <v>960</v>
      </c>
      <c r="M701" s="25">
        <v>65</v>
      </c>
      <c r="N701" s="4">
        <v>60</v>
      </c>
      <c r="O701">
        <v>1</v>
      </c>
      <c r="T701" t="s">
        <v>178</v>
      </c>
      <c r="U701" t="s">
        <v>66</v>
      </c>
      <c r="V701" s="25">
        <v>49.4</v>
      </c>
      <c r="W701" s="18" t="s">
        <v>367</v>
      </c>
      <c r="Y701" s="6">
        <f t="shared" si="89"/>
        <v>65</v>
      </c>
      <c r="Z701" s="6">
        <f t="shared" si="90"/>
        <v>49.4</v>
      </c>
      <c r="AA701" s="6">
        <f t="shared" si="91"/>
        <v>60</v>
      </c>
      <c r="AB701" s="6">
        <f t="shared" si="86"/>
        <v>5</v>
      </c>
      <c r="AC701" t="s">
        <v>16</v>
      </c>
      <c r="AD701" s="3" t="s">
        <v>168</v>
      </c>
    </row>
    <row r="702" spans="1:30" ht="15.75" customHeight="1" x14ac:dyDescent="0.2">
      <c r="A702" s="7" t="str">
        <f t="shared" si="87"/>
        <v>SUZHOU FARPULL INTELLIGENT EQUIPMENT CO., LTD.J581New Buy</v>
      </c>
      <c r="B702" s="7" t="str">
        <f t="shared" si="88"/>
        <v>iPadNew Buy</v>
      </c>
      <c r="C702">
        <v>407899</v>
      </c>
      <c r="D702" t="s">
        <v>961</v>
      </c>
      <c r="E702" t="s">
        <v>166</v>
      </c>
      <c r="F702" s="28" t="s">
        <v>173</v>
      </c>
      <c r="G702" t="s">
        <v>174</v>
      </c>
      <c r="H702" t="s">
        <v>167</v>
      </c>
      <c r="I702" t="s">
        <v>175</v>
      </c>
      <c r="J702" t="s">
        <v>962</v>
      </c>
      <c r="L702" t="s">
        <v>963</v>
      </c>
      <c r="M702" s="4">
        <v>90</v>
      </c>
      <c r="N702" s="4">
        <v>67.5</v>
      </c>
      <c r="O702">
        <v>1</v>
      </c>
      <c r="T702" t="s">
        <v>178</v>
      </c>
      <c r="U702" t="s">
        <v>104</v>
      </c>
      <c r="V702" s="4">
        <v>67.5</v>
      </c>
      <c r="Y702" s="6">
        <f t="shared" si="89"/>
        <v>90</v>
      </c>
      <c r="Z702" s="6">
        <f t="shared" si="90"/>
        <v>67.5</v>
      </c>
      <c r="AA702" s="6">
        <f t="shared" si="91"/>
        <v>67.5</v>
      </c>
      <c r="AB702" s="6">
        <f t="shared" si="86"/>
        <v>22.5</v>
      </c>
      <c r="AC702" t="s">
        <v>16</v>
      </c>
      <c r="AD702" s="3" t="s">
        <v>168</v>
      </c>
    </row>
    <row r="703" spans="1:30" ht="15.75" customHeight="1" x14ac:dyDescent="0.2">
      <c r="A703" s="7" t="str">
        <f t="shared" si="87"/>
        <v xml:space="preserve">SUZHOU FARPULL INTELLIGENT EQUIPMENT CO., LTD.J581Retrofit </v>
      </c>
      <c r="B703" s="7" t="str">
        <f t="shared" si="88"/>
        <v>iPadNew Buy</v>
      </c>
      <c r="C703">
        <v>407890</v>
      </c>
      <c r="D703" t="s">
        <v>961</v>
      </c>
      <c r="E703" t="s">
        <v>166</v>
      </c>
      <c r="F703" s="28" t="s">
        <v>173</v>
      </c>
      <c r="G703" t="s">
        <v>174</v>
      </c>
      <c r="H703" t="s">
        <v>964</v>
      </c>
      <c r="I703" t="s">
        <v>131</v>
      </c>
      <c r="J703" t="s">
        <v>965</v>
      </c>
      <c r="L703" t="s">
        <v>966</v>
      </c>
      <c r="M703" s="4">
        <v>315</v>
      </c>
      <c r="N703" s="4">
        <v>236.25</v>
      </c>
      <c r="O703">
        <v>12</v>
      </c>
      <c r="T703" t="s">
        <v>178</v>
      </c>
      <c r="U703" t="s">
        <v>116</v>
      </c>
      <c r="V703" s="4">
        <v>236.25</v>
      </c>
      <c r="Y703" s="6">
        <f t="shared" si="89"/>
        <v>3780</v>
      </c>
      <c r="Z703" s="6">
        <f t="shared" si="90"/>
        <v>2835</v>
      </c>
      <c r="AA703" s="6">
        <f t="shared" si="91"/>
        <v>2835</v>
      </c>
      <c r="AB703" s="6">
        <f t="shared" si="86"/>
        <v>945</v>
      </c>
      <c r="AC703" t="s">
        <v>33</v>
      </c>
      <c r="AD703" s="3" t="s">
        <v>171</v>
      </c>
    </row>
    <row r="704" spans="1:30" ht="15.75" customHeight="1" x14ac:dyDescent="0.2">
      <c r="A704" s="7" t="str">
        <f t="shared" si="87"/>
        <v xml:space="preserve">SUZHOU FARPULL INTELLIGENT EQUIPMENT CO., LTD.J581Retrofit </v>
      </c>
      <c r="B704" s="7" t="str">
        <f t="shared" si="88"/>
        <v>iPadNew Buy</v>
      </c>
      <c r="C704">
        <v>407889</v>
      </c>
      <c r="D704" t="s">
        <v>961</v>
      </c>
      <c r="E704" t="s">
        <v>166</v>
      </c>
      <c r="F704" s="28" t="s">
        <v>173</v>
      </c>
      <c r="G704" t="s">
        <v>174</v>
      </c>
      <c r="H704" t="s">
        <v>964</v>
      </c>
      <c r="I704" t="s">
        <v>131</v>
      </c>
      <c r="J704" t="s">
        <v>965</v>
      </c>
      <c r="L704" t="s">
        <v>966</v>
      </c>
      <c r="M704" s="4">
        <v>315</v>
      </c>
      <c r="N704" s="4">
        <v>236.25</v>
      </c>
      <c r="O704">
        <v>8</v>
      </c>
      <c r="T704" t="s">
        <v>178</v>
      </c>
      <c r="U704" t="s">
        <v>66</v>
      </c>
      <c r="V704" s="4">
        <v>236.25</v>
      </c>
      <c r="Y704" s="6">
        <f t="shared" si="89"/>
        <v>2520</v>
      </c>
      <c r="Z704" s="6">
        <f t="shared" si="90"/>
        <v>1890</v>
      </c>
      <c r="AA704" s="6">
        <f t="shared" si="91"/>
        <v>1890</v>
      </c>
      <c r="AB704" s="6">
        <f t="shared" si="86"/>
        <v>630</v>
      </c>
      <c r="AC704" t="s">
        <v>16</v>
      </c>
      <c r="AD704" s="3" t="s">
        <v>171</v>
      </c>
    </row>
    <row r="705" spans="1:30" ht="15.75" customHeight="1" x14ac:dyDescent="0.2">
      <c r="A705" s="7" t="str">
        <f t="shared" si="87"/>
        <v xml:space="preserve">SUZHOU FARPULL INTELLIGENT EQUIPMENT CO., LTD.J581Retrofit </v>
      </c>
      <c r="B705" s="7" t="str">
        <f t="shared" si="88"/>
        <v>iPadNew Buy</v>
      </c>
      <c r="C705">
        <v>407888</v>
      </c>
      <c r="D705" t="s">
        <v>961</v>
      </c>
      <c r="E705" t="s">
        <v>166</v>
      </c>
      <c r="F705" s="28" t="s">
        <v>173</v>
      </c>
      <c r="G705" t="s">
        <v>174</v>
      </c>
      <c r="H705" t="s">
        <v>964</v>
      </c>
      <c r="I705" t="s">
        <v>175</v>
      </c>
      <c r="J705" t="s">
        <v>967</v>
      </c>
      <c r="L705" t="s">
        <v>968</v>
      </c>
      <c r="M705" s="4">
        <v>550</v>
      </c>
      <c r="N705" s="4">
        <v>412.5</v>
      </c>
      <c r="O705">
        <v>19</v>
      </c>
      <c r="T705" t="s">
        <v>178</v>
      </c>
      <c r="U705" t="s">
        <v>104</v>
      </c>
      <c r="V705" s="4">
        <v>412.5</v>
      </c>
      <c r="Y705" s="6">
        <f t="shared" si="89"/>
        <v>10450</v>
      </c>
      <c r="Z705" s="6">
        <f t="shared" si="90"/>
        <v>7837.5</v>
      </c>
      <c r="AA705" s="6">
        <f t="shared" si="91"/>
        <v>7837.5</v>
      </c>
      <c r="AB705" s="6">
        <f t="shared" si="86"/>
        <v>2612.5</v>
      </c>
      <c r="AC705" t="s">
        <v>16</v>
      </c>
      <c r="AD705" s="3" t="s">
        <v>171</v>
      </c>
    </row>
    <row r="706" spans="1:30" ht="15.75" customHeight="1" x14ac:dyDescent="0.2">
      <c r="A706" s="7" t="str">
        <f t="shared" si="87"/>
        <v xml:space="preserve">SUZHOU FARPULL INTELLIGENT EQUIPMENT CO., LTD.J581Retrofit </v>
      </c>
      <c r="B706" s="7" t="str">
        <f t="shared" si="88"/>
        <v>iPadNew Buy</v>
      </c>
      <c r="C706">
        <v>407887</v>
      </c>
      <c r="D706" t="s">
        <v>961</v>
      </c>
      <c r="E706" t="s">
        <v>166</v>
      </c>
      <c r="F706" s="28" t="s">
        <v>173</v>
      </c>
      <c r="G706" t="s">
        <v>174</v>
      </c>
      <c r="H706" t="s">
        <v>964</v>
      </c>
      <c r="I706" t="s">
        <v>131</v>
      </c>
      <c r="J706" t="s">
        <v>967</v>
      </c>
      <c r="L706" t="s">
        <v>969</v>
      </c>
      <c r="M706" s="4">
        <v>550</v>
      </c>
      <c r="N706" s="4">
        <v>412.5</v>
      </c>
      <c r="O706">
        <v>27</v>
      </c>
      <c r="T706" t="s">
        <v>178</v>
      </c>
      <c r="U706" t="s">
        <v>116</v>
      </c>
      <c r="V706" s="4">
        <v>412.5</v>
      </c>
      <c r="Y706" s="6">
        <f t="shared" si="89"/>
        <v>14850</v>
      </c>
      <c r="Z706" s="6">
        <f t="shared" si="90"/>
        <v>11137.5</v>
      </c>
      <c r="AA706" s="6">
        <f t="shared" si="91"/>
        <v>11137.5</v>
      </c>
      <c r="AB706" s="6">
        <f t="shared" si="86"/>
        <v>3712.5</v>
      </c>
      <c r="AC706" t="s">
        <v>33</v>
      </c>
      <c r="AD706" s="3" t="s">
        <v>171</v>
      </c>
    </row>
    <row r="707" spans="1:30" ht="15.75" customHeight="1" x14ac:dyDescent="0.2">
      <c r="A707" s="7" t="str">
        <f t="shared" si="87"/>
        <v xml:space="preserve">SUZHOU FARPULL INTELLIGENT EQUIPMENT CO., LTD.J581Retrofit </v>
      </c>
      <c r="B707" s="7" t="str">
        <f t="shared" si="88"/>
        <v>iPadNew Buy</v>
      </c>
      <c r="C707">
        <v>407886</v>
      </c>
      <c r="D707" t="s">
        <v>961</v>
      </c>
      <c r="E707" t="s">
        <v>166</v>
      </c>
      <c r="F707" s="28" t="s">
        <v>173</v>
      </c>
      <c r="G707" t="s">
        <v>174</v>
      </c>
      <c r="H707" t="s">
        <v>964</v>
      </c>
      <c r="I707" t="s">
        <v>131</v>
      </c>
      <c r="J707" t="s">
        <v>967</v>
      </c>
      <c r="L707" t="s">
        <v>969</v>
      </c>
      <c r="M707" s="4">
        <v>550</v>
      </c>
      <c r="N707" s="4">
        <v>412.5</v>
      </c>
      <c r="O707">
        <v>20</v>
      </c>
      <c r="T707" t="s">
        <v>178</v>
      </c>
      <c r="U707" t="s">
        <v>66</v>
      </c>
      <c r="V707" s="4">
        <v>412.5</v>
      </c>
      <c r="Y707" s="6">
        <f t="shared" si="89"/>
        <v>11000</v>
      </c>
      <c r="Z707" s="6">
        <f t="shared" si="90"/>
        <v>8250</v>
      </c>
      <c r="AA707" s="6">
        <f t="shared" si="91"/>
        <v>8250</v>
      </c>
      <c r="AB707" s="6">
        <f t="shared" si="86"/>
        <v>2750</v>
      </c>
      <c r="AC707" t="s">
        <v>16</v>
      </c>
      <c r="AD707" s="3" t="s">
        <v>171</v>
      </c>
    </row>
    <row r="708" spans="1:30" ht="15.75" customHeight="1" x14ac:dyDescent="0.2">
      <c r="A708" s="7" t="str">
        <f t="shared" si="87"/>
        <v>SUZHOU FARPULL INTELLIGENT EQUIPMENT CO., LTD.J581New Buy</v>
      </c>
      <c r="B708" s="7" t="str">
        <f t="shared" si="88"/>
        <v>iPadNew Buy</v>
      </c>
      <c r="C708">
        <v>407853</v>
      </c>
      <c r="D708" t="s">
        <v>961</v>
      </c>
      <c r="E708" t="s">
        <v>166</v>
      </c>
      <c r="F708" s="28" t="s">
        <v>173</v>
      </c>
      <c r="G708" t="s">
        <v>174</v>
      </c>
      <c r="H708" t="s">
        <v>167</v>
      </c>
      <c r="I708" t="s">
        <v>175</v>
      </c>
      <c r="J708" t="s">
        <v>970</v>
      </c>
      <c r="L708" t="s">
        <v>971</v>
      </c>
      <c r="M708" s="4">
        <v>85</v>
      </c>
      <c r="N708" s="4">
        <v>63.75</v>
      </c>
      <c r="O708">
        <v>8</v>
      </c>
      <c r="T708" t="s">
        <v>178</v>
      </c>
      <c r="U708" t="s">
        <v>116</v>
      </c>
      <c r="V708" s="4">
        <v>63.75</v>
      </c>
      <c r="Y708" s="6">
        <f t="shared" si="89"/>
        <v>680</v>
      </c>
      <c r="Z708" s="6">
        <f t="shared" si="90"/>
        <v>510</v>
      </c>
      <c r="AA708" s="6">
        <f t="shared" si="91"/>
        <v>510</v>
      </c>
      <c r="AB708" s="6">
        <f t="shared" si="86"/>
        <v>170</v>
      </c>
      <c r="AC708" t="s">
        <v>33</v>
      </c>
      <c r="AD708" s="3" t="s">
        <v>168</v>
      </c>
    </row>
    <row r="709" spans="1:30" ht="15.75" customHeight="1" x14ac:dyDescent="0.2">
      <c r="A709" s="7" t="str">
        <f t="shared" si="87"/>
        <v>SUZHOU FARPULL INTELLIGENT EQUIPMENT CO., LTD.J581New Buy</v>
      </c>
      <c r="B709" s="7" t="str">
        <f t="shared" si="88"/>
        <v>iPadNew Buy</v>
      </c>
      <c r="C709">
        <v>407852</v>
      </c>
      <c r="D709" t="s">
        <v>961</v>
      </c>
      <c r="E709" t="s">
        <v>166</v>
      </c>
      <c r="F709" s="28" t="s">
        <v>173</v>
      </c>
      <c r="G709" t="s">
        <v>174</v>
      </c>
      <c r="H709" t="s">
        <v>167</v>
      </c>
      <c r="I709" t="s">
        <v>175</v>
      </c>
      <c r="J709" t="s">
        <v>970</v>
      </c>
      <c r="L709" t="s">
        <v>971</v>
      </c>
      <c r="M709" s="4">
        <v>85</v>
      </c>
      <c r="N709" s="4">
        <v>63.75</v>
      </c>
      <c r="O709">
        <v>2</v>
      </c>
      <c r="T709" t="s">
        <v>178</v>
      </c>
      <c r="U709" t="s">
        <v>66</v>
      </c>
      <c r="V709" s="4">
        <v>63.75</v>
      </c>
      <c r="Y709" s="6">
        <f t="shared" si="89"/>
        <v>170</v>
      </c>
      <c r="Z709" s="6">
        <f t="shared" si="90"/>
        <v>127.5</v>
      </c>
      <c r="AA709" s="6">
        <f t="shared" si="91"/>
        <v>127.5</v>
      </c>
      <c r="AB709" s="6">
        <f t="shared" si="86"/>
        <v>42.5</v>
      </c>
      <c r="AC709" t="s">
        <v>16</v>
      </c>
      <c r="AD709" s="3" t="s">
        <v>168</v>
      </c>
    </row>
    <row r="710" spans="1:30" ht="15.75" customHeight="1" x14ac:dyDescent="0.2">
      <c r="A710" s="7" t="str">
        <f t="shared" si="87"/>
        <v>SUZHOU FARPULL INTELLIGENT EQUIPMENT CO., LTD.J581New Buy</v>
      </c>
      <c r="B710" s="7" t="str">
        <f t="shared" si="88"/>
        <v>iPadNew Buy</v>
      </c>
      <c r="C710">
        <v>407851</v>
      </c>
      <c r="D710" t="s">
        <v>961</v>
      </c>
      <c r="E710" t="s">
        <v>166</v>
      </c>
      <c r="F710" s="28" t="s">
        <v>173</v>
      </c>
      <c r="G710" t="s">
        <v>174</v>
      </c>
      <c r="H710" t="s">
        <v>167</v>
      </c>
      <c r="I710" t="s">
        <v>175</v>
      </c>
      <c r="J710" t="s">
        <v>970</v>
      </c>
      <c r="L710" t="s">
        <v>971</v>
      </c>
      <c r="M710" s="4">
        <v>85</v>
      </c>
      <c r="N710" s="4">
        <v>63.75</v>
      </c>
      <c r="O710">
        <v>3</v>
      </c>
      <c r="T710" t="s">
        <v>178</v>
      </c>
      <c r="U710" t="s">
        <v>104</v>
      </c>
      <c r="V710" s="4">
        <v>63.75</v>
      </c>
      <c r="Y710" s="6">
        <f t="shared" si="89"/>
        <v>255</v>
      </c>
      <c r="Z710" s="6">
        <f t="shared" si="90"/>
        <v>191.25</v>
      </c>
      <c r="AA710" s="6">
        <f t="shared" si="91"/>
        <v>191.25</v>
      </c>
      <c r="AB710" s="6">
        <f t="shared" si="86"/>
        <v>63.75</v>
      </c>
      <c r="AC710" t="s">
        <v>16</v>
      </c>
      <c r="AD710" s="3" t="s">
        <v>168</v>
      </c>
    </row>
    <row r="711" spans="1:30" ht="15.75" customHeight="1" x14ac:dyDescent="0.2">
      <c r="A711" s="7" t="str">
        <f t="shared" si="87"/>
        <v>SUZHOU FARPULL INTELLIGENT EQUIPMENT CO., LTD.J581New Buy</v>
      </c>
      <c r="B711" s="7" t="str">
        <f t="shared" si="88"/>
        <v>iPadNew Buy</v>
      </c>
      <c r="C711">
        <v>407850</v>
      </c>
      <c r="D711" t="s">
        <v>961</v>
      </c>
      <c r="E711" t="s">
        <v>166</v>
      </c>
      <c r="F711" s="28" t="s">
        <v>173</v>
      </c>
      <c r="G711" t="s">
        <v>174</v>
      </c>
      <c r="H711" t="s">
        <v>167</v>
      </c>
      <c r="I711" t="s">
        <v>175</v>
      </c>
      <c r="J711" t="s">
        <v>972</v>
      </c>
      <c r="L711" t="s">
        <v>973</v>
      </c>
      <c r="M711" s="4">
        <v>85</v>
      </c>
      <c r="N711" s="4">
        <v>63.75</v>
      </c>
      <c r="O711">
        <v>1</v>
      </c>
      <c r="T711" t="s">
        <v>178</v>
      </c>
      <c r="U711" t="s">
        <v>116</v>
      </c>
      <c r="V711" s="4">
        <v>63.75</v>
      </c>
      <c r="Y711" s="6">
        <f t="shared" si="89"/>
        <v>85</v>
      </c>
      <c r="Z711" s="6">
        <f t="shared" si="90"/>
        <v>63.75</v>
      </c>
      <c r="AA711" s="6">
        <f t="shared" si="91"/>
        <v>63.75</v>
      </c>
      <c r="AB711" s="6">
        <f t="shared" si="86"/>
        <v>21.25</v>
      </c>
      <c r="AC711" t="s">
        <v>33</v>
      </c>
      <c r="AD711" s="3" t="s">
        <v>168</v>
      </c>
    </row>
    <row r="712" spans="1:30" ht="15.75" customHeight="1" x14ac:dyDescent="0.2">
      <c r="A712" s="7" t="str">
        <f t="shared" si="87"/>
        <v>SUZHOU FARPULL INTELLIGENT EQUIPMENT CO., LTD.J581New Buy</v>
      </c>
      <c r="B712" s="7" t="str">
        <f t="shared" si="88"/>
        <v>iPadNew Buy</v>
      </c>
      <c r="C712">
        <v>407849</v>
      </c>
      <c r="D712" t="s">
        <v>961</v>
      </c>
      <c r="E712" t="s">
        <v>166</v>
      </c>
      <c r="F712" s="28" t="s">
        <v>173</v>
      </c>
      <c r="G712" t="s">
        <v>174</v>
      </c>
      <c r="H712" t="s">
        <v>167</v>
      </c>
      <c r="I712" t="s">
        <v>175</v>
      </c>
      <c r="J712" t="s">
        <v>972</v>
      </c>
      <c r="L712" t="s">
        <v>973</v>
      </c>
      <c r="M712" s="4">
        <v>85</v>
      </c>
      <c r="N712" s="4">
        <v>63.75</v>
      </c>
      <c r="O712">
        <v>1</v>
      </c>
      <c r="T712" t="s">
        <v>178</v>
      </c>
      <c r="U712" t="s">
        <v>66</v>
      </c>
      <c r="V712" s="4">
        <v>63.75</v>
      </c>
      <c r="Y712" s="6">
        <f t="shared" si="89"/>
        <v>85</v>
      </c>
      <c r="Z712" s="6">
        <f t="shared" si="90"/>
        <v>63.75</v>
      </c>
      <c r="AA712" s="6">
        <f t="shared" si="91"/>
        <v>63.75</v>
      </c>
      <c r="AB712" s="6">
        <f t="shared" si="86"/>
        <v>21.25</v>
      </c>
      <c r="AC712" t="s">
        <v>16</v>
      </c>
      <c r="AD712" s="3" t="s">
        <v>168</v>
      </c>
    </row>
    <row r="713" spans="1:30" ht="15.75" customHeight="1" x14ac:dyDescent="0.2">
      <c r="A713" s="7" t="str">
        <f t="shared" si="87"/>
        <v>SUZHOU FARPULL INTELLIGENT EQUIPMENT CO., LTD.J581New Buy</v>
      </c>
      <c r="B713" s="7" t="str">
        <f t="shared" si="88"/>
        <v>iPadNew Buy</v>
      </c>
      <c r="C713">
        <v>407848</v>
      </c>
      <c r="D713" t="s">
        <v>961</v>
      </c>
      <c r="E713" t="s">
        <v>166</v>
      </c>
      <c r="F713" s="28" t="s">
        <v>173</v>
      </c>
      <c r="G713" t="s">
        <v>174</v>
      </c>
      <c r="H713" t="s">
        <v>167</v>
      </c>
      <c r="I713" t="s">
        <v>175</v>
      </c>
      <c r="J713" t="s">
        <v>972</v>
      </c>
      <c r="L713" t="s">
        <v>973</v>
      </c>
      <c r="M713" s="4">
        <v>85</v>
      </c>
      <c r="N713" s="4">
        <v>63.75</v>
      </c>
      <c r="O713">
        <v>1</v>
      </c>
      <c r="T713" t="s">
        <v>178</v>
      </c>
      <c r="U713" t="s">
        <v>104</v>
      </c>
      <c r="V713" s="4">
        <v>63.75</v>
      </c>
      <c r="Y713" s="6">
        <f t="shared" si="89"/>
        <v>85</v>
      </c>
      <c r="Z713" s="6">
        <f t="shared" si="90"/>
        <v>63.75</v>
      </c>
      <c r="AA713" s="6">
        <f t="shared" si="91"/>
        <v>63.75</v>
      </c>
      <c r="AB713" s="6">
        <f t="shared" si="86"/>
        <v>21.25</v>
      </c>
      <c r="AC713" t="s">
        <v>16</v>
      </c>
      <c r="AD713" s="3" t="s">
        <v>168</v>
      </c>
    </row>
    <row r="714" spans="1:30" ht="15.75" customHeight="1" x14ac:dyDescent="0.2">
      <c r="A714" s="7" t="str">
        <f t="shared" si="87"/>
        <v>SUZHOU FARPULL INTELLIGENT EQUIPMENT CO., LTD.J581New Buy</v>
      </c>
      <c r="B714" s="7" t="str">
        <f t="shared" si="88"/>
        <v>iPadNew Buy</v>
      </c>
      <c r="C714">
        <v>407844</v>
      </c>
      <c r="D714" t="s">
        <v>961</v>
      </c>
      <c r="E714" t="s">
        <v>166</v>
      </c>
      <c r="F714" s="28" t="s">
        <v>173</v>
      </c>
      <c r="G714" t="s">
        <v>174</v>
      </c>
      <c r="H714" t="s">
        <v>167</v>
      </c>
      <c r="I714" t="s">
        <v>175</v>
      </c>
      <c r="J714" t="s">
        <v>974</v>
      </c>
      <c r="L714" t="s">
        <v>975</v>
      </c>
      <c r="M714" s="4">
        <v>2500</v>
      </c>
      <c r="N714" s="4">
        <v>112.5</v>
      </c>
      <c r="O714">
        <v>1</v>
      </c>
      <c r="T714" t="s">
        <v>178</v>
      </c>
      <c r="U714" t="s">
        <v>116</v>
      </c>
      <c r="V714" s="4">
        <v>112.5</v>
      </c>
      <c r="Y714" s="6">
        <f t="shared" si="89"/>
        <v>2500</v>
      </c>
      <c r="Z714" s="6">
        <f t="shared" si="90"/>
        <v>112.5</v>
      </c>
      <c r="AA714" s="6">
        <f t="shared" si="91"/>
        <v>112.5</v>
      </c>
      <c r="AB714" s="6">
        <f t="shared" si="86"/>
        <v>2387.5</v>
      </c>
      <c r="AC714" t="s">
        <v>33</v>
      </c>
      <c r="AD714" s="3" t="s">
        <v>168</v>
      </c>
    </row>
    <row r="715" spans="1:30" ht="15.75" customHeight="1" x14ac:dyDescent="0.2">
      <c r="A715" s="7" t="str">
        <f t="shared" si="87"/>
        <v>SUZHOU FARPULL INTELLIGENT EQUIPMENT CO., LTD.J581New Buy</v>
      </c>
      <c r="B715" s="7" t="str">
        <f t="shared" si="88"/>
        <v>iPadNew Buy</v>
      </c>
      <c r="C715">
        <v>407843</v>
      </c>
      <c r="D715" t="s">
        <v>961</v>
      </c>
      <c r="E715" t="s">
        <v>166</v>
      </c>
      <c r="F715" s="28" t="s">
        <v>173</v>
      </c>
      <c r="G715" t="s">
        <v>174</v>
      </c>
      <c r="H715" t="s">
        <v>167</v>
      </c>
      <c r="I715" t="s">
        <v>175</v>
      </c>
      <c r="J715" t="s">
        <v>974</v>
      </c>
      <c r="L715" t="s">
        <v>975</v>
      </c>
      <c r="M715" s="4">
        <v>2500</v>
      </c>
      <c r="N715" s="4">
        <v>2250</v>
      </c>
      <c r="O715">
        <v>1</v>
      </c>
      <c r="T715" t="s">
        <v>178</v>
      </c>
      <c r="U715" t="s">
        <v>66</v>
      </c>
      <c r="V715" s="4">
        <v>112.5</v>
      </c>
      <c r="Y715" s="6">
        <f t="shared" si="89"/>
        <v>2500</v>
      </c>
      <c r="Z715" s="6">
        <f t="shared" si="90"/>
        <v>112.5</v>
      </c>
      <c r="AA715" s="6">
        <f t="shared" si="91"/>
        <v>2250</v>
      </c>
      <c r="AB715" s="6">
        <f t="shared" si="86"/>
        <v>250</v>
      </c>
      <c r="AC715" t="s">
        <v>16</v>
      </c>
      <c r="AD715" s="3" t="s">
        <v>168</v>
      </c>
    </row>
    <row r="716" spans="1:30" ht="15.75" customHeight="1" x14ac:dyDescent="0.2">
      <c r="A716" s="7" t="str">
        <f t="shared" si="87"/>
        <v>SUZHOU FARPULL INTELLIGENT EQUIPMENT CO., LTD.J581New Buy</v>
      </c>
      <c r="B716" s="7" t="str">
        <f t="shared" si="88"/>
        <v>iPadNew Buy</v>
      </c>
      <c r="C716">
        <v>407842</v>
      </c>
      <c r="D716" t="s">
        <v>961</v>
      </c>
      <c r="E716" t="s">
        <v>166</v>
      </c>
      <c r="F716" s="28" t="s">
        <v>173</v>
      </c>
      <c r="G716" t="s">
        <v>174</v>
      </c>
      <c r="H716" t="s">
        <v>167</v>
      </c>
      <c r="I716" t="s">
        <v>131</v>
      </c>
      <c r="J716" t="s">
        <v>974</v>
      </c>
      <c r="L716" t="s">
        <v>975</v>
      </c>
      <c r="M716" s="4">
        <v>150</v>
      </c>
      <c r="N716" s="4">
        <v>2250</v>
      </c>
      <c r="O716">
        <v>9</v>
      </c>
      <c r="T716" t="s">
        <v>178</v>
      </c>
      <c r="U716" t="s">
        <v>104</v>
      </c>
      <c r="V716" s="4">
        <v>112.5</v>
      </c>
      <c r="Y716" s="6">
        <f t="shared" si="89"/>
        <v>1350</v>
      </c>
      <c r="Z716" s="6">
        <f t="shared" si="90"/>
        <v>1012.5</v>
      </c>
      <c r="AA716" s="6">
        <f t="shared" si="91"/>
        <v>20250</v>
      </c>
      <c r="AB716" s="6"/>
      <c r="AC716" t="s">
        <v>16</v>
      </c>
      <c r="AD716" s="3" t="s">
        <v>168</v>
      </c>
    </row>
    <row r="717" spans="1:30" ht="15.75" customHeight="1" x14ac:dyDescent="0.2">
      <c r="A717" s="7" t="str">
        <f t="shared" si="87"/>
        <v>SUZHOU FARPULL INTELLIGENT EQUIPMENT CO., LTD.J581New Buy</v>
      </c>
      <c r="B717" s="7" t="str">
        <f t="shared" si="88"/>
        <v>iPadNew Buy</v>
      </c>
      <c r="C717">
        <v>407828</v>
      </c>
      <c r="D717" t="s">
        <v>961</v>
      </c>
      <c r="E717" t="s">
        <v>166</v>
      </c>
      <c r="F717" s="28" t="s">
        <v>173</v>
      </c>
      <c r="G717" t="s">
        <v>174</v>
      </c>
      <c r="H717" t="s">
        <v>167</v>
      </c>
      <c r="I717" t="s">
        <v>175</v>
      </c>
      <c r="J717" t="s">
        <v>976</v>
      </c>
      <c r="L717" t="s">
        <v>977</v>
      </c>
      <c r="M717" s="4">
        <v>480</v>
      </c>
      <c r="N717" s="4">
        <v>360</v>
      </c>
      <c r="O717">
        <v>4</v>
      </c>
      <c r="T717" t="s">
        <v>178</v>
      </c>
      <c r="U717" t="s">
        <v>116</v>
      </c>
      <c r="V717" s="4">
        <v>360</v>
      </c>
      <c r="Y717" s="6">
        <f t="shared" si="89"/>
        <v>1920</v>
      </c>
      <c r="Z717" s="6">
        <f t="shared" si="90"/>
        <v>1440</v>
      </c>
      <c r="AA717" s="6">
        <f t="shared" si="91"/>
        <v>1440</v>
      </c>
      <c r="AB717" s="6">
        <f t="shared" ref="AB717:AB748" si="92">IF(AA717=0,0,Y717-AA717)</f>
        <v>480</v>
      </c>
      <c r="AC717" t="s">
        <v>33</v>
      </c>
      <c r="AD717" s="3" t="s">
        <v>168</v>
      </c>
    </row>
    <row r="718" spans="1:30" ht="15.75" customHeight="1" x14ac:dyDescent="0.2">
      <c r="A718" s="7" t="str">
        <f t="shared" si="87"/>
        <v>SUZHOU FARPULL INTELLIGENT EQUIPMENT CO., LTD.J581New Buy</v>
      </c>
      <c r="B718" s="7" t="str">
        <f t="shared" si="88"/>
        <v>iPadNew Buy</v>
      </c>
      <c r="C718">
        <v>407827</v>
      </c>
      <c r="D718" t="s">
        <v>961</v>
      </c>
      <c r="E718" t="s">
        <v>166</v>
      </c>
      <c r="F718" s="28" t="s">
        <v>173</v>
      </c>
      <c r="G718" t="s">
        <v>174</v>
      </c>
      <c r="H718" t="s">
        <v>167</v>
      </c>
      <c r="I718" t="s">
        <v>175</v>
      </c>
      <c r="J718" t="s">
        <v>976</v>
      </c>
      <c r="L718" t="s">
        <v>977</v>
      </c>
      <c r="M718" s="4">
        <v>480</v>
      </c>
      <c r="N718" s="4">
        <v>360</v>
      </c>
      <c r="O718">
        <v>4</v>
      </c>
      <c r="T718" t="s">
        <v>178</v>
      </c>
      <c r="U718" t="s">
        <v>66</v>
      </c>
      <c r="V718" s="4">
        <v>360</v>
      </c>
      <c r="Y718" s="6">
        <f t="shared" si="89"/>
        <v>1920</v>
      </c>
      <c r="Z718" s="6">
        <f t="shared" si="90"/>
        <v>1440</v>
      </c>
      <c r="AA718" s="6">
        <f t="shared" si="91"/>
        <v>1440</v>
      </c>
      <c r="AB718" s="6">
        <f t="shared" si="92"/>
        <v>480</v>
      </c>
      <c r="AC718" t="s">
        <v>16</v>
      </c>
      <c r="AD718" s="3" t="s">
        <v>168</v>
      </c>
    </row>
    <row r="719" spans="1:30" ht="15.75" customHeight="1" x14ac:dyDescent="0.2">
      <c r="A719" s="7" t="str">
        <f t="shared" si="87"/>
        <v>SUZHOU FARPULL INTELLIGENT EQUIPMENT CO., LTD.J581New Buy</v>
      </c>
      <c r="B719" s="7" t="str">
        <f t="shared" si="88"/>
        <v>iPadNew Buy</v>
      </c>
      <c r="C719">
        <v>407826</v>
      </c>
      <c r="D719" t="s">
        <v>961</v>
      </c>
      <c r="E719" t="s">
        <v>166</v>
      </c>
      <c r="F719" s="28" t="s">
        <v>173</v>
      </c>
      <c r="G719" t="s">
        <v>174</v>
      </c>
      <c r="H719" t="s">
        <v>167</v>
      </c>
      <c r="I719" t="s">
        <v>175</v>
      </c>
      <c r="J719" t="s">
        <v>976</v>
      </c>
      <c r="L719" t="s">
        <v>977</v>
      </c>
      <c r="M719" s="4">
        <v>480</v>
      </c>
      <c r="N719" s="4">
        <v>360</v>
      </c>
      <c r="O719">
        <v>4</v>
      </c>
      <c r="T719" t="s">
        <v>178</v>
      </c>
      <c r="U719" t="s">
        <v>104</v>
      </c>
      <c r="V719" s="4">
        <v>360</v>
      </c>
      <c r="Y719" s="6">
        <f t="shared" si="89"/>
        <v>1920</v>
      </c>
      <c r="Z719" s="6">
        <f t="shared" si="90"/>
        <v>1440</v>
      </c>
      <c r="AA719" s="6">
        <f t="shared" si="91"/>
        <v>1440</v>
      </c>
      <c r="AB719" s="6">
        <f t="shared" si="92"/>
        <v>480</v>
      </c>
      <c r="AC719" t="s">
        <v>16</v>
      </c>
      <c r="AD719" s="3" t="s">
        <v>168</v>
      </c>
    </row>
    <row r="720" spans="1:30" ht="15.75" customHeight="1" x14ac:dyDescent="0.2">
      <c r="A720" s="7" t="str">
        <f t="shared" si="87"/>
        <v>SUZHOU FARPULL INTELLIGENT EQUIPMENT CO., LTD.J581New Buy</v>
      </c>
      <c r="B720" s="7" t="str">
        <f t="shared" si="88"/>
        <v>iPadNew Buy</v>
      </c>
      <c r="C720">
        <v>407822</v>
      </c>
      <c r="D720" t="s">
        <v>961</v>
      </c>
      <c r="E720" t="s">
        <v>166</v>
      </c>
      <c r="F720" s="28" t="s">
        <v>173</v>
      </c>
      <c r="G720" t="s">
        <v>174</v>
      </c>
      <c r="H720" t="s">
        <v>167</v>
      </c>
      <c r="I720" t="s">
        <v>175</v>
      </c>
      <c r="J720" t="s">
        <v>978</v>
      </c>
      <c r="L720" t="s">
        <v>979</v>
      </c>
      <c r="M720" s="4">
        <v>350</v>
      </c>
      <c r="N720" s="4">
        <v>262.5</v>
      </c>
      <c r="O720">
        <v>33</v>
      </c>
      <c r="T720" t="s">
        <v>178</v>
      </c>
      <c r="U720" t="s">
        <v>116</v>
      </c>
      <c r="V720" s="4">
        <v>262.5</v>
      </c>
      <c r="Y720" s="6">
        <f t="shared" si="89"/>
        <v>11550</v>
      </c>
      <c r="Z720" s="6">
        <f t="shared" si="90"/>
        <v>8662.5</v>
      </c>
      <c r="AA720" s="6">
        <f t="shared" si="91"/>
        <v>8662.5</v>
      </c>
      <c r="AB720" s="6">
        <f t="shared" si="92"/>
        <v>2887.5</v>
      </c>
      <c r="AC720" t="s">
        <v>33</v>
      </c>
      <c r="AD720" s="3" t="s">
        <v>168</v>
      </c>
    </row>
    <row r="721" spans="1:30" ht="15.75" customHeight="1" x14ac:dyDescent="0.2">
      <c r="A721" s="7" t="str">
        <f t="shared" si="87"/>
        <v>SUZHOU FARPULL INTELLIGENT EQUIPMENT CO., LTD.J581New Buy</v>
      </c>
      <c r="B721" s="7" t="str">
        <f t="shared" si="88"/>
        <v>iPadNew Buy</v>
      </c>
      <c r="C721">
        <v>407821</v>
      </c>
      <c r="D721" t="s">
        <v>961</v>
      </c>
      <c r="E721" t="s">
        <v>166</v>
      </c>
      <c r="F721" s="28" t="s">
        <v>173</v>
      </c>
      <c r="G721" t="s">
        <v>174</v>
      </c>
      <c r="H721" t="s">
        <v>167</v>
      </c>
      <c r="I721" t="s">
        <v>175</v>
      </c>
      <c r="J721" t="s">
        <v>978</v>
      </c>
      <c r="L721" t="s">
        <v>979</v>
      </c>
      <c r="M721" s="4">
        <v>350</v>
      </c>
      <c r="N721" s="4">
        <v>262.5</v>
      </c>
      <c r="O721">
        <v>21</v>
      </c>
      <c r="T721" t="s">
        <v>178</v>
      </c>
      <c r="U721" t="s">
        <v>104</v>
      </c>
      <c r="V721" s="4">
        <v>262.5</v>
      </c>
      <c r="Y721" s="6">
        <f t="shared" si="89"/>
        <v>7350</v>
      </c>
      <c r="Z721" s="6">
        <f t="shared" si="90"/>
        <v>5512.5</v>
      </c>
      <c r="AA721" s="6">
        <f t="shared" si="91"/>
        <v>5512.5</v>
      </c>
      <c r="AB721" s="6">
        <f t="shared" si="92"/>
        <v>1837.5</v>
      </c>
      <c r="AC721" t="s">
        <v>16</v>
      </c>
      <c r="AD721" s="3" t="s">
        <v>168</v>
      </c>
    </row>
    <row r="722" spans="1:30" ht="15.75" customHeight="1" x14ac:dyDescent="0.2">
      <c r="A722" s="7" t="str">
        <f t="shared" si="87"/>
        <v>SUZHOU FARPULL INTELLIGENT EQUIPMENT CO., LTD.J581New Buy</v>
      </c>
      <c r="B722" s="7" t="str">
        <f t="shared" si="88"/>
        <v>iPadNew Buy</v>
      </c>
      <c r="C722">
        <v>407820</v>
      </c>
      <c r="D722" t="s">
        <v>961</v>
      </c>
      <c r="E722" t="s">
        <v>166</v>
      </c>
      <c r="F722" s="28" t="s">
        <v>173</v>
      </c>
      <c r="G722" t="s">
        <v>174</v>
      </c>
      <c r="H722" t="s">
        <v>167</v>
      </c>
      <c r="I722" t="s">
        <v>175</v>
      </c>
      <c r="J722" t="s">
        <v>978</v>
      </c>
      <c r="L722" t="s">
        <v>979</v>
      </c>
      <c r="M722" s="4">
        <v>350</v>
      </c>
      <c r="N722" s="4">
        <v>262.5</v>
      </c>
      <c r="O722">
        <v>17</v>
      </c>
      <c r="T722" t="s">
        <v>178</v>
      </c>
      <c r="U722" t="s">
        <v>66</v>
      </c>
      <c r="V722" s="4">
        <v>262.5</v>
      </c>
      <c r="Y722" s="6">
        <f t="shared" si="89"/>
        <v>5950</v>
      </c>
      <c r="Z722" s="6">
        <f t="shared" si="90"/>
        <v>4462.5</v>
      </c>
      <c r="AA722" s="6">
        <f t="shared" si="91"/>
        <v>4462.5</v>
      </c>
      <c r="AB722" s="6">
        <f t="shared" si="92"/>
        <v>1487.5</v>
      </c>
      <c r="AC722" t="s">
        <v>16</v>
      </c>
      <c r="AD722" s="3" t="s">
        <v>168</v>
      </c>
    </row>
    <row r="723" spans="1:30" ht="15.75" customHeight="1" x14ac:dyDescent="0.2">
      <c r="A723" s="7" t="str">
        <f t="shared" si="87"/>
        <v>SUZHOU FARPULL INTELLIGENT EQUIPMENT CO., LTD.J581New Buy</v>
      </c>
      <c r="B723" s="7" t="str">
        <f t="shared" si="88"/>
        <v>iPadNew Buy</v>
      </c>
      <c r="C723">
        <v>407819</v>
      </c>
      <c r="D723" t="s">
        <v>961</v>
      </c>
      <c r="E723" t="s">
        <v>166</v>
      </c>
      <c r="F723" s="28" t="s">
        <v>173</v>
      </c>
      <c r="G723" t="s">
        <v>174</v>
      </c>
      <c r="H723" t="s">
        <v>167</v>
      </c>
      <c r="I723" t="s">
        <v>175</v>
      </c>
      <c r="J723" t="s">
        <v>980</v>
      </c>
      <c r="L723" t="s">
        <v>981</v>
      </c>
      <c r="M723" s="4">
        <v>150</v>
      </c>
      <c r="N723" s="4">
        <v>112.5</v>
      </c>
      <c r="O723">
        <v>4</v>
      </c>
      <c r="T723" t="s">
        <v>178</v>
      </c>
      <c r="U723" t="s">
        <v>116</v>
      </c>
      <c r="V723" s="4">
        <v>112.5</v>
      </c>
      <c r="Y723" s="6">
        <f t="shared" si="89"/>
        <v>600</v>
      </c>
      <c r="Z723" s="6">
        <f t="shared" si="90"/>
        <v>450</v>
      </c>
      <c r="AA723" s="6">
        <f t="shared" si="91"/>
        <v>450</v>
      </c>
      <c r="AB723" s="6">
        <f t="shared" si="92"/>
        <v>150</v>
      </c>
      <c r="AC723" t="s">
        <v>33</v>
      </c>
      <c r="AD723" s="3" t="s">
        <v>168</v>
      </c>
    </row>
    <row r="724" spans="1:30" ht="15.75" customHeight="1" x14ac:dyDescent="0.2">
      <c r="A724" s="7" t="str">
        <f t="shared" si="87"/>
        <v>SUZHOU FARPULL INTELLIGENT EQUIPMENT CO., LTD.J581New Buy</v>
      </c>
      <c r="B724" s="7" t="str">
        <f t="shared" si="88"/>
        <v>iPadNew Buy</v>
      </c>
      <c r="C724">
        <v>407818</v>
      </c>
      <c r="D724" t="s">
        <v>961</v>
      </c>
      <c r="E724" t="s">
        <v>166</v>
      </c>
      <c r="F724" s="28" t="s">
        <v>173</v>
      </c>
      <c r="G724" t="s">
        <v>174</v>
      </c>
      <c r="H724" t="s">
        <v>167</v>
      </c>
      <c r="I724" t="s">
        <v>175</v>
      </c>
      <c r="J724" t="s">
        <v>980</v>
      </c>
      <c r="L724" t="s">
        <v>981</v>
      </c>
      <c r="M724" s="4">
        <v>150</v>
      </c>
      <c r="N724" s="4">
        <v>112.5</v>
      </c>
      <c r="O724">
        <v>4</v>
      </c>
      <c r="T724" t="s">
        <v>178</v>
      </c>
      <c r="U724" t="s">
        <v>66</v>
      </c>
      <c r="V724" s="4">
        <v>112.5</v>
      </c>
      <c r="Y724" s="6">
        <f t="shared" si="89"/>
        <v>600</v>
      </c>
      <c r="Z724" s="6">
        <f t="shared" si="90"/>
        <v>450</v>
      </c>
      <c r="AA724" s="6">
        <f t="shared" si="91"/>
        <v>450</v>
      </c>
      <c r="AB724" s="6">
        <f t="shared" si="92"/>
        <v>150</v>
      </c>
      <c r="AC724" t="s">
        <v>16</v>
      </c>
      <c r="AD724" s="3" t="s">
        <v>168</v>
      </c>
    </row>
    <row r="725" spans="1:30" ht="15.75" customHeight="1" x14ac:dyDescent="0.2">
      <c r="A725" s="7" t="str">
        <f t="shared" si="87"/>
        <v>SUZHOU FARPULL INTELLIGENT EQUIPMENT CO., LTD.J581New Buy</v>
      </c>
      <c r="B725" s="7" t="str">
        <f t="shared" si="88"/>
        <v>iPadNew Buy</v>
      </c>
      <c r="C725">
        <v>407817</v>
      </c>
      <c r="D725" t="s">
        <v>961</v>
      </c>
      <c r="E725" t="s">
        <v>166</v>
      </c>
      <c r="F725" s="28" t="s">
        <v>173</v>
      </c>
      <c r="G725" t="s">
        <v>174</v>
      </c>
      <c r="H725" t="s">
        <v>167</v>
      </c>
      <c r="I725" t="s">
        <v>175</v>
      </c>
      <c r="J725" t="s">
        <v>980</v>
      </c>
      <c r="L725" t="s">
        <v>981</v>
      </c>
      <c r="M725" s="4">
        <v>150</v>
      </c>
      <c r="N725" s="4">
        <v>112.5</v>
      </c>
      <c r="O725">
        <v>4</v>
      </c>
      <c r="T725" t="s">
        <v>178</v>
      </c>
      <c r="U725" t="s">
        <v>104</v>
      </c>
      <c r="V725" s="4">
        <v>112.5</v>
      </c>
      <c r="Y725" s="6">
        <f t="shared" si="89"/>
        <v>600</v>
      </c>
      <c r="Z725" s="6">
        <f t="shared" si="90"/>
        <v>450</v>
      </c>
      <c r="AA725" s="6">
        <f t="shared" si="91"/>
        <v>450</v>
      </c>
      <c r="AB725" s="6">
        <f t="shared" si="92"/>
        <v>150</v>
      </c>
      <c r="AC725" t="s">
        <v>16</v>
      </c>
      <c r="AD725" s="3" t="s">
        <v>168</v>
      </c>
    </row>
    <row r="726" spans="1:30" ht="15.75" customHeight="1" x14ac:dyDescent="0.2">
      <c r="A726" s="7" t="str">
        <f t="shared" si="87"/>
        <v>SUZHOU FARPULL INTELLIGENT EQUIPMENT CO., LTD.J581New Buy</v>
      </c>
      <c r="B726" s="7" t="str">
        <f t="shared" si="88"/>
        <v>iPadNew Buy</v>
      </c>
      <c r="C726">
        <v>407816</v>
      </c>
      <c r="D726" t="s">
        <v>961</v>
      </c>
      <c r="E726" t="s">
        <v>166</v>
      </c>
      <c r="F726" s="28" t="s">
        <v>173</v>
      </c>
      <c r="G726" t="s">
        <v>174</v>
      </c>
      <c r="H726" t="s">
        <v>167</v>
      </c>
      <c r="I726" t="s">
        <v>175</v>
      </c>
      <c r="J726" t="s">
        <v>982</v>
      </c>
      <c r="L726" t="s">
        <v>983</v>
      </c>
      <c r="M726" s="4">
        <v>480</v>
      </c>
      <c r="N726" s="4">
        <v>360</v>
      </c>
      <c r="O726">
        <v>49</v>
      </c>
      <c r="T726" t="s">
        <v>178</v>
      </c>
      <c r="U726" t="s">
        <v>116</v>
      </c>
      <c r="V726" s="4">
        <v>360</v>
      </c>
      <c r="Y726" s="6">
        <f t="shared" si="89"/>
        <v>23520</v>
      </c>
      <c r="Z726" s="6">
        <f t="shared" si="90"/>
        <v>17640</v>
      </c>
      <c r="AA726" s="6">
        <f t="shared" si="91"/>
        <v>17640</v>
      </c>
      <c r="AB726" s="6">
        <f t="shared" si="92"/>
        <v>5880</v>
      </c>
      <c r="AC726" t="s">
        <v>33</v>
      </c>
      <c r="AD726" s="3" t="s">
        <v>168</v>
      </c>
    </row>
    <row r="727" spans="1:30" ht="15.75" customHeight="1" x14ac:dyDescent="0.2">
      <c r="A727" s="7" t="str">
        <f t="shared" si="87"/>
        <v>SUZHOU FARPULL INTELLIGENT EQUIPMENT CO., LTD.J581New Buy</v>
      </c>
      <c r="B727" s="7" t="str">
        <f t="shared" si="88"/>
        <v>iPadNew Buy</v>
      </c>
      <c r="C727">
        <v>407815</v>
      </c>
      <c r="D727" t="s">
        <v>961</v>
      </c>
      <c r="E727" t="s">
        <v>166</v>
      </c>
      <c r="F727" s="28" t="s">
        <v>173</v>
      </c>
      <c r="G727" t="s">
        <v>174</v>
      </c>
      <c r="H727" t="s">
        <v>167</v>
      </c>
      <c r="I727" t="s">
        <v>175</v>
      </c>
      <c r="J727" t="s">
        <v>982</v>
      </c>
      <c r="L727" t="s">
        <v>983</v>
      </c>
      <c r="M727" s="4">
        <v>480</v>
      </c>
      <c r="N727" s="4">
        <v>360</v>
      </c>
      <c r="O727">
        <v>25</v>
      </c>
      <c r="T727" t="s">
        <v>178</v>
      </c>
      <c r="U727" t="s">
        <v>66</v>
      </c>
      <c r="V727" s="4">
        <v>360</v>
      </c>
      <c r="Y727" s="6">
        <f t="shared" si="89"/>
        <v>12000</v>
      </c>
      <c r="Z727" s="6">
        <f t="shared" si="90"/>
        <v>9000</v>
      </c>
      <c r="AA727" s="6">
        <f t="shared" si="91"/>
        <v>9000</v>
      </c>
      <c r="AB727" s="6">
        <f t="shared" si="92"/>
        <v>3000</v>
      </c>
      <c r="AC727" t="s">
        <v>16</v>
      </c>
      <c r="AD727" s="3" t="s">
        <v>168</v>
      </c>
    </row>
    <row r="728" spans="1:30" ht="15.75" customHeight="1" x14ac:dyDescent="0.2">
      <c r="A728" s="7" t="str">
        <f t="shared" si="87"/>
        <v>SUZHOU FARPULL INTELLIGENT EQUIPMENT CO., LTD.J581New Buy</v>
      </c>
      <c r="B728" s="7" t="str">
        <f t="shared" si="88"/>
        <v>iPadNew Buy</v>
      </c>
      <c r="C728">
        <v>407814</v>
      </c>
      <c r="D728" t="s">
        <v>961</v>
      </c>
      <c r="E728" t="s">
        <v>166</v>
      </c>
      <c r="F728" s="28" t="s">
        <v>173</v>
      </c>
      <c r="G728" t="s">
        <v>174</v>
      </c>
      <c r="H728" t="s">
        <v>167</v>
      </c>
      <c r="I728" t="s">
        <v>175</v>
      </c>
      <c r="J728" t="s">
        <v>982</v>
      </c>
      <c r="L728" t="s">
        <v>983</v>
      </c>
      <c r="M728" s="4">
        <v>480</v>
      </c>
      <c r="N728" s="4">
        <v>360</v>
      </c>
      <c r="O728">
        <v>26</v>
      </c>
      <c r="T728" t="s">
        <v>178</v>
      </c>
      <c r="U728" t="s">
        <v>104</v>
      </c>
      <c r="V728" s="4">
        <v>360</v>
      </c>
      <c r="Y728" s="6">
        <f t="shared" si="89"/>
        <v>12480</v>
      </c>
      <c r="Z728" s="6">
        <f t="shared" si="90"/>
        <v>9360</v>
      </c>
      <c r="AA728" s="6">
        <f t="shared" si="91"/>
        <v>9360</v>
      </c>
      <c r="AB728" s="6">
        <f t="shared" si="92"/>
        <v>3120</v>
      </c>
      <c r="AC728" t="s">
        <v>16</v>
      </c>
      <c r="AD728" s="3" t="s">
        <v>168</v>
      </c>
    </row>
    <row r="729" spans="1:30" ht="15.75" customHeight="1" x14ac:dyDescent="0.2">
      <c r="A729" s="7" t="str">
        <f t="shared" si="87"/>
        <v>SUZHOU FARPULL INTELLIGENT EQUIPMENT CO., LTD.J581New Buy</v>
      </c>
      <c r="B729" s="7" t="str">
        <f t="shared" si="88"/>
        <v>iPadNew Buy</v>
      </c>
      <c r="C729">
        <v>407813</v>
      </c>
      <c r="D729" t="s">
        <v>961</v>
      </c>
      <c r="E729" t="s">
        <v>166</v>
      </c>
      <c r="F729" s="28" t="s">
        <v>173</v>
      </c>
      <c r="G729" t="s">
        <v>174</v>
      </c>
      <c r="H729" t="s">
        <v>167</v>
      </c>
      <c r="I729" t="s">
        <v>131</v>
      </c>
      <c r="J729" t="s">
        <v>984</v>
      </c>
      <c r="L729" t="s">
        <v>985</v>
      </c>
      <c r="M729" s="4">
        <v>285</v>
      </c>
      <c r="N729" s="4">
        <v>213.75</v>
      </c>
      <c r="O729">
        <v>10</v>
      </c>
      <c r="T729" t="s">
        <v>178</v>
      </c>
      <c r="U729" t="s">
        <v>104</v>
      </c>
      <c r="V729" s="4">
        <v>213.75</v>
      </c>
      <c r="Y729" s="6">
        <f t="shared" si="89"/>
        <v>2850</v>
      </c>
      <c r="Z729" s="6">
        <f t="shared" si="90"/>
        <v>2137.5</v>
      </c>
      <c r="AA729" s="6">
        <f t="shared" si="91"/>
        <v>2137.5</v>
      </c>
      <c r="AB729" s="6">
        <f t="shared" si="92"/>
        <v>712.5</v>
      </c>
      <c r="AC729" t="s">
        <v>16</v>
      </c>
      <c r="AD729" s="3" t="s">
        <v>168</v>
      </c>
    </row>
    <row r="730" spans="1:30" ht="15.75" customHeight="1" x14ac:dyDescent="0.2">
      <c r="A730" s="7" t="str">
        <f t="shared" si="87"/>
        <v>SUZHOU FARPULL INTELLIGENT EQUIPMENT CO., LTD.J581New Buy</v>
      </c>
      <c r="B730" s="7" t="str">
        <f t="shared" si="88"/>
        <v>iPadNew Buy</v>
      </c>
      <c r="C730">
        <v>407809</v>
      </c>
      <c r="D730" t="s">
        <v>961</v>
      </c>
      <c r="E730" t="s">
        <v>166</v>
      </c>
      <c r="F730" s="28" t="s">
        <v>173</v>
      </c>
      <c r="G730" t="s">
        <v>174</v>
      </c>
      <c r="H730" t="s">
        <v>167</v>
      </c>
      <c r="I730" t="s">
        <v>175</v>
      </c>
      <c r="J730" t="s">
        <v>986</v>
      </c>
      <c r="L730" t="s">
        <v>987</v>
      </c>
      <c r="M730" s="4">
        <v>85</v>
      </c>
      <c r="N730" s="4">
        <v>63.75</v>
      </c>
      <c r="O730">
        <v>1</v>
      </c>
      <c r="T730" t="s">
        <v>178</v>
      </c>
      <c r="U730" t="s">
        <v>116</v>
      </c>
      <c r="V730" s="4">
        <v>63.75</v>
      </c>
      <c r="Y730" s="6">
        <f t="shared" si="89"/>
        <v>85</v>
      </c>
      <c r="Z730" s="6">
        <f t="shared" si="90"/>
        <v>63.75</v>
      </c>
      <c r="AA730" s="6">
        <f t="shared" si="91"/>
        <v>63.75</v>
      </c>
      <c r="AB730" s="6">
        <f t="shared" si="92"/>
        <v>21.25</v>
      </c>
      <c r="AC730" t="s">
        <v>33</v>
      </c>
      <c r="AD730" s="3" t="s">
        <v>168</v>
      </c>
    </row>
    <row r="731" spans="1:30" ht="15.75" customHeight="1" x14ac:dyDescent="0.2">
      <c r="A731" s="7" t="str">
        <f t="shared" si="87"/>
        <v>SUZHOU FARPULL INTELLIGENT EQUIPMENT CO., LTD.J581New Buy</v>
      </c>
      <c r="B731" s="7" t="str">
        <f t="shared" si="88"/>
        <v>iPadNew Buy</v>
      </c>
      <c r="C731">
        <v>407808</v>
      </c>
      <c r="D731" t="s">
        <v>961</v>
      </c>
      <c r="E731" t="s">
        <v>166</v>
      </c>
      <c r="F731" s="28" t="s">
        <v>173</v>
      </c>
      <c r="G731" t="s">
        <v>174</v>
      </c>
      <c r="H731" t="s">
        <v>167</v>
      </c>
      <c r="I731" t="s">
        <v>175</v>
      </c>
      <c r="J731" t="s">
        <v>986</v>
      </c>
      <c r="L731" t="s">
        <v>987</v>
      </c>
      <c r="M731" s="4">
        <v>85</v>
      </c>
      <c r="N731" s="4">
        <v>63.75</v>
      </c>
      <c r="O731">
        <v>1</v>
      </c>
      <c r="T731" t="s">
        <v>178</v>
      </c>
      <c r="U731" t="s">
        <v>66</v>
      </c>
      <c r="V731" s="4">
        <v>63.75</v>
      </c>
      <c r="Y731" s="6">
        <f t="shared" si="89"/>
        <v>85</v>
      </c>
      <c r="Z731" s="6">
        <f t="shared" si="90"/>
        <v>63.75</v>
      </c>
      <c r="AA731" s="6">
        <f t="shared" si="91"/>
        <v>63.75</v>
      </c>
      <c r="AB731" s="6">
        <f t="shared" si="92"/>
        <v>21.25</v>
      </c>
      <c r="AC731" t="s">
        <v>16</v>
      </c>
      <c r="AD731" s="3" t="s">
        <v>168</v>
      </c>
    </row>
    <row r="732" spans="1:30" ht="15.75" customHeight="1" x14ac:dyDescent="0.2">
      <c r="A732" s="7" t="str">
        <f t="shared" si="87"/>
        <v>SUZHOU FARPULL INTELLIGENT EQUIPMENT CO., LTD.J581New Buy</v>
      </c>
      <c r="B732" s="7" t="str">
        <f t="shared" si="88"/>
        <v>iPadNew Buy</v>
      </c>
      <c r="C732">
        <v>407807</v>
      </c>
      <c r="D732" t="s">
        <v>961</v>
      </c>
      <c r="E732" t="s">
        <v>166</v>
      </c>
      <c r="F732" s="28" t="s">
        <v>173</v>
      </c>
      <c r="G732" t="s">
        <v>174</v>
      </c>
      <c r="H732" t="s">
        <v>167</v>
      </c>
      <c r="I732" t="s">
        <v>175</v>
      </c>
      <c r="J732" t="s">
        <v>986</v>
      </c>
      <c r="L732" t="s">
        <v>987</v>
      </c>
      <c r="M732" s="4">
        <v>85</v>
      </c>
      <c r="N732" s="4">
        <v>63.75</v>
      </c>
      <c r="O732">
        <v>1</v>
      </c>
      <c r="T732" t="s">
        <v>178</v>
      </c>
      <c r="U732" t="s">
        <v>104</v>
      </c>
      <c r="V732" s="4">
        <v>63.75</v>
      </c>
      <c r="Y732" s="6">
        <f t="shared" si="89"/>
        <v>85</v>
      </c>
      <c r="Z732" s="6">
        <f t="shared" si="90"/>
        <v>63.75</v>
      </c>
      <c r="AA732" s="6">
        <f t="shared" si="91"/>
        <v>63.75</v>
      </c>
      <c r="AB732" s="6">
        <f t="shared" si="92"/>
        <v>21.25</v>
      </c>
      <c r="AC732" t="s">
        <v>16</v>
      </c>
      <c r="AD732" s="3" t="s">
        <v>168</v>
      </c>
    </row>
    <row r="733" spans="1:30" ht="15.75" customHeight="1" x14ac:dyDescent="0.2">
      <c r="A733" s="7" t="str">
        <f t="shared" si="87"/>
        <v>SUZHOU FARPULL INTELLIGENT EQUIPMENT CO., LTD.J581New Buy</v>
      </c>
      <c r="B733" s="7" t="str">
        <f t="shared" si="88"/>
        <v>iPadNew Buy</v>
      </c>
      <c r="C733">
        <v>407797</v>
      </c>
      <c r="D733" t="s">
        <v>961</v>
      </c>
      <c r="E733" t="s">
        <v>166</v>
      </c>
      <c r="F733" s="28" t="s">
        <v>173</v>
      </c>
      <c r="G733" t="s">
        <v>174</v>
      </c>
      <c r="H733" t="s">
        <v>167</v>
      </c>
      <c r="I733" t="s">
        <v>175</v>
      </c>
      <c r="J733" t="s">
        <v>988</v>
      </c>
      <c r="L733" t="s">
        <v>989</v>
      </c>
      <c r="M733" s="4">
        <v>35</v>
      </c>
      <c r="N733" s="4">
        <v>26.25</v>
      </c>
      <c r="O733">
        <v>1</v>
      </c>
      <c r="T733" t="s">
        <v>178</v>
      </c>
      <c r="U733" t="s">
        <v>104</v>
      </c>
      <c r="V733" s="4">
        <v>26.25</v>
      </c>
      <c r="Y733" s="6">
        <f t="shared" si="89"/>
        <v>35</v>
      </c>
      <c r="Z733" s="6">
        <f t="shared" si="90"/>
        <v>26.25</v>
      </c>
      <c r="AA733" s="6">
        <f t="shared" si="91"/>
        <v>26.25</v>
      </c>
      <c r="AB733" s="6">
        <f t="shared" si="92"/>
        <v>8.75</v>
      </c>
      <c r="AC733" t="s">
        <v>16</v>
      </c>
      <c r="AD733" s="3" t="s">
        <v>168</v>
      </c>
    </row>
    <row r="734" spans="1:30" ht="15.75" customHeight="1" x14ac:dyDescent="0.2">
      <c r="A734" s="7" t="str">
        <f t="shared" si="87"/>
        <v>SUZHOU FARPULL INTELLIGENT EQUIPMENT CO., LTD.J581New Buy</v>
      </c>
      <c r="B734" s="7" t="str">
        <f t="shared" si="88"/>
        <v>iPadNew Buy</v>
      </c>
      <c r="C734">
        <v>407796</v>
      </c>
      <c r="D734" t="s">
        <v>961</v>
      </c>
      <c r="E734" t="s">
        <v>166</v>
      </c>
      <c r="F734" s="28" t="s">
        <v>173</v>
      </c>
      <c r="G734" t="s">
        <v>174</v>
      </c>
      <c r="H734" t="s">
        <v>167</v>
      </c>
      <c r="I734" t="s">
        <v>175</v>
      </c>
      <c r="J734" t="s">
        <v>988</v>
      </c>
      <c r="L734" t="s">
        <v>989</v>
      </c>
      <c r="M734" s="4">
        <v>35</v>
      </c>
      <c r="N734" s="4">
        <v>26.25</v>
      </c>
      <c r="O734">
        <v>1</v>
      </c>
      <c r="T734" t="s">
        <v>178</v>
      </c>
      <c r="U734" t="s">
        <v>116</v>
      </c>
      <c r="V734" s="4">
        <v>26.25</v>
      </c>
      <c r="Y734" s="6">
        <f t="shared" si="89"/>
        <v>35</v>
      </c>
      <c r="Z734" s="6">
        <f t="shared" si="90"/>
        <v>26.25</v>
      </c>
      <c r="AA734" s="6">
        <f t="shared" si="91"/>
        <v>26.25</v>
      </c>
      <c r="AB734" s="6">
        <f t="shared" si="92"/>
        <v>8.75</v>
      </c>
      <c r="AC734" t="s">
        <v>33</v>
      </c>
      <c r="AD734" s="3" t="s">
        <v>168</v>
      </c>
    </row>
    <row r="735" spans="1:30" ht="15.75" customHeight="1" x14ac:dyDescent="0.2">
      <c r="A735" s="7" t="str">
        <f t="shared" si="87"/>
        <v>SUZHOU FARPULL INTELLIGENT EQUIPMENT CO., LTD.J581New Buy</v>
      </c>
      <c r="B735" s="7" t="str">
        <f t="shared" si="88"/>
        <v>iPadNew Buy</v>
      </c>
      <c r="C735">
        <v>407795</v>
      </c>
      <c r="D735" t="s">
        <v>961</v>
      </c>
      <c r="E735" t="s">
        <v>166</v>
      </c>
      <c r="F735" s="28" t="s">
        <v>173</v>
      </c>
      <c r="G735" t="s">
        <v>174</v>
      </c>
      <c r="H735" t="s">
        <v>167</v>
      </c>
      <c r="I735" t="s">
        <v>175</v>
      </c>
      <c r="J735" t="s">
        <v>988</v>
      </c>
      <c r="L735" t="s">
        <v>989</v>
      </c>
      <c r="M735" s="4">
        <v>35</v>
      </c>
      <c r="N735" s="4">
        <v>26.25</v>
      </c>
      <c r="O735">
        <v>1</v>
      </c>
      <c r="T735" t="s">
        <v>178</v>
      </c>
      <c r="U735" t="s">
        <v>66</v>
      </c>
      <c r="V735" s="4">
        <v>26.25</v>
      </c>
      <c r="Y735" s="6">
        <f t="shared" si="89"/>
        <v>35</v>
      </c>
      <c r="Z735" s="6">
        <f t="shared" si="90"/>
        <v>26.25</v>
      </c>
      <c r="AA735" s="6">
        <f t="shared" si="91"/>
        <v>26.25</v>
      </c>
      <c r="AB735" s="6">
        <f t="shared" si="92"/>
        <v>8.75</v>
      </c>
      <c r="AC735" t="s">
        <v>16</v>
      </c>
      <c r="AD735" s="3" t="s">
        <v>168</v>
      </c>
    </row>
    <row r="736" spans="1:30" ht="15.75" customHeight="1" x14ac:dyDescent="0.2">
      <c r="A736" s="7" t="str">
        <f t="shared" si="87"/>
        <v>SUZHOU FARPULL INTELLIGENT EQUIPMENT CO., LTD.J510New Buy</v>
      </c>
      <c r="B736" s="7" t="str">
        <f t="shared" si="88"/>
        <v>iPadNew Buy</v>
      </c>
      <c r="C736">
        <v>409046</v>
      </c>
      <c r="D736" t="s">
        <v>961</v>
      </c>
      <c r="E736" t="s">
        <v>166</v>
      </c>
      <c r="F736" s="28" t="s">
        <v>173</v>
      </c>
      <c r="G736" t="s">
        <v>68</v>
      </c>
      <c r="H736" t="s">
        <v>167</v>
      </c>
      <c r="I736" t="s">
        <v>175</v>
      </c>
      <c r="J736" t="s">
        <v>990</v>
      </c>
      <c r="L736" t="s">
        <v>991</v>
      </c>
      <c r="M736" s="4">
        <v>5.3</v>
      </c>
      <c r="N736" s="4">
        <v>3.9750000000000001</v>
      </c>
      <c r="O736">
        <v>6252</v>
      </c>
      <c r="T736" t="s">
        <v>178</v>
      </c>
      <c r="U736" t="s">
        <v>66</v>
      </c>
      <c r="V736" s="4">
        <v>3.9750000000000001</v>
      </c>
      <c r="Y736" s="6">
        <f t="shared" si="89"/>
        <v>33135.599999999999</v>
      </c>
      <c r="Z736" s="6">
        <f t="shared" si="90"/>
        <v>24851.7</v>
      </c>
      <c r="AA736" s="6">
        <f t="shared" si="91"/>
        <v>24851.7</v>
      </c>
      <c r="AB736" s="6">
        <f t="shared" si="92"/>
        <v>8283.8999999999978</v>
      </c>
      <c r="AC736" t="s">
        <v>16</v>
      </c>
      <c r="AD736" s="3" t="s">
        <v>168</v>
      </c>
    </row>
    <row r="737" spans="1:30" ht="15.75" customHeight="1" x14ac:dyDescent="0.2">
      <c r="A737" s="7" t="str">
        <f t="shared" si="87"/>
        <v>SUZHOU FARPULL INTELLIGENT EQUIPMENT CO., LTD.J510New Buy</v>
      </c>
      <c r="B737" s="7" t="str">
        <f t="shared" si="88"/>
        <v>iPadNew Buy</v>
      </c>
      <c r="C737">
        <v>409045</v>
      </c>
      <c r="D737" t="s">
        <v>961</v>
      </c>
      <c r="E737" t="s">
        <v>166</v>
      </c>
      <c r="F737" s="28" t="s">
        <v>173</v>
      </c>
      <c r="G737" t="s">
        <v>68</v>
      </c>
      <c r="H737" t="s">
        <v>167</v>
      </c>
      <c r="I737" t="s">
        <v>175</v>
      </c>
      <c r="J737" t="s">
        <v>992</v>
      </c>
      <c r="L737" t="s">
        <v>993</v>
      </c>
      <c r="M737" s="4">
        <v>1100</v>
      </c>
      <c r="N737" s="4">
        <v>825</v>
      </c>
      <c r="O737">
        <v>8</v>
      </c>
      <c r="T737" t="s">
        <v>178</v>
      </c>
      <c r="U737" t="s">
        <v>66</v>
      </c>
      <c r="V737" s="4">
        <v>825</v>
      </c>
      <c r="Y737" s="6">
        <f t="shared" si="89"/>
        <v>8800</v>
      </c>
      <c r="Z737" s="6">
        <f t="shared" si="90"/>
        <v>6600</v>
      </c>
      <c r="AA737" s="6">
        <f t="shared" si="91"/>
        <v>6600</v>
      </c>
      <c r="AB737" s="6">
        <f t="shared" si="92"/>
        <v>2200</v>
      </c>
      <c r="AC737" t="s">
        <v>16</v>
      </c>
      <c r="AD737" s="3" t="s">
        <v>168</v>
      </c>
    </row>
    <row r="738" spans="1:30" ht="15.75" customHeight="1" x14ac:dyDescent="0.2">
      <c r="A738" s="7" t="str">
        <f t="shared" si="87"/>
        <v xml:space="preserve">SUZHOU FARPULL INTELLIGENT EQUIPMENT CO., LTD.J581Retrofit </v>
      </c>
      <c r="B738" s="7" t="str">
        <f t="shared" si="88"/>
        <v>iPadNew Buy</v>
      </c>
      <c r="C738">
        <v>407790</v>
      </c>
      <c r="D738" t="s">
        <v>961</v>
      </c>
      <c r="E738" t="s">
        <v>166</v>
      </c>
      <c r="F738" s="28" t="s">
        <v>173</v>
      </c>
      <c r="G738" t="s">
        <v>174</v>
      </c>
      <c r="H738" t="s">
        <v>964</v>
      </c>
      <c r="I738" t="s">
        <v>175</v>
      </c>
      <c r="J738" t="s">
        <v>994</v>
      </c>
      <c r="L738" t="s">
        <v>995</v>
      </c>
      <c r="M738" s="4">
        <v>150</v>
      </c>
      <c r="N738" s="4">
        <v>112.5</v>
      </c>
      <c r="O738">
        <v>9</v>
      </c>
      <c r="T738" t="s">
        <v>178</v>
      </c>
      <c r="U738" t="s">
        <v>104</v>
      </c>
      <c r="V738" s="4">
        <v>112.5</v>
      </c>
      <c r="Y738" s="6">
        <f t="shared" si="89"/>
        <v>1350</v>
      </c>
      <c r="Z738" s="6">
        <f t="shared" si="90"/>
        <v>1012.5</v>
      </c>
      <c r="AA738" s="6">
        <f t="shared" si="91"/>
        <v>1012.5</v>
      </c>
      <c r="AB738" s="6">
        <f t="shared" si="92"/>
        <v>337.5</v>
      </c>
      <c r="AC738" t="s">
        <v>16</v>
      </c>
      <c r="AD738" s="3" t="s">
        <v>171</v>
      </c>
    </row>
    <row r="739" spans="1:30" ht="15.75" customHeight="1" x14ac:dyDescent="0.2">
      <c r="A739" s="7" t="str">
        <f t="shared" ref="A739:A802" si="93">CONCATENATE(D739,G739,H739,K739)</f>
        <v xml:space="preserve">SUZHOU FARPULL INTELLIGENT EQUIPMENT CO., LTD.J581Retrofit </v>
      </c>
      <c r="B739" s="7" t="str">
        <f t="shared" ref="B739:B802" si="94">_xlfn.CONCAT(F739,K739,"New Buy")</f>
        <v>iPadNew Buy</v>
      </c>
      <c r="C739">
        <v>407789</v>
      </c>
      <c r="D739" t="s">
        <v>961</v>
      </c>
      <c r="E739" t="s">
        <v>166</v>
      </c>
      <c r="F739" s="28" t="s">
        <v>173</v>
      </c>
      <c r="G739" t="s">
        <v>174</v>
      </c>
      <c r="H739" t="s">
        <v>964</v>
      </c>
      <c r="I739" t="s">
        <v>131</v>
      </c>
      <c r="J739" t="s">
        <v>994</v>
      </c>
      <c r="L739" t="s">
        <v>996</v>
      </c>
      <c r="M739" s="4">
        <v>150</v>
      </c>
      <c r="N739" s="4">
        <v>112.5</v>
      </c>
      <c r="O739">
        <v>12</v>
      </c>
      <c r="T739" t="s">
        <v>178</v>
      </c>
      <c r="U739" t="s">
        <v>116</v>
      </c>
      <c r="V739" s="4">
        <v>112.5</v>
      </c>
      <c r="Y739" s="6">
        <f t="shared" ref="Y739:Y802" si="95">IFERROR(O739*M739,0)</f>
        <v>1800</v>
      </c>
      <c r="Z739" s="6">
        <f t="shared" ref="Z739:Z802" si="96">IFERROR(O739*V739,0)</f>
        <v>1350</v>
      </c>
      <c r="AA739" s="6">
        <f t="shared" ref="AA739:AA802" si="97">IFERROR(N739*O739,0)</f>
        <v>1350</v>
      </c>
      <c r="AB739" s="6">
        <f t="shared" si="92"/>
        <v>450</v>
      </c>
      <c r="AC739" t="s">
        <v>33</v>
      </c>
      <c r="AD739" s="3" t="s">
        <v>171</v>
      </c>
    </row>
    <row r="740" spans="1:30" ht="15.75" customHeight="1" x14ac:dyDescent="0.2">
      <c r="A740" s="7" t="str">
        <f t="shared" si="93"/>
        <v xml:space="preserve">SUZHOU FARPULL INTELLIGENT EQUIPMENT CO., LTD.J581Retrofit </v>
      </c>
      <c r="B740" s="7" t="str">
        <f t="shared" si="94"/>
        <v>iPadNew Buy</v>
      </c>
      <c r="C740">
        <v>407788</v>
      </c>
      <c r="D740" t="s">
        <v>961</v>
      </c>
      <c r="E740" t="s">
        <v>166</v>
      </c>
      <c r="F740" s="28" t="s">
        <v>173</v>
      </c>
      <c r="G740" t="s">
        <v>174</v>
      </c>
      <c r="H740" t="s">
        <v>964</v>
      </c>
      <c r="I740" t="s">
        <v>131</v>
      </c>
      <c r="J740" t="s">
        <v>994</v>
      </c>
      <c r="L740" t="s">
        <v>996</v>
      </c>
      <c r="M740" s="4">
        <v>150</v>
      </c>
      <c r="N740" s="4">
        <v>112.5</v>
      </c>
      <c r="O740">
        <v>8</v>
      </c>
      <c r="T740" t="s">
        <v>178</v>
      </c>
      <c r="U740" t="s">
        <v>66</v>
      </c>
      <c r="V740" s="4">
        <v>112.5</v>
      </c>
      <c r="Y740" s="6">
        <f t="shared" si="95"/>
        <v>1200</v>
      </c>
      <c r="Z740" s="6">
        <f t="shared" si="96"/>
        <v>900</v>
      </c>
      <c r="AA740" s="6">
        <f t="shared" si="97"/>
        <v>900</v>
      </c>
      <c r="AB740" s="6">
        <f t="shared" si="92"/>
        <v>300</v>
      </c>
      <c r="AC740" t="s">
        <v>16</v>
      </c>
      <c r="AD740" s="3" t="s">
        <v>171</v>
      </c>
    </row>
    <row r="741" spans="1:30" ht="15.75" customHeight="1" x14ac:dyDescent="0.2">
      <c r="A741" s="7" t="str">
        <f t="shared" si="93"/>
        <v>SUZHOU FARPULL INTELLIGENT EQUIPMENT CO., LTD.J510New Buy</v>
      </c>
      <c r="B741" s="7" t="str">
        <f t="shared" si="94"/>
        <v>iPadNew Buy</v>
      </c>
      <c r="C741">
        <v>409013</v>
      </c>
      <c r="D741" t="s">
        <v>961</v>
      </c>
      <c r="E741" t="s">
        <v>166</v>
      </c>
      <c r="F741" s="28" t="s">
        <v>173</v>
      </c>
      <c r="G741" t="s">
        <v>68</v>
      </c>
      <c r="H741" t="s">
        <v>167</v>
      </c>
      <c r="I741" t="s">
        <v>175</v>
      </c>
      <c r="J741" t="s">
        <v>997</v>
      </c>
      <c r="L741" t="s">
        <v>998</v>
      </c>
      <c r="M741" s="4">
        <v>268</v>
      </c>
      <c r="N741" s="4">
        <v>201</v>
      </c>
      <c r="O741">
        <v>12</v>
      </c>
      <c r="T741" t="s">
        <v>178</v>
      </c>
      <c r="U741" t="s">
        <v>66</v>
      </c>
      <c r="V741" s="4">
        <v>201</v>
      </c>
      <c r="Y741" s="6">
        <f t="shared" si="95"/>
        <v>3216</v>
      </c>
      <c r="Z741" s="6">
        <f t="shared" si="96"/>
        <v>2412</v>
      </c>
      <c r="AA741" s="6">
        <f t="shared" si="97"/>
        <v>2412</v>
      </c>
      <c r="AB741" s="6">
        <f t="shared" si="92"/>
        <v>804</v>
      </c>
      <c r="AC741" t="s">
        <v>16</v>
      </c>
      <c r="AD741" s="3" t="s">
        <v>168</v>
      </c>
    </row>
    <row r="742" spans="1:30" ht="15.75" customHeight="1" x14ac:dyDescent="0.2">
      <c r="A742" s="7" t="str">
        <f t="shared" si="93"/>
        <v>SUZHOU FARPULL INTELLIGENT EQUIPMENT CO., LTD.J510New Buy</v>
      </c>
      <c r="B742" s="7" t="str">
        <f t="shared" si="94"/>
        <v>iPadNew Buy</v>
      </c>
      <c r="C742">
        <v>408827</v>
      </c>
      <c r="D742" t="s">
        <v>961</v>
      </c>
      <c r="E742" t="s">
        <v>166</v>
      </c>
      <c r="F742" s="28" t="s">
        <v>173</v>
      </c>
      <c r="G742" t="s">
        <v>68</v>
      </c>
      <c r="H742" t="s">
        <v>167</v>
      </c>
      <c r="I742" t="s">
        <v>175</v>
      </c>
      <c r="J742" t="s">
        <v>999</v>
      </c>
      <c r="L742" t="s">
        <v>1000</v>
      </c>
      <c r="M742" s="4">
        <v>3800</v>
      </c>
      <c r="N742" s="4">
        <v>2850</v>
      </c>
      <c r="O742">
        <v>6</v>
      </c>
      <c r="T742" t="s">
        <v>178</v>
      </c>
      <c r="U742" t="s">
        <v>66</v>
      </c>
      <c r="V742" s="4">
        <v>2850</v>
      </c>
      <c r="Y742" s="6">
        <f t="shared" si="95"/>
        <v>22800</v>
      </c>
      <c r="Z742" s="6">
        <f t="shared" si="96"/>
        <v>17100</v>
      </c>
      <c r="AA742" s="6">
        <f t="shared" si="97"/>
        <v>17100</v>
      </c>
      <c r="AB742" s="6">
        <f t="shared" si="92"/>
        <v>5700</v>
      </c>
      <c r="AC742" t="s">
        <v>16</v>
      </c>
      <c r="AD742" s="3" t="s">
        <v>168</v>
      </c>
    </row>
    <row r="743" spans="1:30" ht="15.75" customHeight="1" x14ac:dyDescent="0.2">
      <c r="A743" s="7" t="str">
        <f t="shared" si="93"/>
        <v>SUZHOU FARPULL INTELLIGENT EQUIPMENT CO., LTD.J510New Buy</v>
      </c>
      <c r="B743" s="7" t="str">
        <f t="shared" si="94"/>
        <v>iPadNew Buy</v>
      </c>
      <c r="C743">
        <v>408826</v>
      </c>
      <c r="D743" t="s">
        <v>961</v>
      </c>
      <c r="E743" t="s">
        <v>166</v>
      </c>
      <c r="F743" s="28" t="s">
        <v>173</v>
      </c>
      <c r="G743" t="s">
        <v>68</v>
      </c>
      <c r="H743" t="s">
        <v>167</v>
      </c>
      <c r="I743" t="s">
        <v>175</v>
      </c>
      <c r="J743" t="s">
        <v>1001</v>
      </c>
      <c r="L743" t="s">
        <v>1002</v>
      </c>
      <c r="M743" s="4">
        <v>12</v>
      </c>
      <c r="N743" s="4">
        <v>9</v>
      </c>
      <c r="O743">
        <v>12</v>
      </c>
      <c r="T743" t="s">
        <v>178</v>
      </c>
      <c r="U743" t="s">
        <v>66</v>
      </c>
      <c r="V743" s="4">
        <v>9</v>
      </c>
      <c r="Y743" s="6">
        <f t="shared" si="95"/>
        <v>144</v>
      </c>
      <c r="Z743" s="6">
        <f t="shared" si="96"/>
        <v>108</v>
      </c>
      <c r="AA743" s="6">
        <f t="shared" si="97"/>
        <v>108</v>
      </c>
      <c r="AB743" s="6">
        <f t="shared" si="92"/>
        <v>36</v>
      </c>
      <c r="AC743" t="s">
        <v>16</v>
      </c>
      <c r="AD743" s="3" t="s">
        <v>168</v>
      </c>
    </row>
    <row r="744" spans="1:30" ht="15.75" customHeight="1" x14ac:dyDescent="0.2">
      <c r="A744" s="7" t="str">
        <f t="shared" si="93"/>
        <v>SUZHOU FARPULL INTELLIGENT EQUIPMENT CO., LTD.J510New Buy</v>
      </c>
      <c r="B744" s="7" t="str">
        <f t="shared" si="94"/>
        <v>iPadNew Buy</v>
      </c>
      <c r="C744">
        <v>408822</v>
      </c>
      <c r="D744" t="s">
        <v>961</v>
      </c>
      <c r="E744" t="s">
        <v>166</v>
      </c>
      <c r="F744" s="28" t="s">
        <v>173</v>
      </c>
      <c r="G744" t="s">
        <v>68</v>
      </c>
      <c r="H744" t="s">
        <v>167</v>
      </c>
      <c r="I744" t="s">
        <v>175</v>
      </c>
      <c r="J744" t="s">
        <v>1003</v>
      </c>
      <c r="L744" t="s">
        <v>1004</v>
      </c>
      <c r="M744" s="4">
        <v>550</v>
      </c>
      <c r="N744" s="4">
        <v>412.5</v>
      </c>
      <c r="O744">
        <v>2</v>
      </c>
      <c r="T744" t="s">
        <v>178</v>
      </c>
      <c r="U744" t="s">
        <v>66</v>
      </c>
      <c r="V744" s="4">
        <v>412.5</v>
      </c>
      <c r="Y744" s="6">
        <f t="shared" si="95"/>
        <v>1100</v>
      </c>
      <c r="Z744" s="6">
        <f t="shared" si="96"/>
        <v>825</v>
      </c>
      <c r="AA744" s="6">
        <f t="shared" si="97"/>
        <v>825</v>
      </c>
      <c r="AB744" s="6">
        <f t="shared" si="92"/>
        <v>275</v>
      </c>
      <c r="AC744" t="s">
        <v>16</v>
      </c>
      <c r="AD744" s="3" t="s">
        <v>168</v>
      </c>
    </row>
    <row r="745" spans="1:30" ht="15.75" customHeight="1" x14ac:dyDescent="0.2">
      <c r="A745" s="7" t="str">
        <f t="shared" si="93"/>
        <v>SUZHOU FARPULL INTELLIGENT EQUIPMENT CO., LTD.J510New Buy</v>
      </c>
      <c r="B745" s="7" t="str">
        <f t="shared" si="94"/>
        <v>iPadNew Buy</v>
      </c>
      <c r="C745">
        <v>408821</v>
      </c>
      <c r="D745" t="s">
        <v>961</v>
      </c>
      <c r="E745" t="s">
        <v>166</v>
      </c>
      <c r="F745" s="28" t="s">
        <v>173</v>
      </c>
      <c r="G745" t="s">
        <v>68</v>
      </c>
      <c r="H745" t="s">
        <v>167</v>
      </c>
      <c r="I745" t="s">
        <v>175</v>
      </c>
      <c r="J745" t="s">
        <v>1005</v>
      </c>
      <c r="L745" t="s">
        <v>1006</v>
      </c>
      <c r="M745" s="4">
        <v>550</v>
      </c>
      <c r="N745" s="4">
        <v>412.5</v>
      </c>
      <c r="O745">
        <v>2</v>
      </c>
      <c r="T745" t="s">
        <v>178</v>
      </c>
      <c r="U745" t="s">
        <v>66</v>
      </c>
      <c r="V745" s="4">
        <v>412.5</v>
      </c>
      <c r="Y745" s="6">
        <f t="shared" si="95"/>
        <v>1100</v>
      </c>
      <c r="Z745" s="6">
        <f t="shared" si="96"/>
        <v>825</v>
      </c>
      <c r="AA745" s="6">
        <f t="shared" si="97"/>
        <v>825</v>
      </c>
      <c r="AB745" s="6">
        <f t="shared" si="92"/>
        <v>275</v>
      </c>
      <c r="AC745" t="s">
        <v>16</v>
      </c>
      <c r="AD745" s="3" t="s">
        <v>168</v>
      </c>
    </row>
    <row r="746" spans="1:30" ht="15.75" customHeight="1" x14ac:dyDescent="0.2">
      <c r="A746" s="7" t="str">
        <f t="shared" si="93"/>
        <v>SUZHOU FARPULL INTELLIGENT EQUIPMENT CO., LTD.J510New Buy</v>
      </c>
      <c r="B746" s="7" t="str">
        <f t="shared" si="94"/>
        <v>iPadNew Buy</v>
      </c>
      <c r="C746">
        <v>408820</v>
      </c>
      <c r="D746" t="s">
        <v>961</v>
      </c>
      <c r="E746" t="s">
        <v>166</v>
      </c>
      <c r="F746" s="28" t="s">
        <v>173</v>
      </c>
      <c r="G746" t="s">
        <v>68</v>
      </c>
      <c r="H746" t="s">
        <v>167</v>
      </c>
      <c r="I746" t="s">
        <v>175</v>
      </c>
      <c r="J746" t="s">
        <v>1007</v>
      </c>
      <c r="L746" t="s">
        <v>1008</v>
      </c>
      <c r="M746" s="4">
        <v>160</v>
      </c>
      <c r="N746" s="4">
        <v>120</v>
      </c>
      <c r="O746">
        <v>2</v>
      </c>
      <c r="T746" t="s">
        <v>178</v>
      </c>
      <c r="U746" t="s">
        <v>66</v>
      </c>
      <c r="V746" s="4">
        <v>120</v>
      </c>
      <c r="Y746" s="6">
        <f t="shared" si="95"/>
        <v>320</v>
      </c>
      <c r="Z746" s="6">
        <f t="shared" si="96"/>
        <v>240</v>
      </c>
      <c r="AA746" s="6">
        <f t="shared" si="97"/>
        <v>240</v>
      </c>
      <c r="AB746" s="6">
        <f t="shared" si="92"/>
        <v>80</v>
      </c>
      <c r="AC746" t="s">
        <v>16</v>
      </c>
      <c r="AD746" s="3" t="s">
        <v>168</v>
      </c>
    </row>
    <row r="747" spans="1:30" ht="15.75" customHeight="1" x14ac:dyDescent="0.2">
      <c r="A747" s="7" t="str">
        <f t="shared" si="93"/>
        <v>SUZHOU FARPULL INTELLIGENT EQUIPMENT CO., LTD.J510New Buy</v>
      </c>
      <c r="B747" s="7" t="str">
        <f t="shared" si="94"/>
        <v>iPadNew Buy</v>
      </c>
      <c r="C747">
        <v>408819</v>
      </c>
      <c r="D747" t="s">
        <v>961</v>
      </c>
      <c r="E747" t="s">
        <v>166</v>
      </c>
      <c r="F747" s="28" t="s">
        <v>173</v>
      </c>
      <c r="G747" t="s">
        <v>68</v>
      </c>
      <c r="H747" t="s">
        <v>167</v>
      </c>
      <c r="I747" t="s">
        <v>175</v>
      </c>
      <c r="J747" t="s">
        <v>1009</v>
      </c>
      <c r="L747" t="s">
        <v>1010</v>
      </c>
      <c r="M747" s="4">
        <v>60</v>
      </c>
      <c r="N747" s="4">
        <v>45</v>
      </c>
      <c r="O747">
        <v>6</v>
      </c>
      <c r="T747" t="s">
        <v>178</v>
      </c>
      <c r="U747" t="s">
        <v>66</v>
      </c>
      <c r="V747" s="4">
        <v>45</v>
      </c>
      <c r="Y747" s="6">
        <f t="shared" si="95"/>
        <v>360</v>
      </c>
      <c r="Z747" s="6">
        <f t="shared" si="96"/>
        <v>270</v>
      </c>
      <c r="AA747" s="6">
        <f t="shared" si="97"/>
        <v>270</v>
      </c>
      <c r="AB747" s="6">
        <f t="shared" si="92"/>
        <v>90</v>
      </c>
      <c r="AC747" t="s">
        <v>16</v>
      </c>
      <c r="AD747" s="3" t="s">
        <v>168</v>
      </c>
    </row>
    <row r="748" spans="1:30" ht="15.75" customHeight="1" x14ac:dyDescent="0.2">
      <c r="A748" s="7" t="str">
        <f t="shared" si="93"/>
        <v>SUZHOU FARPULL INTELLIGENT EQUIPMENT CO., LTD.J510New Buy</v>
      </c>
      <c r="B748" s="7" t="str">
        <f t="shared" si="94"/>
        <v>iPadNew Buy</v>
      </c>
      <c r="C748">
        <v>408816</v>
      </c>
      <c r="D748" t="s">
        <v>961</v>
      </c>
      <c r="E748" t="s">
        <v>166</v>
      </c>
      <c r="F748" s="28" t="s">
        <v>173</v>
      </c>
      <c r="G748" t="s">
        <v>68</v>
      </c>
      <c r="H748" t="s">
        <v>167</v>
      </c>
      <c r="I748" t="s">
        <v>175</v>
      </c>
      <c r="J748" t="s">
        <v>1011</v>
      </c>
      <c r="L748" t="s">
        <v>1012</v>
      </c>
      <c r="M748" s="4">
        <v>1800</v>
      </c>
      <c r="N748" s="4">
        <v>1350</v>
      </c>
      <c r="O748">
        <v>7</v>
      </c>
      <c r="T748" t="s">
        <v>178</v>
      </c>
      <c r="U748" t="s">
        <v>66</v>
      </c>
      <c r="V748" s="4">
        <v>1350</v>
      </c>
      <c r="Y748" s="6">
        <f t="shared" si="95"/>
        <v>12600</v>
      </c>
      <c r="Z748" s="6">
        <f t="shared" si="96"/>
        <v>9450</v>
      </c>
      <c r="AA748" s="6">
        <f t="shared" si="97"/>
        <v>9450</v>
      </c>
      <c r="AB748" s="6">
        <f t="shared" si="92"/>
        <v>3150</v>
      </c>
      <c r="AC748" t="s">
        <v>16</v>
      </c>
      <c r="AD748" s="3" t="s">
        <v>168</v>
      </c>
    </row>
    <row r="749" spans="1:30" ht="15.75" customHeight="1" x14ac:dyDescent="0.2">
      <c r="A749" s="7" t="str">
        <f t="shared" si="93"/>
        <v>SUZHOU FARPULL INTELLIGENT EQUIPMENT CO., LTD.J510New Buy</v>
      </c>
      <c r="B749" s="7" t="str">
        <f t="shared" si="94"/>
        <v>iPadNew Buy</v>
      </c>
      <c r="C749">
        <v>408811</v>
      </c>
      <c r="D749" t="s">
        <v>961</v>
      </c>
      <c r="E749" t="s">
        <v>166</v>
      </c>
      <c r="F749" s="28" t="s">
        <v>173</v>
      </c>
      <c r="G749" t="s">
        <v>68</v>
      </c>
      <c r="H749" t="s">
        <v>167</v>
      </c>
      <c r="I749" t="s">
        <v>175</v>
      </c>
      <c r="J749" t="s">
        <v>1013</v>
      </c>
      <c r="L749" t="s">
        <v>1014</v>
      </c>
      <c r="M749" s="4">
        <v>35</v>
      </c>
      <c r="N749" s="4">
        <v>26.25</v>
      </c>
      <c r="O749">
        <v>4</v>
      </c>
      <c r="T749" t="s">
        <v>178</v>
      </c>
      <c r="U749" t="s">
        <v>66</v>
      </c>
      <c r="V749" s="4">
        <v>26.25</v>
      </c>
      <c r="Y749" s="6">
        <f t="shared" si="95"/>
        <v>140</v>
      </c>
      <c r="Z749" s="6">
        <f t="shared" si="96"/>
        <v>105</v>
      </c>
      <c r="AA749" s="6">
        <f t="shared" si="97"/>
        <v>105</v>
      </c>
      <c r="AB749" s="6">
        <f t="shared" ref="AB749:AB773" si="98">IF(AA749=0,0,Y749-AA749)</f>
        <v>35</v>
      </c>
      <c r="AC749" t="s">
        <v>16</v>
      </c>
      <c r="AD749" s="3" t="s">
        <v>168</v>
      </c>
    </row>
    <row r="750" spans="1:30" ht="15.75" customHeight="1" x14ac:dyDescent="0.2">
      <c r="A750" s="7" t="str">
        <f t="shared" si="93"/>
        <v>SUZHOU FARPULL INTELLIGENT EQUIPMENT CO., LTD.J510New Buy</v>
      </c>
      <c r="B750" s="7" t="str">
        <f t="shared" si="94"/>
        <v>iPadNew Buy</v>
      </c>
      <c r="C750">
        <v>408810</v>
      </c>
      <c r="D750" t="s">
        <v>961</v>
      </c>
      <c r="E750" t="s">
        <v>166</v>
      </c>
      <c r="F750" s="28" t="s">
        <v>173</v>
      </c>
      <c r="G750" t="s">
        <v>68</v>
      </c>
      <c r="H750" t="s">
        <v>167</v>
      </c>
      <c r="I750" t="s">
        <v>175</v>
      </c>
      <c r="J750" t="s">
        <v>1015</v>
      </c>
      <c r="L750" t="s">
        <v>1016</v>
      </c>
      <c r="M750" s="4">
        <v>55</v>
      </c>
      <c r="N750" s="4">
        <v>41.25</v>
      </c>
      <c r="O750">
        <v>4</v>
      </c>
      <c r="T750" t="s">
        <v>178</v>
      </c>
      <c r="U750" t="s">
        <v>66</v>
      </c>
      <c r="V750" s="4">
        <v>41.25</v>
      </c>
      <c r="Y750" s="6">
        <f t="shared" si="95"/>
        <v>220</v>
      </c>
      <c r="Z750" s="6">
        <f t="shared" si="96"/>
        <v>165</v>
      </c>
      <c r="AA750" s="6">
        <f t="shared" si="97"/>
        <v>165</v>
      </c>
      <c r="AB750" s="6">
        <f t="shared" si="98"/>
        <v>55</v>
      </c>
      <c r="AC750" t="s">
        <v>16</v>
      </c>
      <c r="AD750" s="3" t="s">
        <v>168</v>
      </c>
    </row>
    <row r="751" spans="1:30" ht="15.75" customHeight="1" x14ac:dyDescent="0.2">
      <c r="A751" s="7" t="str">
        <f t="shared" si="93"/>
        <v>SUZHOU FARPULL INTELLIGENT EQUIPMENT CO., LTD.J510New Buy</v>
      </c>
      <c r="B751" s="7" t="str">
        <f t="shared" si="94"/>
        <v>iPadNew Buy</v>
      </c>
      <c r="C751">
        <v>408808</v>
      </c>
      <c r="D751" t="s">
        <v>961</v>
      </c>
      <c r="E751" t="s">
        <v>166</v>
      </c>
      <c r="F751" s="28" t="s">
        <v>173</v>
      </c>
      <c r="G751" t="s">
        <v>68</v>
      </c>
      <c r="H751" t="s">
        <v>167</v>
      </c>
      <c r="I751" t="s">
        <v>175</v>
      </c>
      <c r="J751" t="s">
        <v>1017</v>
      </c>
      <c r="L751" t="s">
        <v>1018</v>
      </c>
      <c r="M751" s="4">
        <v>60</v>
      </c>
      <c r="N751" s="4">
        <v>45</v>
      </c>
      <c r="O751">
        <v>6</v>
      </c>
      <c r="T751" t="s">
        <v>178</v>
      </c>
      <c r="U751" t="s">
        <v>66</v>
      </c>
      <c r="V751" s="4">
        <v>45</v>
      </c>
      <c r="Y751" s="6">
        <f t="shared" si="95"/>
        <v>360</v>
      </c>
      <c r="Z751" s="6">
        <f t="shared" si="96"/>
        <v>270</v>
      </c>
      <c r="AA751" s="6">
        <f t="shared" si="97"/>
        <v>270</v>
      </c>
      <c r="AB751" s="6">
        <f t="shared" si="98"/>
        <v>90</v>
      </c>
      <c r="AC751" t="s">
        <v>16</v>
      </c>
      <c r="AD751" s="3" t="s">
        <v>168</v>
      </c>
    </row>
    <row r="752" spans="1:30" ht="15.75" customHeight="1" x14ac:dyDescent="0.2">
      <c r="A752" s="7" t="str">
        <f t="shared" si="93"/>
        <v>SUZHOU FARPULL INTELLIGENT EQUIPMENT CO., LTD.J510New Buy</v>
      </c>
      <c r="B752" s="7" t="str">
        <f t="shared" si="94"/>
        <v>iPadNew Buy</v>
      </c>
      <c r="C752">
        <v>408805</v>
      </c>
      <c r="D752" t="s">
        <v>961</v>
      </c>
      <c r="E752" t="s">
        <v>166</v>
      </c>
      <c r="F752" s="28" t="s">
        <v>173</v>
      </c>
      <c r="G752" t="s">
        <v>68</v>
      </c>
      <c r="H752" t="s">
        <v>167</v>
      </c>
      <c r="I752" t="s">
        <v>175</v>
      </c>
      <c r="J752" t="s">
        <v>1019</v>
      </c>
      <c r="L752" t="s">
        <v>1020</v>
      </c>
      <c r="M752" s="4">
        <v>1450</v>
      </c>
      <c r="N752" s="4">
        <v>1087.5</v>
      </c>
      <c r="O752">
        <v>6</v>
      </c>
      <c r="T752" t="s">
        <v>178</v>
      </c>
      <c r="U752" t="s">
        <v>66</v>
      </c>
      <c r="V752" s="4">
        <v>1087.5</v>
      </c>
      <c r="Y752" s="6">
        <f t="shared" si="95"/>
        <v>8700</v>
      </c>
      <c r="Z752" s="6">
        <f t="shared" si="96"/>
        <v>6525</v>
      </c>
      <c r="AA752" s="6">
        <f t="shared" si="97"/>
        <v>6525</v>
      </c>
      <c r="AB752" s="6">
        <f t="shared" si="98"/>
        <v>2175</v>
      </c>
      <c r="AC752" t="s">
        <v>16</v>
      </c>
      <c r="AD752" s="3" t="s">
        <v>168</v>
      </c>
    </row>
    <row r="753" spans="1:30" ht="15.75" customHeight="1" x14ac:dyDescent="0.2">
      <c r="A753" s="7" t="str">
        <f t="shared" si="93"/>
        <v>SUZHOU FARPULL INTELLIGENT EQUIPMENT CO., LTD.J510New Buy</v>
      </c>
      <c r="B753" s="7" t="str">
        <f t="shared" si="94"/>
        <v>iPadNew Buy</v>
      </c>
      <c r="C753">
        <v>408802</v>
      </c>
      <c r="D753" t="s">
        <v>961</v>
      </c>
      <c r="E753" t="s">
        <v>166</v>
      </c>
      <c r="F753" s="28" t="s">
        <v>173</v>
      </c>
      <c r="G753" t="s">
        <v>68</v>
      </c>
      <c r="H753" t="s">
        <v>167</v>
      </c>
      <c r="I753" t="s">
        <v>175</v>
      </c>
      <c r="J753" t="s">
        <v>1021</v>
      </c>
      <c r="L753" t="s">
        <v>1022</v>
      </c>
      <c r="M753" s="4">
        <v>268</v>
      </c>
      <c r="N753" s="4">
        <v>201</v>
      </c>
      <c r="O753">
        <v>8</v>
      </c>
      <c r="T753" t="s">
        <v>178</v>
      </c>
      <c r="U753" t="s">
        <v>66</v>
      </c>
      <c r="V753" s="4">
        <v>201</v>
      </c>
      <c r="Y753" s="6">
        <f t="shared" si="95"/>
        <v>2144</v>
      </c>
      <c r="Z753" s="6">
        <f t="shared" si="96"/>
        <v>1608</v>
      </c>
      <c r="AA753" s="6">
        <f t="shared" si="97"/>
        <v>1608</v>
      </c>
      <c r="AB753" s="6">
        <f t="shared" si="98"/>
        <v>536</v>
      </c>
      <c r="AC753" t="s">
        <v>16</v>
      </c>
      <c r="AD753" s="3" t="s">
        <v>168</v>
      </c>
    </row>
    <row r="754" spans="1:30" ht="15.75" customHeight="1" x14ac:dyDescent="0.2">
      <c r="A754" s="7" t="str">
        <f t="shared" si="93"/>
        <v>SUZHOU FARPULL INTELLIGENT EQUIPMENT CO., LTD.J510New Buy</v>
      </c>
      <c r="B754" s="7" t="str">
        <f t="shared" si="94"/>
        <v>iPadNew Buy</v>
      </c>
      <c r="C754">
        <v>408801</v>
      </c>
      <c r="D754" t="s">
        <v>961</v>
      </c>
      <c r="E754" t="s">
        <v>166</v>
      </c>
      <c r="F754" s="28" t="s">
        <v>173</v>
      </c>
      <c r="G754" t="s">
        <v>68</v>
      </c>
      <c r="H754" t="s">
        <v>167</v>
      </c>
      <c r="I754" t="s">
        <v>175</v>
      </c>
      <c r="J754" t="s">
        <v>1023</v>
      </c>
      <c r="L754" t="s">
        <v>1024</v>
      </c>
      <c r="M754" s="4">
        <v>1100</v>
      </c>
      <c r="N754" s="4">
        <v>825</v>
      </c>
      <c r="O754">
        <v>6</v>
      </c>
      <c r="T754" t="s">
        <v>178</v>
      </c>
      <c r="U754" t="s">
        <v>66</v>
      </c>
      <c r="V754" s="4">
        <v>825</v>
      </c>
      <c r="Y754" s="6">
        <f t="shared" si="95"/>
        <v>6600</v>
      </c>
      <c r="Z754" s="6">
        <f t="shared" si="96"/>
        <v>4950</v>
      </c>
      <c r="AA754" s="6">
        <f t="shared" si="97"/>
        <v>4950</v>
      </c>
      <c r="AB754" s="6">
        <f t="shared" si="98"/>
        <v>1650</v>
      </c>
      <c r="AC754" t="s">
        <v>16</v>
      </c>
      <c r="AD754" s="3" t="s">
        <v>168</v>
      </c>
    </row>
    <row r="755" spans="1:30" ht="15.75" customHeight="1" x14ac:dyDescent="0.2">
      <c r="A755" s="7" t="str">
        <f t="shared" si="93"/>
        <v>SUZHOU FARPULL INTELLIGENT EQUIPMENT CO., LTD.J510New Buy</v>
      </c>
      <c r="B755" s="7" t="str">
        <f t="shared" si="94"/>
        <v>iPadNew Buy</v>
      </c>
      <c r="C755">
        <v>408800</v>
      </c>
      <c r="D755" t="s">
        <v>961</v>
      </c>
      <c r="E755" t="s">
        <v>166</v>
      </c>
      <c r="F755" s="28" t="s">
        <v>173</v>
      </c>
      <c r="G755" t="s">
        <v>68</v>
      </c>
      <c r="H755" t="s">
        <v>167</v>
      </c>
      <c r="I755" t="s">
        <v>175</v>
      </c>
      <c r="J755" t="s">
        <v>1025</v>
      </c>
      <c r="L755" t="s">
        <v>1026</v>
      </c>
      <c r="M755" s="4">
        <v>1100</v>
      </c>
      <c r="N755" s="4">
        <v>825</v>
      </c>
      <c r="O755">
        <v>6</v>
      </c>
      <c r="T755" t="s">
        <v>178</v>
      </c>
      <c r="U755" t="s">
        <v>66</v>
      </c>
      <c r="V755" s="4">
        <v>825</v>
      </c>
      <c r="Y755" s="6">
        <f t="shared" si="95"/>
        <v>6600</v>
      </c>
      <c r="Z755" s="6">
        <f t="shared" si="96"/>
        <v>4950</v>
      </c>
      <c r="AA755" s="6">
        <f t="shared" si="97"/>
        <v>4950</v>
      </c>
      <c r="AB755" s="6">
        <f t="shared" si="98"/>
        <v>1650</v>
      </c>
      <c r="AC755" t="s">
        <v>16</v>
      </c>
      <c r="AD755" s="3" t="s">
        <v>168</v>
      </c>
    </row>
    <row r="756" spans="1:30" ht="15.75" customHeight="1" x14ac:dyDescent="0.2">
      <c r="A756" s="7" t="str">
        <f t="shared" si="93"/>
        <v>SUZHOU FARPULL INTELLIGENT EQUIPMENT CO., LTD.J510New Buy</v>
      </c>
      <c r="B756" s="7" t="str">
        <f t="shared" si="94"/>
        <v>iPadNew Buy</v>
      </c>
      <c r="C756">
        <v>408793</v>
      </c>
      <c r="D756" t="s">
        <v>961</v>
      </c>
      <c r="E756" t="s">
        <v>166</v>
      </c>
      <c r="F756" s="28" t="s">
        <v>173</v>
      </c>
      <c r="G756" t="s">
        <v>68</v>
      </c>
      <c r="H756" t="s">
        <v>167</v>
      </c>
      <c r="I756" t="s">
        <v>175</v>
      </c>
      <c r="J756" t="s">
        <v>1027</v>
      </c>
      <c r="L756" t="s">
        <v>1028</v>
      </c>
      <c r="M756" s="4">
        <v>5.8</v>
      </c>
      <c r="N756" s="4">
        <v>4.3499999999999996</v>
      </c>
      <c r="O756">
        <v>25781</v>
      </c>
      <c r="T756" t="s">
        <v>178</v>
      </c>
      <c r="U756" t="s">
        <v>66</v>
      </c>
      <c r="V756" s="4">
        <v>4.3499999999999996</v>
      </c>
      <c r="Y756" s="6">
        <f t="shared" si="95"/>
        <v>149529.79999999999</v>
      </c>
      <c r="Z756" s="6">
        <f t="shared" si="96"/>
        <v>112147.34999999999</v>
      </c>
      <c r="AA756" s="6">
        <f t="shared" si="97"/>
        <v>112147.34999999999</v>
      </c>
      <c r="AB756" s="6">
        <f t="shared" si="98"/>
        <v>37382.449999999997</v>
      </c>
      <c r="AC756" t="s">
        <v>16</v>
      </c>
      <c r="AD756" s="3" t="s">
        <v>168</v>
      </c>
    </row>
    <row r="757" spans="1:30" ht="15.75" customHeight="1" x14ac:dyDescent="0.2">
      <c r="A757" s="7" t="str">
        <f t="shared" si="93"/>
        <v>SUZHOU FARPULL INTELLIGENT EQUIPMENT CO., LTD.J510New Buy</v>
      </c>
      <c r="B757" s="7" t="str">
        <f t="shared" si="94"/>
        <v>iPadNew Buy</v>
      </c>
      <c r="C757">
        <v>408792</v>
      </c>
      <c r="D757" t="s">
        <v>961</v>
      </c>
      <c r="E757" t="s">
        <v>166</v>
      </c>
      <c r="F757" s="28" t="s">
        <v>173</v>
      </c>
      <c r="G757" t="s">
        <v>68</v>
      </c>
      <c r="H757" t="s">
        <v>167</v>
      </c>
      <c r="I757" t="s">
        <v>175</v>
      </c>
      <c r="J757" t="s">
        <v>1029</v>
      </c>
      <c r="L757" t="s">
        <v>1030</v>
      </c>
      <c r="M757" s="4">
        <v>5.8</v>
      </c>
      <c r="N757" s="4">
        <v>4.3499999999999996</v>
      </c>
      <c r="O757">
        <v>11060</v>
      </c>
      <c r="T757" t="s">
        <v>178</v>
      </c>
      <c r="U757" t="s">
        <v>66</v>
      </c>
      <c r="V757" s="4">
        <v>4.3499999999999996</v>
      </c>
      <c r="Y757" s="6">
        <f t="shared" si="95"/>
        <v>64148</v>
      </c>
      <c r="Z757" s="6">
        <f t="shared" si="96"/>
        <v>48110.999999999993</v>
      </c>
      <c r="AA757" s="6">
        <f t="shared" si="97"/>
        <v>48110.999999999993</v>
      </c>
      <c r="AB757" s="6">
        <f t="shared" si="98"/>
        <v>16037.000000000007</v>
      </c>
      <c r="AC757" t="s">
        <v>16</v>
      </c>
      <c r="AD757" s="3" t="s">
        <v>168</v>
      </c>
    </row>
    <row r="758" spans="1:30" ht="15.75" customHeight="1" x14ac:dyDescent="0.2">
      <c r="A758" s="7" t="str">
        <f t="shared" si="93"/>
        <v>SUZHOU FARPULL INTELLIGENT EQUIPMENT CO., LTD.J510New Buy</v>
      </c>
      <c r="B758" s="7" t="str">
        <f t="shared" si="94"/>
        <v>iPadNew Buy</v>
      </c>
      <c r="C758">
        <v>408791</v>
      </c>
      <c r="D758" t="s">
        <v>961</v>
      </c>
      <c r="E758" t="s">
        <v>166</v>
      </c>
      <c r="F758" s="28" t="s">
        <v>173</v>
      </c>
      <c r="G758" t="s">
        <v>68</v>
      </c>
      <c r="H758" t="s">
        <v>167</v>
      </c>
      <c r="I758" t="s">
        <v>175</v>
      </c>
      <c r="J758" t="s">
        <v>1031</v>
      </c>
      <c r="L758" t="s">
        <v>1032</v>
      </c>
      <c r="M758" s="4">
        <v>520</v>
      </c>
      <c r="N758" s="4">
        <v>390</v>
      </c>
      <c r="O758">
        <v>1</v>
      </c>
      <c r="T758" t="s">
        <v>178</v>
      </c>
      <c r="U758" t="s">
        <v>66</v>
      </c>
      <c r="V758" s="4">
        <v>390</v>
      </c>
      <c r="Y758" s="6">
        <f t="shared" si="95"/>
        <v>520</v>
      </c>
      <c r="Z758" s="6">
        <f t="shared" si="96"/>
        <v>390</v>
      </c>
      <c r="AA758" s="6">
        <f t="shared" si="97"/>
        <v>390</v>
      </c>
      <c r="AB758" s="6">
        <f t="shared" si="98"/>
        <v>130</v>
      </c>
      <c r="AC758" t="s">
        <v>16</v>
      </c>
      <c r="AD758" s="3" t="s">
        <v>168</v>
      </c>
    </row>
    <row r="759" spans="1:30" ht="15.75" customHeight="1" x14ac:dyDescent="0.2">
      <c r="A759" s="7" t="str">
        <f t="shared" si="93"/>
        <v>SUZHOU FARPULL INTELLIGENT EQUIPMENT CO., LTD.J510New Buy</v>
      </c>
      <c r="B759" s="7" t="str">
        <f t="shared" si="94"/>
        <v>iPadNew Buy</v>
      </c>
      <c r="C759">
        <v>408788</v>
      </c>
      <c r="D759" t="s">
        <v>961</v>
      </c>
      <c r="E759" t="s">
        <v>166</v>
      </c>
      <c r="F759" s="28" t="s">
        <v>173</v>
      </c>
      <c r="G759" t="s">
        <v>68</v>
      </c>
      <c r="H759" t="s">
        <v>167</v>
      </c>
      <c r="I759" t="s">
        <v>175</v>
      </c>
      <c r="J759" t="s">
        <v>1033</v>
      </c>
      <c r="L759" t="s">
        <v>1034</v>
      </c>
      <c r="M759" s="4">
        <v>50</v>
      </c>
      <c r="N759" s="4">
        <v>37.5</v>
      </c>
      <c r="O759">
        <v>12</v>
      </c>
      <c r="T759" t="s">
        <v>178</v>
      </c>
      <c r="U759" t="s">
        <v>66</v>
      </c>
      <c r="V759" s="4">
        <v>37.5</v>
      </c>
      <c r="Y759" s="6">
        <f t="shared" si="95"/>
        <v>600</v>
      </c>
      <c r="Z759" s="6">
        <f t="shared" si="96"/>
        <v>450</v>
      </c>
      <c r="AA759" s="6">
        <f t="shared" si="97"/>
        <v>450</v>
      </c>
      <c r="AB759" s="6">
        <f t="shared" si="98"/>
        <v>150</v>
      </c>
      <c r="AC759" t="s">
        <v>16</v>
      </c>
      <c r="AD759" s="3" t="s">
        <v>168</v>
      </c>
    </row>
    <row r="760" spans="1:30" ht="15.75" customHeight="1" x14ac:dyDescent="0.2">
      <c r="A760" s="7" t="str">
        <f t="shared" si="93"/>
        <v>SUZHOU FARPULL INTELLIGENT EQUIPMENT CO., LTD.J510New Buy</v>
      </c>
      <c r="B760" s="7" t="str">
        <f t="shared" si="94"/>
        <v>iPadNew Buy</v>
      </c>
      <c r="C760">
        <v>408786</v>
      </c>
      <c r="D760" t="s">
        <v>961</v>
      </c>
      <c r="E760" t="s">
        <v>166</v>
      </c>
      <c r="F760" s="28" t="s">
        <v>173</v>
      </c>
      <c r="G760" t="s">
        <v>68</v>
      </c>
      <c r="H760" t="s">
        <v>167</v>
      </c>
      <c r="I760" t="s">
        <v>175</v>
      </c>
      <c r="J760" t="s">
        <v>1035</v>
      </c>
      <c r="L760" t="s">
        <v>1036</v>
      </c>
      <c r="M760" s="4">
        <v>1370</v>
      </c>
      <c r="N760" s="4">
        <v>1027.5</v>
      </c>
      <c r="O760">
        <v>2</v>
      </c>
      <c r="T760" t="s">
        <v>178</v>
      </c>
      <c r="U760" t="s">
        <v>66</v>
      </c>
      <c r="V760" s="4">
        <v>1027.5</v>
      </c>
      <c r="Y760" s="6">
        <f t="shared" si="95"/>
        <v>2740</v>
      </c>
      <c r="Z760" s="6">
        <f t="shared" si="96"/>
        <v>2055</v>
      </c>
      <c r="AA760" s="6">
        <f t="shared" si="97"/>
        <v>2055</v>
      </c>
      <c r="AB760" s="6">
        <f t="shared" si="98"/>
        <v>685</v>
      </c>
      <c r="AC760" t="s">
        <v>16</v>
      </c>
      <c r="AD760" s="3" t="s">
        <v>168</v>
      </c>
    </row>
    <row r="761" spans="1:30" ht="15.75" customHeight="1" x14ac:dyDescent="0.2">
      <c r="A761" s="7" t="str">
        <f t="shared" si="93"/>
        <v>SUZHOU FARPULL INTELLIGENT EQUIPMENT CO., LTD.J510New Buy</v>
      </c>
      <c r="B761" s="7" t="str">
        <f t="shared" si="94"/>
        <v>iPadNew Buy</v>
      </c>
      <c r="C761">
        <v>408773</v>
      </c>
      <c r="D761" t="s">
        <v>961</v>
      </c>
      <c r="E761" t="s">
        <v>166</v>
      </c>
      <c r="F761" s="28" t="s">
        <v>173</v>
      </c>
      <c r="G761" t="s">
        <v>68</v>
      </c>
      <c r="H761" t="s">
        <v>167</v>
      </c>
      <c r="I761" t="s">
        <v>175</v>
      </c>
      <c r="J761" t="s">
        <v>1037</v>
      </c>
      <c r="L761" t="s">
        <v>1038</v>
      </c>
      <c r="M761" s="4">
        <v>150</v>
      </c>
      <c r="N761" s="4">
        <v>112.5</v>
      </c>
      <c r="O761">
        <v>6</v>
      </c>
      <c r="T761" t="s">
        <v>178</v>
      </c>
      <c r="U761" t="s">
        <v>66</v>
      </c>
      <c r="V761" s="4">
        <v>112.5</v>
      </c>
      <c r="Y761" s="6">
        <f t="shared" si="95"/>
        <v>900</v>
      </c>
      <c r="Z761" s="6">
        <f t="shared" si="96"/>
        <v>675</v>
      </c>
      <c r="AA761" s="6">
        <f t="shared" si="97"/>
        <v>675</v>
      </c>
      <c r="AB761" s="6">
        <f t="shared" si="98"/>
        <v>225</v>
      </c>
      <c r="AC761" t="s">
        <v>16</v>
      </c>
      <c r="AD761" s="3" t="s">
        <v>168</v>
      </c>
    </row>
    <row r="762" spans="1:30" ht="15.75" customHeight="1" x14ac:dyDescent="0.2">
      <c r="A762" s="7" t="str">
        <f t="shared" si="93"/>
        <v>SUZHOU FARPULL INTELLIGENT EQUIPMENT CO., LTD.J510New Buy</v>
      </c>
      <c r="B762" s="7" t="str">
        <f t="shared" si="94"/>
        <v>iPadNew Buy</v>
      </c>
      <c r="C762">
        <v>408772</v>
      </c>
      <c r="D762" t="s">
        <v>961</v>
      </c>
      <c r="E762" t="s">
        <v>166</v>
      </c>
      <c r="F762" s="28" t="s">
        <v>173</v>
      </c>
      <c r="G762" t="s">
        <v>68</v>
      </c>
      <c r="H762" t="s">
        <v>167</v>
      </c>
      <c r="I762" t="s">
        <v>175</v>
      </c>
      <c r="J762" t="s">
        <v>1039</v>
      </c>
      <c r="L762" t="s">
        <v>1040</v>
      </c>
      <c r="M762" s="4">
        <v>70</v>
      </c>
      <c r="N762" s="4">
        <v>52.5</v>
      </c>
      <c r="O762">
        <v>20</v>
      </c>
      <c r="T762" t="s">
        <v>178</v>
      </c>
      <c r="U762" t="s">
        <v>66</v>
      </c>
      <c r="V762" s="4">
        <v>52.5</v>
      </c>
      <c r="Y762" s="6">
        <f t="shared" si="95"/>
        <v>1400</v>
      </c>
      <c r="Z762" s="6">
        <f t="shared" si="96"/>
        <v>1050</v>
      </c>
      <c r="AA762" s="6">
        <f t="shared" si="97"/>
        <v>1050</v>
      </c>
      <c r="AB762" s="6">
        <f t="shared" si="98"/>
        <v>350</v>
      </c>
      <c r="AC762" t="s">
        <v>16</v>
      </c>
      <c r="AD762" s="3" t="s">
        <v>168</v>
      </c>
    </row>
    <row r="763" spans="1:30" ht="15.75" customHeight="1" x14ac:dyDescent="0.2">
      <c r="A763" s="7" t="str">
        <f t="shared" si="93"/>
        <v>SUZHOU FARPULL INTELLIGENT EQUIPMENT CO., LTD.J510New Buy</v>
      </c>
      <c r="B763" s="7" t="str">
        <f t="shared" si="94"/>
        <v>iPadNew Buy</v>
      </c>
      <c r="C763">
        <v>408771</v>
      </c>
      <c r="D763" t="s">
        <v>961</v>
      </c>
      <c r="E763" t="s">
        <v>166</v>
      </c>
      <c r="F763" s="28" t="s">
        <v>173</v>
      </c>
      <c r="G763" t="s">
        <v>68</v>
      </c>
      <c r="H763" t="s">
        <v>167</v>
      </c>
      <c r="I763" t="s">
        <v>175</v>
      </c>
      <c r="J763" t="s">
        <v>1041</v>
      </c>
      <c r="L763" t="s">
        <v>1042</v>
      </c>
      <c r="M763" s="4">
        <v>395</v>
      </c>
      <c r="N763" s="4">
        <v>296.25</v>
      </c>
      <c r="O763">
        <v>2</v>
      </c>
      <c r="T763" t="s">
        <v>178</v>
      </c>
      <c r="U763" t="s">
        <v>66</v>
      </c>
      <c r="V763" s="4">
        <v>296.25</v>
      </c>
      <c r="Y763" s="6">
        <f t="shared" si="95"/>
        <v>790</v>
      </c>
      <c r="Z763" s="6">
        <f t="shared" si="96"/>
        <v>592.5</v>
      </c>
      <c r="AA763" s="6">
        <f t="shared" si="97"/>
        <v>592.5</v>
      </c>
      <c r="AB763" s="6">
        <f t="shared" si="98"/>
        <v>197.5</v>
      </c>
      <c r="AC763" t="s">
        <v>16</v>
      </c>
      <c r="AD763" s="3" t="s">
        <v>168</v>
      </c>
    </row>
    <row r="764" spans="1:30" ht="15.75" customHeight="1" x14ac:dyDescent="0.2">
      <c r="A764" s="7" t="str">
        <f t="shared" si="93"/>
        <v>SUZHOU FARPULL INTELLIGENT EQUIPMENT CO., LTD.J510New Buy</v>
      </c>
      <c r="B764" s="7" t="str">
        <f t="shared" si="94"/>
        <v>iPadNew Buy</v>
      </c>
      <c r="C764">
        <v>408767</v>
      </c>
      <c r="D764" t="s">
        <v>961</v>
      </c>
      <c r="E764" t="s">
        <v>166</v>
      </c>
      <c r="F764" s="28" t="s">
        <v>173</v>
      </c>
      <c r="G764" t="s">
        <v>68</v>
      </c>
      <c r="H764" t="s">
        <v>167</v>
      </c>
      <c r="I764" t="s">
        <v>175</v>
      </c>
      <c r="J764" t="s">
        <v>1043</v>
      </c>
      <c r="L764" t="s">
        <v>1044</v>
      </c>
      <c r="M764" s="4">
        <v>2100</v>
      </c>
      <c r="N764" s="4">
        <v>1575</v>
      </c>
      <c r="O764">
        <v>6</v>
      </c>
      <c r="T764" t="s">
        <v>178</v>
      </c>
      <c r="U764" t="s">
        <v>66</v>
      </c>
      <c r="V764" s="4">
        <v>1575</v>
      </c>
      <c r="Y764" s="6">
        <f t="shared" si="95"/>
        <v>12600</v>
      </c>
      <c r="Z764" s="6">
        <f t="shared" si="96"/>
        <v>9450</v>
      </c>
      <c r="AA764" s="6">
        <f t="shared" si="97"/>
        <v>9450</v>
      </c>
      <c r="AB764" s="6">
        <f t="shared" si="98"/>
        <v>3150</v>
      </c>
      <c r="AC764" t="s">
        <v>16</v>
      </c>
      <c r="AD764" s="3" t="s">
        <v>168</v>
      </c>
    </row>
    <row r="765" spans="1:30" ht="15.75" customHeight="1" x14ac:dyDescent="0.2">
      <c r="A765" s="7" t="str">
        <f t="shared" si="93"/>
        <v>SUZHOU FARPULL INTELLIGENT EQUIPMENT CO., LTD.J510New Buy</v>
      </c>
      <c r="B765" s="7" t="str">
        <f t="shared" si="94"/>
        <v>iPadNew Buy</v>
      </c>
      <c r="C765">
        <v>408766</v>
      </c>
      <c r="D765" t="s">
        <v>961</v>
      </c>
      <c r="E765" t="s">
        <v>166</v>
      </c>
      <c r="F765" s="28" t="s">
        <v>173</v>
      </c>
      <c r="G765" t="s">
        <v>68</v>
      </c>
      <c r="H765" t="s">
        <v>167</v>
      </c>
      <c r="I765" t="s">
        <v>175</v>
      </c>
      <c r="J765" t="s">
        <v>1045</v>
      </c>
      <c r="L765" t="s">
        <v>1046</v>
      </c>
      <c r="M765" s="4">
        <v>520</v>
      </c>
      <c r="N765" s="4">
        <v>390</v>
      </c>
      <c r="O765">
        <v>6</v>
      </c>
      <c r="T765" t="s">
        <v>178</v>
      </c>
      <c r="U765" t="s">
        <v>66</v>
      </c>
      <c r="V765" s="4">
        <v>390</v>
      </c>
      <c r="Y765" s="6">
        <f t="shared" si="95"/>
        <v>3120</v>
      </c>
      <c r="Z765" s="6">
        <f t="shared" si="96"/>
        <v>2340</v>
      </c>
      <c r="AA765" s="6">
        <f t="shared" si="97"/>
        <v>2340</v>
      </c>
      <c r="AB765" s="6">
        <f t="shared" si="98"/>
        <v>780</v>
      </c>
      <c r="AC765" t="s">
        <v>16</v>
      </c>
      <c r="AD765" s="3" t="s">
        <v>168</v>
      </c>
    </row>
    <row r="766" spans="1:30" ht="15.75" customHeight="1" x14ac:dyDescent="0.2">
      <c r="A766" s="7" t="str">
        <f t="shared" si="93"/>
        <v>SUZHOU FARPULL INTELLIGENT EQUIPMENT CO., LTD.J510New Buy</v>
      </c>
      <c r="B766" s="7" t="str">
        <f t="shared" si="94"/>
        <v>iPadNew Buy</v>
      </c>
      <c r="C766">
        <v>408765</v>
      </c>
      <c r="D766" t="s">
        <v>961</v>
      </c>
      <c r="E766" t="s">
        <v>166</v>
      </c>
      <c r="F766" s="28" t="s">
        <v>173</v>
      </c>
      <c r="G766" t="s">
        <v>68</v>
      </c>
      <c r="H766" t="s">
        <v>167</v>
      </c>
      <c r="I766" t="s">
        <v>175</v>
      </c>
      <c r="J766" t="s">
        <v>1047</v>
      </c>
      <c r="L766" t="s">
        <v>1048</v>
      </c>
      <c r="M766" s="4">
        <v>25</v>
      </c>
      <c r="N766" s="4">
        <v>18.75</v>
      </c>
      <c r="O766">
        <v>7</v>
      </c>
      <c r="T766" t="s">
        <v>178</v>
      </c>
      <c r="U766" t="s">
        <v>66</v>
      </c>
      <c r="V766" s="4">
        <v>18.75</v>
      </c>
      <c r="Y766" s="6">
        <f t="shared" si="95"/>
        <v>175</v>
      </c>
      <c r="Z766" s="6">
        <f t="shared" si="96"/>
        <v>131.25</v>
      </c>
      <c r="AA766" s="6">
        <f t="shared" si="97"/>
        <v>131.25</v>
      </c>
      <c r="AB766" s="6">
        <f t="shared" si="98"/>
        <v>43.75</v>
      </c>
      <c r="AC766" t="s">
        <v>16</v>
      </c>
      <c r="AD766" s="3" t="s">
        <v>168</v>
      </c>
    </row>
    <row r="767" spans="1:30" ht="15.75" customHeight="1" x14ac:dyDescent="0.2">
      <c r="A767" s="7" t="str">
        <f t="shared" si="93"/>
        <v>SUZHOU FARPULL INTELLIGENT EQUIPMENT CO., LTD.J510New Buy</v>
      </c>
      <c r="B767" s="7" t="str">
        <f t="shared" si="94"/>
        <v>iPadNew Buy</v>
      </c>
      <c r="C767">
        <v>408764</v>
      </c>
      <c r="D767" t="s">
        <v>961</v>
      </c>
      <c r="E767" t="s">
        <v>166</v>
      </c>
      <c r="F767" s="28" t="s">
        <v>173</v>
      </c>
      <c r="G767" t="s">
        <v>68</v>
      </c>
      <c r="H767" t="s">
        <v>167</v>
      </c>
      <c r="I767" t="s">
        <v>175</v>
      </c>
      <c r="J767" t="s">
        <v>1049</v>
      </c>
      <c r="L767" t="s">
        <v>1050</v>
      </c>
      <c r="M767" s="4">
        <v>25</v>
      </c>
      <c r="N767" s="4">
        <v>18.75</v>
      </c>
      <c r="O767">
        <v>7</v>
      </c>
      <c r="T767" t="s">
        <v>178</v>
      </c>
      <c r="U767" t="s">
        <v>66</v>
      </c>
      <c r="V767" s="4">
        <v>18.75</v>
      </c>
      <c r="Y767" s="6">
        <f t="shared" si="95"/>
        <v>175</v>
      </c>
      <c r="Z767" s="6">
        <f t="shared" si="96"/>
        <v>131.25</v>
      </c>
      <c r="AA767" s="6">
        <f t="shared" si="97"/>
        <v>131.25</v>
      </c>
      <c r="AB767" s="6">
        <f t="shared" si="98"/>
        <v>43.75</v>
      </c>
      <c r="AC767" t="s">
        <v>16</v>
      </c>
      <c r="AD767" s="3" t="s">
        <v>168</v>
      </c>
    </row>
    <row r="768" spans="1:30" ht="15.75" customHeight="1" x14ac:dyDescent="0.2">
      <c r="A768" s="7" t="str">
        <f t="shared" si="93"/>
        <v xml:space="preserve">SUZHOU FARPULL INTELLIGENT EQUIPMENT CO., LTD.J581Retrofit </v>
      </c>
      <c r="B768" s="7" t="str">
        <f t="shared" si="94"/>
        <v>iPadNew Buy</v>
      </c>
      <c r="C768">
        <v>407465</v>
      </c>
      <c r="D768" t="s">
        <v>961</v>
      </c>
      <c r="E768" t="s">
        <v>166</v>
      </c>
      <c r="F768" s="28" t="s">
        <v>173</v>
      </c>
      <c r="G768" t="s">
        <v>174</v>
      </c>
      <c r="H768" t="s">
        <v>964</v>
      </c>
      <c r="I768" t="s">
        <v>175</v>
      </c>
      <c r="J768" t="s">
        <v>1051</v>
      </c>
      <c r="L768" t="s">
        <v>1052</v>
      </c>
      <c r="M768" s="4">
        <v>285</v>
      </c>
      <c r="N768" s="4">
        <v>213.75</v>
      </c>
      <c r="O768">
        <v>10</v>
      </c>
      <c r="T768" t="s">
        <v>178</v>
      </c>
      <c r="U768" t="s">
        <v>104</v>
      </c>
      <c r="V768" s="4">
        <v>213.75</v>
      </c>
      <c r="Y768" s="6">
        <f t="shared" si="95"/>
        <v>2850</v>
      </c>
      <c r="Z768" s="6">
        <f t="shared" si="96"/>
        <v>2137.5</v>
      </c>
      <c r="AA768" s="6">
        <f t="shared" si="97"/>
        <v>2137.5</v>
      </c>
      <c r="AB768" s="6">
        <f t="shared" si="98"/>
        <v>712.5</v>
      </c>
      <c r="AC768" t="s">
        <v>16</v>
      </c>
      <c r="AD768" s="3" t="s">
        <v>171</v>
      </c>
    </row>
    <row r="769" spans="1:30" ht="15.75" customHeight="1" x14ac:dyDescent="0.2">
      <c r="A769" s="7" t="str">
        <f t="shared" si="93"/>
        <v xml:space="preserve">SUZHOU FARPULL INTELLIGENT EQUIPMENT CO., LTD.J581Retrofit </v>
      </c>
      <c r="B769" s="7" t="str">
        <f t="shared" si="94"/>
        <v>iPadNew Buy</v>
      </c>
      <c r="C769">
        <v>407464</v>
      </c>
      <c r="D769" t="s">
        <v>961</v>
      </c>
      <c r="E769" t="s">
        <v>166</v>
      </c>
      <c r="F769" s="28" t="s">
        <v>173</v>
      </c>
      <c r="G769" t="s">
        <v>174</v>
      </c>
      <c r="H769" t="s">
        <v>964</v>
      </c>
      <c r="I769" t="s">
        <v>131</v>
      </c>
      <c r="J769" t="s">
        <v>1051</v>
      </c>
      <c r="L769" t="s">
        <v>1052</v>
      </c>
      <c r="M769" s="4">
        <v>285</v>
      </c>
      <c r="N769" s="4">
        <v>213.75</v>
      </c>
      <c r="O769">
        <v>10</v>
      </c>
      <c r="T769" t="s">
        <v>178</v>
      </c>
      <c r="U769" t="s">
        <v>66</v>
      </c>
      <c r="V769" s="4">
        <v>213.75</v>
      </c>
      <c r="Y769" s="6">
        <f t="shared" si="95"/>
        <v>2850</v>
      </c>
      <c r="Z769" s="6">
        <f t="shared" si="96"/>
        <v>2137.5</v>
      </c>
      <c r="AA769" s="6">
        <f t="shared" si="97"/>
        <v>2137.5</v>
      </c>
      <c r="AB769" s="6">
        <f t="shared" si="98"/>
        <v>712.5</v>
      </c>
      <c r="AC769" t="s">
        <v>16</v>
      </c>
      <c r="AD769" s="3" t="s">
        <v>171</v>
      </c>
    </row>
    <row r="770" spans="1:30" ht="15.75" customHeight="1" x14ac:dyDescent="0.2">
      <c r="A770" s="7" t="str">
        <f t="shared" si="93"/>
        <v xml:space="preserve">SUZHOU FARPULL INTELLIGENT EQUIPMENT CO., LTD.J581Retrofit </v>
      </c>
      <c r="B770" s="7" t="str">
        <f t="shared" si="94"/>
        <v>iPadNew Buy</v>
      </c>
      <c r="C770">
        <v>407463</v>
      </c>
      <c r="D770" t="s">
        <v>961</v>
      </c>
      <c r="E770" t="s">
        <v>166</v>
      </c>
      <c r="F770" s="28" t="s">
        <v>173</v>
      </c>
      <c r="G770" t="s">
        <v>174</v>
      </c>
      <c r="H770" t="s">
        <v>964</v>
      </c>
      <c r="I770" t="s">
        <v>131</v>
      </c>
      <c r="J770" t="s">
        <v>1051</v>
      </c>
      <c r="L770" t="s">
        <v>1052</v>
      </c>
      <c r="M770" s="4">
        <v>285</v>
      </c>
      <c r="N770" s="4">
        <v>213.75</v>
      </c>
      <c r="O770">
        <v>15</v>
      </c>
      <c r="T770" t="s">
        <v>178</v>
      </c>
      <c r="U770" t="s">
        <v>116</v>
      </c>
      <c r="V770" s="4">
        <v>213.75</v>
      </c>
      <c r="Y770" s="6">
        <f t="shared" si="95"/>
        <v>4275</v>
      </c>
      <c r="Z770" s="6">
        <f t="shared" si="96"/>
        <v>3206.25</v>
      </c>
      <c r="AA770" s="6">
        <f t="shared" si="97"/>
        <v>3206.25</v>
      </c>
      <c r="AB770" s="6">
        <f t="shared" si="98"/>
        <v>1068.75</v>
      </c>
      <c r="AC770" t="s">
        <v>33</v>
      </c>
      <c r="AD770" s="3" t="s">
        <v>171</v>
      </c>
    </row>
    <row r="771" spans="1:30" ht="15.75" customHeight="1" x14ac:dyDescent="0.2">
      <c r="A771" s="7" t="str">
        <f t="shared" si="93"/>
        <v xml:space="preserve">SUZHOU FARPULL INTELLIGENT EQUIPMENT CO., LTD.J581Retrofit </v>
      </c>
      <c r="B771" s="7" t="str">
        <f t="shared" si="94"/>
        <v>iPadNew Buy</v>
      </c>
      <c r="C771">
        <v>407462</v>
      </c>
      <c r="D771" t="s">
        <v>961</v>
      </c>
      <c r="E771" t="s">
        <v>166</v>
      </c>
      <c r="F771" s="28" t="s">
        <v>173</v>
      </c>
      <c r="G771" t="s">
        <v>174</v>
      </c>
      <c r="H771" t="s">
        <v>964</v>
      </c>
      <c r="I771" t="s">
        <v>131</v>
      </c>
      <c r="J771" t="s">
        <v>1053</v>
      </c>
      <c r="L771" t="s">
        <v>1054</v>
      </c>
      <c r="M771" s="4">
        <v>350</v>
      </c>
      <c r="N771" s="4">
        <v>262.5</v>
      </c>
      <c r="O771">
        <v>28</v>
      </c>
      <c r="T771" t="s">
        <v>178</v>
      </c>
      <c r="U771" t="s">
        <v>66</v>
      </c>
      <c r="V771" s="4">
        <v>262.5</v>
      </c>
      <c r="Y771" s="6">
        <f t="shared" si="95"/>
        <v>9800</v>
      </c>
      <c r="Z771" s="6">
        <f t="shared" si="96"/>
        <v>7350</v>
      </c>
      <c r="AA771" s="6">
        <f t="shared" si="97"/>
        <v>7350</v>
      </c>
      <c r="AB771" s="6">
        <f t="shared" si="98"/>
        <v>2450</v>
      </c>
      <c r="AC771" t="s">
        <v>16</v>
      </c>
      <c r="AD771" s="3" t="s">
        <v>171</v>
      </c>
    </row>
    <row r="772" spans="1:30" ht="15.75" customHeight="1" x14ac:dyDescent="0.2">
      <c r="A772" s="7" t="str">
        <f t="shared" si="93"/>
        <v xml:space="preserve">SUZHOU FARPULL INTELLIGENT EQUIPMENT CO., LTD.J581Retrofit </v>
      </c>
      <c r="B772" s="7" t="str">
        <f t="shared" si="94"/>
        <v>iPadNew Buy</v>
      </c>
      <c r="C772">
        <v>407461</v>
      </c>
      <c r="D772" t="s">
        <v>961</v>
      </c>
      <c r="E772" t="s">
        <v>166</v>
      </c>
      <c r="F772" s="28" t="s">
        <v>173</v>
      </c>
      <c r="G772" t="s">
        <v>174</v>
      </c>
      <c r="H772" t="s">
        <v>964</v>
      </c>
      <c r="I772" t="s">
        <v>131</v>
      </c>
      <c r="J772" t="s">
        <v>1053</v>
      </c>
      <c r="L772" t="s">
        <v>1054</v>
      </c>
      <c r="M772" s="4">
        <v>350</v>
      </c>
      <c r="N772" s="4">
        <v>262.5</v>
      </c>
      <c r="O772">
        <v>56</v>
      </c>
      <c r="T772" t="s">
        <v>178</v>
      </c>
      <c r="U772" t="s">
        <v>116</v>
      </c>
      <c r="V772" s="4">
        <v>262.5</v>
      </c>
      <c r="Y772" s="6">
        <f t="shared" si="95"/>
        <v>19600</v>
      </c>
      <c r="Z772" s="6">
        <f t="shared" si="96"/>
        <v>14700</v>
      </c>
      <c r="AA772" s="6">
        <f t="shared" si="97"/>
        <v>14700</v>
      </c>
      <c r="AB772" s="6">
        <f t="shared" si="98"/>
        <v>4900</v>
      </c>
      <c r="AC772" t="s">
        <v>33</v>
      </c>
      <c r="AD772" s="3" t="s">
        <v>171</v>
      </c>
    </row>
    <row r="773" spans="1:30" ht="15.75" customHeight="1" x14ac:dyDescent="0.2">
      <c r="A773" s="7" t="str">
        <f t="shared" si="93"/>
        <v xml:space="preserve">SUZHOU FARPULL INTELLIGENT EQUIPMENT CO., LTD.J581Retrofit </v>
      </c>
      <c r="B773" s="7" t="str">
        <f t="shared" si="94"/>
        <v>iPadNew Buy</v>
      </c>
      <c r="C773">
        <v>407460</v>
      </c>
      <c r="D773" t="s">
        <v>961</v>
      </c>
      <c r="E773" t="s">
        <v>166</v>
      </c>
      <c r="F773" s="28" t="s">
        <v>173</v>
      </c>
      <c r="G773" t="s">
        <v>174</v>
      </c>
      <c r="H773" t="s">
        <v>964</v>
      </c>
      <c r="I773" t="s">
        <v>175</v>
      </c>
      <c r="J773" t="s">
        <v>1053</v>
      </c>
      <c r="L773" t="s">
        <v>1054</v>
      </c>
      <c r="M773" s="4">
        <v>350</v>
      </c>
      <c r="N773" s="4">
        <v>262.5</v>
      </c>
      <c r="O773">
        <v>38</v>
      </c>
      <c r="T773" t="s">
        <v>178</v>
      </c>
      <c r="U773" t="s">
        <v>104</v>
      </c>
      <c r="V773" s="4">
        <v>262.5</v>
      </c>
      <c r="Y773" s="6">
        <f t="shared" si="95"/>
        <v>13300</v>
      </c>
      <c r="Z773" s="6">
        <f t="shared" si="96"/>
        <v>9975</v>
      </c>
      <c r="AA773" s="6">
        <f t="shared" si="97"/>
        <v>9975</v>
      </c>
      <c r="AB773" s="6">
        <f t="shared" si="98"/>
        <v>3325</v>
      </c>
      <c r="AC773" t="s">
        <v>16</v>
      </c>
      <c r="AD773" s="3" t="s">
        <v>171</v>
      </c>
    </row>
    <row r="774" spans="1:30" ht="15.75" customHeight="1" x14ac:dyDescent="0.2">
      <c r="A774" s="7" t="str">
        <f t="shared" si="93"/>
        <v xml:space="preserve">SUZHOU FARPULL INTELLIGENT EQUIPMENT CO., LTD.J581Retrofit </v>
      </c>
      <c r="B774" s="7" t="str">
        <f t="shared" si="94"/>
        <v>iPadNew Buy</v>
      </c>
      <c r="C774">
        <v>407459</v>
      </c>
      <c r="D774" t="s">
        <v>961</v>
      </c>
      <c r="E774" t="s">
        <v>166</v>
      </c>
      <c r="F774" s="28" t="s">
        <v>173</v>
      </c>
      <c r="G774" t="s">
        <v>174</v>
      </c>
      <c r="H774" t="s">
        <v>964</v>
      </c>
      <c r="I774" t="s">
        <v>131</v>
      </c>
      <c r="J774" t="s">
        <v>1055</v>
      </c>
      <c r="L774" t="s">
        <v>1056</v>
      </c>
      <c r="M774" s="4">
        <v>1500</v>
      </c>
      <c r="N774" s="4">
        <v>2520</v>
      </c>
      <c r="O774">
        <v>2</v>
      </c>
      <c r="T774" t="s">
        <v>178</v>
      </c>
      <c r="U774" t="s">
        <v>116</v>
      </c>
      <c r="V774" s="4">
        <v>1125</v>
      </c>
      <c r="Y774" s="6">
        <f t="shared" si="95"/>
        <v>3000</v>
      </c>
      <c r="Z774" s="6">
        <f t="shared" si="96"/>
        <v>2250</v>
      </c>
      <c r="AA774" s="6">
        <f t="shared" si="97"/>
        <v>5040</v>
      </c>
      <c r="AB774" s="6"/>
      <c r="AC774" t="s">
        <v>33</v>
      </c>
      <c r="AD774" s="3" t="s">
        <v>171</v>
      </c>
    </row>
    <row r="775" spans="1:30" ht="15.75" customHeight="1" x14ac:dyDescent="0.2">
      <c r="A775" s="7" t="str">
        <f t="shared" si="93"/>
        <v xml:space="preserve">SUZHOU FARPULL INTELLIGENT EQUIPMENT CO., LTD.J581Retrofit </v>
      </c>
      <c r="B775" s="7" t="str">
        <f t="shared" si="94"/>
        <v>iPadNew Buy</v>
      </c>
      <c r="C775">
        <v>407458</v>
      </c>
      <c r="D775" t="s">
        <v>961</v>
      </c>
      <c r="E775" t="s">
        <v>166</v>
      </c>
      <c r="F775" s="28" t="s">
        <v>173</v>
      </c>
      <c r="G775" t="s">
        <v>174</v>
      </c>
      <c r="H775" t="s">
        <v>964</v>
      </c>
      <c r="I775" t="s">
        <v>175</v>
      </c>
      <c r="J775" t="s">
        <v>1055</v>
      </c>
      <c r="L775" t="s">
        <v>1056</v>
      </c>
      <c r="M775" s="4">
        <v>1500</v>
      </c>
      <c r="N775" s="4">
        <v>1125</v>
      </c>
      <c r="O775">
        <v>2</v>
      </c>
      <c r="T775" t="s">
        <v>178</v>
      </c>
      <c r="U775" t="s">
        <v>104</v>
      </c>
      <c r="V775" s="4">
        <v>1125</v>
      </c>
      <c r="Y775" s="6">
        <f t="shared" si="95"/>
        <v>3000</v>
      </c>
      <c r="Z775" s="6">
        <f t="shared" si="96"/>
        <v>2250</v>
      </c>
      <c r="AA775" s="6">
        <f t="shared" si="97"/>
        <v>2250</v>
      </c>
      <c r="AB775" s="6">
        <f t="shared" ref="AB775:AB792" si="99">IF(AA775=0,0,Y775-AA775)</f>
        <v>750</v>
      </c>
      <c r="AC775" t="s">
        <v>16</v>
      </c>
      <c r="AD775" s="3" t="s">
        <v>171</v>
      </c>
    </row>
    <row r="776" spans="1:30" ht="15.75" customHeight="1" x14ac:dyDescent="0.2">
      <c r="A776" s="7" t="str">
        <f t="shared" si="93"/>
        <v xml:space="preserve">SUZHOU FARPULL INTELLIGENT EQUIPMENT CO., LTD.J581Retrofit </v>
      </c>
      <c r="B776" s="7" t="str">
        <f t="shared" si="94"/>
        <v>iPadNew Buy</v>
      </c>
      <c r="C776">
        <v>407457</v>
      </c>
      <c r="D776" t="s">
        <v>961</v>
      </c>
      <c r="E776" t="s">
        <v>166</v>
      </c>
      <c r="F776" s="28" t="s">
        <v>173</v>
      </c>
      <c r="G776" t="s">
        <v>174</v>
      </c>
      <c r="H776" t="s">
        <v>964</v>
      </c>
      <c r="I776" t="s">
        <v>131</v>
      </c>
      <c r="J776" t="s">
        <v>1055</v>
      </c>
      <c r="L776" t="s">
        <v>1056</v>
      </c>
      <c r="M776" s="4">
        <v>1500</v>
      </c>
      <c r="N776" s="4">
        <v>1125</v>
      </c>
      <c r="O776">
        <v>2</v>
      </c>
      <c r="T776" t="s">
        <v>178</v>
      </c>
      <c r="U776" t="s">
        <v>66</v>
      </c>
      <c r="V776" s="4">
        <v>1125</v>
      </c>
      <c r="Y776" s="6">
        <f t="shared" si="95"/>
        <v>3000</v>
      </c>
      <c r="Z776" s="6">
        <f t="shared" si="96"/>
        <v>2250</v>
      </c>
      <c r="AA776" s="6">
        <f t="shared" si="97"/>
        <v>2250</v>
      </c>
      <c r="AB776" s="6">
        <f t="shared" si="99"/>
        <v>750</v>
      </c>
      <c r="AC776" t="s">
        <v>16</v>
      </c>
      <c r="AD776" s="3" t="s">
        <v>171</v>
      </c>
    </row>
    <row r="777" spans="1:30" ht="15.75" customHeight="1" x14ac:dyDescent="0.2">
      <c r="A777" s="7" t="str">
        <f t="shared" si="93"/>
        <v xml:space="preserve">SUZHOU FARPULL INTELLIGENT EQUIPMENT CO., LTD.J581Retrofit </v>
      </c>
      <c r="B777" s="7" t="str">
        <f t="shared" si="94"/>
        <v>iPadNew Buy</v>
      </c>
      <c r="C777">
        <v>407456</v>
      </c>
      <c r="D777" t="s">
        <v>961</v>
      </c>
      <c r="E777" t="s">
        <v>166</v>
      </c>
      <c r="F777" s="28" t="s">
        <v>173</v>
      </c>
      <c r="G777" t="s">
        <v>174</v>
      </c>
      <c r="H777" t="s">
        <v>964</v>
      </c>
      <c r="I777" t="s">
        <v>131</v>
      </c>
      <c r="J777" t="s">
        <v>1057</v>
      </c>
      <c r="L777" t="s">
        <v>1058</v>
      </c>
      <c r="M777" s="4">
        <v>385</v>
      </c>
      <c r="N777" s="4">
        <v>288.75</v>
      </c>
      <c r="O777">
        <v>3</v>
      </c>
      <c r="T777" t="s">
        <v>178</v>
      </c>
      <c r="U777" t="s">
        <v>116</v>
      </c>
      <c r="V777" s="4">
        <v>288.75</v>
      </c>
      <c r="Y777" s="6">
        <f t="shared" si="95"/>
        <v>1155</v>
      </c>
      <c r="Z777" s="6">
        <f t="shared" si="96"/>
        <v>866.25</v>
      </c>
      <c r="AA777" s="6">
        <f t="shared" si="97"/>
        <v>866.25</v>
      </c>
      <c r="AB777" s="6">
        <f t="shared" si="99"/>
        <v>288.75</v>
      </c>
      <c r="AC777" t="s">
        <v>33</v>
      </c>
      <c r="AD777" s="3" t="s">
        <v>171</v>
      </c>
    </row>
    <row r="778" spans="1:30" ht="15.75" customHeight="1" x14ac:dyDescent="0.2">
      <c r="A778" s="7" t="str">
        <f t="shared" si="93"/>
        <v xml:space="preserve">SUZHOU FARPULL INTELLIGENT EQUIPMENT CO., LTD.J581Retrofit </v>
      </c>
      <c r="B778" s="7" t="str">
        <f t="shared" si="94"/>
        <v>iPadNew Buy</v>
      </c>
      <c r="C778">
        <v>407455</v>
      </c>
      <c r="D778" t="s">
        <v>961</v>
      </c>
      <c r="E778" t="s">
        <v>166</v>
      </c>
      <c r="F778" s="28" t="s">
        <v>173</v>
      </c>
      <c r="G778" t="s">
        <v>174</v>
      </c>
      <c r="H778" t="s">
        <v>964</v>
      </c>
      <c r="I778" t="s">
        <v>131</v>
      </c>
      <c r="J778" t="s">
        <v>1057</v>
      </c>
      <c r="L778" t="s">
        <v>1058</v>
      </c>
      <c r="M778" s="4">
        <v>385</v>
      </c>
      <c r="N778" s="4">
        <v>288.75</v>
      </c>
      <c r="O778">
        <v>3</v>
      </c>
      <c r="T778" t="s">
        <v>178</v>
      </c>
      <c r="U778" t="s">
        <v>66</v>
      </c>
      <c r="V778" s="4">
        <v>288.75</v>
      </c>
      <c r="Y778" s="6">
        <f t="shared" si="95"/>
        <v>1155</v>
      </c>
      <c r="Z778" s="6">
        <f t="shared" si="96"/>
        <v>866.25</v>
      </c>
      <c r="AA778" s="6">
        <f t="shared" si="97"/>
        <v>866.25</v>
      </c>
      <c r="AB778" s="6">
        <f t="shared" si="99"/>
        <v>288.75</v>
      </c>
      <c r="AC778" t="s">
        <v>16</v>
      </c>
      <c r="AD778" s="3" t="s">
        <v>171</v>
      </c>
    </row>
    <row r="779" spans="1:30" ht="15.75" customHeight="1" x14ac:dyDescent="0.2">
      <c r="A779" s="7" t="str">
        <f t="shared" si="93"/>
        <v xml:space="preserve">SUZHOU FARPULL INTELLIGENT EQUIPMENT CO., LTD.J581Retrofit </v>
      </c>
      <c r="B779" s="7" t="str">
        <f t="shared" si="94"/>
        <v>iPadNew Buy</v>
      </c>
      <c r="C779">
        <v>407454</v>
      </c>
      <c r="D779" t="s">
        <v>961</v>
      </c>
      <c r="E779" t="s">
        <v>166</v>
      </c>
      <c r="F779" s="28" t="s">
        <v>173</v>
      </c>
      <c r="G779" t="s">
        <v>174</v>
      </c>
      <c r="H779" t="s">
        <v>964</v>
      </c>
      <c r="I779" t="s">
        <v>131</v>
      </c>
      <c r="J779" t="s">
        <v>1059</v>
      </c>
      <c r="L779" t="s">
        <v>1060</v>
      </c>
      <c r="M779" s="4">
        <v>250</v>
      </c>
      <c r="N779" s="4">
        <v>187.5</v>
      </c>
      <c r="O779">
        <v>18</v>
      </c>
      <c r="T779" t="s">
        <v>178</v>
      </c>
      <c r="U779" t="s">
        <v>116</v>
      </c>
      <c r="V779" s="4">
        <v>187.5</v>
      </c>
      <c r="Y779" s="6">
        <f t="shared" si="95"/>
        <v>4500</v>
      </c>
      <c r="Z779" s="6">
        <f t="shared" si="96"/>
        <v>3375</v>
      </c>
      <c r="AA779" s="6">
        <f t="shared" si="97"/>
        <v>3375</v>
      </c>
      <c r="AB779" s="6">
        <f t="shared" si="99"/>
        <v>1125</v>
      </c>
      <c r="AC779" t="s">
        <v>33</v>
      </c>
      <c r="AD779" s="3" t="s">
        <v>171</v>
      </c>
    </row>
    <row r="780" spans="1:30" ht="15.75" customHeight="1" x14ac:dyDescent="0.2">
      <c r="A780" s="7" t="str">
        <f t="shared" si="93"/>
        <v xml:space="preserve">SUZHOU FARPULL INTELLIGENT EQUIPMENT CO., LTD.J581Retrofit </v>
      </c>
      <c r="B780" s="7" t="str">
        <f t="shared" si="94"/>
        <v>iPadNew Buy</v>
      </c>
      <c r="C780">
        <v>407453</v>
      </c>
      <c r="D780" t="s">
        <v>961</v>
      </c>
      <c r="E780" t="s">
        <v>166</v>
      </c>
      <c r="F780" s="28" t="s">
        <v>173</v>
      </c>
      <c r="G780" t="s">
        <v>174</v>
      </c>
      <c r="H780" t="s">
        <v>964</v>
      </c>
      <c r="I780" t="s">
        <v>131</v>
      </c>
      <c r="J780" t="s">
        <v>1059</v>
      </c>
      <c r="L780" t="s">
        <v>1060</v>
      </c>
      <c r="M780" s="4">
        <v>250</v>
      </c>
      <c r="N780" s="4">
        <v>187.5</v>
      </c>
      <c r="O780">
        <v>38</v>
      </c>
      <c r="T780" t="s">
        <v>178</v>
      </c>
      <c r="U780" t="s">
        <v>66</v>
      </c>
      <c r="V780" s="4">
        <v>187.5</v>
      </c>
      <c r="Y780" s="6">
        <f t="shared" si="95"/>
        <v>9500</v>
      </c>
      <c r="Z780" s="6">
        <f t="shared" si="96"/>
        <v>7125</v>
      </c>
      <c r="AA780" s="6">
        <f t="shared" si="97"/>
        <v>7125</v>
      </c>
      <c r="AB780" s="6">
        <f t="shared" si="99"/>
        <v>2375</v>
      </c>
      <c r="AC780" t="s">
        <v>16</v>
      </c>
      <c r="AD780" s="3" t="s">
        <v>171</v>
      </c>
    </row>
    <row r="781" spans="1:30" ht="15.75" customHeight="1" x14ac:dyDescent="0.2">
      <c r="A781" s="7" t="str">
        <f t="shared" si="93"/>
        <v xml:space="preserve">SUZHOU FARPULL INTELLIGENT EQUIPMENT CO., LTD.J581Retrofit </v>
      </c>
      <c r="B781" s="7" t="str">
        <f t="shared" si="94"/>
        <v>iPadNew Buy</v>
      </c>
      <c r="C781">
        <v>407452</v>
      </c>
      <c r="D781" t="s">
        <v>961</v>
      </c>
      <c r="E781" t="s">
        <v>166</v>
      </c>
      <c r="F781" s="28" t="s">
        <v>173</v>
      </c>
      <c r="G781" t="s">
        <v>174</v>
      </c>
      <c r="H781" t="s">
        <v>964</v>
      </c>
      <c r="I781" t="s">
        <v>175</v>
      </c>
      <c r="J781" t="s">
        <v>1059</v>
      </c>
      <c r="L781" t="s">
        <v>1060</v>
      </c>
      <c r="M781" s="4">
        <v>250</v>
      </c>
      <c r="N781" s="4">
        <v>187.5</v>
      </c>
      <c r="O781">
        <v>21</v>
      </c>
      <c r="T781" t="s">
        <v>178</v>
      </c>
      <c r="U781" t="s">
        <v>104</v>
      </c>
      <c r="V781" s="4">
        <v>187.5</v>
      </c>
      <c r="Y781" s="6">
        <f t="shared" si="95"/>
        <v>5250</v>
      </c>
      <c r="Z781" s="6">
        <f t="shared" si="96"/>
        <v>3937.5</v>
      </c>
      <c r="AA781" s="6">
        <f t="shared" si="97"/>
        <v>3937.5</v>
      </c>
      <c r="AB781" s="6">
        <f t="shared" si="99"/>
        <v>1312.5</v>
      </c>
      <c r="AC781" t="s">
        <v>16</v>
      </c>
      <c r="AD781" s="3" t="s">
        <v>171</v>
      </c>
    </row>
    <row r="782" spans="1:30" ht="15.75" customHeight="1" x14ac:dyDescent="0.2">
      <c r="A782" s="7" t="str">
        <f t="shared" si="93"/>
        <v>SUZHOU FARPULL INTELLIGENT EQUIPMENT CO., LTD.J581New Buy</v>
      </c>
      <c r="B782" s="7" t="str">
        <f t="shared" si="94"/>
        <v>iPadNew Buy</v>
      </c>
      <c r="C782">
        <v>407415</v>
      </c>
      <c r="D782" t="s">
        <v>961</v>
      </c>
      <c r="E782" t="s">
        <v>166</v>
      </c>
      <c r="F782" s="28" t="s">
        <v>173</v>
      </c>
      <c r="G782" t="s">
        <v>174</v>
      </c>
      <c r="H782" t="s">
        <v>167</v>
      </c>
      <c r="I782" t="s">
        <v>175</v>
      </c>
      <c r="J782" t="s">
        <v>1061</v>
      </c>
      <c r="L782" t="s">
        <v>1062</v>
      </c>
      <c r="M782" s="4">
        <v>85</v>
      </c>
      <c r="N782" s="4">
        <v>63.75</v>
      </c>
      <c r="O782">
        <v>1</v>
      </c>
      <c r="T782" t="s">
        <v>178</v>
      </c>
      <c r="U782" t="s">
        <v>116</v>
      </c>
      <c r="V782" s="4">
        <v>63.75</v>
      </c>
      <c r="Y782" s="6">
        <f t="shared" si="95"/>
        <v>85</v>
      </c>
      <c r="Z782" s="6">
        <f t="shared" si="96"/>
        <v>63.75</v>
      </c>
      <c r="AA782" s="6">
        <f t="shared" si="97"/>
        <v>63.75</v>
      </c>
      <c r="AB782" s="6">
        <f t="shared" si="99"/>
        <v>21.25</v>
      </c>
      <c r="AC782" t="s">
        <v>33</v>
      </c>
      <c r="AD782" s="3" t="s">
        <v>168</v>
      </c>
    </row>
    <row r="783" spans="1:30" ht="15.75" customHeight="1" x14ac:dyDescent="0.2">
      <c r="A783" s="7" t="str">
        <f t="shared" si="93"/>
        <v>SUZHOU FARPULL INTELLIGENT EQUIPMENT CO., LTD.J581New Buy</v>
      </c>
      <c r="B783" s="7" t="str">
        <f t="shared" si="94"/>
        <v>iPadNew Buy</v>
      </c>
      <c r="C783">
        <v>407414</v>
      </c>
      <c r="D783" t="s">
        <v>961</v>
      </c>
      <c r="E783" t="s">
        <v>166</v>
      </c>
      <c r="F783" s="28" t="s">
        <v>173</v>
      </c>
      <c r="G783" t="s">
        <v>174</v>
      </c>
      <c r="H783" t="s">
        <v>167</v>
      </c>
      <c r="I783" t="s">
        <v>175</v>
      </c>
      <c r="J783" t="s">
        <v>1061</v>
      </c>
      <c r="L783" t="s">
        <v>1062</v>
      </c>
      <c r="M783" s="4">
        <v>85</v>
      </c>
      <c r="N783" s="4">
        <v>63.75</v>
      </c>
      <c r="O783">
        <v>2</v>
      </c>
      <c r="T783" t="s">
        <v>178</v>
      </c>
      <c r="U783" t="s">
        <v>66</v>
      </c>
      <c r="V783" s="4">
        <v>63.75</v>
      </c>
      <c r="Y783" s="6">
        <f t="shared" si="95"/>
        <v>170</v>
      </c>
      <c r="Z783" s="6">
        <f t="shared" si="96"/>
        <v>127.5</v>
      </c>
      <c r="AA783" s="6">
        <f t="shared" si="97"/>
        <v>127.5</v>
      </c>
      <c r="AB783" s="6">
        <f t="shared" si="99"/>
        <v>42.5</v>
      </c>
      <c r="AC783" t="s">
        <v>16</v>
      </c>
      <c r="AD783" s="3" t="s">
        <v>168</v>
      </c>
    </row>
    <row r="784" spans="1:30" ht="15.75" customHeight="1" x14ac:dyDescent="0.2">
      <c r="A784" s="7" t="str">
        <f t="shared" si="93"/>
        <v>SUZHOU FARPULL INTELLIGENT EQUIPMENT CO., LTD.J581New Buy</v>
      </c>
      <c r="B784" s="7" t="str">
        <f t="shared" si="94"/>
        <v>iPadNew Buy</v>
      </c>
      <c r="C784">
        <v>407413</v>
      </c>
      <c r="D784" t="s">
        <v>961</v>
      </c>
      <c r="E784" t="s">
        <v>166</v>
      </c>
      <c r="F784" s="28" t="s">
        <v>173</v>
      </c>
      <c r="G784" t="s">
        <v>174</v>
      </c>
      <c r="H784" t="s">
        <v>167</v>
      </c>
      <c r="I784" t="s">
        <v>175</v>
      </c>
      <c r="J784" t="s">
        <v>1061</v>
      </c>
      <c r="L784" t="s">
        <v>1062</v>
      </c>
      <c r="M784" s="4">
        <v>85</v>
      </c>
      <c r="N784" s="4">
        <v>63.75</v>
      </c>
      <c r="O784">
        <v>2</v>
      </c>
      <c r="T784" t="s">
        <v>178</v>
      </c>
      <c r="U784" t="s">
        <v>104</v>
      </c>
      <c r="V784" s="4">
        <v>63.75</v>
      </c>
      <c r="Y784" s="6">
        <f t="shared" si="95"/>
        <v>170</v>
      </c>
      <c r="Z784" s="6">
        <f t="shared" si="96"/>
        <v>127.5</v>
      </c>
      <c r="AA784" s="6">
        <f t="shared" si="97"/>
        <v>127.5</v>
      </c>
      <c r="AB784" s="6">
        <f t="shared" si="99"/>
        <v>42.5</v>
      </c>
      <c r="AC784" t="s">
        <v>16</v>
      </c>
      <c r="AD784" s="3" t="s">
        <v>168</v>
      </c>
    </row>
    <row r="785" spans="1:30" ht="15.75" customHeight="1" x14ac:dyDescent="0.2">
      <c r="A785" s="7" t="str">
        <f t="shared" si="93"/>
        <v>SUZHOU FARPULL INTELLIGENT EQUIPMENT CO., LTD.J581New Buy</v>
      </c>
      <c r="B785" s="7" t="str">
        <f t="shared" si="94"/>
        <v>iPadNew Buy</v>
      </c>
      <c r="C785">
        <v>407403</v>
      </c>
      <c r="D785" t="s">
        <v>961</v>
      </c>
      <c r="E785" t="s">
        <v>166</v>
      </c>
      <c r="F785" s="28" t="s">
        <v>173</v>
      </c>
      <c r="G785" t="s">
        <v>174</v>
      </c>
      <c r="H785" t="s">
        <v>167</v>
      </c>
      <c r="I785" t="s">
        <v>175</v>
      </c>
      <c r="J785" t="s">
        <v>1063</v>
      </c>
      <c r="L785" t="s">
        <v>1064</v>
      </c>
      <c r="M785" s="4">
        <v>1700</v>
      </c>
      <c r="N785" s="4">
        <v>1275</v>
      </c>
      <c r="O785">
        <v>5</v>
      </c>
      <c r="T785" t="s">
        <v>178</v>
      </c>
      <c r="U785" t="s">
        <v>104</v>
      </c>
      <c r="V785" s="4">
        <v>1275</v>
      </c>
      <c r="Y785" s="6">
        <f t="shared" si="95"/>
        <v>8500</v>
      </c>
      <c r="Z785" s="6">
        <f t="shared" si="96"/>
        <v>6375</v>
      </c>
      <c r="AA785" s="6">
        <f t="shared" si="97"/>
        <v>6375</v>
      </c>
      <c r="AB785" s="6">
        <f t="shared" si="99"/>
        <v>2125</v>
      </c>
      <c r="AC785" t="s">
        <v>16</v>
      </c>
      <c r="AD785" s="3" t="s">
        <v>168</v>
      </c>
    </row>
    <row r="786" spans="1:30" ht="15.75" customHeight="1" x14ac:dyDescent="0.2">
      <c r="A786" s="7" t="str">
        <f t="shared" si="93"/>
        <v>SUZHOU FARPULL INTELLIGENT EQUIPMENT CO., LTD.J581New Buy</v>
      </c>
      <c r="B786" s="7" t="str">
        <f t="shared" si="94"/>
        <v>iPadNew Buy</v>
      </c>
      <c r="C786">
        <v>407402</v>
      </c>
      <c r="D786" t="s">
        <v>961</v>
      </c>
      <c r="E786" t="s">
        <v>166</v>
      </c>
      <c r="F786" s="28" t="s">
        <v>173</v>
      </c>
      <c r="G786" t="s">
        <v>174</v>
      </c>
      <c r="H786" t="s">
        <v>167</v>
      </c>
      <c r="I786" t="s">
        <v>175</v>
      </c>
      <c r="J786" t="s">
        <v>1063</v>
      </c>
      <c r="L786" t="s">
        <v>1064</v>
      </c>
      <c r="M786" s="4">
        <v>1700</v>
      </c>
      <c r="N786" s="4">
        <v>1275</v>
      </c>
      <c r="O786">
        <v>2</v>
      </c>
      <c r="T786" t="s">
        <v>178</v>
      </c>
      <c r="U786" t="s">
        <v>66</v>
      </c>
      <c r="V786" s="4">
        <v>1275</v>
      </c>
      <c r="Y786" s="6">
        <f t="shared" si="95"/>
        <v>3400</v>
      </c>
      <c r="Z786" s="6">
        <f t="shared" si="96"/>
        <v>2550</v>
      </c>
      <c r="AA786" s="6">
        <f t="shared" si="97"/>
        <v>2550</v>
      </c>
      <c r="AB786" s="6">
        <f t="shared" si="99"/>
        <v>850</v>
      </c>
      <c r="AC786" t="s">
        <v>16</v>
      </c>
      <c r="AD786" s="3" t="s">
        <v>168</v>
      </c>
    </row>
    <row r="787" spans="1:30" ht="15.75" customHeight="1" x14ac:dyDescent="0.2">
      <c r="A787" s="7" t="str">
        <f t="shared" si="93"/>
        <v>SUZHOU FARPULL INTELLIGENT EQUIPMENT CO., LTD.J581New Buy</v>
      </c>
      <c r="B787" s="7" t="str">
        <f t="shared" si="94"/>
        <v>iPadNew Buy</v>
      </c>
      <c r="C787">
        <v>407401</v>
      </c>
      <c r="D787" t="s">
        <v>961</v>
      </c>
      <c r="E787" t="s">
        <v>166</v>
      </c>
      <c r="F787" s="28" t="s">
        <v>173</v>
      </c>
      <c r="G787" t="s">
        <v>174</v>
      </c>
      <c r="H787" t="s">
        <v>167</v>
      </c>
      <c r="I787" t="s">
        <v>175</v>
      </c>
      <c r="J787" t="s">
        <v>1063</v>
      </c>
      <c r="L787" t="s">
        <v>1064</v>
      </c>
      <c r="M787" s="4">
        <v>1700</v>
      </c>
      <c r="N787" s="4">
        <v>1275</v>
      </c>
      <c r="O787">
        <v>2</v>
      </c>
      <c r="T787" t="s">
        <v>178</v>
      </c>
      <c r="U787" t="s">
        <v>116</v>
      </c>
      <c r="V787" s="4">
        <v>1275</v>
      </c>
      <c r="Y787" s="6">
        <f t="shared" si="95"/>
        <v>3400</v>
      </c>
      <c r="Z787" s="6">
        <f t="shared" si="96"/>
        <v>2550</v>
      </c>
      <c r="AA787" s="6">
        <f t="shared" si="97"/>
        <v>2550</v>
      </c>
      <c r="AB787" s="6">
        <f t="shared" si="99"/>
        <v>850</v>
      </c>
      <c r="AC787" t="s">
        <v>33</v>
      </c>
      <c r="AD787" s="3" t="s">
        <v>168</v>
      </c>
    </row>
    <row r="788" spans="1:30" ht="15.75" customHeight="1" x14ac:dyDescent="0.2">
      <c r="A788" s="7" t="str">
        <f t="shared" si="93"/>
        <v>SUZHOU FARPULL INTELLIGENT EQUIPMENT CO., LTD.J581New Buy</v>
      </c>
      <c r="B788" s="7" t="str">
        <f t="shared" si="94"/>
        <v>iPadNew Buy</v>
      </c>
      <c r="C788">
        <v>407400</v>
      </c>
      <c r="D788" t="s">
        <v>961</v>
      </c>
      <c r="E788" t="s">
        <v>166</v>
      </c>
      <c r="F788" s="28" t="s">
        <v>173</v>
      </c>
      <c r="G788" t="s">
        <v>174</v>
      </c>
      <c r="H788" t="s">
        <v>167</v>
      </c>
      <c r="I788" t="s">
        <v>175</v>
      </c>
      <c r="J788" t="s">
        <v>1065</v>
      </c>
      <c r="L788" t="s">
        <v>1066</v>
      </c>
      <c r="M788" s="4">
        <v>85</v>
      </c>
      <c r="N788" s="4">
        <v>63.75</v>
      </c>
      <c r="O788">
        <v>3</v>
      </c>
      <c r="T788" t="s">
        <v>178</v>
      </c>
      <c r="U788" t="s">
        <v>66</v>
      </c>
      <c r="V788" s="4">
        <v>63.75</v>
      </c>
      <c r="Y788" s="6">
        <f t="shared" si="95"/>
        <v>255</v>
      </c>
      <c r="Z788" s="6">
        <f t="shared" si="96"/>
        <v>191.25</v>
      </c>
      <c r="AA788" s="6">
        <f t="shared" si="97"/>
        <v>191.25</v>
      </c>
      <c r="AB788" s="6">
        <f t="shared" si="99"/>
        <v>63.75</v>
      </c>
      <c r="AC788" t="s">
        <v>16</v>
      </c>
      <c r="AD788" s="3" t="s">
        <v>168</v>
      </c>
    </row>
    <row r="789" spans="1:30" ht="15.75" customHeight="1" x14ac:dyDescent="0.2">
      <c r="A789" s="7" t="str">
        <f t="shared" si="93"/>
        <v>SUZHOU FARPULL INTELLIGENT EQUIPMENT CO., LTD.J581New Buy</v>
      </c>
      <c r="B789" s="7" t="str">
        <f t="shared" si="94"/>
        <v>iPadNew Buy</v>
      </c>
      <c r="C789">
        <v>407399</v>
      </c>
      <c r="D789" t="s">
        <v>961</v>
      </c>
      <c r="E789" t="s">
        <v>166</v>
      </c>
      <c r="F789" s="28" t="s">
        <v>173</v>
      </c>
      <c r="G789" t="s">
        <v>174</v>
      </c>
      <c r="H789" t="s">
        <v>167</v>
      </c>
      <c r="I789" t="s">
        <v>175</v>
      </c>
      <c r="J789" t="s">
        <v>1065</v>
      </c>
      <c r="L789" t="s">
        <v>1066</v>
      </c>
      <c r="M789" s="4">
        <v>85</v>
      </c>
      <c r="N789" s="4">
        <v>63.75</v>
      </c>
      <c r="O789">
        <v>9</v>
      </c>
      <c r="T789" t="s">
        <v>178</v>
      </c>
      <c r="U789" t="s">
        <v>116</v>
      </c>
      <c r="V789" s="4">
        <v>63.75</v>
      </c>
      <c r="Y789" s="6">
        <f t="shared" si="95"/>
        <v>765</v>
      </c>
      <c r="Z789" s="6">
        <f t="shared" si="96"/>
        <v>573.75</v>
      </c>
      <c r="AA789" s="6">
        <f t="shared" si="97"/>
        <v>573.75</v>
      </c>
      <c r="AB789" s="6">
        <f t="shared" si="99"/>
        <v>191.25</v>
      </c>
      <c r="AC789" t="s">
        <v>33</v>
      </c>
      <c r="AD789" s="3" t="s">
        <v>168</v>
      </c>
    </row>
    <row r="790" spans="1:30" ht="15.75" customHeight="1" x14ac:dyDescent="0.2">
      <c r="A790" s="7" t="str">
        <f t="shared" si="93"/>
        <v>SUZHOU FARPULL INTELLIGENT EQUIPMENT CO., LTD.J581New Buy</v>
      </c>
      <c r="B790" s="7" t="str">
        <f t="shared" si="94"/>
        <v>iPadNew Buy</v>
      </c>
      <c r="C790">
        <v>407398</v>
      </c>
      <c r="D790" t="s">
        <v>961</v>
      </c>
      <c r="E790" t="s">
        <v>166</v>
      </c>
      <c r="F790" s="28" t="s">
        <v>173</v>
      </c>
      <c r="G790" t="s">
        <v>174</v>
      </c>
      <c r="H790" t="s">
        <v>167</v>
      </c>
      <c r="I790" t="s">
        <v>175</v>
      </c>
      <c r="J790" t="s">
        <v>1065</v>
      </c>
      <c r="L790" t="s">
        <v>1066</v>
      </c>
      <c r="M790" s="4">
        <v>85</v>
      </c>
      <c r="N790" s="4">
        <v>63.75</v>
      </c>
      <c r="O790">
        <v>3</v>
      </c>
      <c r="T790" t="s">
        <v>178</v>
      </c>
      <c r="U790" t="s">
        <v>104</v>
      </c>
      <c r="V790" s="4">
        <v>63.75</v>
      </c>
      <c r="Y790" s="6">
        <f t="shared" si="95"/>
        <v>255</v>
      </c>
      <c r="Z790" s="6">
        <f t="shared" si="96"/>
        <v>191.25</v>
      </c>
      <c r="AA790" s="6">
        <f t="shared" si="97"/>
        <v>191.25</v>
      </c>
      <c r="AB790" s="6">
        <f t="shared" si="99"/>
        <v>63.75</v>
      </c>
      <c r="AC790" t="s">
        <v>16</v>
      </c>
      <c r="AD790" s="3" t="s">
        <v>168</v>
      </c>
    </row>
    <row r="791" spans="1:30" ht="15.75" customHeight="1" x14ac:dyDescent="0.2">
      <c r="A791" s="7" t="str">
        <f t="shared" si="93"/>
        <v>SUZHOU FARPULL INTELLIGENT EQUIPMENT CO., LTD.J581New Buy</v>
      </c>
      <c r="B791" s="7" t="str">
        <f t="shared" si="94"/>
        <v>iPadNew Buy</v>
      </c>
      <c r="C791">
        <v>407397</v>
      </c>
      <c r="D791" t="s">
        <v>961</v>
      </c>
      <c r="E791" t="s">
        <v>166</v>
      </c>
      <c r="F791" s="28" t="s">
        <v>173</v>
      </c>
      <c r="G791" t="s">
        <v>174</v>
      </c>
      <c r="H791" t="s">
        <v>167</v>
      </c>
      <c r="I791" t="s">
        <v>175</v>
      </c>
      <c r="J791" t="s">
        <v>1067</v>
      </c>
      <c r="L791" t="s">
        <v>1068</v>
      </c>
      <c r="M791" s="4">
        <v>3200</v>
      </c>
      <c r="N791" s="4">
        <v>337.5</v>
      </c>
      <c r="O791">
        <v>5</v>
      </c>
      <c r="T791" t="s">
        <v>178</v>
      </c>
      <c r="U791" t="s">
        <v>66</v>
      </c>
      <c r="V791" s="4">
        <v>337.5</v>
      </c>
      <c r="Y791" s="6">
        <f t="shared" si="95"/>
        <v>16000</v>
      </c>
      <c r="Z791" s="6">
        <f t="shared" si="96"/>
        <v>1687.5</v>
      </c>
      <c r="AA791" s="6">
        <f t="shared" si="97"/>
        <v>1687.5</v>
      </c>
      <c r="AB791" s="6">
        <f t="shared" si="99"/>
        <v>14312.5</v>
      </c>
      <c r="AC791" t="s">
        <v>16</v>
      </c>
      <c r="AD791" s="3" t="s">
        <v>168</v>
      </c>
    </row>
    <row r="792" spans="1:30" ht="15.75" customHeight="1" x14ac:dyDescent="0.2">
      <c r="A792" s="7" t="str">
        <f t="shared" si="93"/>
        <v>SUZHOU FARPULL INTELLIGENT EQUIPMENT CO., LTD.J581New Buy</v>
      </c>
      <c r="B792" s="7" t="str">
        <f t="shared" si="94"/>
        <v>iPadNew Buy</v>
      </c>
      <c r="C792">
        <v>407396</v>
      </c>
      <c r="D792" t="s">
        <v>961</v>
      </c>
      <c r="E792" t="s">
        <v>166</v>
      </c>
      <c r="F792" s="28" t="s">
        <v>173</v>
      </c>
      <c r="G792" t="s">
        <v>174</v>
      </c>
      <c r="H792" t="s">
        <v>167</v>
      </c>
      <c r="I792" t="s">
        <v>175</v>
      </c>
      <c r="J792" t="s">
        <v>1067</v>
      </c>
      <c r="L792" t="s">
        <v>1068</v>
      </c>
      <c r="M792" s="4">
        <v>3200</v>
      </c>
      <c r="N792" s="4">
        <v>2880</v>
      </c>
      <c r="O792">
        <v>9</v>
      </c>
      <c r="T792" t="s">
        <v>178</v>
      </c>
      <c r="U792" t="s">
        <v>116</v>
      </c>
      <c r="V792" s="4">
        <v>337.5</v>
      </c>
      <c r="Y792" s="6">
        <f t="shared" si="95"/>
        <v>28800</v>
      </c>
      <c r="Z792" s="6">
        <f t="shared" si="96"/>
        <v>3037.5</v>
      </c>
      <c r="AA792" s="6">
        <f t="shared" si="97"/>
        <v>25920</v>
      </c>
      <c r="AB792" s="6">
        <f t="shared" si="99"/>
        <v>2880</v>
      </c>
      <c r="AC792" t="s">
        <v>33</v>
      </c>
      <c r="AD792" s="3" t="s">
        <v>168</v>
      </c>
    </row>
    <row r="793" spans="1:30" ht="15.75" customHeight="1" x14ac:dyDescent="0.2">
      <c r="A793" s="7" t="str">
        <f t="shared" si="93"/>
        <v>SUZHOU FARPULL INTELLIGENT EQUIPMENT CO., LTD.J581New Buy</v>
      </c>
      <c r="B793" s="7" t="str">
        <f t="shared" si="94"/>
        <v>iPadNew Buy</v>
      </c>
      <c r="C793">
        <v>407395</v>
      </c>
      <c r="D793" t="s">
        <v>961</v>
      </c>
      <c r="E793" t="s">
        <v>166</v>
      </c>
      <c r="F793" s="28" t="s">
        <v>173</v>
      </c>
      <c r="G793" t="s">
        <v>174</v>
      </c>
      <c r="H793" t="s">
        <v>167</v>
      </c>
      <c r="I793" t="s">
        <v>131</v>
      </c>
      <c r="J793" t="s">
        <v>1067</v>
      </c>
      <c r="L793" t="s">
        <v>1068</v>
      </c>
      <c r="M793" s="4">
        <v>450</v>
      </c>
      <c r="N793" s="4">
        <v>2880</v>
      </c>
      <c r="O793">
        <v>37</v>
      </c>
      <c r="T793" t="s">
        <v>178</v>
      </c>
      <c r="U793" t="s">
        <v>104</v>
      </c>
      <c r="V793" s="4">
        <v>337.5</v>
      </c>
      <c r="Y793" s="6">
        <f t="shared" si="95"/>
        <v>16650</v>
      </c>
      <c r="Z793" s="6">
        <f t="shared" si="96"/>
        <v>12487.5</v>
      </c>
      <c r="AA793" s="6">
        <f t="shared" si="97"/>
        <v>106560</v>
      </c>
      <c r="AB793" s="6"/>
      <c r="AC793" t="s">
        <v>16</v>
      </c>
      <c r="AD793" s="3" t="s">
        <v>168</v>
      </c>
    </row>
    <row r="794" spans="1:30" ht="15.75" customHeight="1" x14ac:dyDescent="0.2">
      <c r="A794" s="7" t="str">
        <f t="shared" si="93"/>
        <v>SUZHOU FARPULL INTELLIGENT EQUIPMENT CO., LTD.J581New Buy</v>
      </c>
      <c r="B794" s="7" t="str">
        <f t="shared" si="94"/>
        <v>iPadNew Buy</v>
      </c>
      <c r="C794">
        <v>407394</v>
      </c>
      <c r="D794" t="s">
        <v>961</v>
      </c>
      <c r="E794" t="s">
        <v>166</v>
      </c>
      <c r="F794" s="28" t="s">
        <v>173</v>
      </c>
      <c r="G794" t="s">
        <v>174</v>
      </c>
      <c r="H794" t="s">
        <v>167</v>
      </c>
      <c r="I794" t="s">
        <v>175</v>
      </c>
      <c r="J794" t="s">
        <v>1067</v>
      </c>
      <c r="L794" t="s">
        <v>1068</v>
      </c>
      <c r="M794" s="4">
        <v>3200</v>
      </c>
      <c r="N794" s="4">
        <v>2880</v>
      </c>
      <c r="O794">
        <v>3</v>
      </c>
      <c r="T794" t="s">
        <v>178</v>
      </c>
      <c r="U794" t="s">
        <v>104</v>
      </c>
      <c r="V794" s="4">
        <v>337.5</v>
      </c>
      <c r="Y794" s="6">
        <f t="shared" si="95"/>
        <v>9600</v>
      </c>
      <c r="Z794" s="6">
        <f t="shared" si="96"/>
        <v>1012.5</v>
      </c>
      <c r="AA794" s="6">
        <f t="shared" si="97"/>
        <v>8640</v>
      </c>
      <c r="AB794" s="6">
        <f t="shared" ref="AB794:AB804" si="100">IF(AA794=0,0,Y794-AA794)</f>
        <v>960</v>
      </c>
      <c r="AC794" t="s">
        <v>16</v>
      </c>
      <c r="AD794" s="3" t="s">
        <v>168</v>
      </c>
    </row>
    <row r="795" spans="1:30" ht="15.75" customHeight="1" x14ac:dyDescent="0.2">
      <c r="A795" s="7" t="str">
        <f t="shared" si="93"/>
        <v>SUZHOU FARPULL INTELLIGENT EQUIPMENT CO., LTD.J581New Buy</v>
      </c>
      <c r="B795" s="7" t="str">
        <f t="shared" si="94"/>
        <v>iPadNew Buy</v>
      </c>
      <c r="C795">
        <v>407393</v>
      </c>
      <c r="D795" t="s">
        <v>961</v>
      </c>
      <c r="E795" t="s">
        <v>166</v>
      </c>
      <c r="F795" s="28" t="s">
        <v>173</v>
      </c>
      <c r="G795" t="s">
        <v>174</v>
      </c>
      <c r="H795" t="s">
        <v>167</v>
      </c>
      <c r="I795" t="s">
        <v>115</v>
      </c>
      <c r="J795" t="s">
        <v>1067</v>
      </c>
      <c r="L795" t="s">
        <v>1068</v>
      </c>
      <c r="M795" s="4">
        <v>730</v>
      </c>
      <c r="N795" s="4">
        <v>337.5</v>
      </c>
      <c r="O795">
        <v>1</v>
      </c>
      <c r="T795" t="s">
        <v>178</v>
      </c>
      <c r="U795" t="s">
        <v>104</v>
      </c>
      <c r="V795" s="4">
        <v>337.5</v>
      </c>
      <c r="Y795" s="6">
        <f t="shared" si="95"/>
        <v>730</v>
      </c>
      <c r="Z795" s="6">
        <f t="shared" si="96"/>
        <v>337.5</v>
      </c>
      <c r="AA795" s="6">
        <f t="shared" si="97"/>
        <v>337.5</v>
      </c>
      <c r="AB795" s="6">
        <f t="shared" si="100"/>
        <v>392.5</v>
      </c>
      <c r="AC795" t="s">
        <v>16</v>
      </c>
      <c r="AD795" s="3" t="s">
        <v>168</v>
      </c>
    </row>
    <row r="796" spans="1:30" ht="15.75" customHeight="1" x14ac:dyDescent="0.2">
      <c r="A796" s="7" t="str">
        <f t="shared" si="93"/>
        <v>SUZHOU FARPULL INTELLIGENT EQUIPMENT CO., LTD.J581New Buy</v>
      </c>
      <c r="B796" s="7" t="str">
        <f t="shared" si="94"/>
        <v>iPadNew Buy</v>
      </c>
      <c r="C796">
        <v>407392</v>
      </c>
      <c r="D796" t="s">
        <v>961</v>
      </c>
      <c r="E796" t="s">
        <v>166</v>
      </c>
      <c r="F796" s="28" t="s">
        <v>173</v>
      </c>
      <c r="G796" t="s">
        <v>174</v>
      </c>
      <c r="H796" t="s">
        <v>167</v>
      </c>
      <c r="I796" t="s">
        <v>175</v>
      </c>
      <c r="J796" t="s">
        <v>1069</v>
      </c>
      <c r="L796" t="s">
        <v>1070</v>
      </c>
      <c r="M796" s="4">
        <v>280</v>
      </c>
      <c r="N796" s="4">
        <v>210</v>
      </c>
      <c r="O796">
        <v>25</v>
      </c>
      <c r="T796" t="s">
        <v>178</v>
      </c>
      <c r="U796" t="s">
        <v>66</v>
      </c>
      <c r="V796" s="4">
        <v>210</v>
      </c>
      <c r="Y796" s="6">
        <f t="shared" si="95"/>
        <v>7000</v>
      </c>
      <c r="Z796" s="6">
        <f t="shared" si="96"/>
        <v>5250</v>
      </c>
      <c r="AA796" s="6">
        <f t="shared" si="97"/>
        <v>5250</v>
      </c>
      <c r="AB796" s="6">
        <f t="shared" si="100"/>
        <v>1750</v>
      </c>
      <c r="AC796" t="s">
        <v>16</v>
      </c>
      <c r="AD796" s="3" t="s">
        <v>168</v>
      </c>
    </row>
    <row r="797" spans="1:30" ht="15.75" customHeight="1" x14ac:dyDescent="0.2">
      <c r="A797" s="7" t="str">
        <f t="shared" si="93"/>
        <v>SUZHOU FARPULL INTELLIGENT EQUIPMENT CO., LTD.J581New Buy</v>
      </c>
      <c r="B797" s="7" t="str">
        <f t="shared" si="94"/>
        <v>iPadNew Buy</v>
      </c>
      <c r="C797">
        <v>407391</v>
      </c>
      <c r="D797" t="s">
        <v>961</v>
      </c>
      <c r="E797" t="s">
        <v>166</v>
      </c>
      <c r="F797" s="28" t="s">
        <v>173</v>
      </c>
      <c r="G797" t="s">
        <v>174</v>
      </c>
      <c r="H797" t="s">
        <v>167</v>
      </c>
      <c r="I797" t="s">
        <v>175</v>
      </c>
      <c r="J797" t="s">
        <v>1069</v>
      </c>
      <c r="L797" t="s">
        <v>1070</v>
      </c>
      <c r="M797" s="4">
        <v>280</v>
      </c>
      <c r="N797" s="4">
        <v>210</v>
      </c>
      <c r="O797">
        <v>31</v>
      </c>
      <c r="T797" t="s">
        <v>178</v>
      </c>
      <c r="U797" t="s">
        <v>104</v>
      </c>
      <c r="V797" s="4">
        <v>210</v>
      </c>
      <c r="Y797" s="6">
        <f t="shared" si="95"/>
        <v>8680</v>
      </c>
      <c r="Z797" s="6">
        <f t="shared" si="96"/>
        <v>6510</v>
      </c>
      <c r="AA797" s="6">
        <f t="shared" si="97"/>
        <v>6510</v>
      </c>
      <c r="AB797" s="6">
        <f t="shared" si="100"/>
        <v>2170</v>
      </c>
      <c r="AC797" t="s">
        <v>16</v>
      </c>
      <c r="AD797" s="3" t="s">
        <v>168</v>
      </c>
    </row>
    <row r="798" spans="1:30" ht="15.75" customHeight="1" x14ac:dyDescent="0.2">
      <c r="A798" s="7" t="str">
        <f t="shared" si="93"/>
        <v>SUZHOU FARPULL INTELLIGENT EQUIPMENT CO., LTD.J581New Buy</v>
      </c>
      <c r="B798" s="7" t="str">
        <f t="shared" si="94"/>
        <v>iPadNew Buy</v>
      </c>
      <c r="C798">
        <v>407390</v>
      </c>
      <c r="D798" t="s">
        <v>961</v>
      </c>
      <c r="E798" t="s">
        <v>166</v>
      </c>
      <c r="F798" s="28" t="s">
        <v>173</v>
      </c>
      <c r="G798" t="s">
        <v>174</v>
      </c>
      <c r="H798" t="s">
        <v>167</v>
      </c>
      <c r="I798" t="s">
        <v>175</v>
      </c>
      <c r="J798" t="s">
        <v>1069</v>
      </c>
      <c r="L798" t="s">
        <v>1070</v>
      </c>
      <c r="M798" s="4">
        <v>280</v>
      </c>
      <c r="N798" s="4">
        <v>210</v>
      </c>
      <c r="O798">
        <v>49</v>
      </c>
      <c r="T798" t="s">
        <v>178</v>
      </c>
      <c r="U798" t="s">
        <v>116</v>
      </c>
      <c r="V798" s="4">
        <v>210</v>
      </c>
      <c r="Y798" s="6">
        <f t="shared" si="95"/>
        <v>13720</v>
      </c>
      <c r="Z798" s="6">
        <f t="shared" si="96"/>
        <v>10290</v>
      </c>
      <c r="AA798" s="6">
        <f t="shared" si="97"/>
        <v>10290</v>
      </c>
      <c r="AB798" s="6">
        <f t="shared" si="100"/>
        <v>3430</v>
      </c>
      <c r="AC798" t="s">
        <v>33</v>
      </c>
      <c r="AD798" s="3" t="s">
        <v>168</v>
      </c>
    </row>
    <row r="799" spans="1:30" ht="15.75" customHeight="1" x14ac:dyDescent="0.2">
      <c r="A799" s="7" t="str">
        <f t="shared" si="93"/>
        <v>SUZHOU FARPULL INTELLIGENT EQUIPMENT CO., LTD.J581New Buy</v>
      </c>
      <c r="B799" s="7" t="str">
        <f t="shared" si="94"/>
        <v>iPadNew Buy</v>
      </c>
      <c r="C799">
        <v>407386</v>
      </c>
      <c r="D799" t="s">
        <v>961</v>
      </c>
      <c r="E799" t="s">
        <v>166</v>
      </c>
      <c r="F799" s="28" t="s">
        <v>173</v>
      </c>
      <c r="G799" t="s">
        <v>174</v>
      </c>
      <c r="H799" t="s">
        <v>167</v>
      </c>
      <c r="I799" t="s">
        <v>175</v>
      </c>
      <c r="J799" t="s">
        <v>1071</v>
      </c>
      <c r="L799" t="s">
        <v>1072</v>
      </c>
      <c r="M799" s="4">
        <v>5</v>
      </c>
      <c r="N799" s="4">
        <v>3.75</v>
      </c>
      <c r="O799">
        <v>33066</v>
      </c>
      <c r="T799" t="s">
        <v>178</v>
      </c>
      <c r="U799" t="s">
        <v>116</v>
      </c>
      <c r="V799" s="4">
        <v>3.75</v>
      </c>
      <c r="Y799" s="6">
        <f t="shared" si="95"/>
        <v>165330</v>
      </c>
      <c r="Z799" s="6">
        <f t="shared" si="96"/>
        <v>123997.5</v>
      </c>
      <c r="AA799" s="6">
        <f t="shared" si="97"/>
        <v>123997.5</v>
      </c>
      <c r="AB799" s="6">
        <f t="shared" si="100"/>
        <v>41332.5</v>
      </c>
      <c r="AC799" t="s">
        <v>33</v>
      </c>
      <c r="AD799" s="3" t="s">
        <v>168</v>
      </c>
    </row>
    <row r="800" spans="1:30" ht="15.75" customHeight="1" x14ac:dyDescent="0.2">
      <c r="A800" s="7" t="str">
        <f t="shared" si="93"/>
        <v>SUZHOU FARPULL INTELLIGENT EQUIPMENT CO., LTD.J581New Buy</v>
      </c>
      <c r="B800" s="7" t="str">
        <f t="shared" si="94"/>
        <v>iPadNew Buy</v>
      </c>
      <c r="C800">
        <v>407385</v>
      </c>
      <c r="D800" t="s">
        <v>961</v>
      </c>
      <c r="E800" t="s">
        <v>166</v>
      </c>
      <c r="F800" s="28" t="s">
        <v>173</v>
      </c>
      <c r="G800" t="s">
        <v>174</v>
      </c>
      <c r="H800" t="s">
        <v>167</v>
      </c>
      <c r="I800" t="s">
        <v>175</v>
      </c>
      <c r="J800" t="s">
        <v>1071</v>
      </c>
      <c r="L800" t="s">
        <v>1072</v>
      </c>
      <c r="M800" s="4">
        <v>5</v>
      </c>
      <c r="N800" s="4">
        <v>3.75</v>
      </c>
      <c r="O800">
        <v>16845</v>
      </c>
      <c r="T800" t="s">
        <v>178</v>
      </c>
      <c r="U800" t="s">
        <v>66</v>
      </c>
      <c r="V800" s="4">
        <v>3.75</v>
      </c>
      <c r="Y800" s="6">
        <f t="shared" si="95"/>
        <v>84225</v>
      </c>
      <c r="Z800" s="6">
        <f t="shared" si="96"/>
        <v>63168.75</v>
      </c>
      <c r="AA800" s="6">
        <f t="shared" si="97"/>
        <v>63168.75</v>
      </c>
      <c r="AB800" s="6">
        <f t="shared" si="100"/>
        <v>21056.25</v>
      </c>
      <c r="AC800" t="s">
        <v>16</v>
      </c>
      <c r="AD800" s="3" t="s">
        <v>168</v>
      </c>
    </row>
    <row r="801" spans="1:30" ht="15.75" customHeight="1" x14ac:dyDescent="0.2">
      <c r="A801" s="7" t="str">
        <f t="shared" si="93"/>
        <v>SUZHOU FARPULL INTELLIGENT EQUIPMENT CO., LTD.J581New Buy</v>
      </c>
      <c r="B801" s="7" t="str">
        <f t="shared" si="94"/>
        <v>iPadNew Buy</v>
      </c>
      <c r="C801">
        <v>407384</v>
      </c>
      <c r="D801" t="s">
        <v>961</v>
      </c>
      <c r="E801" t="s">
        <v>166</v>
      </c>
      <c r="F801" s="28" t="s">
        <v>173</v>
      </c>
      <c r="G801" t="s">
        <v>174</v>
      </c>
      <c r="H801" t="s">
        <v>167</v>
      </c>
      <c r="I801" t="s">
        <v>175</v>
      </c>
      <c r="J801" t="s">
        <v>1071</v>
      </c>
      <c r="L801" t="s">
        <v>1072</v>
      </c>
      <c r="M801" s="4">
        <v>5</v>
      </c>
      <c r="N801" s="4">
        <v>3.75</v>
      </c>
      <c r="O801">
        <v>20889</v>
      </c>
      <c r="T801" t="s">
        <v>178</v>
      </c>
      <c r="U801" t="s">
        <v>104</v>
      </c>
      <c r="V801" s="4">
        <v>3.75</v>
      </c>
      <c r="Y801" s="6">
        <f t="shared" si="95"/>
        <v>104445</v>
      </c>
      <c r="Z801" s="6">
        <f t="shared" si="96"/>
        <v>78333.75</v>
      </c>
      <c r="AA801" s="6">
        <f t="shared" si="97"/>
        <v>78333.75</v>
      </c>
      <c r="AB801" s="6">
        <f t="shared" si="100"/>
        <v>26111.25</v>
      </c>
      <c r="AC801" t="s">
        <v>16</v>
      </c>
      <c r="AD801" s="3" t="s">
        <v>168</v>
      </c>
    </row>
    <row r="802" spans="1:30" ht="15.75" customHeight="1" x14ac:dyDescent="0.2">
      <c r="A802" s="7" t="str">
        <f t="shared" si="93"/>
        <v>SUZHOU FARPULL INTELLIGENT EQUIPMENT CO., LTD.J581New Buy</v>
      </c>
      <c r="B802" s="7" t="str">
        <f t="shared" si="94"/>
        <v>iPadNew Buy</v>
      </c>
      <c r="C802">
        <v>407355</v>
      </c>
      <c r="D802" t="s">
        <v>961</v>
      </c>
      <c r="E802" t="s">
        <v>166</v>
      </c>
      <c r="F802" s="28" t="s">
        <v>173</v>
      </c>
      <c r="G802" t="s">
        <v>174</v>
      </c>
      <c r="H802" t="s">
        <v>167</v>
      </c>
      <c r="I802" t="s">
        <v>175</v>
      </c>
      <c r="J802" t="s">
        <v>1073</v>
      </c>
      <c r="L802" t="s">
        <v>1074</v>
      </c>
      <c r="M802" s="4">
        <v>1800</v>
      </c>
      <c r="N802" s="4">
        <v>187.5</v>
      </c>
      <c r="O802">
        <v>1</v>
      </c>
      <c r="T802" t="s">
        <v>178</v>
      </c>
      <c r="U802" t="s">
        <v>66</v>
      </c>
      <c r="V802" s="4">
        <v>187.5</v>
      </c>
      <c r="Y802" s="6">
        <f t="shared" si="95"/>
        <v>1800</v>
      </c>
      <c r="Z802" s="6">
        <f t="shared" si="96"/>
        <v>187.5</v>
      </c>
      <c r="AA802" s="6">
        <f t="shared" si="97"/>
        <v>187.5</v>
      </c>
      <c r="AB802" s="6">
        <f t="shared" si="100"/>
        <v>1612.5</v>
      </c>
      <c r="AC802" t="s">
        <v>16</v>
      </c>
      <c r="AD802" s="3" t="s">
        <v>168</v>
      </c>
    </row>
    <row r="803" spans="1:30" ht="15.75" customHeight="1" x14ac:dyDescent="0.2">
      <c r="A803" s="7" t="str">
        <f t="shared" ref="A803:A846" si="101">CONCATENATE(D803,G803,H803,K803)</f>
        <v>SUZHOU FARPULL INTELLIGENT EQUIPMENT CO., LTD.J581New Buy</v>
      </c>
      <c r="B803" s="7" t="str">
        <f t="shared" ref="B803:B846" si="102">_xlfn.CONCAT(F803,K803,"New Buy")</f>
        <v>iPadNew Buy</v>
      </c>
      <c r="C803">
        <v>407354</v>
      </c>
      <c r="D803" t="s">
        <v>961</v>
      </c>
      <c r="E803" t="s">
        <v>166</v>
      </c>
      <c r="F803" s="28" t="s">
        <v>173</v>
      </c>
      <c r="G803" t="s">
        <v>174</v>
      </c>
      <c r="H803" t="s">
        <v>167</v>
      </c>
      <c r="I803" t="s">
        <v>175</v>
      </c>
      <c r="J803" t="s">
        <v>1073</v>
      </c>
      <c r="L803" t="s">
        <v>1074</v>
      </c>
      <c r="M803" s="4">
        <v>1800</v>
      </c>
      <c r="N803" s="4">
        <v>1620</v>
      </c>
      <c r="O803">
        <v>4</v>
      </c>
      <c r="T803" t="s">
        <v>178</v>
      </c>
      <c r="U803" t="s">
        <v>104</v>
      </c>
      <c r="V803" s="4">
        <v>187.5</v>
      </c>
      <c r="Y803" s="6">
        <f t="shared" ref="Y803:Y846" si="103">IFERROR(O803*M803,0)</f>
        <v>7200</v>
      </c>
      <c r="Z803" s="6">
        <f t="shared" ref="Z803:Z846" si="104">IFERROR(O803*V803,0)</f>
        <v>750</v>
      </c>
      <c r="AA803" s="6">
        <f t="shared" ref="AA803:AA846" si="105">IFERROR(N803*O803,0)</f>
        <v>6480</v>
      </c>
      <c r="AB803" s="6">
        <f t="shared" si="100"/>
        <v>720</v>
      </c>
      <c r="AC803" t="s">
        <v>16</v>
      </c>
      <c r="AD803" s="3" t="s">
        <v>168</v>
      </c>
    </row>
    <row r="804" spans="1:30" ht="15.75" customHeight="1" x14ac:dyDescent="0.2">
      <c r="A804" s="7" t="str">
        <f t="shared" si="101"/>
        <v>SUZHOU FARPULL INTELLIGENT EQUIPMENT CO., LTD.J581New Buy</v>
      </c>
      <c r="B804" s="7" t="str">
        <f t="shared" si="102"/>
        <v>iPadNew Buy</v>
      </c>
      <c r="C804">
        <v>407353</v>
      </c>
      <c r="D804" t="s">
        <v>961</v>
      </c>
      <c r="E804" t="s">
        <v>166</v>
      </c>
      <c r="F804" s="28" t="s">
        <v>173</v>
      </c>
      <c r="G804" t="s">
        <v>174</v>
      </c>
      <c r="H804" t="s">
        <v>167</v>
      </c>
      <c r="I804" t="s">
        <v>115</v>
      </c>
      <c r="J804" t="s">
        <v>1073</v>
      </c>
      <c r="L804" t="s">
        <v>1074</v>
      </c>
      <c r="M804" s="4">
        <v>250</v>
      </c>
      <c r="N804" s="4">
        <v>187.5</v>
      </c>
      <c r="O804">
        <v>3</v>
      </c>
      <c r="T804" t="s">
        <v>178</v>
      </c>
      <c r="U804" t="s">
        <v>104</v>
      </c>
      <c r="V804" s="4">
        <v>187.5</v>
      </c>
      <c r="Y804" s="6">
        <f t="shared" si="103"/>
        <v>750</v>
      </c>
      <c r="Z804" s="6">
        <f t="shared" si="104"/>
        <v>562.5</v>
      </c>
      <c r="AA804" s="6">
        <f t="shared" si="105"/>
        <v>562.5</v>
      </c>
      <c r="AB804" s="6">
        <f t="shared" si="100"/>
        <v>187.5</v>
      </c>
      <c r="AC804" t="s">
        <v>16</v>
      </c>
      <c r="AD804" s="3" t="s">
        <v>168</v>
      </c>
    </row>
    <row r="805" spans="1:30" ht="15.75" customHeight="1" x14ac:dyDescent="0.2">
      <c r="A805" s="7" t="str">
        <f t="shared" si="101"/>
        <v>SUZHOU FARPULL INTELLIGENT EQUIPMENT CO., LTD.J581New Buy</v>
      </c>
      <c r="B805" s="7" t="str">
        <f t="shared" si="102"/>
        <v>iPadNew Buy</v>
      </c>
      <c r="C805">
        <v>407352</v>
      </c>
      <c r="D805" t="s">
        <v>961</v>
      </c>
      <c r="E805" t="s">
        <v>166</v>
      </c>
      <c r="F805" s="28" t="s">
        <v>173</v>
      </c>
      <c r="G805" t="s">
        <v>174</v>
      </c>
      <c r="H805" t="s">
        <v>167</v>
      </c>
      <c r="I805" t="s">
        <v>131</v>
      </c>
      <c r="J805" t="s">
        <v>1073</v>
      </c>
      <c r="L805" t="s">
        <v>1074</v>
      </c>
      <c r="M805" s="4">
        <v>250</v>
      </c>
      <c r="N805" s="4">
        <v>1620</v>
      </c>
      <c r="O805">
        <v>17</v>
      </c>
      <c r="T805" t="s">
        <v>178</v>
      </c>
      <c r="U805" t="s">
        <v>104</v>
      </c>
      <c r="V805" s="4">
        <v>187.5</v>
      </c>
      <c r="Y805" s="6">
        <f t="shared" si="103"/>
        <v>4250</v>
      </c>
      <c r="Z805" s="6">
        <f t="shared" si="104"/>
        <v>3187.5</v>
      </c>
      <c r="AA805" s="6">
        <f t="shared" si="105"/>
        <v>27540</v>
      </c>
      <c r="AB805" s="6"/>
      <c r="AC805" t="s">
        <v>16</v>
      </c>
      <c r="AD805" s="3" t="s">
        <v>168</v>
      </c>
    </row>
    <row r="806" spans="1:30" ht="15.75" customHeight="1" x14ac:dyDescent="0.2">
      <c r="A806" s="7" t="str">
        <f t="shared" si="101"/>
        <v>SUZHOU FARPULL INTELLIGENT EQUIPMENT CO., LTD.J581New Buy</v>
      </c>
      <c r="B806" s="7" t="str">
        <f t="shared" si="102"/>
        <v>iPadNew Buy</v>
      </c>
      <c r="C806">
        <v>407351</v>
      </c>
      <c r="D806" t="s">
        <v>961</v>
      </c>
      <c r="E806" t="s">
        <v>166</v>
      </c>
      <c r="F806" s="28" t="s">
        <v>173</v>
      </c>
      <c r="G806" t="s">
        <v>174</v>
      </c>
      <c r="H806" t="s">
        <v>167</v>
      </c>
      <c r="I806" t="s">
        <v>175</v>
      </c>
      <c r="J806" t="s">
        <v>1073</v>
      </c>
      <c r="L806" t="s">
        <v>1074</v>
      </c>
      <c r="M806" s="4">
        <v>1800</v>
      </c>
      <c r="N806" s="4">
        <v>1620</v>
      </c>
      <c r="O806">
        <v>1</v>
      </c>
      <c r="T806" t="s">
        <v>178</v>
      </c>
      <c r="U806" t="s">
        <v>116</v>
      </c>
      <c r="V806" s="4">
        <v>187.5</v>
      </c>
      <c r="Y806" s="6">
        <f t="shared" si="103"/>
        <v>1800</v>
      </c>
      <c r="Z806" s="6">
        <f t="shared" si="104"/>
        <v>187.5</v>
      </c>
      <c r="AA806" s="6">
        <f t="shared" si="105"/>
        <v>1620</v>
      </c>
      <c r="AB806" s="6">
        <f t="shared" ref="AB806:AB815" si="106">IF(AA806=0,0,Y806-AA806)</f>
        <v>180</v>
      </c>
      <c r="AC806" t="s">
        <v>33</v>
      </c>
      <c r="AD806" s="3" t="s">
        <v>168</v>
      </c>
    </row>
    <row r="807" spans="1:30" ht="15.75" customHeight="1" x14ac:dyDescent="0.2">
      <c r="A807" s="7" t="str">
        <f t="shared" si="101"/>
        <v>SUZHOU FARPULL INTELLIGENT EQUIPMENT CO., LTD.J581New Buy</v>
      </c>
      <c r="B807" s="7" t="str">
        <f t="shared" si="102"/>
        <v>iPadNew Buy</v>
      </c>
      <c r="C807">
        <v>407343</v>
      </c>
      <c r="D807" t="s">
        <v>961</v>
      </c>
      <c r="E807" t="s">
        <v>166</v>
      </c>
      <c r="F807" s="28" t="s">
        <v>173</v>
      </c>
      <c r="G807" t="s">
        <v>174</v>
      </c>
      <c r="H807" t="s">
        <v>167</v>
      </c>
      <c r="I807" t="s">
        <v>175</v>
      </c>
      <c r="J807" t="s">
        <v>1075</v>
      </c>
      <c r="L807" t="s">
        <v>1076</v>
      </c>
      <c r="M807" s="4">
        <v>85</v>
      </c>
      <c r="N807" s="4">
        <v>63.75</v>
      </c>
      <c r="O807">
        <v>1</v>
      </c>
      <c r="T807" t="s">
        <v>178</v>
      </c>
      <c r="U807" t="s">
        <v>116</v>
      </c>
      <c r="V807" s="4">
        <v>63.75</v>
      </c>
      <c r="Y807" s="6">
        <f t="shared" si="103"/>
        <v>85</v>
      </c>
      <c r="Z807" s="6">
        <f t="shared" si="104"/>
        <v>63.75</v>
      </c>
      <c r="AA807" s="6">
        <f t="shared" si="105"/>
        <v>63.75</v>
      </c>
      <c r="AB807" s="6">
        <f t="shared" si="106"/>
        <v>21.25</v>
      </c>
      <c r="AC807" t="s">
        <v>33</v>
      </c>
      <c r="AD807" s="3" t="s">
        <v>168</v>
      </c>
    </row>
    <row r="808" spans="1:30" ht="15.75" customHeight="1" x14ac:dyDescent="0.2">
      <c r="A808" s="7" t="str">
        <f t="shared" si="101"/>
        <v>SUZHOU FARPULL INTELLIGENT EQUIPMENT CO., LTD.J581New Buy</v>
      </c>
      <c r="B808" s="7" t="str">
        <f t="shared" si="102"/>
        <v>iPadNew Buy</v>
      </c>
      <c r="C808">
        <v>407342</v>
      </c>
      <c r="D808" t="s">
        <v>961</v>
      </c>
      <c r="E808" t="s">
        <v>166</v>
      </c>
      <c r="F808" s="28" t="s">
        <v>173</v>
      </c>
      <c r="G808" t="s">
        <v>174</v>
      </c>
      <c r="H808" t="s">
        <v>167</v>
      </c>
      <c r="I808" t="s">
        <v>175</v>
      </c>
      <c r="J808" t="s">
        <v>1075</v>
      </c>
      <c r="L808" t="s">
        <v>1076</v>
      </c>
      <c r="M808" s="4">
        <v>85</v>
      </c>
      <c r="N808" s="4">
        <v>63.75</v>
      </c>
      <c r="O808">
        <v>1</v>
      </c>
      <c r="T808" t="s">
        <v>178</v>
      </c>
      <c r="U808" t="s">
        <v>66</v>
      </c>
      <c r="V808" s="4">
        <v>63.75</v>
      </c>
      <c r="Y808" s="6">
        <f t="shared" si="103"/>
        <v>85</v>
      </c>
      <c r="Z808" s="6">
        <f t="shared" si="104"/>
        <v>63.75</v>
      </c>
      <c r="AA808" s="6">
        <f t="shared" si="105"/>
        <v>63.75</v>
      </c>
      <c r="AB808" s="6">
        <f t="shared" si="106"/>
        <v>21.25</v>
      </c>
      <c r="AC808" t="s">
        <v>16</v>
      </c>
      <c r="AD808" s="3" t="s">
        <v>168</v>
      </c>
    </row>
    <row r="809" spans="1:30" ht="15.75" customHeight="1" x14ac:dyDescent="0.2">
      <c r="A809" s="7" t="str">
        <f t="shared" si="101"/>
        <v>SUZHOU FARPULL INTELLIGENT EQUIPMENT CO., LTD.J581New Buy</v>
      </c>
      <c r="B809" s="7" t="str">
        <f t="shared" si="102"/>
        <v>iPadNew Buy</v>
      </c>
      <c r="C809">
        <v>407341</v>
      </c>
      <c r="D809" t="s">
        <v>961</v>
      </c>
      <c r="E809" t="s">
        <v>166</v>
      </c>
      <c r="F809" s="28" t="s">
        <v>173</v>
      </c>
      <c r="G809" t="s">
        <v>174</v>
      </c>
      <c r="H809" t="s">
        <v>167</v>
      </c>
      <c r="I809" t="s">
        <v>175</v>
      </c>
      <c r="J809" t="s">
        <v>1075</v>
      </c>
      <c r="L809" t="s">
        <v>1076</v>
      </c>
      <c r="M809" s="4">
        <v>85</v>
      </c>
      <c r="N809" s="4">
        <v>63.75</v>
      </c>
      <c r="O809">
        <v>1</v>
      </c>
      <c r="T809" t="s">
        <v>178</v>
      </c>
      <c r="U809" t="s">
        <v>104</v>
      </c>
      <c r="V809" s="4">
        <v>63.75</v>
      </c>
      <c r="Y809" s="6">
        <f t="shared" si="103"/>
        <v>85</v>
      </c>
      <c r="Z809" s="6">
        <f t="shared" si="104"/>
        <v>63.75</v>
      </c>
      <c r="AA809" s="6">
        <f t="shared" si="105"/>
        <v>63.75</v>
      </c>
      <c r="AB809" s="6">
        <f t="shared" si="106"/>
        <v>21.25</v>
      </c>
      <c r="AC809" t="s">
        <v>16</v>
      </c>
      <c r="AD809" s="3" t="s">
        <v>168</v>
      </c>
    </row>
    <row r="810" spans="1:30" ht="15.75" customHeight="1" x14ac:dyDescent="0.2">
      <c r="A810" s="7" t="str">
        <f t="shared" si="101"/>
        <v>SUZHOU FARPULL INTELLIGENT EQUIPMENT CO., LTD.J581New Buy</v>
      </c>
      <c r="B810" s="7" t="str">
        <f t="shared" si="102"/>
        <v>iPadNew Buy</v>
      </c>
      <c r="C810">
        <v>407340</v>
      </c>
      <c r="D810" t="s">
        <v>961</v>
      </c>
      <c r="E810" t="s">
        <v>166</v>
      </c>
      <c r="F810" s="28" t="s">
        <v>173</v>
      </c>
      <c r="G810" t="s">
        <v>174</v>
      </c>
      <c r="H810" t="s">
        <v>167</v>
      </c>
      <c r="I810" t="s">
        <v>175</v>
      </c>
      <c r="J810" t="s">
        <v>1077</v>
      </c>
      <c r="L810" t="s">
        <v>1078</v>
      </c>
      <c r="M810" s="4">
        <v>420</v>
      </c>
      <c r="N810" s="4">
        <v>315</v>
      </c>
      <c r="O810">
        <v>1</v>
      </c>
      <c r="T810" t="s">
        <v>178</v>
      </c>
      <c r="U810" t="s">
        <v>116</v>
      </c>
      <c r="V810" s="4">
        <v>315</v>
      </c>
      <c r="Y810" s="6">
        <f t="shared" si="103"/>
        <v>420</v>
      </c>
      <c r="Z810" s="6">
        <f t="shared" si="104"/>
        <v>315</v>
      </c>
      <c r="AA810" s="6">
        <f t="shared" si="105"/>
        <v>315</v>
      </c>
      <c r="AB810" s="6">
        <f t="shared" si="106"/>
        <v>105</v>
      </c>
      <c r="AC810" t="s">
        <v>33</v>
      </c>
      <c r="AD810" s="3" t="s">
        <v>168</v>
      </c>
    </row>
    <row r="811" spans="1:30" ht="15.75" customHeight="1" x14ac:dyDescent="0.2">
      <c r="A811" s="7" t="str">
        <f t="shared" si="101"/>
        <v>SUZHOU FARPULL INTELLIGENT EQUIPMENT CO., LTD.J581New Buy</v>
      </c>
      <c r="B811" s="7" t="str">
        <f t="shared" si="102"/>
        <v>iPadNew Buy</v>
      </c>
      <c r="C811">
        <v>407339</v>
      </c>
      <c r="D811" t="s">
        <v>961</v>
      </c>
      <c r="E811" t="s">
        <v>166</v>
      </c>
      <c r="F811" s="28" t="s">
        <v>173</v>
      </c>
      <c r="G811" t="s">
        <v>174</v>
      </c>
      <c r="H811" t="s">
        <v>167</v>
      </c>
      <c r="I811" t="s">
        <v>175</v>
      </c>
      <c r="J811" t="s">
        <v>1077</v>
      </c>
      <c r="L811" t="s">
        <v>1078</v>
      </c>
      <c r="M811" s="4">
        <v>420</v>
      </c>
      <c r="N811" s="4">
        <v>315</v>
      </c>
      <c r="O811">
        <v>1</v>
      </c>
      <c r="T811" t="s">
        <v>178</v>
      </c>
      <c r="U811" t="s">
        <v>66</v>
      </c>
      <c r="V811" s="4">
        <v>315</v>
      </c>
      <c r="Y811" s="6">
        <f t="shared" si="103"/>
        <v>420</v>
      </c>
      <c r="Z811" s="6">
        <f t="shared" si="104"/>
        <v>315</v>
      </c>
      <c r="AA811" s="6">
        <f t="shared" si="105"/>
        <v>315</v>
      </c>
      <c r="AB811" s="6">
        <f t="shared" si="106"/>
        <v>105</v>
      </c>
      <c r="AC811" t="s">
        <v>16</v>
      </c>
      <c r="AD811" s="3" t="s">
        <v>168</v>
      </c>
    </row>
    <row r="812" spans="1:30" ht="15.75" customHeight="1" x14ac:dyDescent="0.2">
      <c r="A812" s="7" t="str">
        <f t="shared" si="101"/>
        <v>SUZHOU FARPULL INTELLIGENT EQUIPMENT CO., LTD.J581New Buy</v>
      </c>
      <c r="B812" s="7" t="str">
        <f t="shared" si="102"/>
        <v>iPadNew Buy</v>
      </c>
      <c r="C812">
        <v>407338</v>
      </c>
      <c r="D812" t="s">
        <v>961</v>
      </c>
      <c r="E812" t="s">
        <v>166</v>
      </c>
      <c r="F812" s="28" t="s">
        <v>173</v>
      </c>
      <c r="G812" t="s">
        <v>174</v>
      </c>
      <c r="H812" t="s">
        <v>167</v>
      </c>
      <c r="I812" t="s">
        <v>175</v>
      </c>
      <c r="J812" t="s">
        <v>1077</v>
      </c>
      <c r="L812" t="s">
        <v>1078</v>
      </c>
      <c r="M812" s="4">
        <v>420</v>
      </c>
      <c r="N812" s="4">
        <v>315</v>
      </c>
      <c r="O812">
        <v>1</v>
      </c>
      <c r="T812" t="s">
        <v>178</v>
      </c>
      <c r="U812" t="s">
        <v>104</v>
      </c>
      <c r="V812" s="4">
        <v>315</v>
      </c>
      <c r="Y812" s="6">
        <f t="shared" si="103"/>
        <v>420</v>
      </c>
      <c r="Z812" s="6">
        <f t="shared" si="104"/>
        <v>315</v>
      </c>
      <c r="AA812" s="6">
        <f t="shared" si="105"/>
        <v>315</v>
      </c>
      <c r="AB812" s="6">
        <f t="shared" si="106"/>
        <v>105</v>
      </c>
      <c r="AC812" t="s">
        <v>16</v>
      </c>
      <c r="AD812" s="3" t="s">
        <v>168</v>
      </c>
    </row>
    <row r="813" spans="1:30" ht="15.75" customHeight="1" x14ac:dyDescent="0.2">
      <c r="A813" s="7" t="str">
        <f t="shared" si="101"/>
        <v>SUZHOU FARPULL INTELLIGENT EQUIPMENT CO., LTD.J581New Buy</v>
      </c>
      <c r="B813" s="7" t="str">
        <f t="shared" si="102"/>
        <v>iPadNew Buy</v>
      </c>
      <c r="C813">
        <v>407336</v>
      </c>
      <c r="D813" t="s">
        <v>961</v>
      </c>
      <c r="E813" t="s">
        <v>166</v>
      </c>
      <c r="F813" s="28" t="s">
        <v>173</v>
      </c>
      <c r="G813" t="s">
        <v>174</v>
      </c>
      <c r="H813" t="s">
        <v>167</v>
      </c>
      <c r="I813" t="s">
        <v>175</v>
      </c>
      <c r="J813" t="s">
        <v>1079</v>
      </c>
      <c r="L813" t="s">
        <v>1080</v>
      </c>
      <c r="M813" s="4">
        <v>6</v>
      </c>
      <c r="N813" s="4">
        <v>4.5</v>
      </c>
      <c r="O813">
        <v>9140</v>
      </c>
      <c r="T813" t="s">
        <v>178</v>
      </c>
      <c r="U813" t="s">
        <v>66</v>
      </c>
      <c r="V813" s="4">
        <v>4.5</v>
      </c>
      <c r="Y813" s="6">
        <f t="shared" si="103"/>
        <v>54840</v>
      </c>
      <c r="Z813" s="6">
        <f t="shared" si="104"/>
        <v>41130</v>
      </c>
      <c r="AA813" s="6">
        <f t="shared" si="105"/>
        <v>41130</v>
      </c>
      <c r="AB813" s="6">
        <f t="shared" si="106"/>
        <v>13710</v>
      </c>
      <c r="AC813" t="s">
        <v>16</v>
      </c>
      <c r="AD813" s="3" t="s">
        <v>168</v>
      </c>
    </row>
    <row r="814" spans="1:30" ht="15.75" customHeight="1" x14ac:dyDescent="0.2">
      <c r="A814" s="7" t="str">
        <f t="shared" si="101"/>
        <v>SUZHOU FARPULL INTELLIGENT EQUIPMENT CO., LTD.J581New Buy</v>
      </c>
      <c r="B814" s="7" t="str">
        <f t="shared" si="102"/>
        <v>iPadNew Buy</v>
      </c>
      <c r="C814">
        <v>407335</v>
      </c>
      <c r="D814" t="s">
        <v>961</v>
      </c>
      <c r="E814" t="s">
        <v>166</v>
      </c>
      <c r="F814" s="28" t="s">
        <v>173</v>
      </c>
      <c r="G814" t="s">
        <v>174</v>
      </c>
      <c r="H814" t="s">
        <v>167</v>
      </c>
      <c r="I814" t="s">
        <v>175</v>
      </c>
      <c r="J814" t="s">
        <v>1079</v>
      </c>
      <c r="L814" t="s">
        <v>1080</v>
      </c>
      <c r="M814" s="4">
        <v>6</v>
      </c>
      <c r="N814" s="4">
        <v>4.5</v>
      </c>
      <c r="O814">
        <v>18280</v>
      </c>
      <c r="T814" t="s">
        <v>178</v>
      </c>
      <c r="U814" t="s">
        <v>116</v>
      </c>
      <c r="V814" s="4">
        <v>4.5</v>
      </c>
      <c r="Y814" s="6">
        <f t="shared" si="103"/>
        <v>109680</v>
      </c>
      <c r="Z814" s="6">
        <f t="shared" si="104"/>
        <v>82260</v>
      </c>
      <c r="AA814" s="6">
        <f t="shared" si="105"/>
        <v>82260</v>
      </c>
      <c r="AB814" s="6">
        <f t="shared" si="106"/>
        <v>27420</v>
      </c>
      <c r="AC814" t="s">
        <v>33</v>
      </c>
      <c r="AD814" s="3" t="s">
        <v>168</v>
      </c>
    </row>
    <row r="815" spans="1:30" ht="15.75" customHeight="1" x14ac:dyDescent="0.2">
      <c r="A815" s="7" t="str">
        <f t="shared" si="101"/>
        <v>SUZHOU FARPULL INTELLIGENT EQUIPMENT CO., LTD.J581New Buy</v>
      </c>
      <c r="B815" s="7" t="str">
        <f t="shared" si="102"/>
        <v>iPadNew Buy</v>
      </c>
      <c r="C815">
        <v>407334</v>
      </c>
      <c r="D815" t="s">
        <v>961</v>
      </c>
      <c r="E815" t="s">
        <v>166</v>
      </c>
      <c r="F815" s="28" t="s">
        <v>173</v>
      </c>
      <c r="G815" t="s">
        <v>174</v>
      </c>
      <c r="H815" t="s">
        <v>167</v>
      </c>
      <c r="I815" t="s">
        <v>175</v>
      </c>
      <c r="J815" t="s">
        <v>1079</v>
      </c>
      <c r="L815" t="s">
        <v>1080</v>
      </c>
      <c r="M815" s="4">
        <v>6</v>
      </c>
      <c r="N815" s="4">
        <v>4.5</v>
      </c>
      <c r="O815">
        <v>11425</v>
      </c>
      <c r="T815" t="s">
        <v>178</v>
      </c>
      <c r="U815" t="s">
        <v>104</v>
      </c>
      <c r="V815" s="4">
        <v>4.5</v>
      </c>
      <c r="Y815" s="6">
        <f t="shared" si="103"/>
        <v>68550</v>
      </c>
      <c r="Z815" s="6">
        <f t="shared" si="104"/>
        <v>51412.5</v>
      </c>
      <c r="AA815" s="6">
        <f t="shared" si="105"/>
        <v>51412.5</v>
      </c>
      <c r="AB815" s="6">
        <f t="shared" si="106"/>
        <v>17137.5</v>
      </c>
      <c r="AC815" t="s">
        <v>16</v>
      </c>
      <c r="AD815" s="3" t="s">
        <v>168</v>
      </c>
    </row>
    <row r="816" spans="1:30" ht="15.75" customHeight="1" x14ac:dyDescent="0.2">
      <c r="A816" s="7" t="str">
        <f t="shared" si="101"/>
        <v>SUZHOU FARPULL INTELLIGENT EQUIPMENT CO., LTD.J581New Buy</v>
      </c>
      <c r="B816" s="7" t="str">
        <f t="shared" si="102"/>
        <v>iPadNew Buy</v>
      </c>
      <c r="C816">
        <v>407326</v>
      </c>
      <c r="D816" t="s">
        <v>961</v>
      </c>
      <c r="E816" t="s">
        <v>166</v>
      </c>
      <c r="F816" s="28" t="s">
        <v>173</v>
      </c>
      <c r="G816" t="s">
        <v>174</v>
      </c>
      <c r="H816" t="s">
        <v>167</v>
      </c>
      <c r="I816" t="s">
        <v>115</v>
      </c>
      <c r="J816" t="s">
        <v>1081</v>
      </c>
      <c r="L816" t="s">
        <v>1082</v>
      </c>
      <c r="M816" s="4">
        <v>1500</v>
      </c>
      <c r="N816" s="4">
        <v>2520</v>
      </c>
      <c r="O816">
        <v>2</v>
      </c>
      <c r="T816" t="s">
        <v>178</v>
      </c>
      <c r="U816" t="s">
        <v>104</v>
      </c>
      <c r="V816" s="4">
        <v>1125</v>
      </c>
      <c r="Y816" s="6">
        <f t="shared" si="103"/>
        <v>3000</v>
      </c>
      <c r="Z816" s="6">
        <f t="shared" si="104"/>
        <v>2250</v>
      </c>
      <c r="AA816" s="6">
        <f t="shared" si="105"/>
        <v>5040</v>
      </c>
      <c r="AB816" s="6"/>
      <c r="AC816" t="s">
        <v>16</v>
      </c>
      <c r="AD816" s="3" t="s">
        <v>168</v>
      </c>
    </row>
    <row r="817" spans="1:30" ht="15.75" customHeight="1" x14ac:dyDescent="0.2">
      <c r="A817" s="7" t="str">
        <f t="shared" si="101"/>
        <v>SUZHOU FARPULL INTELLIGENT EQUIPMENT CO., LTD.J581New Buy</v>
      </c>
      <c r="B817" s="7" t="str">
        <f t="shared" si="102"/>
        <v>iPadNew Buy</v>
      </c>
      <c r="C817">
        <v>407322</v>
      </c>
      <c r="D817" t="s">
        <v>961</v>
      </c>
      <c r="E817" t="s">
        <v>166</v>
      </c>
      <c r="F817" s="28" t="s">
        <v>173</v>
      </c>
      <c r="G817" t="s">
        <v>174</v>
      </c>
      <c r="H817" t="s">
        <v>167</v>
      </c>
      <c r="I817" t="s">
        <v>175</v>
      </c>
      <c r="J817" t="s">
        <v>1083</v>
      </c>
      <c r="L817" t="s">
        <v>1084</v>
      </c>
      <c r="M817" s="4">
        <v>185</v>
      </c>
      <c r="N817" s="4">
        <v>138.75</v>
      </c>
      <c r="O817">
        <v>34</v>
      </c>
      <c r="T817" t="s">
        <v>178</v>
      </c>
      <c r="U817" t="s">
        <v>66</v>
      </c>
      <c r="V817" s="4">
        <v>138.75</v>
      </c>
      <c r="Y817" s="6">
        <f t="shared" si="103"/>
        <v>6290</v>
      </c>
      <c r="Z817" s="6">
        <f t="shared" si="104"/>
        <v>4717.5</v>
      </c>
      <c r="AA817" s="6">
        <f t="shared" si="105"/>
        <v>4717.5</v>
      </c>
      <c r="AB817" s="6">
        <f t="shared" ref="AB817:AB823" si="107">IF(AA817=0,0,Y817-AA817)</f>
        <v>1572.5</v>
      </c>
      <c r="AC817" t="s">
        <v>16</v>
      </c>
      <c r="AD817" s="3" t="s">
        <v>168</v>
      </c>
    </row>
    <row r="818" spans="1:30" ht="15.75" customHeight="1" x14ac:dyDescent="0.2">
      <c r="A818" s="7" t="str">
        <f t="shared" si="101"/>
        <v>SUZHOU FARPULL INTELLIGENT EQUIPMENT CO., LTD.J581New Buy</v>
      </c>
      <c r="B818" s="7" t="str">
        <f t="shared" si="102"/>
        <v>iPadNew Buy</v>
      </c>
      <c r="C818">
        <v>407321</v>
      </c>
      <c r="D818" t="s">
        <v>961</v>
      </c>
      <c r="E818" t="s">
        <v>166</v>
      </c>
      <c r="F818" s="28" t="s">
        <v>173</v>
      </c>
      <c r="G818" t="s">
        <v>174</v>
      </c>
      <c r="H818" t="s">
        <v>167</v>
      </c>
      <c r="I818" t="s">
        <v>175</v>
      </c>
      <c r="J818" t="s">
        <v>1083</v>
      </c>
      <c r="L818" t="s">
        <v>1084</v>
      </c>
      <c r="M818" s="4">
        <v>185</v>
      </c>
      <c r="N818" s="4">
        <v>138.75</v>
      </c>
      <c r="O818">
        <v>66</v>
      </c>
      <c r="T818" t="s">
        <v>178</v>
      </c>
      <c r="U818" t="s">
        <v>116</v>
      </c>
      <c r="V818" s="4">
        <v>138.75</v>
      </c>
      <c r="Y818" s="6">
        <f t="shared" si="103"/>
        <v>12210</v>
      </c>
      <c r="Z818" s="6">
        <f t="shared" si="104"/>
        <v>9157.5</v>
      </c>
      <c r="AA818" s="6">
        <f t="shared" si="105"/>
        <v>9157.5</v>
      </c>
      <c r="AB818" s="6">
        <f t="shared" si="107"/>
        <v>3052.5</v>
      </c>
      <c r="AC818" t="s">
        <v>33</v>
      </c>
      <c r="AD818" s="3" t="s">
        <v>168</v>
      </c>
    </row>
    <row r="819" spans="1:30" ht="15.75" customHeight="1" x14ac:dyDescent="0.2">
      <c r="A819" s="7" t="str">
        <f t="shared" si="101"/>
        <v>SUZHOU FARPULL INTELLIGENT EQUIPMENT CO., LTD.J581New Buy</v>
      </c>
      <c r="B819" s="7" t="str">
        <f t="shared" si="102"/>
        <v>iPadNew Buy</v>
      </c>
      <c r="C819">
        <v>407320</v>
      </c>
      <c r="D819" t="s">
        <v>961</v>
      </c>
      <c r="E819" t="s">
        <v>166</v>
      </c>
      <c r="F819" s="28" t="s">
        <v>173</v>
      </c>
      <c r="G819" t="s">
        <v>174</v>
      </c>
      <c r="H819" t="s">
        <v>167</v>
      </c>
      <c r="I819" t="s">
        <v>175</v>
      </c>
      <c r="J819" t="s">
        <v>1083</v>
      </c>
      <c r="L819" t="s">
        <v>1084</v>
      </c>
      <c r="M819" s="4">
        <v>185</v>
      </c>
      <c r="N819" s="4">
        <v>138.75</v>
      </c>
      <c r="O819">
        <v>42</v>
      </c>
      <c r="T819" t="s">
        <v>178</v>
      </c>
      <c r="U819" t="s">
        <v>104</v>
      </c>
      <c r="V819" s="4">
        <v>138.75</v>
      </c>
      <c r="Y819" s="6">
        <f t="shared" si="103"/>
        <v>7770</v>
      </c>
      <c r="Z819" s="6">
        <f t="shared" si="104"/>
        <v>5827.5</v>
      </c>
      <c r="AA819" s="6">
        <f t="shared" si="105"/>
        <v>5827.5</v>
      </c>
      <c r="AB819" s="6">
        <f t="shared" si="107"/>
        <v>1942.5</v>
      </c>
      <c r="AC819" t="s">
        <v>16</v>
      </c>
      <c r="AD819" s="3" t="s">
        <v>168</v>
      </c>
    </row>
    <row r="820" spans="1:30" ht="15.75" customHeight="1" x14ac:dyDescent="0.2">
      <c r="A820" s="7" t="str">
        <f t="shared" si="101"/>
        <v>SUZHOU FARPULL INTELLIGENT EQUIPMENT CO., LTD.J581New Buy</v>
      </c>
      <c r="B820" s="7" t="str">
        <f t="shared" si="102"/>
        <v>iPadNew Buy</v>
      </c>
      <c r="C820">
        <v>407319</v>
      </c>
      <c r="D820" t="s">
        <v>961</v>
      </c>
      <c r="E820" t="s">
        <v>166</v>
      </c>
      <c r="F820" s="28" t="s">
        <v>173</v>
      </c>
      <c r="G820" t="s">
        <v>174</v>
      </c>
      <c r="H820" t="s">
        <v>167</v>
      </c>
      <c r="I820" t="s">
        <v>175</v>
      </c>
      <c r="J820" t="s">
        <v>1085</v>
      </c>
      <c r="L820" t="s">
        <v>1086</v>
      </c>
      <c r="M820" s="4">
        <v>65</v>
      </c>
      <c r="N820" s="4">
        <v>48.75</v>
      </c>
      <c r="O820">
        <v>156</v>
      </c>
      <c r="T820" t="s">
        <v>178</v>
      </c>
      <c r="U820" t="s">
        <v>66</v>
      </c>
      <c r="V820" s="4">
        <v>48.75</v>
      </c>
      <c r="Y820" s="6">
        <f t="shared" si="103"/>
        <v>10140</v>
      </c>
      <c r="Z820" s="6">
        <f t="shared" si="104"/>
        <v>7605</v>
      </c>
      <c r="AA820" s="6">
        <f t="shared" si="105"/>
        <v>7605</v>
      </c>
      <c r="AB820" s="6">
        <f t="shared" si="107"/>
        <v>2535</v>
      </c>
      <c r="AC820" t="s">
        <v>16</v>
      </c>
      <c r="AD820" s="3" t="s">
        <v>168</v>
      </c>
    </row>
    <row r="821" spans="1:30" ht="15.75" customHeight="1" x14ac:dyDescent="0.2">
      <c r="A821" s="7" t="str">
        <f t="shared" si="101"/>
        <v>SUZHOU FARPULL INTELLIGENT EQUIPMENT CO., LTD.J581New Buy</v>
      </c>
      <c r="B821" s="7" t="str">
        <f t="shared" si="102"/>
        <v>iPadNew Buy</v>
      </c>
      <c r="C821">
        <v>407318</v>
      </c>
      <c r="D821" t="s">
        <v>961</v>
      </c>
      <c r="E821" t="s">
        <v>166</v>
      </c>
      <c r="F821" s="28" t="s">
        <v>173</v>
      </c>
      <c r="G821" t="s">
        <v>174</v>
      </c>
      <c r="H821" t="s">
        <v>167</v>
      </c>
      <c r="I821" t="s">
        <v>175</v>
      </c>
      <c r="J821" t="s">
        <v>1085</v>
      </c>
      <c r="L821" t="s">
        <v>1086</v>
      </c>
      <c r="M821" s="4">
        <v>65</v>
      </c>
      <c r="N821" s="4">
        <v>48.75</v>
      </c>
      <c r="O821">
        <v>268</v>
      </c>
      <c r="T821" t="s">
        <v>178</v>
      </c>
      <c r="U821" t="s">
        <v>116</v>
      </c>
      <c r="V821" s="4">
        <v>48.75</v>
      </c>
      <c r="Y821" s="6">
        <f t="shared" si="103"/>
        <v>17420</v>
      </c>
      <c r="Z821" s="6">
        <f t="shared" si="104"/>
        <v>13065</v>
      </c>
      <c r="AA821" s="6">
        <f t="shared" si="105"/>
        <v>13065</v>
      </c>
      <c r="AB821" s="6">
        <f t="shared" si="107"/>
        <v>4355</v>
      </c>
      <c r="AC821" t="s">
        <v>33</v>
      </c>
      <c r="AD821" s="3" t="s">
        <v>168</v>
      </c>
    </row>
    <row r="822" spans="1:30" ht="15.75" customHeight="1" x14ac:dyDescent="0.2">
      <c r="A822" s="7" t="str">
        <f t="shared" si="101"/>
        <v>SUZHOU FARPULL INTELLIGENT EQUIPMENT CO., LTD.J581New Buy</v>
      </c>
      <c r="B822" s="7" t="str">
        <f t="shared" si="102"/>
        <v>iPadNew Buy</v>
      </c>
      <c r="C822">
        <v>407317</v>
      </c>
      <c r="D822" t="s">
        <v>961</v>
      </c>
      <c r="E822" t="s">
        <v>166</v>
      </c>
      <c r="F822" s="28" t="s">
        <v>173</v>
      </c>
      <c r="G822" t="s">
        <v>174</v>
      </c>
      <c r="H822" t="s">
        <v>167</v>
      </c>
      <c r="I822" t="s">
        <v>175</v>
      </c>
      <c r="J822" t="s">
        <v>1085</v>
      </c>
      <c r="L822" t="s">
        <v>1086</v>
      </c>
      <c r="M822" s="4">
        <v>65</v>
      </c>
      <c r="N822" s="4">
        <v>48.75</v>
      </c>
      <c r="O822">
        <v>138</v>
      </c>
      <c r="T822" t="s">
        <v>178</v>
      </c>
      <c r="U822" t="s">
        <v>104</v>
      </c>
      <c r="V822" s="4">
        <v>48.75</v>
      </c>
      <c r="Y822" s="6">
        <f t="shared" si="103"/>
        <v>8970</v>
      </c>
      <c r="Z822" s="6">
        <f t="shared" si="104"/>
        <v>6727.5</v>
      </c>
      <c r="AA822" s="6">
        <f t="shared" si="105"/>
        <v>6727.5</v>
      </c>
      <c r="AB822" s="6">
        <f t="shared" si="107"/>
        <v>2242.5</v>
      </c>
      <c r="AC822" t="s">
        <v>16</v>
      </c>
      <c r="AD822" s="3" t="s">
        <v>168</v>
      </c>
    </row>
    <row r="823" spans="1:30" ht="15.75" customHeight="1" x14ac:dyDescent="0.2">
      <c r="A823" s="7" t="str">
        <f t="shared" si="101"/>
        <v>SUZHOU FARPULL INTELLIGENT EQUIPMENT CO., LTD.J581New Buy</v>
      </c>
      <c r="B823" s="7" t="str">
        <f t="shared" si="102"/>
        <v>iPadNew Buy</v>
      </c>
      <c r="C823">
        <v>407313</v>
      </c>
      <c r="D823" t="s">
        <v>961</v>
      </c>
      <c r="E823" t="s">
        <v>166</v>
      </c>
      <c r="F823" s="28" t="s">
        <v>173</v>
      </c>
      <c r="G823" t="s">
        <v>174</v>
      </c>
      <c r="H823" t="s">
        <v>167</v>
      </c>
      <c r="I823" t="s">
        <v>175</v>
      </c>
      <c r="J823" t="s">
        <v>1087</v>
      </c>
      <c r="L823" t="s">
        <v>1088</v>
      </c>
      <c r="M823" s="4">
        <v>2500</v>
      </c>
      <c r="N823" s="4">
        <v>236.25</v>
      </c>
      <c r="O823">
        <v>1</v>
      </c>
      <c r="T823" t="s">
        <v>178</v>
      </c>
      <c r="U823" t="s">
        <v>116</v>
      </c>
      <c r="V823" s="4">
        <v>236.25</v>
      </c>
      <c r="Y823" s="6">
        <f t="shared" si="103"/>
        <v>2500</v>
      </c>
      <c r="Z823" s="6">
        <f t="shared" si="104"/>
        <v>236.25</v>
      </c>
      <c r="AA823" s="6">
        <f t="shared" si="105"/>
        <v>236.25</v>
      </c>
      <c r="AB823" s="6">
        <f t="shared" si="107"/>
        <v>2263.75</v>
      </c>
      <c r="AC823" t="s">
        <v>33</v>
      </c>
      <c r="AD823" s="3" t="s">
        <v>168</v>
      </c>
    </row>
    <row r="824" spans="1:30" ht="15.75" customHeight="1" x14ac:dyDescent="0.2">
      <c r="A824" s="7" t="str">
        <f t="shared" si="101"/>
        <v>SUZHOU FARPULL INTELLIGENT EQUIPMENT CO., LTD.J581New Buy</v>
      </c>
      <c r="B824" s="7" t="str">
        <f t="shared" si="102"/>
        <v>iPadNew Buy</v>
      </c>
      <c r="C824">
        <v>407312</v>
      </c>
      <c r="D824" t="s">
        <v>961</v>
      </c>
      <c r="E824" t="s">
        <v>166</v>
      </c>
      <c r="F824" s="28" t="s">
        <v>173</v>
      </c>
      <c r="G824" t="s">
        <v>174</v>
      </c>
      <c r="H824" t="s">
        <v>167</v>
      </c>
      <c r="I824" t="s">
        <v>131</v>
      </c>
      <c r="J824" t="s">
        <v>1087</v>
      </c>
      <c r="L824" t="s">
        <v>1088</v>
      </c>
      <c r="M824" s="4">
        <v>315</v>
      </c>
      <c r="N824" s="4">
        <v>2250</v>
      </c>
      <c r="O824">
        <v>9</v>
      </c>
      <c r="T824" t="s">
        <v>178</v>
      </c>
      <c r="U824" t="s">
        <v>104</v>
      </c>
      <c r="V824" s="4">
        <v>236.25</v>
      </c>
      <c r="Y824" s="6">
        <f t="shared" si="103"/>
        <v>2835</v>
      </c>
      <c r="Z824" s="6">
        <f t="shared" si="104"/>
        <v>2126.25</v>
      </c>
      <c r="AA824" s="6">
        <f t="shared" si="105"/>
        <v>20250</v>
      </c>
      <c r="AB824" s="6"/>
      <c r="AC824" t="s">
        <v>16</v>
      </c>
      <c r="AD824" s="3" t="s">
        <v>168</v>
      </c>
    </row>
    <row r="825" spans="1:30" ht="15.75" customHeight="1" x14ac:dyDescent="0.2">
      <c r="A825" s="7" t="str">
        <f t="shared" si="101"/>
        <v>SUZHOU FARPULL INTELLIGENT EQUIPMENT CO., LTD.J581New Buy</v>
      </c>
      <c r="B825" s="7" t="str">
        <f t="shared" si="102"/>
        <v>iPadNew Buy</v>
      </c>
      <c r="C825">
        <v>407311</v>
      </c>
      <c r="D825" t="s">
        <v>961</v>
      </c>
      <c r="E825" t="s">
        <v>166</v>
      </c>
      <c r="F825" s="28" t="s">
        <v>173</v>
      </c>
      <c r="G825" t="s">
        <v>174</v>
      </c>
      <c r="H825" t="s">
        <v>167</v>
      </c>
      <c r="I825" t="s">
        <v>175</v>
      </c>
      <c r="J825" t="s">
        <v>1087</v>
      </c>
      <c r="L825" t="s">
        <v>1088</v>
      </c>
      <c r="M825" s="4">
        <v>2500</v>
      </c>
      <c r="N825" s="4">
        <v>2250</v>
      </c>
      <c r="O825">
        <v>1</v>
      </c>
      <c r="T825" t="s">
        <v>178</v>
      </c>
      <c r="U825" t="s">
        <v>66</v>
      </c>
      <c r="V825" s="4">
        <v>236.25</v>
      </c>
      <c r="Y825" s="6">
        <f t="shared" si="103"/>
        <v>2500</v>
      </c>
      <c r="Z825" s="6">
        <f t="shared" si="104"/>
        <v>236.25</v>
      </c>
      <c r="AA825" s="6">
        <f t="shared" si="105"/>
        <v>2250</v>
      </c>
      <c r="AB825" s="6">
        <f t="shared" ref="AB825:AB868" si="108">IF(AA825=0,0,Y825-AA825)</f>
        <v>250</v>
      </c>
      <c r="AC825" t="s">
        <v>16</v>
      </c>
      <c r="AD825" s="3" t="s">
        <v>168</v>
      </c>
    </row>
    <row r="826" spans="1:30" ht="15.75" customHeight="1" x14ac:dyDescent="0.2">
      <c r="A826" s="7" t="str">
        <f t="shared" si="101"/>
        <v>SUZHOU FARPULL INTELLIGENT EQUIPMENT CO., LTD.J581New Buy</v>
      </c>
      <c r="B826" s="7" t="str">
        <f t="shared" si="102"/>
        <v>iPadNew Buy</v>
      </c>
      <c r="C826">
        <v>407304</v>
      </c>
      <c r="D826" t="s">
        <v>961</v>
      </c>
      <c r="E826" t="s">
        <v>166</v>
      </c>
      <c r="F826" s="28" t="s">
        <v>173</v>
      </c>
      <c r="G826" t="s">
        <v>174</v>
      </c>
      <c r="H826" t="s">
        <v>167</v>
      </c>
      <c r="I826" t="s">
        <v>175</v>
      </c>
      <c r="J826" t="s">
        <v>1089</v>
      </c>
      <c r="L826" t="s">
        <v>1090</v>
      </c>
      <c r="M826" s="4">
        <v>1800</v>
      </c>
      <c r="N826" s="4">
        <v>1350</v>
      </c>
      <c r="O826">
        <v>5</v>
      </c>
      <c r="T826" t="s">
        <v>178</v>
      </c>
      <c r="U826" t="s">
        <v>66</v>
      </c>
      <c r="V826" s="4">
        <v>1350</v>
      </c>
      <c r="Y826" s="6">
        <f t="shared" si="103"/>
        <v>9000</v>
      </c>
      <c r="Z826" s="6">
        <f t="shared" si="104"/>
        <v>6750</v>
      </c>
      <c r="AA826" s="6">
        <f t="shared" si="105"/>
        <v>6750</v>
      </c>
      <c r="AB826" s="6">
        <f t="shared" si="108"/>
        <v>2250</v>
      </c>
      <c r="AC826" t="s">
        <v>16</v>
      </c>
      <c r="AD826" s="3" t="s">
        <v>168</v>
      </c>
    </row>
    <row r="827" spans="1:30" ht="15.75" customHeight="1" x14ac:dyDescent="0.2">
      <c r="A827" s="7" t="str">
        <f t="shared" si="101"/>
        <v>SUZHOU FARPULL INTELLIGENT EQUIPMENT CO., LTD.J581New Buy</v>
      </c>
      <c r="B827" s="7" t="str">
        <f t="shared" si="102"/>
        <v>iPadNew Buy</v>
      </c>
      <c r="C827">
        <v>407303</v>
      </c>
      <c r="D827" t="s">
        <v>961</v>
      </c>
      <c r="E827" t="s">
        <v>166</v>
      </c>
      <c r="F827" s="28" t="s">
        <v>173</v>
      </c>
      <c r="G827" t="s">
        <v>174</v>
      </c>
      <c r="H827" t="s">
        <v>167</v>
      </c>
      <c r="I827" t="s">
        <v>175</v>
      </c>
      <c r="J827" t="s">
        <v>1089</v>
      </c>
      <c r="L827" t="s">
        <v>1090</v>
      </c>
      <c r="M827" s="4">
        <v>1800</v>
      </c>
      <c r="N827" s="4">
        <v>1350</v>
      </c>
      <c r="O827">
        <v>7</v>
      </c>
      <c r="T827" t="s">
        <v>178</v>
      </c>
      <c r="U827" t="s">
        <v>116</v>
      </c>
      <c r="V827" s="4">
        <v>1350</v>
      </c>
      <c r="Y827" s="6">
        <f t="shared" si="103"/>
        <v>12600</v>
      </c>
      <c r="Z827" s="6">
        <f t="shared" si="104"/>
        <v>9450</v>
      </c>
      <c r="AA827" s="6">
        <f t="shared" si="105"/>
        <v>9450</v>
      </c>
      <c r="AB827" s="6">
        <f t="shared" si="108"/>
        <v>3150</v>
      </c>
      <c r="AC827" t="s">
        <v>33</v>
      </c>
      <c r="AD827" s="3" t="s">
        <v>168</v>
      </c>
    </row>
    <row r="828" spans="1:30" ht="15.75" customHeight="1" x14ac:dyDescent="0.2">
      <c r="A828" s="7" t="str">
        <f t="shared" si="101"/>
        <v>SUZHOU FARPULL INTELLIGENT EQUIPMENT CO., LTD.J581New Buy</v>
      </c>
      <c r="B828" s="7" t="str">
        <f t="shared" si="102"/>
        <v>iPadNew Buy</v>
      </c>
      <c r="C828">
        <v>407302</v>
      </c>
      <c r="D828" t="s">
        <v>961</v>
      </c>
      <c r="E828" t="s">
        <v>166</v>
      </c>
      <c r="F828" s="28" t="s">
        <v>173</v>
      </c>
      <c r="G828" t="s">
        <v>174</v>
      </c>
      <c r="H828" t="s">
        <v>167</v>
      </c>
      <c r="I828" t="s">
        <v>175</v>
      </c>
      <c r="J828" t="s">
        <v>1089</v>
      </c>
      <c r="L828" t="s">
        <v>1090</v>
      </c>
      <c r="M828" s="4">
        <v>1800</v>
      </c>
      <c r="N828" s="4">
        <v>1350</v>
      </c>
      <c r="O828">
        <v>5</v>
      </c>
      <c r="T828" t="s">
        <v>178</v>
      </c>
      <c r="U828" t="s">
        <v>104</v>
      </c>
      <c r="V828" s="4">
        <v>1350</v>
      </c>
      <c r="Y828" s="6">
        <f t="shared" si="103"/>
        <v>9000</v>
      </c>
      <c r="Z828" s="6">
        <f t="shared" si="104"/>
        <v>6750</v>
      </c>
      <c r="AA828" s="6">
        <f t="shared" si="105"/>
        <v>6750</v>
      </c>
      <c r="AB828" s="6">
        <f t="shared" si="108"/>
        <v>2250</v>
      </c>
      <c r="AC828" t="s">
        <v>16</v>
      </c>
      <c r="AD828" s="3" t="s">
        <v>168</v>
      </c>
    </row>
    <row r="829" spans="1:30" ht="15.75" customHeight="1" x14ac:dyDescent="0.2">
      <c r="A829" s="7" t="str">
        <f t="shared" si="101"/>
        <v>SUZHOU FARPULL INTELLIGENT EQUIPMENT CO., LTD.J581New Buy</v>
      </c>
      <c r="B829" s="7" t="str">
        <f t="shared" si="102"/>
        <v>iPadNew Buy</v>
      </c>
      <c r="C829">
        <v>407292</v>
      </c>
      <c r="D829" t="s">
        <v>961</v>
      </c>
      <c r="E829" t="s">
        <v>166</v>
      </c>
      <c r="F829" s="28" t="s">
        <v>173</v>
      </c>
      <c r="G829" t="s">
        <v>174</v>
      </c>
      <c r="H829" t="s">
        <v>167</v>
      </c>
      <c r="I829" t="s">
        <v>175</v>
      </c>
      <c r="J829" t="s">
        <v>1091</v>
      </c>
      <c r="L829" t="s">
        <v>1092</v>
      </c>
      <c r="M829" s="4">
        <v>55</v>
      </c>
      <c r="N829" s="4">
        <v>41.25</v>
      </c>
      <c r="O829">
        <v>3</v>
      </c>
      <c r="T829" t="s">
        <v>178</v>
      </c>
      <c r="U829" t="s">
        <v>66</v>
      </c>
      <c r="V829" s="4">
        <v>41.25</v>
      </c>
      <c r="Y829" s="6">
        <f t="shared" si="103"/>
        <v>165</v>
      </c>
      <c r="Z829" s="6">
        <f t="shared" si="104"/>
        <v>123.75</v>
      </c>
      <c r="AA829" s="6">
        <f t="shared" si="105"/>
        <v>123.75</v>
      </c>
      <c r="AB829" s="6">
        <f t="shared" si="108"/>
        <v>41.25</v>
      </c>
      <c r="AC829" t="s">
        <v>16</v>
      </c>
      <c r="AD829" s="3" t="s">
        <v>168</v>
      </c>
    </row>
    <row r="830" spans="1:30" ht="15.75" customHeight="1" x14ac:dyDescent="0.2">
      <c r="A830" s="7" t="str">
        <f t="shared" si="101"/>
        <v>SUZHOU FARPULL INTELLIGENT EQUIPMENT CO., LTD.J581New Buy</v>
      </c>
      <c r="B830" s="7" t="str">
        <f t="shared" si="102"/>
        <v>iPadNew Buy</v>
      </c>
      <c r="C830">
        <v>407291</v>
      </c>
      <c r="D830" t="s">
        <v>961</v>
      </c>
      <c r="E830" t="s">
        <v>166</v>
      </c>
      <c r="F830" s="28" t="s">
        <v>173</v>
      </c>
      <c r="G830" t="s">
        <v>174</v>
      </c>
      <c r="H830" t="s">
        <v>167</v>
      </c>
      <c r="I830" t="s">
        <v>175</v>
      </c>
      <c r="J830" t="s">
        <v>1091</v>
      </c>
      <c r="L830" t="s">
        <v>1092</v>
      </c>
      <c r="M830" s="4">
        <v>55</v>
      </c>
      <c r="N830" s="4">
        <v>41.25</v>
      </c>
      <c r="O830">
        <v>3</v>
      </c>
      <c r="T830" t="s">
        <v>178</v>
      </c>
      <c r="U830" t="s">
        <v>104</v>
      </c>
      <c r="V830" s="4">
        <v>41.25</v>
      </c>
      <c r="Y830" s="6">
        <f t="shared" si="103"/>
        <v>165</v>
      </c>
      <c r="Z830" s="6">
        <f t="shared" si="104"/>
        <v>123.75</v>
      </c>
      <c r="AA830" s="6">
        <f t="shared" si="105"/>
        <v>123.75</v>
      </c>
      <c r="AB830" s="6">
        <f t="shared" si="108"/>
        <v>41.25</v>
      </c>
      <c r="AC830" t="s">
        <v>16</v>
      </c>
      <c r="AD830" s="3" t="s">
        <v>168</v>
      </c>
    </row>
    <row r="831" spans="1:30" ht="15.75" customHeight="1" x14ac:dyDescent="0.2">
      <c r="A831" s="7" t="str">
        <f t="shared" si="101"/>
        <v>SUZHOU FARPULL INTELLIGENT EQUIPMENT CO., LTD.J581New Buy</v>
      </c>
      <c r="B831" s="7" t="str">
        <f t="shared" si="102"/>
        <v>iPadNew Buy</v>
      </c>
      <c r="C831">
        <v>407290</v>
      </c>
      <c r="D831" t="s">
        <v>961</v>
      </c>
      <c r="E831" t="s">
        <v>166</v>
      </c>
      <c r="F831" s="28" t="s">
        <v>173</v>
      </c>
      <c r="G831" t="s">
        <v>174</v>
      </c>
      <c r="H831" t="s">
        <v>167</v>
      </c>
      <c r="I831" t="s">
        <v>175</v>
      </c>
      <c r="J831" t="s">
        <v>1091</v>
      </c>
      <c r="L831" t="s">
        <v>1092</v>
      </c>
      <c r="M831" s="4">
        <v>55</v>
      </c>
      <c r="N831" s="4">
        <v>41.25</v>
      </c>
      <c r="O831">
        <v>4</v>
      </c>
      <c r="T831" t="s">
        <v>178</v>
      </c>
      <c r="U831" t="s">
        <v>116</v>
      </c>
      <c r="V831" s="4">
        <v>41.25</v>
      </c>
      <c r="Y831" s="6">
        <f t="shared" si="103"/>
        <v>220</v>
      </c>
      <c r="Z831" s="6">
        <f t="shared" si="104"/>
        <v>165</v>
      </c>
      <c r="AA831" s="6">
        <f t="shared" si="105"/>
        <v>165</v>
      </c>
      <c r="AB831" s="6">
        <f t="shared" si="108"/>
        <v>55</v>
      </c>
      <c r="AC831" t="s">
        <v>33</v>
      </c>
      <c r="AD831" s="3" t="s">
        <v>168</v>
      </c>
    </row>
    <row r="832" spans="1:30" ht="15.75" customHeight="1" x14ac:dyDescent="0.2">
      <c r="A832" s="7" t="str">
        <f t="shared" si="101"/>
        <v>SUZHOU FARPULL INTELLIGENT EQUIPMENT CO., LTD.J581New Buy</v>
      </c>
      <c r="B832" s="7" t="str">
        <f t="shared" si="102"/>
        <v>iPadNew Buy</v>
      </c>
      <c r="C832">
        <v>407289</v>
      </c>
      <c r="D832" t="s">
        <v>961</v>
      </c>
      <c r="E832" t="s">
        <v>166</v>
      </c>
      <c r="F832" s="28" t="s">
        <v>173</v>
      </c>
      <c r="G832" t="s">
        <v>174</v>
      </c>
      <c r="H832" t="s">
        <v>167</v>
      </c>
      <c r="I832" t="s">
        <v>175</v>
      </c>
      <c r="J832" t="s">
        <v>1093</v>
      </c>
      <c r="L832" t="s">
        <v>1094</v>
      </c>
      <c r="M832" s="4">
        <v>628</v>
      </c>
      <c r="N832" s="4">
        <v>412.5</v>
      </c>
      <c r="O832">
        <v>1</v>
      </c>
      <c r="T832" t="s">
        <v>178</v>
      </c>
      <c r="U832" t="s">
        <v>116</v>
      </c>
      <c r="V832" s="4">
        <v>412.5</v>
      </c>
      <c r="Y832" s="6">
        <f t="shared" si="103"/>
        <v>628</v>
      </c>
      <c r="Z832" s="6">
        <f t="shared" si="104"/>
        <v>412.5</v>
      </c>
      <c r="AA832" s="6">
        <f t="shared" si="105"/>
        <v>412.5</v>
      </c>
      <c r="AB832" s="6">
        <f t="shared" si="108"/>
        <v>215.5</v>
      </c>
      <c r="AC832" t="s">
        <v>33</v>
      </c>
      <c r="AD832" s="3" t="s">
        <v>168</v>
      </c>
    </row>
    <row r="833" spans="1:30" ht="15.75" customHeight="1" x14ac:dyDescent="0.2">
      <c r="A833" s="7" t="str">
        <f t="shared" si="101"/>
        <v>SUZHOU FARPULL INTELLIGENT EQUIPMENT CO., LTD.J581New Buy</v>
      </c>
      <c r="B833" s="7" t="str">
        <f t="shared" si="102"/>
        <v>iPadNew Buy</v>
      </c>
      <c r="C833">
        <v>407288</v>
      </c>
      <c r="D833" t="s">
        <v>961</v>
      </c>
      <c r="E833" t="s">
        <v>166</v>
      </c>
      <c r="F833" s="28" t="s">
        <v>173</v>
      </c>
      <c r="G833" t="s">
        <v>174</v>
      </c>
      <c r="H833" t="s">
        <v>167</v>
      </c>
      <c r="I833" t="s">
        <v>175</v>
      </c>
      <c r="J833" t="s">
        <v>1093</v>
      </c>
      <c r="L833" t="s">
        <v>1094</v>
      </c>
      <c r="M833" s="4">
        <v>628</v>
      </c>
      <c r="N833" s="4">
        <v>412.5</v>
      </c>
      <c r="O833">
        <v>1</v>
      </c>
      <c r="T833" t="s">
        <v>178</v>
      </c>
      <c r="U833" t="s">
        <v>66</v>
      </c>
      <c r="V833" s="4">
        <v>412.5</v>
      </c>
      <c r="Y833" s="6">
        <f t="shared" si="103"/>
        <v>628</v>
      </c>
      <c r="Z833" s="6">
        <f t="shared" si="104"/>
        <v>412.5</v>
      </c>
      <c r="AA833" s="6">
        <f t="shared" si="105"/>
        <v>412.5</v>
      </c>
      <c r="AB833" s="6">
        <f t="shared" si="108"/>
        <v>215.5</v>
      </c>
      <c r="AC833" t="s">
        <v>16</v>
      </c>
      <c r="AD833" s="3" t="s">
        <v>168</v>
      </c>
    </row>
    <row r="834" spans="1:30" ht="15.75" customHeight="1" x14ac:dyDescent="0.2">
      <c r="A834" s="7" t="str">
        <f t="shared" si="101"/>
        <v>SUZHOU FARPULL INTELLIGENT EQUIPMENT CO., LTD.J581New Buy</v>
      </c>
      <c r="B834" s="7" t="str">
        <f t="shared" si="102"/>
        <v>iPadNew Buy</v>
      </c>
      <c r="C834">
        <v>407287</v>
      </c>
      <c r="D834" t="s">
        <v>961</v>
      </c>
      <c r="E834" t="s">
        <v>166</v>
      </c>
      <c r="F834" s="28" t="s">
        <v>173</v>
      </c>
      <c r="G834" t="s">
        <v>174</v>
      </c>
      <c r="H834" t="s">
        <v>167</v>
      </c>
      <c r="I834" t="s">
        <v>175</v>
      </c>
      <c r="J834" t="s">
        <v>1093</v>
      </c>
      <c r="L834" t="s">
        <v>1094</v>
      </c>
      <c r="M834" s="4">
        <v>628</v>
      </c>
      <c r="N834" s="4">
        <v>412.5</v>
      </c>
      <c r="O834">
        <v>2</v>
      </c>
      <c r="T834" t="s">
        <v>178</v>
      </c>
      <c r="U834" t="s">
        <v>104</v>
      </c>
      <c r="V834" s="4">
        <v>412.5</v>
      </c>
      <c r="Y834" s="6">
        <f t="shared" si="103"/>
        <v>1256</v>
      </c>
      <c r="Z834" s="6">
        <f t="shared" si="104"/>
        <v>825</v>
      </c>
      <c r="AA834" s="6">
        <f t="shared" si="105"/>
        <v>825</v>
      </c>
      <c r="AB834" s="6">
        <f t="shared" si="108"/>
        <v>431</v>
      </c>
      <c r="AC834" t="s">
        <v>16</v>
      </c>
      <c r="AD834" s="3" t="s">
        <v>168</v>
      </c>
    </row>
    <row r="835" spans="1:30" ht="15.75" customHeight="1" x14ac:dyDescent="0.2">
      <c r="A835" s="7" t="str">
        <f t="shared" si="101"/>
        <v>SUZHOU FARPULL INTELLIGENT EQUIPMENT CO., LTD.J581New Buy</v>
      </c>
      <c r="B835" s="7" t="str">
        <f t="shared" si="102"/>
        <v>iPadNew Buy</v>
      </c>
      <c r="C835">
        <v>407286</v>
      </c>
      <c r="D835" t="s">
        <v>961</v>
      </c>
      <c r="E835" t="s">
        <v>166</v>
      </c>
      <c r="F835" s="28" t="s">
        <v>173</v>
      </c>
      <c r="G835" t="s">
        <v>174</v>
      </c>
      <c r="H835" t="s">
        <v>167</v>
      </c>
      <c r="I835" t="s">
        <v>131</v>
      </c>
      <c r="J835" t="s">
        <v>1093</v>
      </c>
      <c r="L835" t="s">
        <v>1094</v>
      </c>
      <c r="M835" s="4">
        <v>550</v>
      </c>
      <c r="N835" s="4">
        <v>412.5</v>
      </c>
      <c r="O835">
        <v>19</v>
      </c>
      <c r="T835" t="s">
        <v>178</v>
      </c>
      <c r="U835" t="s">
        <v>104</v>
      </c>
      <c r="V835" s="4">
        <v>412.5</v>
      </c>
      <c r="Y835" s="6">
        <f t="shared" si="103"/>
        <v>10450</v>
      </c>
      <c r="Z835" s="6">
        <f t="shared" si="104"/>
        <v>7837.5</v>
      </c>
      <c r="AA835" s="6">
        <f t="shared" si="105"/>
        <v>7837.5</v>
      </c>
      <c r="AB835" s="6">
        <f t="shared" si="108"/>
        <v>2612.5</v>
      </c>
      <c r="AC835" t="s">
        <v>16</v>
      </c>
      <c r="AD835" s="3" t="s">
        <v>168</v>
      </c>
    </row>
    <row r="836" spans="1:30" ht="15.75" customHeight="1" x14ac:dyDescent="0.2">
      <c r="A836" s="7" t="str">
        <f t="shared" si="101"/>
        <v>SUZHOU FARPULL INTELLIGENT EQUIPMENT CO., LTD.J581New Buy</v>
      </c>
      <c r="B836" s="7" t="str">
        <f t="shared" si="102"/>
        <v>iPadNew Buy</v>
      </c>
      <c r="C836">
        <v>407230</v>
      </c>
      <c r="D836" t="s">
        <v>961</v>
      </c>
      <c r="E836" t="s">
        <v>166</v>
      </c>
      <c r="F836" s="28" t="s">
        <v>173</v>
      </c>
      <c r="G836" t="s">
        <v>174</v>
      </c>
      <c r="H836" t="s">
        <v>167</v>
      </c>
      <c r="I836" t="s">
        <v>175</v>
      </c>
      <c r="J836" t="s">
        <v>1095</v>
      </c>
      <c r="L836" t="s">
        <v>1096</v>
      </c>
      <c r="M836" s="4">
        <v>206</v>
      </c>
      <c r="N836" s="4">
        <v>154.5</v>
      </c>
      <c r="O836">
        <v>21</v>
      </c>
      <c r="T836" t="s">
        <v>178</v>
      </c>
      <c r="U836" t="s">
        <v>104</v>
      </c>
      <c r="V836" s="4">
        <v>154.5</v>
      </c>
      <c r="Y836" s="6">
        <f t="shared" si="103"/>
        <v>4326</v>
      </c>
      <c r="Z836" s="6">
        <f t="shared" si="104"/>
        <v>3244.5</v>
      </c>
      <c r="AA836" s="6">
        <f t="shared" si="105"/>
        <v>3244.5</v>
      </c>
      <c r="AB836" s="6">
        <f t="shared" si="108"/>
        <v>1081.5</v>
      </c>
      <c r="AC836" t="s">
        <v>16</v>
      </c>
      <c r="AD836" s="3" t="s">
        <v>168</v>
      </c>
    </row>
    <row r="837" spans="1:30" ht="15.75" customHeight="1" x14ac:dyDescent="0.2">
      <c r="A837" s="7" t="str">
        <f t="shared" si="101"/>
        <v>SUZHOU FARPULL INTELLIGENT EQUIPMENT CO., LTD.J581New Buy</v>
      </c>
      <c r="B837" s="7" t="str">
        <f t="shared" si="102"/>
        <v>iPadNew Buy</v>
      </c>
      <c r="C837">
        <v>407222</v>
      </c>
      <c r="D837" t="s">
        <v>961</v>
      </c>
      <c r="E837" t="s">
        <v>166</v>
      </c>
      <c r="F837" s="28" t="s">
        <v>173</v>
      </c>
      <c r="G837" t="s">
        <v>174</v>
      </c>
      <c r="H837" t="s">
        <v>167</v>
      </c>
      <c r="I837" t="s">
        <v>175</v>
      </c>
      <c r="J837" t="s">
        <v>700</v>
      </c>
      <c r="L837" t="s">
        <v>1097</v>
      </c>
      <c r="M837" s="4">
        <v>4.8</v>
      </c>
      <c r="N837" s="4">
        <v>3.5</v>
      </c>
      <c r="O837">
        <v>33461</v>
      </c>
      <c r="T837" t="s">
        <v>178</v>
      </c>
      <c r="U837" t="s">
        <v>66</v>
      </c>
      <c r="V837" s="4">
        <v>2.625</v>
      </c>
      <c r="Y837" s="6">
        <f t="shared" si="103"/>
        <v>160612.79999999999</v>
      </c>
      <c r="Z837" s="6">
        <f t="shared" si="104"/>
        <v>87835.125</v>
      </c>
      <c r="AA837" s="6">
        <f t="shared" si="105"/>
        <v>117113.5</v>
      </c>
      <c r="AB837" s="6">
        <f t="shared" si="108"/>
        <v>43499.299999999988</v>
      </c>
      <c r="AC837" t="s">
        <v>16</v>
      </c>
      <c r="AD837" s="3" t="s">
        <v>168</v>
      </c>
    </row>
    <row r="838" spans="1:30" ht="15.75" customHeight="1" x14ac:dyDescent="0.2">
      <c r="A838" s="7" t="str">
        <f t="shared" si="101"/>
        <v>SUZHOU FARPULL INTELLIGENT EQUIPMENT CO., LTD.J581New Buy</v>
      </c>
      <c r="B838" s="7" t="str">
        <f t="shared" si="102"/>
        <v>iPadNew Buy</v>
      </c>
      <c r="C838">
        <v>407221</v>
      </c>
      <c r="D838" t="s">
        <v>961</v>
      </c>
      <c r="E838" t="s">
        <v>166</v>
      </c>
      <c r="F838" s="28" t="s">
        <v>173</v>
      </c>
      <c r="G838" t="s">
        <v>174</v>
      </c>
      <c r="H838" t="s">
        <v>167</v>
      </c>
      <c r="I838" t="s">
        <v>175</v>
      </c>
      <c r="J838" t="s">
        <v>700</v>
      </c>
      <c r="L838" t="s">
        <v>1097</v>
      </c>
      <c r="M838" s="4">
        <v>4.8</v>
      </c>
      <c r="N838" s="4">
        <v>0.55000000000000004</v>
      </c>
      <c r="O838">
        <v>66414</v>
      </c>
      <c r="T838" t="s">
        <v>178</v>
      </c>
      <c r="U838" t="s">
        <v>116</v>
      </c>
      <c r="V838" s="4">
        <v>2.625</v>
      </c>
      <c r="Y838" s="6">
        <f t="shared" si="103"/>
        <v>318787.20000000001</v>
      </c>
      <c r="Z838" s="6">
        <f t="shared" si="104"/>
        <v>174336.75</v>
      </c>
      <c r="AA838" s="6">
        <f t="shared" si="105"/>
        <v>36527.700000000004</v>
      </c>
      <c r="AB838" s="6">
        <f t="shared" si="108"/>
        <v>282259.5</v>
      </c>
      <c r="AC838" t="s">
        <v>33</v>
      </c>
      <c r="AD838" s="3" t="s">
        <v>168</v>
      </c>
    </row>
    <row r="839" spans="1:30" ht="15.75" customHeight="1" x14ac:dyDescent="0.2">
      <c r="A839" s="7" t="str">
        <f t="shared" si="101"/>
        <v>SUZHOU FARPULL INTELLIGENT EQUIPMENT CO., LTD.J581New Buy</v>
      </c>
      <c r="B839" s="7" t="str">
        <f t="shared" si="102"/>
        <v>iPadNew Buy</v>
      </c>
      <c r="C839">
        <v>407220</v>
      </c>
      <c r="D839" t="s">
        <v>961</v>
      </c>
      <c r="E839" t="s">
        <v>166</v>
      </c>
      <c r="F839" s="28" t="s">
        <v>173</v>
      </c>
      <c r="G839" t="s">
        <v>174</v>
      </c>
      <c r="H839" t="s">
        <v>167</v>
      </c>
      <c r="I839" t="s">
        <v>175</v>
      </c>
      <c r="J839" t="s">
        <v>700</v>
      </c>
      <c r="L839" t="s">
        <v>1098</v>
      </c>
      <c r="M839" s="4">
        <v>4.8</v>
      </c>
      <c r="N839" s="4">
        <v>3.5</v>
      </c>
      <c r="O839">
        <v>16745</v>
      </c>
      <c r="T839" t="s">
        <v>178</v>
      </c>
      <c r="U839" t="s">
        <v>66</v>
      </c>
      <c r="V839" s="4">
        <v>2.625</v>
      </c>
      <c r="Y839" s="6">
        <f t="shared" si="103"/>
        <v>80376</v>
      </c>
      <c r="Z839" s="6">
        <f t="shared" si="104"/>
        <v>43955.625</v>
      </c>
      <c r="AA839" s="6">
        <f t="shared" si="105"/>
        <v>58607.5</v>
      </c>
      <c r="AB839" s="6">
        <f t="shared" si="108"/>
        <v>21768.5</v>
      </c>
      <c r="AC839" t="s">
        <v>16</v>
      </c>
      <c r="AD839" s="3" t="s">
        <v>168</v>
      </c>
    </row>
    <row r="840" spans="1:30" ht="15.75" customHeight="1" x14ac:dyDescent="0.2">
      <c r="A840" s="7" t="str">
        <f t="shared" si="101"/>
        <v>SUZHOU FARPULL INTELLIGENT EQUIPMENT CO., LTD.J581New Buy</v>
      </c>
      <c r="B840" s="7" t="str">
        <f t="shared" si="102"/>
        <v>iPadNew Buy</v>
      </c>
      <c r="C840">
        <v>407219</v>
      </c>
      <c r="D840" t="s">
        <v>961</v>
      </c>
      <c r="E840" t="s">
        <v>166</v>
      </c>
      <c r="F840" s="28" t="s">
        <v>173</v>
      </c>
      <c r="G840" t="s">
        <v>174</v>
      </c>
      <c r="H840" t="s">
        <v>167</v>
      </c>
      <c r="I840" t="s">
        <v>175</v>
      </c>
      <c r="J840" t="s">
        <v>700</v>
      </c>
      <c r="L840" t="s">
        <v>1098</v>
      </c>
      <c r="M840" s="4">
        <v>4.8</v>
      </c>
      <c r="N840" s="4">
        <v>3.5</v>
      </c>
      <c r="O840">
        <v>24997</v>
      </c>
      <c r="T840" t="s">
        <v>178</v>
      </c>
      <c r="U840" t="s">
        <v>116</v>
      </c>
      <c r="V840" s="4">
        <v>2.625</v>
      </c>
      <c r="Y840" s="6">
        <f t="shared" si="103"/>
        <v>119985.59999999999</v>
      </c>
      <c r="Z840" s="6">
        <f t="shared" si="104"/>
        <v>65617.125</v>
      </c>
      <c r="AA840" s="6">
        <f t="shared" si="105"/>
        <v>87489.5</v>
      </c>
      <c r="AB840" s="6">
        <f t="shared" si="108"/>
        <v>32496.099999999991</v>
      </c>
      <c r="AC840" t="s">
        <v>33</v>
      </c>
      <c r="AD840" s="3" t="s">
        <v>168</v>
      </c>
    </row>
    <row r="841" spans="1:30" ht="15.75" customHeight="1" x14ac:dyDescent="0.2">
      <c r="A841" s="7" t="str">
        <f t="shared" si="101"/>
        <v>SUZHOU FARPULL INTELLIGENT EQUIPMENT CO., LTD.J581New Buy</v>
      </c>
      <c r="B841" s="7" t="str">
        <f t="shared" si="102"/>
        <v>iPadNew Buy</v>
      </c>
      <c r="C841">
        <v>407218</v>
      </c>
      <c r="D841" t="s">
        <v>961</v>
      </c>
      <c r="E841" t="s">
        <v>166</v>
      </c>
      <c r="F841" s="28" t="s">
        <v>173</v>
      </c>
      <c r="G841" t="s">
        <v>174</v>
      </c>
      <c r="H841" t="s">
        <v>167</v>
      </c>
      <c r="I841" t="s">
        <v>131</v>
      </c>
      <c r="J841" t="s">
        <v>700</v>
      </c>
      <c r="L841" t="s">
        <v>1099</v>
      </c>
      <c r="M841" s="4">
        <v>3.5</v>
      </c>
      <c r="N841" s="4">
        <v>0.55000000000000004</v>
      </c>
      <c r="O841">
        <v>42539</v>
      </c>
      <c r="T841" t="s">
        <v>178</v>
      </c>
      <c r="U841" t="s">
        <v>104</v>
      </c>
      <c r="V841" s="4">
        <v>2.625</v>
      </c>
      <c r="Y841" s="6">
        <f t="shared" si="103"/>
        <v>148886.5</v>
      </c>
      <c r="Z841" s="6">
        <f t="shared" si="104"/>
        <v>111664.875</v>
      </c>
      <c r="AA841" s="6">
        <f t="shared" si="105"/>
        <v>23396.45</v>
      </c>
      <c r="AB841" s="6">
        <f t="shared" si="108"/>
        <v>125490.05</v>
      </c>
      <c r="AC841" t="s">
        <v>16</v>
      </c>
      <c r="AD841" s="3" t="s">
        <v>168</v>
      </c>
    </row>
    <row r="842" spans="1:30" ht="15.75" customHeight="1" x14ac:dyDescent="0.2">
      <c r="A842" s="7" t="str">
        <f t="shared" si="101"/>
        <v>SUZHOU FARPULL INTELLIGENT EQUIPMENT CO., LTD.J581New Buy</v>
      </c>
      <c r="B842" s="7" t="str">
        <f t="shared" si="102"/>
        <v>iPadNew Buy</v>
      </c>
      <c r="C842">
        <v>407217</v>
      </c>
      <c r="D842" t="s">
        <v>961</v>
      </c>
      <c r="E842" t="s">
        <v>166</v>
      </c>
      <c r="F842" s="28" t="s">
        <v>173</v>
      </c>
      <c r="G842" t="s">
        <v>174</v>
      </c>
      <c r="H842" t="s">
        <v>167</v>
      </c>
      <c r="I842" t="s">
        <v>131</v>
      </c>
      <c r="J842" t="s">
        <v>700</v>
      </c>
      <c r="L842" t="s">
        <v>1100</v>
      </c>
      <c r="M842" s="4">
        <v>3.5</v>
      </c>
      <c r="N842" s="4">
        <v>3.5</v>
      </c>
      <c r="O842">
        <v>17185</v>
      </c>
      <c r="T842" t="s">
        <v>178</v>
      </c>
      <c r="U842" t="s">
        <v>104</v>
      </c>
      <c r="V842" s="4">
        <v>2.625</v>
      </c>
      <c r="Y842" s="6">
        <f t="shared" si="103"/>
        <v>60147.5</v>
      </c>
      <c r="Z842" s="6">
        <f t="shared" si="104"/>
        <v>45110.625</v>
      </c>
      <c r="AA842" s="6">
        <f t="shared" si="105"/>
        <v>60147.5</v>
      </c>
      <c r="AB842" s="6">
        <f t="shared" si="108"/>
        <v>0</v>
      </c>
      <c r="AC842" t="s">
        <v>16</v>
      </c>
      <c r="AD842" s="3" t="s">
        <v>168</v>
      </c>
    </row>
    <row r="843" spans="1:30" ht="15.75" customHeight="1" x14ac:dyDescent="0.2">
      <c r="A843" s="7" t="str">
        <f t="shared" si="101"/>
        <v>SECOTEJ581New Buy</v>
      </c>
      <c r="B843" s="7" t="str">
        <f t="shared" si="102"/>
        <v>iPadNew Buy</v>
      </c>
      <c r="C843">
        <v>407897</v>
      </c>
      <c r="D843" t="s">
        <v>1101</v>
      </c>
      <c r="E843" t="s">
        <v>166</v>
      </c>
      <c r="F843" t="s">
        <v>173</v>
      </c>
      <c r="G843" t="s">
        <v>174</v>
      </c>
      <c r="H843" t="s">
        <v>167</v>
      </c>
      <c r="J843" t="s">
        <v>1102</v>
      </c>
      <c r="L843" t="s">
        <v>1103</v>
      </c>
      <c r="M843" s="25">
        <v>5200</v>
      </c>
      <c r="N843" s="4">
        <v>4680</v>
      </c>
      <c r="O843">
        <v>1</v>
      </c>
      <c r="T843" t="s">
        <v>178</v>
      </c>
      <c r="U843" t="s">
        <v>104</v>
      </c>
      <c r="V843" s="4">
        <v>3900</v>
      </c>
      <c r="Y843" s="6">
        <f t="shared" si="103"/>
        <v>5200</v>
      </c>
      <c r="Z843" s="6">
        <f t="shared" si="104"/>
        <v>3900</v>
      </c>
      <c r="AA843" s="6">
        <f t="shared" si="105"/>
        <v>4680</v>
      </c>
      <c r="AB843" s="6">
        <f t="shared" si="108"/>
        <v>520</v>
      </c>
      <c r="AC843" t="s">
        <v>16</v>
      </c>
      <c r="AD843" s="3" t="s">
        <v>168</v>
      </c>
    </row>
    <row r="844" spans="1:30" ht="15.75" customHeight="1" x14ac:dyDescent="0.2">
      <c r="A844" s="7" t="str">
        <f t="shared" si="101"/>
        <v>SECOTEJ510New Buy</v>
      </c>
      <c r="B844" s="7" t="str">
        <f t="shared" si="102"/>
        <v>iPadNew Buy</v>
      </c>
      <c r="C844">
        <v>409010</v>
      </c>
      <c r="D844" t="s">
        <v>1101</v>
      </c>
      <c r="E844" t="s">
        <v>166</v>
      </c>
      <c r="F844" t="s">
        <v>173</v>
      </c>
      <c r="G844" t="s">
        <v>68</v>
      </c>
      <c r="H844" t="s">
        <v>167</v>
      </c>
      <c r="J844" t="s">
        <v>341</v>
      </c>
      <c r="L844" t="s">
        <v>297</v>
      </c>
      <c r="O844">
        <v>2</v>
      </c>
      <c r="T844" t="s">
        <v>178</v>
      </c>
      <c r="U844" t="s">
        <v>116</v>
      </c>
      <c r="V844" s="4">
        <v>0</v>
      </c>
      <c r="Y844" s="6">
        <f t="shared" si="103"/>
        <v>0</v>
      </c>
      <c r="Z844" s="6">
        <f t="shared" si="104"/>
        <v>0</v>
      </c>
      <c r="AA844" s="6">
        <f t="shared" si="105"/>
        <v>0</v>
      </c>
      <c r="AB844" s="6">
        <f t="shared" si="108"/>
        <v>0</v>
      </c>
      <c r="AC844" t="s">
        <v>33</v>
      </c>
      <c r="AD844" s="3" t="s">
        <v>168</v>
      </c>
    </row>
    <row r="845" spans="1:30" ht="15.75" customHeight="1" x14ac:dyDescent="0.2">
      <c r="A845" s="7" t="str">
        <f t="shared" si="101"/>
        <v>SECOTEJ510New Buy</v>
      </c>
      <c r="B845" s="7" t="str">
        <f t="shared" si="102"/>
        <v>iPadNew Buy</v>
      </c>
      <c r="C845">
        <v>409009</v>
      </c>
      <c r="D845" t="s">
        <v>1101</v>
      </c>
      <c r="E845" t="s">
        <v>166</v>
      </c>
      <c r="F845" t="s">
        <v>173</v>
      </c>
      <c r="G845" t="s">
        <v>68</v>
      </c>
      <c r="H845" t="s">
        <v>167</v>
      </c>
      <c r="J845" t="s">
        <v>341</v>
      </c>
      <c r="L845" t="s">
        <v>297</v>
      </c>
      <c r="O845">
        <v>14</v>
      </c>
      <c r="T845" t="s">
        <v>178</v>
      </c>
      <c r="U845" t="s">
        <v>66</v>
      </c>
      <c r="V845" s="4">
        <v>0</v>
      </c>
      <c r="Y845" s="6">
        <f t="shared" si="103"/>
        <v>0</v>
      </c>
      <c r="Z845" s="6">
        <f t="shared" si="104"/>
        <v>0</v>
      </c>
      <c r="AA845" s="6">
        <f t="shared" si="105"/>
        <v>0</v>
      </c>
      <c r="AB845" s="6">
        <f t="shared" si="108"/>
        <v>0</v>
      </c>
      <c r="AC845" t="s">
        <v>16</v>
      </c>
      <c r="AD845" s="3" t="s">
        <v>168</v>
      </c>
    </row>
    <row r="846" spans="1:30" ht="15.75" customHeight="1" x14ac:dyDescent="0.2">
      <c r="A846" s="7" t="str">
        <f t="shared" si="101"/>
        <v>SECOTEJ510New Buy</v>
      </c>
      <c r="B846" s="7" t="str">
        <f t="shared" si="102"/>
        <v>iPadNew Buy</v>
      </c>
      <c r="C846">
        <v>408994</v>
      </c>
      <c r="D846" t="s">
        <v>1101</v>
      </c>
      <c r="E846" t="s">
        <v>166</v>
      </c>
      <c r="F846" t="s">
        <v>173</v>
      </c>
      <c r="G846" t="s">
        <v>68</v>
      </c>
      <c r="H846" t="s">
        <v>167</v>
      </c>
      <c r="J846" t="s">
        <v>1104</v>
      </c>
      <c r="L846" t="s">
        <v>299</v>
      </c>
      <c r="M846" s="25">
        <v>102.2</v>
      </c>
      <c r="N846" s="4">
        <v>98.55</v>
      </c>
      <c r="O846">
        <v>34</v>
      </c>
      <c r="T846" t="s">
        <v>178</v>
      </c>
      <c r="U846" t="s">
        <v>116</v>
      </c>
      <c r="V846" s="4">
        <v>72.75</v>
      </c>
      <c r="Y846" s="6">
        <f t="shared" si="103"/>
        <v>3474.8</v>
      </c>
      <c r="Z846" s="6">
        <f t="shared" si="104"/>
        <v>2473.5</v>
      </c>
      <c r="AA846" s="6">
        <f t="shared" si="105"/>
        <v>3350.7</v>
      </c>
      <c r="AB846" s="6">
        <f t="shared" si="108"/>
        <v>124.10000000000036</v>
      </c>
      <c r="AC846" t="s">
        <v>33</v>
      </c>
      <c r="AD846" s="3" t="s">
        <v>168</v>
      </c>
    </row>
    <row r="847" spans="1:30" ht="15.75" customHeight="1" x14ac:dyDescent="0.2">
      <c r="A847" s="7" t="str">
        <f t="shared" ref="A847:A910" si="109">CONCATENATE(D847,G847,H847,K847)</f>
        <v>SECOTEJ510New Buy</v>
      </c>
      <c r="B847" s="7" t="str">
        <f t="shared" ref="B847:B910" si="110">_xlfn.CONCAT(F847,K847,"New Buy")</f>
        <v>iPadNew Buy</v>
      </c>
      <c r="C847">
        <v>408993</v>
      </c>
      <c r="D847" t="s">
        <v>1101</v>
      </c>
      <c r="E847" t="s">
        <v>166</v>
      </c>
      <c r="F847" t="s">
        <v>173</v>
      </c>
      <c r="G847" t="s">
        <v>68</v>
      </c>
      <c r="H847" t="s">
        <v>167</v>
      </c>
      <c r="J847" t="s">
        <v>1104</v>
      </c>
      <c r="L847" t="s">
        <v>299</v>
      </c>
      <c r="M847" s="25">
        <v>97</v>
      </c>
      <c r="N847" s="4">
        <v>73</v>
      </c>
      <c r="O847">
        <v>93</v>
      </c>
      <c r="T847" t="s">
        <v>178</v>
      </c>
      <c r="U847" t="s">
        <v>66</v>
      </c>
      <c r="V847" s="4">
        <v>72.75</v>
      </c>
      <c r="Y847" s="6">
        <f t="shared" ref="Y847:Y910" si="111">IFERROR(O847*M847,0)</f>
        <v>9021</v>
      </c>
      <c r="Z847" s="6">
        <f t="shared" ref="Z847:Z910" si="112">IFERROR(O847*V847,0)</f>
        <v>6765.75</v>
      </c>
      <c r="AA847" s="6">
        <f t="shared" ref="AA847:AA910" si="113">IFERROR(N847*O847,0)</f>
        <v>6789</v>
      </c>
      <c r="AB847" s="6">
        <f t="shared" si="108"/>
        <v>2232</v>
      </c>
      <c r="AC847" t="s">
        <v>16</v>
      </c>
      <c r="AD847" s="3" t="s">
        <v>168</v>
      </c>
    </row>
    <row r="848" spans="1:30" ht="15.75" customHeight="1" x14ac:dyDescent="0.2">
      <c r="A848" s="7" t="str">
        <f t="shared" si="109"/>
        <v>SECOTEJ510New Buy</v>
      </c>
      <c r="B848" s="7" t="str">
        <f t="shared" si="110"/>
        <v>iPadNew Buy</v>
      </c>
      <c r="C848">
        <v>408989</v>
      </c>
      <c r="D848" t="s">
        <v>1101</v>
      </c>
      <c r="E848" t="s">
        <v>166</v>
      </c>
      <c r="F848" t="s">
        <v>173</v>
      </c>
      <c r="G848" t="s">
        <v>68</v>
      </c>
      <c r="H848" t="s">
        <v>167</v>
      </c>
      <c r="J848" t="s">
        <v>1105</v>
      </c>
      <c r="L848" t="s">
        <v>301</v>
      </c>
      <c r="M848" s="25">
        <v>102.2</v>
      </c>
      <c r="N848" s="4">
        <v>92.71</v>
      </c>
      <c r="O848">
        <v>200</v>
      </c>
      <c r="T848" t="s">
        <v>178</v>
      </c>
      <c r="U848" t="s">
        <v>116</v>
      </c>
      <c r="V848" s="4">
        <v>72.75</v>
      </c>
      <c r="Y848" s="6">
        <f t="shared" si="111"/>
        <v>20440</v>
      </c>
      <c r="Z848" s="6">
        <f t="shared" si="112"/>
        <v>14550</v>
      </c>
      <c r="AA848" s="6">
        <f t="shared" si="113"/>
        <v>18542</v>
      </c>
      <c r="AB848" s="6">
        <f t="shared" si="108"/>
        <v>1898</v>
      </c>
      <c r="AC848" t="s">
        <v>33</v>
      </c>
      <c r="AD848" s="3" t="s">
        <v>168</v>
      </c>
    </row>
    <row r="849" spans="1:30" ht="15.75" customHeight="1" x14ac:dyDescent="0.2">
      <c r="A849" s="7" t="str">
        <f t="shared" si="109"/>
        <v>SECOTEJ510New Buy</v>
      </c>
      <c r="B849" s="7" t="str">
        <f t="shared" si="110"/>
        <v>iPadNew Buy</v>
      </c>
      <c r="C849">
        <v>408988</v>
      </c>
      <c r="D849" t="s">
        <v>1101</v>
      </c>
      <c r="E849" t="s">
        <v>166</v>
      </c>
      <c r="F849" t="s">
        <v>173</v>
      </c>
      <c r="G849" t="s">
        <v>68</v>
      </c>
      <c r="H849" t="s">
        <v>167</v>
      </c>
      <c r="J849" t="s">
        <v>1105</v>
      </c>
      <c r="L849" t="s">
        <v>301</v>
      </c>
      <c r="M849" s="25">
        <v>97</v>
      </c>
      <c r="N849" s="4">
        <v>73</v>
      </c>
      <c r="O849">
        <v>607</v>
      </c>
      <c r="T849" t="s">
        <v>178</v>
      </c>
      <c r="U849" t="s">
        <v>66</v>
      </c>
      <c r="V849" s="4">
        <v>72.75</v>
      </c>
      <c r="Y849" s="6">
        <f t="shared" si="111"/>
        <v>58879</v>
      </c>
      <c r="Z849" s="6">
        <f t="shared" si="112"/>
        <v>44159.25</v>
      </c>
      <c r="AA849" s="6">
        <f t="shared" si="113"/>
        <v>44311</v>
      </c>
      <c r="AB849" s="6">
        <f t="shared" si="108"/>
        <v>14568</v>
      </c>
      <c r="AC849" t="s">
        <v>16</v>
      </c>
      <c r="AD849" s="3" t="s">
        <v>168</v>
      </c>
    </row>
    <row r="850" spans="1:30" ht="15.75" customHeight="1" x14ac:dyDescent="0.2">
      <c r="A850" s="7" t="str">
        <f t="shared" si="109"/>
        <v>SECOTEJ510New Buy</v>
      </c>
      <c r="B850" s="7" t="str">
        <f t="shared" si="110"/>
        <v>iPadNew Buy</v>
      </c>
      <c r="C850">
        <v>408987</v>
      </c>
      <c r="D850" t="s">
        <v>1101</v>
      </c>
      <c r="E850" t="s">
        <v>166</v>
      </c>
      <c r="F850" t="s">
        <v>173</v>
      </c>
      <c r="G850" t="s">
        <v>68</v>
      </c>
      <c r="H850" t="s">
        <v>167</v>
      </c>
      <c r="J850" t="s">
        <v>1106</v>
      </c>
      <c r="L850" t="s">
        <v>734</v>
      </c>
      <c r="M850" s="25">
        <v>133</v>
      </c>
      <c r="N850" s="4">
        <v>125.22</v>
      </c>
      <c r="O850">
        <v>222</v>
      </c>
      <c r="T850" t="s">
        <v>178</v>
      </c>
      <c r="U850" t="s">
        <v>116</v>
      </c>
      <c r="V850" s="4">
        <v>99.75</v>
      </c>
      <c r="Y850" s="6">
        <f t="shared" si="111"/>
        <v>29526</v>
      </c>
      <c r="Z850" s="6">
        <f t="shared" si="112"/>
        <v>22144.5</v>
      </c>
      <c r="AA850" s="6">
        <f t="shared" si="113"/>
        <v>27798.84</v>
      </c>
      <c r="AB850" s="6">
        <f t="shared" si="108"/>
        <v>1727.1599999999999</v>
      </c>
      <c r="AC850" t="s">
        <v>33</v>
      </c>
      <c r="AD850" s="3" t="s">
        <v>168</v>
      </c>
    </row>
    <row r="851" spans="1:30" ht="15.75" customHeight="1" x14ac:dyDescent="0.2">
      <c r="A851" s="7" t="str">
        <f t="shared" si="109"/>
        <v>SECOTEJ510New Buy</v>
      </c>
      <c r="B851" s="7" t="str">
        <f t="shared" si="110"/>
        <v>iPadNew Buy</v>
      </c>
      <c r="C851">
        <v>408982</v>
      </c>
      <c r="D851" t="s">
        <v>1101</v>
      </c>
      <c r="E851" t="s">
        <v>166</v>
      </c>
      <c r="F851" t="s">
        <v>173</v>
      </c>
      <c r="G851" t="s">
        <v>68</v>
      </c>
      <c r="H851" t="s">
        <v>167</v>
      </c>
      <c r="J851" t="s">
        <v>1107</v>
      </c>
      <c r="L851" t="s">
        <v>736</v>
      </c>
      <c r="M851" s="25">
        <v>133</v>
      </c>
      <c r="N851" s="4">
        <v>125.22</v>
      </c>
      <c r="O851">
        <v>5.3333333300000003</v>
      </c>
      <c r="T851" t="s">
        <v>178</v>
      </c>
      <c r="U851" t="s">
        <v>116</v>
      </c>
      <c r="V851" s="4">
        <v>99.75</v>
      </c>
      <c r="Y851" s="6">
        <f t="shared" si="111"/>
        <v>709.33333289000007</v>
      </c>
      <c r="Z851" s="6">
        <f t="shared" si="112"/>
        <v>531.99999966749999</v>
      </c>
      <c r="AA851" s="6">
        <f t="shared" si="113"/>
        <v>667.83999958260006</v>
      </c>
      <c r="AB851" s="6">
        <f t="shared" si="108"/>
        <v>41.493333307400007</v>
      </c>
      <c r="AC851" t="s">
        <v>33</v>
      </c>
      <c r="AD851" s="3" t="s">
        <v>168</v>
      </c>
    </row>
    <row r="852" spans="1:30" ht="15.75" customHeight="1" x14ac:dyDescent="0.2">
      <c r="A852" s="7" t="str">
        <f t="shared" si="109"/>
        <v>SECOTEJ510New Buy</v>
      </c>
      <c r="B852" s="7" t="str">
        <f t="shared" si="110"/>
        <v>iPadNew Buy</v>
      </c>
      <c r="C852">
        <v>408979</v>
      </c>
      <c r="D852" t="s">
        <v>1101</v>
      </c>
      <c r="E852" t="s">
        <v>166</v>
      </c>
      <c r="F852" t="s">
        <v>173</v>
      </c>
      <c r="G852" t="s">
        <v>68</v>
      </c>
      <c r="H852" t="s">
        <v>167</v>
      </c>
      <c r="J852" t="s">
        <v>1108</v>
      </c>
      <c r="L852" t="s">
        <v>303</v>
      </c>
      <c r="M852" s="25">
        <v>105</v>
      </c>
      <c r="N852" s="4">
        <v>79</v>
      </c>
      <c r="O852">
        <v>1.3333333300000001</v>
      </c>
      <c r="T852" t="s">
        <v>178</v>
      </c>
      <c r="U852" t="s">
        <v>66</v>
      </c>
      <c r="V852" s="4">
        <v>78.75</v>
      </c>
      <c r="Y852" s="6">
        <f t="shared" si="111"/>
        <v>139.99999965000001</v>
      </c>
      <c r="Z852" s="6">
        <f t="shared" si="112"/>
        <v>104.9999997375</v>
      </c>
      <c r="AA852" s="6">
        <f t="shared" si="113"/>
        <v>105.33333307000001</v>
      </c>
      <c r="AB852" s="6">
        <f t="shared" si="108"/>
        <v>34.666666579999998</v>
      </c>
      <c r="AC852" t="s">
        <v>16</v>
      </c>
      <c r="AD852" s="3" t="s">
        <v>168</v>
      </c>
    </row>
    <row r="853" spans="1:30" ht="15.75" customHeight="1" x14ac:dyDescent="0.2">
      <c r="A853" s="7" t="str">
        <f t="shared" si="109"/>
        <v>SECOTEJ510New Buy</v>
      </c>
      <c r="B853" s="7" t="str">
        <f t="shared" si="110"/>
        <v>iPadNew Buy</v>
      </c>
      <c r="C853">
        <v>408977</v>
      </c>
      <c r="D853" t="s">
        <v>1101</v>
      </c>
      <c r="E853" t="s">
        <v>166</v>
      </c>
      <c r="F853" t="s">
        <v>173</v>
      </c>
      <c r="G853" t="s">
        <v>68</v>
      </c>
      <c r="H853" t="s">
        <v>167</v>
      </c>
      <c r="J853" t="s">
        <v>1109</v>
      </c>
      <c r="L853" t="s">
        <v>305</v>
      </c>
      <c r="M853" s="25">
        <v>105</v>
      </c>
      <c r="N853" s="4">
        <v>79</v>
      </c>
      <c r="O853">
        <v>2</v>
      </c>
      <c r="T853" t="s">
        <v>178</v>
      </c>
      <c r="U853" t="s">
        <v>66</v>
      </c>
      <c r="V853" s="4">
        <v>78.75</v>
      </c>
      <c r="Y853" s="6">
        <f t="shared" si="111"/>
        <v>210</v>
      </c>
      <c r="Z853" s="6">
        <f t="shared" si="112"/>
        <v>157.5</v>
      </c>
      <c r="AA853" s="6">
        <f t="shared" si="113"/>
        <v>158</v>
      </c>
      <c r="AB853" s="6">
        <f t="shared" si="108"/>
        <v>52</v>
      </c>
      <c r="AC853" t="s">
        <v>16</v>
      </c>
      <c r="AD853" s="3" t="s">
        <v>168</v>
      </c>
    </row>
    <row r="854" spans="1:30" ht="15.75" customHeight="1" x14ac:dyDescent="0.2">
      <c r="A854" s="7" t="str">
        <f t="shared" si="109"/>
        <v>SECOTEJ510New Buy</v>
      </c>
      <c r="B854" s="7" t="str">
        <f t="shared" si="110"/>
        <v>iPadNew Buy</v>
      </c>
      <c r="C854">
        <v>408973</v>
      </c>
      <c r="D854" t="s">
        <v>1101</v>
      </c>
      <c r="E854" t="s">
        <v>166</v>
      </c>
      <c r="F854" t="s">
        <v>173</v>
      </c>
      <c r="G854" t="s">
        <v>68</v>
      </c>
      <c r="H854" t="s">
        <v>167</v>
      </c>
      <c r="J854" t="s">
        <v>1110</v>
      </c>
      <c r="L854" t="s">
        <v>740</v>
      </c>
      <c r="M854" s="25">
        <v>112</v>
      </c>
      <c r="N854" s="4">
        <v>92</v>
      </c>
      <c r="O854">
        <v>1.3333333300000001</v>
      </c>
      <c r="T854" t="s">
        <v>178</v>
      </c>
      <c r="U854" t="s">
        <v>116</v>
      </c>
      <c r="V854" s="4">
        <v>84</v>
      </c>
      <c r="Y854" s="6">
        <f t="shared" si="111"/>
        <v>149.33333296000001</v>
      </c>
      <c r="Z854" s="6">
        <f t="shared" si="112"/>
        <v>111.99999972000001</v>
      </c>
      <c r="AA854" s="6">
        <f t="shared" si="113"/>
        <v>122.66666636000001</v>
      </c>
      <c r="AB854" s="6">
        <f t="shared" si="108"/>
        <v>26.666666599999999</v>
      </c>
      <c r="AC854" t="s">
        <v>33</v>
      </c>
      <c r="AD854" s="3" t="s">
        <v>168</v>
      </c>
    </row>
    <row r="855" spans="1:30" ht="15.75" customHeight="1" x14ac:dyDescent="0.2">
      <c r="A855" s="7" t="str">
        <f t="shared" si="109"/>
        <v>SECOTEJ510New Buy</v>
      </c>
      <c r="B855" s="7" t="str">
        <f t="shared" si="110"/>
        <v>iPadNew Buy</v>
      </c>
      <c r="C855">
        <v>408970</v>
      </c>
      <c r="D855" t="s">
        <v>1101</v>
      </c>
      <c r="E855" t="s">
        <v>166</v>
      </c>
      <c r="F855" t="s">
        <v>173</v>
      </c>
      <c r="G855" t="s">
        <v>68</v>
      </c>
      <c r="H855" t="s">
        <v>167</v>
      </c>
      <c r="J855" t="s">
        <v>1111</v>
      </c>
      <c r="L855" t="s">
        <v>742</v>
      </c>
      <c r="M855" s="25">
        <v>112</v>
      </c>
      <c r="N855" s="4">
        <v>110</v>
      </c>
      <c r="O855">
        <v>0.66666667000000002</v>
      </c>
      <c r="T855" t="s">
        <v>178</v>
      </c>
      <c r="U855" t="s">
        <v>116</v>
      </c>
      <c r="V855" s="4">
        <v>84</v>
      </c>
      <c r="Y855" s="6">
        <f t="shared" si="111"/>
        <v>74.666667040000007</v>
      </c>
      <c r="Z855" s="6">
        <f t="shared" si="112"/>
        <v>56.000000280000002</v>
      </c>
      <c r="AA855" s="6">
        <f t="shared" si="113"/>
        <v>73.333333699999997</v>
      </c>
      <c r="AB855" s="6">
        <f t="shared" si="108"/>
        <v>1.33333334000001</v>
      </c>
      <c r="AC855" t="s">
        <v>33</v>
      </c>
      <c r="AD855" s="3" t="s">
        <v>168</v>
      </c>
    </row>
    <row r="856" spans="1:30" ht="15.75" customHeight="1" x14ac:dyDescent="0.2">
      <c r="A856" s="7" t="str">
        <f t="shared" si="109"/>
        <v>SECOTEJ510New Buy</v>
      </c>
      <c r="B856" s="7" t="str">
        <f t="shared" si="110"/>
        <v>iPadNew Buy</v>
      </c>
      <c r="C856">
        <v>408967</v>
      </c>
      <c r="D856" t="s">
        <v>1101</v>
      </c>
      <c r="E856" t="s">
        <v>166</v>
      </c>
      <c r="F856" t="s">
        <v>173</v>
      </c>
      <c r="G856" t="s">
        <v>68</v>
      </c>
      <c r="H856" t="s">
        <v>167</v>
      </c>
      <c r="J856" t="s">
        <v>1112</v>
      </c>
      <c r="L856" t="s">
        <v>307</v>
      </c>
      <c r="M856" s="25">
        <v>105</v>
      </c>
      <c r="N856" s="4">
        <v>80</v>
      </c>
      <c r="O856">
        <v>1.3333333300000001</v>
      </c>
      <c r="T856" t="s">
        <v>178</v>
      </c>
      <c r="U856" t="s">
        <v>116</v>
      </c>
      <c r="V856" s="4">
        <v>56.25</v>
      </c>
      <c r="Y856" s="6">
        <f t="shared" si="111"/>
        <v>139.99999965000001</v>
      </c>
      <c r="Z856" s="6">
        <f t="shared" si="112"/>
        <v>74.999999812500008</v>
      </c>
      <c r="AA856" s="6">
        <f t="shared" si="113"/>
        <v>106.66666640000001</v>
      </c>
      <c r="AB856" s="6">
        <f t="shared" si="108"/>
        <v>33.333333249999995</v>
      </c>
      <c r="AC856" t="s">
        <v>33</v>
      </c>
      <c r="AD856" s="3" t="s">
        <v>168</v>
      </c>
    </row>
    <row r="857" spans="1:30" ht="15.75" customHeight="1" x14ac:dyDescent="0.2">
      <c r="A857" s="7" t="str">
        <f t="shared" si="109"/>
        <v>SECOTEJ510New Buy</v>
      </c>
      <c r="B857" s="7" t="str">
        <f t="shared" si="110"/>
        <v>iPadNew Buy</v>
      </c>
      <c r="C857">
        <v>408966</v>
      </c>
      <c r="D857" t="s">
        <v>1101</v>
      </c>
      <c r="E857" t="s">
        <v>166</v>
      </c>
      <c r="F857" t="s">
        <v>173</v>
      </c>
      <c r="G857" t="s">
        <v>68</v>
      </c>
      <c r="H857" t="s">
        <v>167</v>
      </c>
      <c r="J857" t="s">
        <v>1112</v>
      </c>
      <c r="L857" t="s">
        <v>307</v>
      </c>
      <c r="M857" s="25">
        <v>75</v>
      </c>
      <c r="N857" s="4">
        <v>63</v>
      </c>
      <c r="O857">
        <v>0.66666667000000002</v>
      </c>
      <c r="T857" t="s">
        <v>178</v>
      </c>
      <c r="U857" t="s">
        <v>66</v>
      </c>
      <c r="V857" s="4">
        <v>56.25</v>
      </c>
      <c r="Y857" s="6">
        <f t="shared" si="111"/>
        <v>50.000000249999999</v>
      </c>
      <c r="Z857" s="6">
        <f t="shared" si="112"/>
        <v>37.5000001875</v>
      </c>
      <c r="AA857" s="6">
        <f t="shared" si="113"/>
        <v>42.000000210000003</v>
      </c>
      <c r="AB857" s="6">
        <f t="shared" si="108"/>
        <v>8.0000000399999962</v>
      </c>
      <c r="AC857" t="s">
        <v>16</v>
      </c>
      <c r="AD857" s="3" t="s">
        <v>168</v>
      </c>
    </row>
    <row r="858" spans="1:30" ht="15.75" customHeight="1" x14ac:dyDescent="0.2">
      <c r="A858" s="7" t="str">
        <f t="shared" si="109"/>
        <v>SECOTEJ510New Buy</v>
      </c>
      <c r="B858" s="7" t="str">
        <f t="shared" si="110"/>
        <v>iPadNew Buy</v>
      </c>
      <c r="C858">
        <v>408959</v>
      </c>
      <c r="D858" t="s">
        <v>1101</v>
      </c>
      <c r="E858" t="s">
        <v>166</v>
      </c>
      <c r="F858" t="s">
        <v>173</v>
      </c>
      <c r="G858" t="s">
        <v>68</v>
      </c>
      <c r="H858" t="s">
        <v>167</v>
      </c>
      <c r="J858" t="s">
        <v>1113</v>
      </c>
      <c r="L858" t="s">
        <v>309</v>
      </c>
      <c r="M858" s="25">
        <v>105</v>
      </c>
      <c r="N858" s="4">
        <v>85.1</v>
      </c>
      <c r="O858">
        <v>10.6666667</v>
      </c>
      <c r="T858" t="s">
        <v>178</v>
      </c>
      <c r="U858" t="s">
        <v>116</v>
      </c>
      <c r="V858" s="4">
        <v>56.25</v>
      </c>
      <c r="Y858" s="6">
        <f t="shared" si="111"/>
        <v>1120.0000035</v>
      </c>
      <c r="Z858" s="6">
        <f t="shared" si="112"/>
        <v>600.00000187500007</v>
      </c>
      <c r="AA858" s="6">
        <f t="shared" si="113"/>
        <v>907.73333616999992</v>
      </c>
      <c r="AB858" s="6">
        <f t="shared" si="108"/>
        <v>212.26666733000013</v>
      </c>
      <c r="AC858" t="s">
        <v>33</v>
      </c>
      <c r="AD858" s="3" t="s">
        <v>168</v>
      </c>
    </row>
    <row r="859" spans="1:30" ht="15.75" customHeight="1" x14ac:dyDescent="0.2">
      <c r="A859" s="7" t="str">
        <f t="shared" si="109"/>
        <v>SECOTEJ510New Buy</v>
      </c>
      <c r="B859" s="7" t="str">
        <f t="shared" si="110"/>
        <v>iPadNew Buy</v>
      </c>
      <c r="C859">
        <v>408958</v>
      </c>
      <c r="D859" t="s">
        <v>1101</v>
      </c>
      <c r="E859" t="s">
        <v>166</v>
      </c>
      <c r="F859" t="s">
        <v>173</v>
      </c>
      <c r="G859" t="s">
        <v>68</v>
      </c>
      <c r="H859" t="s">
        <v>167</v>
      </c>
      <c r="J859" t="s">
        <v>1113</v>
      </c>
      <c r="L859" t="s">
        <v>309</v>
      </c>
      <c r="M859" s="25">
        <v>75</v>
      </c>
      <c r="N859" s="4">
        <v>63</v>
      </c>
      <c r="O859">
        <v>1.3333333300000001</v>
      </c>
      <c r="T859" t="s">
        <v>178</v>
      </c>
      <c r="U859" t="s">
        <v>66</v>
      </c>
      <c r="V859" s="4">
        <v>56.25</v>
      </c>
      <c r="Y859" s="6">
        <f t="shared" si="111"/>
        <v>99.999999750000001</v>
      </c>
      <c r="Z859" s="6">
        <f t="shared" si="112"/>
        <v>74.999999812500008</v>
      </c>
      <c r="AA859" s="6">
        <f t="shared" si="113"/>
        <v>83.999999790000004</v>
      </c>
      <c r="AB859" s="6">
        <f t="shared" si="108"/>
        <v>15.999999959999997</v>
      </c>
      <c r="AC859" t="s">
        <v>16</v>
      </c>
      <c r="AD859" s="3" t="s">
        <v>168</v>
      </c>
    </row>
    <row r="860" spans="1:30" ht="15.75" customHeight="1" x14ac:dyDescent="0.2">
      <c r="A860" s="7" t="str">
        <f t="shared" si="109"/>
        <v>SECOTEJ510New Buy</v>
      </c>
      <c r="B860" s="7" t="str">
        <f t="shared" si="110"/>
        <v>iPadNew Buy</v>
      </c>
      <c r="C860">
        <v>408956</v>
      </c>
      <c r="D860" t="s">
        <v>1101</v>
      </c>
      <c r="E860" t="s">
        <v>166</v>
      </c>
      <c r="F860" t="s">
        <v>173</v>
      </c>
      <c r="G860" t="s">
        <v>68</v>
      </c>
      <c r="H860" t="s">
        <v>167</v>
      </c>
      <c r="J860" t="s">
        <v>1114</v>
      </c>
      <c r="L860" t="s">
        <v>746</v>
      </c>
      <c r="M860" s="25">
        <v>259</v>
      </c>
      <c r="N860" s="4">
        <v>203.2</v>
      </c>
      <c r="O860">
        <v>5.3333333300000003</v>
      </c>
      <c r="T860" t="s">
        <v>178</v>
      </c>
      <c r="U860" t="s">
        <v>116</v>
      </c>
      <c r="V860" s="4">
        <v>194.25</v>
      </c>
      <c r="Y860" s="6">
        <f t="shared" si="111"/>
        <v>1381.3333324700002</v>
      </c>
      <c r="Z860" s="6">
        <f t="shared" si="112"/>
        <v>1035.9999993525</v>
      </c>
      <c r="AA860" s="6">
        <f t="shared" si="113"/>
        <v>1083.7333326559999</v>
      </c>
      <c r="AB860" s="6">
        <f t="shared" si="108"/>
        <v>297.59999981400028</v>
      </c>
      <c r="AC860" t="s">
        <v>33</v>
      </c>
      <c r="AD860" s="3" t="s">
        <v>168</v>
      </c>
    </row>
    <row r="861" spans="1:30" ht="15.75" customHeight="1" x14ac:dyDescent="0.2">
      <c r="A861" s="7" t="str">
        <f t="shared" si="109"/>
        <v>SECOTEJ510New Buy</v>
      </c>
      <c r="B861" s="7" t="str">
        <f t="shared" si="110"/>
        <v>iPadNew Buy</v>
      </c>
      <c r="C861">
        <v>408953</v>
      </c>
      <c r="D861" t="s">
        <v>1101</v>
      </c>
      <c r="E861" t="s">
        <v>166</v>
      </c>
      <c r="F861" t="s">
        <v>173</v>
      </c>
      <c r="G861" t="s">
        <v>68</v>
      </c>
      <c r="H861" t="s">
        <v>167</v>
      </c>
      <c r="J861" t="s">
        <v>1115</v>
      </c>
      <c r="L861" t="s">
        <v>748</v>
      </c>
      <c r="M861" s="25">
        <v>259</v>
      </c>
      <c r="N861" s="4">
        <v>203.2</v>
      </c>
      <c r="O861">
        <v>1.3333333300000001</v>
      </c>
      <c r="T861" t="s">
        <v>178</v>
      </c>
      <c r="U861" t="s">
        <v>116</v>
      </c>
      <c r="V861" s="4">
        <v>194.25</v>
      </c>
      <c r="Y861" s="6">
        <f t="shared" si="111"/>
        <v>345.33333247000002</v>
      </c>
      <c r="Z861" s="6">
        <f t="shared" si="112"/>
        <v>258.99999935250003</v>
      </c>
      <c r="AA861" s="6">
        <f t="shared" si="113"/>
        <v>270.933332656</v>
      </c>
      <c r="AB861" s="6">
        <f t="shared" si="108"/>
        <v>74.399999814000012</v>
      </c>
      <c r="AC861" t="s">
        <v>33</v>
      </c>
      <c r="AD861" s="3" t="s">
        <v>168</v>
      </c>
    </row>
    <row r="862" spans="1:30" ht="15.75" customHeight="1" x14ac:dyDescent="0.2">
      <c r="A862" s="7" t="str">
        <f t="shared" si="109"/>
        <v>SECOTEJ510New Buy</v>
      </c>
      <c r="B862" s="7" t="str">
        <f t="shared" si="110"/>
        <v>iPadNew Buy</v>
      </c>
      <c r="C862">
        <v>408950</v>
      </c>
      <c r="D862" t="s">
        <v>1101</v>
      </c>
      <c r="E862" t="s">
        <v>166</v>
      </c>
      <c r="F862" t="s">
        <v>173</v>
      </c>
      <c r="G862" t="s">
        <v>68</v>
      </c>
      <c r="H862" t="s">
        <v>167</v>
      </c>
      <c r="J862" t="s">
        <v>1116</v>
      </c>
      <c r="L862" t="s">
        <v>750</v>
      </c>
      <c r="M862" s="25">
        <v>126</v>
      </c>
      <c r="N862" s="4">
        <v>95</v>
      </c>
      <c r="O862">
        <v>1</v>
      </c>
      <c r="T862" t="s">
        <v>178</v>
      </c>
      <c r="U862" t="s">
        <v>116</v>
      </c>
      <c r="V862" s="4">
        <v>94.5</v>
      </c>
      <c r="Y862" s="6">
        <f t="shared" si="111"/>
        <v>126</v>
      </c>
      <c r="Z862" s="6">
        <f t="shared" si="112"/>
        <v>94.5</v>
      </c>
      <c r="AA862" s="6">
        <f t="shared" si="113"/>
        <v>95</v>
      </c>
      <c r="AB862" s="6">
        <f t="shared" si="108"/>
        <v>31</v>
      </c>
      <c r="AC862" t="s">
        <v>33</v>
      </c>
      <c r="AD862" s="3" t="s">
        <v>168</v>
      </c>
    </row>
    <row r="863" spans="1:30" ht="15.75" customHeight="1" x14ac:dyDescent="0.2">
      <c r="A863" s="7" t="str">
        <f t="shared" si="109"/>
        <v>SECOTEJ510New Buy</v>
      </c>
      <c r="B863" s="7" t="str">
        <f t="shared" si="110"/>
        <v>iPadNew Buy</v>
      </c>
      <c r="C863">
        <v>408947</v>
      </c>
      <c r="D863" t="s">
        <v>1101</v>
      </c>
      <c r="E863" t="s">
        <v>166</v>
      </c>
      <c r="F863" t="s">
        <v>173</v>
      </c>
      <c r="G863" t="s">
        <v>68</v>
      </c>
      <c r="H863" t="s">
        <v>167</v>
      </c>
      <c r="J863" t="s">
        <v>1117</v>
      </c>
      <c r="L863" t="s">
        <v>752</v>
      </c>
      <c r="M863" s="25">
        <v>126</v>
      </c>
      <c r="N863" s="4">
        <v>86.55</v>
      </c>
      <c r="O863">
        <v>1.3333333300000001</v>
      </c>
      <c r="T863" t="s">
        <v>178</v>
      </c>
      <c r="U863" t="s">
        <v>116</v>
      </c>
      <c r="V863" s="4">
        <v>94.5</v>
      </c>
      <c r="Y863" s="6">
        <f t="shared" si="111"/>
        <v>167.99999958000001</v>
      </c>
      <c r="Z863" s="6">
        <f t="shared" si="112"/>
        <v>125.99999968500001</v>
      </c>
      <c r="AA863" s="6">
        <f t="shared" si="113"/>
        <v>115.3999997115</v>
      </c>
      <c r="AB863" s="6">
        <f t="shared" si="108"/>
        <v>52.599999868500007</v>
      </c>
      <c r="AC863" t="s">
        <v>33</v>
      </c>
      <c r="AD863" s="3" t="s">
        <v>168</v>
      </c>
    </row>
    <row r="864" spans="1:30" ht="15.75" customHeight="1" x14ac:dyDescent="0.2">
      <c r="A864" s="7" t="str">
        <f t="shared" si="109"/>
        <v>SECOTEJ510New Buy</v>
      </c>
      <c r="B864" s="7" t="str">
        <f t="shared" si="110"/>
        <v>iPadNew Buy</v>
      </c>
      <c r="C864">
        <v>408944</v>
      </c>
      <c r="D864" t="s">
        <v>1101</v>
      </c>
      <c r="E864" t="s">
        <v>166</v>
      </c>
      <c r="F864" t="s">
        <v>173</v>
      </c>
      <c r="G864" t="s">
        <v>68</v>
      </c>
      <c r="H864" t="s">
        <v>167</v>
      </c>
      <c r="J864" t="s">
        <v>1118</v>
      </c>
      <c r="L864" t="s">
        <v>311</v>
      </c>
      <c r="M864" s="25">
        <v>260.39999999999998</v>
      </c>
      <c r="N864" s="4">
        <v>177.8</v>
      </c>
      <c r="O864">
        <v>2.6666666700000001</v>
      </c>
      <c r="T864" t="s">
        <v>178</v>
      </c>
      <c r="U864" t="s">
        <v>116</v>
      </c>
      <c r="V864" s="4">
        <v>139.5</v>
      </c>
      <c r="Y864" s="6">
        <f t="shared" si="111"/>
        <v>694.40000086800001</v>
      </c>
      <c r="Z864" s="6">
        <f t="shared" si="112"/>
        <v>372.00000046500003</v>
      </c>
      <c r="AA864" s="6">
        <f t="shared" si="113"/>
        <v>474.13333392600003</v>
      </c>
      <c r="AB864" s="6">
        <f t="shared" si="108"/>
        <v>220.26666694199997</v>
      </c>
      <c r="AC864" t="s">
        <v>33</v>
      </c>
      <c r="AD864" s="3" t="s">
        <v>168</v>
      </c>
    </row>
    <row r="865" spans="1:30" ht="15.75" customHeight="1" x14ac:dyDescent="0.2">
      <c r="A865" s="7" t="str">
        <f t="shared" si="109"/>
        <v>SECOTEJ510New Buy</v>
      </c>
      <c r="B865" s="7" t="str">
        <f t="shared" si="110"/>
        <v>iPadNew Buy</v>
      </c>
      <c r="C865">
        <v>408943</v>
      </c>
      <c r="D865" t="s">
        <v>1101</v>
      </c>
      <c r="E865" t="s">
        <v>166</v>
      </c>
      <c r="F865" t="s">
        <v>173</v>
      </c>
      <c r="G865" t="s">
        <v>68</v>
      </c>
      <c r="H865" t="s">
        <v>167</v>
      </c>
      <c r="J865" t="s">
        <v>1118</v>
      </c>
      <c r="L865" t="s">
        <v>311</v>
      </c>
      <c r="M865" s="25">
        <v>186</v>
      </c>
      <c r="N865" s="4">
        <v>140</v>
      </c>
      <c r="O865">
        <v>2.6666666700000001</v>
      </c>
      <c r="T865" t="s">
        <v>178</v>
      </c>
      <c r="U865" t="s">
        <v>66</v>
      </c>
      <c r="V865" s="4">
        <v>139.5</v>
      </c>
      <c r="Y865" s="6">
        <f t="shared" si="111"/>
        <v>496.00000062000004</v>
      </c>
      <c r="Z865" s="6">
        <f t="shared" si="112"/>
        <v>372.00000046500003</v>
      </c>
      <c r="AA865" s="6">
        <f t="shared" si="113"/>
        <v>373.33333379999999</v>
      </c>
      <c r="AB865" s="6">
        <f t="shared" si="108"/>
        <v>122.66666682000005</v>
      </c>
      <c r="AC865" t="s">
        <v>16</v>
      </c>
      <c r="AD865" s="3" t="s">
        <v>168</v>
      </c>
    </row>
    <row r="866" spans="1:30" ht="15.75" customHeight="1" x14ac:dyDescent="0.2">
      <c r="A866" s="7" t="str">
        <f t="shared" si="109"/>
        <v>SECOTEJ510New Buy</v>
      </c>
      <c r="B866" s="7" t="str">
        <f t="shared" si="110"/>
        <v>iPadNew Buy</v>
      </c>
      <c r="C866">
        <v>408936</v>
      </c>
      <c r="D866" t="s">
        <v>1101</v>
      </c>
      <c r="E866" t="s">
        <v>166</v>
      </c>
      <c r="F866" t="s">
        <v>173</v>
      </c>
      <c r="G866" t="s">
        <v>68</v>
      </c>
      <c r="H866" t="s">
        <v>167</v>
      </c>
      <c r="J866" t="s">
        <v>1119</v>
      </c>
      <c r="L866" t="s">
        <v>313</v>
      </c>
      <c r="M866" s="25">
        <v>1117</v>
      </c>
      <c r="N866" s="4">
        <v>761.06</v>
      </c>
      <c r="O866">
        <v>3</v>
      </c>
      <c r="T866" t="s">
        <v>178</v>
      </c>
      <c r="U866" t="s">
        <v>116</v>
      </c>
      <c r="V866" s="4">
        <v>598.5</v>
      </c>
      <c r="Y866" s="6">
        <f t="shared" si="111"/>
        <v>3351</v>
      </c>
      <c r="Z866" s="6">
        <f t="shared" si="112"/>
        <v>1795.5</v>
      </c>
      <c r="AA866" s="6">
        <f t="shared" si="113"/>
        <v>2283.1799999999998</v>
      </c>
      <c r="AB866" s="6">
        <f t="shared" si="108"/>
        <v>1067.8200000000002</v>
      </c>
      <c r="AC866" t="s">
        <v>33</v>
      </c>
      <c r="AD866" s="3" t="s">
        <v>168</v>
      </c>
    </row>
    <row r="867" spans="1:30" ht="15.75" customHeight="1" x14ac:dyDescent="0.2">
      <c r="A867" s="7" t="str">
        <f t="shared" si="109"/>
        <v>SECOTEJ510New Buy</v>
      </c>
      <c r="B867" s="7" t="str">
        <f t="shared" si="110"/>
        <v>iPadNew Buy</v>
      </c>
      <c r="C867">
        <v>408935</v>
      </c>
      <c r="D867" t="s">
        <v>1101</v>
      </c>
      <c r="E867" t="s">
        <v>166</v>
      </c>
      <c r="F867" t="s">
        <v>173</v>
      </c>
      <c r="G867" t="s">
        <v>68</v>
      </c>
      <c r="H867" t="s">
        <v>167</v>
      </c>
      <c r="J867" t="s">
        <v>1119</v>
      </c>
      <c r="L867" t="s">
        <v>313</v>
      </c>
      <c r="M867" s="25">
        <v>798</v>
      </c>
      <c r="N867" s="4">
        <v>599</v>
      </c>
      <c r="O867">
        <v>2</v>
      </c>
      <c r="T867" t="s">
        <v>178</v>
      </c>
      <c r="U867" t="s">
        <v>66</v>
      </c>
      <c r="V867" s="4">
        <v>598.5</v>
      </c>
      <c r="Y867" s="6">
        <f t="shared" si="111"/>
        <v>1596</v>
      </c>
      <c r="Z867" s="6">
        <f t="shared" si="112"/>
        <v>1197</v>
      </c>
      <c r="AA867" s="6">
        <f t="shared" si="113"/>
        <v>1198</v>
      </c>
      <c r="AB867" s="6">
        <f t="shared" si="108"/>
        <v>398</v>
      </c>
      <c r="AC867" t="s">
        <v>16</v>
      </c>
      <c r="AD867" s="3" t="s">
        <v>168</v>
      </c>
    </row>
    <row r="868" spans="1:30" ht="15.75" customHeight="1" x14ac:dyDescent="0.2">
      <c r="A868" s="7" t="str">
        <f t="shared" si="109"/>
        <v>SECOTEJ510New Buy</v>
      </c>
      <c r="B868" s="7" t="str">
        <f t="shared" si="110"/>
        <v>iPadNew Buy</v>
      </c>
      <c r="C868">
        <v>408928</v>
      </c>
      <c r="D868" t="s">
        <v>1101</v>
      </c>
      <c r="E868" t="s">
        <v>166</v>
      </c>
      <c r="F868" t="s">
        <v>173</v>
      </c>
      <c r="G868" t="s">
        <v>68</v>
      </c>
      <c r="H868" t="s">
        <v>167</v>
      </c>
      <c r="J868" t="s">
        <v>1120</v>
      </c>
      <c r="L868" t="s">
        <v>762</v>
      </c>
      <c r="M868" s="25">
        <v>476</v>
      </c>
      <c r="N868" s="4">
        <v>439</v>
      </c>
      <c r="O868">
        <v>2</v>
      </c>
      <c r="T868" t="s">
        <v>178</v>
      </c>
      <c r="U868" t="s">
        <v>116</v>
      </c>
      <c r="V868" s="4">
        <v>357</v>
      </c>
      <c r="Y868" s="6">
        <f t="shared" si="111"/>
        <v>952</v>
      </c>
      <c r="Z868" s="6">
        <f t="shared" si="112"/>
        <v>714</v>
      </c>
      <c r="AA868" s="6">
        <f t="shared" si="113"/>
        <v>878</v>
      </c>
      <c r="AB868" s="6">
        <f t="shared" si="108"/>
        <v>74</v>
      </c>
      <c r="AC868" t="s">
        <v>33</v>
      </c>
      <c r="AD868" s="3" t="s">
        <v>168</v>
      </c>
    </row>
    <row r="869" spans="1:30" ht="15.75" customHeight="1" x14ac:dyDescent="0.2">
      <c r="A869" s="7" t="str">
        <f t="shared" si="109"/>
        <v>SECOTEJ510New Buy</v>
      </c>
      <c r="B869" s="7" t="str">
        <f t="shared" si="110"/>
        <v>iPadNew Buy</v>
      </c>
      <c r="C869">
        <v>408924</v>
      </c>
      <c r="D869" t="s">
        <v>1101</v>
      </c>
      <c r="E869" t="s">
        <v>166</v>
      </c>
      <c r="F869" t="s">
        <v>173</v>
      </c>
      <c r="G869" t="s">
        <v>68</v>
      </c>
      <c r="H869" t="s">
        <v>167</v>
      </c>
      <c r="J869" t="s">
        <v>1121</v>
      </c>
      <c r="L869" t="s">
        <v>766</v>
      </c>
      <c r="M869" s="25">
        <v>476</v>
      </c>
      <c r="N869" s="4">
        <v>439</v>
      </c>
      <c r="O869">
        <v>3</v>
      </c>
      <c r="T869" t="s">
        <v>178</v>
      </c>
      <c r="U869" t="s">
        <v>116</v>
      </c>
      <c r="V869" s="4">
        <v>357</v>
      </c>
      <c r="Y869" s="6">
        <f t="shared" si="111"/>
        <v>1428</v>
      </c>
      <c r="Z869" s="6">
        <f t="shared" si="112"/>
        <v>1071</v>
      </c>
      <c r="AA869" s="6">
        <f t="shared" si="113"/>
        <v>1317</v>
      </c>
      <c r="AB869" s="6">
        <f t="shared" ref="AB869:AB932" si="114">IF(AA869=0,0,Y869-AA869)</f>
        <v>111</v>
      </c>
      <c r="AC869" t="s">
        <v>33</v>
      </c>
      <c r="AD869" s="3" t="s">
        <v>168</v>
      </c>
    </row>
    <row r="870" spans="1:30" ht="15.75" customHeight="1" x14ac:dyDescent="0.2">
      <c r="A870" s="7" t="str">
        <f t="shared" si="109"/>
        <v>SECOTEJ510New Buy</v>
      </c>
      <c r="B870" s="7" t="str">
        <f t="shared" si="110"/>
        <v>iPadNew Buy</v>
      </c>
      <c r="C870">
        <v>408919</v>
      </c>
      <c r="D870" t="s">
        <v>1101</v>
      </c>
      <c r="E870" t="s">
        <v>166</v>
      </c>
      <c r="F870" t="s">
        <v>173</v>
      </c>
      <c r="G870" t="s">
        <v>68</v>
      </c>
      <c r="H870" t="s">
        <v>167</v>
      </c>
      <c r="J870" t="s">
        <v>1122</v>
      </c>
      <c r="L870" t="s">
        <v>315</v>
      </c>
      <c r="M870" s="25">
        <v>120.4</v>
      </c>
      <c r="N870" s="4">
        <v>88</v>
      </c>
      <c r="O870">
        <v>2</v>
      </c>
      <c r="T870" t="s">
        <v>178</v>
      </c>
      <c r="U870" t="s">
        <v>116</v>
      </c>
      <c r="V870" s="4">
        <v>64.5</v>
      </c>
      <c r="Y870" s="6">
        <f t="shared" si="111"/>
        <v>240.8</v>
      </c>
      <c r="Z870" s="6">
        <f t="shared" si="112"/>
        <v>129</v>
      </c>
      <c r="AA870" s="6">
        <f t="shared" si="113"/>
        <v>176</v>
      </c>
      <c r="AB870" s="6">
        <f t="shared" si="114"/>
        <v>64.800000000000011</v>
      </c>
      <c r="AC870" t="s">
        <v>33</v>
      </c>
      <c r="AD870" s="3" t="s">
        <v>168</v>
      </c>
    </row>
    <row r="871" spans="1:30" ht="15.75" customHeight="1" x14ac:dyDescent="0.2">
      <c r="A871" s="7" t="str">
        <f t="shared" si="109"/>
        <v>SECOTEJ510New Buy</v>
      </c>
      <c r="B871" s="7" t="str">
        <f t="shared" si="110"/>
        <v>iPadNew Buy</v>
      </c>
      <c r="C871">
        <v>408918</v>
      </c>
      <c r="D871" t="s">
        <v>1101</v>
      </c>
      <c r="E871" t="s">
        <v>166</v>
      </c>
      <c r="F871" t="s">
        <v>173</v>
      </c>
      <c r="G871" t="s">
        <v>68</v>
      </c>
      <c r="H871" t="s">
        <v>167</v>
      </c>
      <c r="J871" t="s">
        <v>1122</v>
      </c>
      <c r="L871" t="s">
        <v>315</v>
      </c>
      <c r="M871" s="25">
        <v>86</v>
      </c>
      <c r="N871" s="4">
        <v>65</v>
      </c>
      <c r="O871">
        <v>2</v>
      </c>
      <c r="T871" t="s">
        <v>178</v>
      </c>
      <c r="U871" t="s">
        <v>66</v>
      </c>
      <c r="V871" s="4">
        <v>64.5</v>
      </c>
      <c r="Y871" s="6">
        <f t="shared" si="111"/>
        <v>172</v>
      </c>
      <c r="Z871" s="6">
        <f t="shared" si="112"/>
        <v>129</v>
      </c>
      <c r="AA871" s="6">
        <f t="shared" si="113"/>
        <v>130</v>
      </c>
      <c r="AB871" s="6">
        <f t="shared" si="114"/>
        <v>42</v>
      </c>
      <c r="AC871" t="s">
        <v>16</v>
      </c>
      <c r="AD871" s="3" t="s">
        <v>168</v>
      </c>
    </row>
    <row r="872" spans="1:30" ht="15.75" customHeight="1" x14ac:dyDescent="0.2">
      <c r="A872" s="7" t="str">
        <f t="shared" si="109"/>
        <v>SECOTEJ510New Buy</v>
      </c>
      <c r="B872" s="7" t="str">
        <f t="shared" si="110"/>
        <v>iPadNew Buy</v>
      </c>
      <c r="C872">
        <v>408915</v>
      </c>
      <c r="D872" t="s">
        <v>1101</v>
      </c>
      <c r="E872" t="s">
        <v>166</v>
      </c>
      <c r="F872" t="s">
        <v>173</v>
      </c>
      <c r="G872" t="s">
        <v>68</v>
      </c>
      <c r="H872" t="s">
        <v>167</v>
      </c>
      <c r="J872" t="s">
        <v>1123</v>
      </c>
      <c r="L872" t="s">
        <v>317</v>
      </c>
      <c r="M872" s="25">
        <v>120.4</v>
      </c>
      <c r="N872" s="4">
        <v>82.79</v>
      </c>
      <c r="O872">
        <v>390</v>
      </c>
      <c r="T872" t="s">
        <v>178</v>
      </c>
      <c r="U872" t="s">
        <v>116</v>
      </c>
      <c r="V872" s="4">
        <v>64.5</v>
      </c>
      <c r="Y872" s="6">
        <f t="shared" si="111"/>
        <v>46956</v>
      </c>
      <c r="Z872" s="6">
        <f t="shared" si="112"/>
        <v>25155</v>
      </c>
      <c r="AA872" s="6">
        <f t="shared" si="113"/>
        <v>32288.100000000002</v>
      </c>
      <c r="AB872" s="6">
        <f t="shared" si="114"/>
        <v>14667.899999999998</v>
      </c>
      <c r="AC872" t="s">
        <v>33</v>
      </c>
      <c r="AD872" s="3" t="s">
        <v>168</v>
      </c>
    </row>
    <row r="873" spans="1:30" ht="15.75" customHeight="1" x14ac:dyDescent="0.2">
      <c r="A873" s="7" t="str">
        <f t="shared" si="109"/>
        <v>SECOTEJ510New Buy</v>
      </c>
      <c r="B873" s="7" t="str">
        <f t="shared" si="110"/>
        <v>iPadNew Buy</v>
      </c>
      <c r="C873">
        <v>408914</v>
      </c>
      <c r="D873" t="s">
        <v>1101</v>
      </c>
      <c r="E873" t="s">
        <v>166</v>
      </c>
      <c r="F873" t="s">
        <v>173</v>
      </c>
      <c r="G873" t="s">
        <v>68</v>
      </c>
      <c r="H873" t="s">
        <v>167</v>
      </c>
      <c r="J873" t="s">
        <v>1123</v>
      </c>
      <c r="L873" t="s">
        <v>317</v>
      </c>
      <c r="M873" s="25">
        <v>86</v>
      </c>
      <c r="N873" s="4">
        <v>65</v>
      </c>
      <c r="O873">
        <v>322</v>
      </c>
      <c r="T873" t="s">
        <v>178</v>
      </c>
      <c r="U873" t="s">
        <v>66</v>
      </c>
      <c r="V873" s="4">
        <v>64.5</v>
      </c>
      <c r="Y873" s="6">
        <f t="shared" si="111"/>
        <v>27692</v>
      </c>
      <c r="Z873" s="6">
        <f t="shared" si="112"/>
        <v>20769</v>
      </c>
      <c r="AA873" s="6">
        <f t="shared" si="113"/>
        <v>20930</v>
      </c>
      <c r="AB873" s="6">
        <f t="shared" si="114"/>
        <v>6762</v>
      </c>
      <c r="AC873" t="s">
        <v>16</v>
      </c>
      <c r="AD873" s="3" t="s">
        <v>168</v>
      </c>
    </row>
    <row r="874" spans="1:30" ht="15.75" customHeight="1" x14ac:dyDescent="0.2">
      <c r="A874" s="7" t="str">
        <f t="shared" si="109"/>
        <v>SECOTEJ510New Buy</v>
      </c>
      <c r="B874" s="7" t="str">
        <f t="shared" si="110"/>
        <v>iPadNew Buy</v>
      </c>
      <c r="C874">
        <v>408910</v>
      </c>
      <c r="D874" t="s">
        <v>1101</v>
      </c>
      <c r="E874" t="s">
        <v>166</v>
      </c>
      <c r="F874" t="s">
        <v>173</v>
      </c>
      <c r="G874" t="s">
        <v>68</v>
      </c>
      <c r="H874" t="s">
        <v>167</v>
      </c>
      <c r="J874" t="s">
        <v>1124</v>
      </c>
      <c r="L874" t="s">
        <v>319</v>
      </c>
      <c r="M874" s="25">
        <v>120.4</v>
      </c>
      <c r="N874" s="4">
        <v>82.79</v>
      </c>
      <c r="O874">
        <v>585</v>
      </c>
      <c r="T874" t="s">
        <v>178</v>
      </c>
      <c r="U874" t="s">
        <v>116</v>
      </c>
      <c r="V874" s="4">
        <v>64.5</v>
      </c>
      <c r="Y874" s="6">
        <f t="shared" si="111"/>
        <v>70434</v>
      </c>
      <c r="Z874" s="6">
        <f t="shared" si="112"/>
        <v>37732.5</v>
      </c>
      <c r="AA874" s="6">
        <f t="shared" si="113"/>
        <v>48432.15</v>
      </c>
      <c r="AB874" s="6">
        <f t="shared" si="114"/>
        <v>22001.85</v>
      </c>
      <c r="AC874" t="s">
        <v>33</v>
      </c>
      <c r="AD874" s="3" t="s">
        <v>168</v>
      </c>
    </row>
    <row r="875" spans="1:30" ht="15.75" customHeight="1" x14ac:dyDescent="0.2">
      <c r="A875" s="7" t="str">
        <f t="shared" si="109"/>
        <v>SECOTEJ510New Buy</v>
      </c>
      <c r="B875" s="7" t="str">
        <f t="shared" si="110"/>
        <v>iPadNew Buy</v>
      </c>
      <c r="C875">
        <v>408909</v>
      </c>
      <c r="D875" t="s">
        <v>1101</v>
      </c>
      <c r="E875" t="s">
        <v>166</v>
      </c>
      <c r="F875" t="s">
        <v>173</v>
      </c>
      <c r="G875" t="s">
        <v>68</v>
      </c>
      <c r="H875" t="s">
        <v>167</v>
      </c>
      <c r="J875" t="s">
        <v>1124</v>
      </c>
      <c r="L875" t="s">
        <v>319</v>
      </c>
      <c r="M875" s="25">
        <v>86</v>
      </c>
      <c r="N875" s="4">
        <v>65</v>
      </c>
      <c r="O875">
        <v>538</v>
      </c>
      <c r="T875" t="s">
        <v>178</v>
      </c>
      <c r="U875" t="s">
        <v>66</v>
      </c>
      <c r="V875" s="4">
        <v>64.5</v>
      </c>
      <c r="Y875" s="6">
        <f t="shared" si="111"/>
        <v>46268</v>
      </c>
      <c r="Z875" s="6">
        <f t="shared" si="112"/>
        <v>34701</v>
      </c>
      <c r="AA875" s="6">
        <f t="shared" si="113"/>
        <v>34970</v>
      </c>
      <c r="AB875" s="6">
        <f t="shared" si="114"/>
        <v>11298</v>
      </c>
      <c r="AC875" t="s">
        <v>16</v>
      </c>
      <c r="AD875" s="3" t="s">
        <v>168</v>
      </c>
    </row>
    <row r="876" spans="1:30" ht="15.75" customHeight="1" x14ac:dyDescent="0.2">
      <c r="A876" s="7" t="str">
        <f t="shared" si="109"/>
        <v>SECOTEJ510New Buy</v>
      </c>
      <c r="B876" s="7" t="str">
        <f t="shared" si="110"/>
        <v>iPadNew Buy</v>
      </c>
      <c r="C876">
        <v>408903</v>
      </c>
      <c r="D876" t="s">
        <v>1101</v>
      </c>
      <c r="E876" t="s">
        <v>166</v>
      </c>
      <c r="F876" t="s">
        <v>173</v>
      </c>
      <c r="G876" t="s">
        <v>68</v>
      </c>
      <c r="H876" t="s">
        <v>167</v>
      </c>
      <c r="J876" t="s">
        <v>1125</v>
      </c>
      <c r="L876" t="s">
        <v>321</v>
      </c>
      <c r="M876" s="25">
        <v>120.4</v>
      </c>
      <c r="N876" s="4">
        <v>88</v>
      </c>
      <c r="O876">
        <v>2</v>
      </c>
      <c r="T876" t="s">
        <v>178</v>
      </c>
      <c r="U876" t="s">
        <v>116</v>
      </c>
      <c r="V876" s="4">
        <v>64.5</v>
      </c>
      <c r="Y876" s="6">
        <f t="shared" si="111"/>
        <v>240.8</v>
      </c>
      <c r="Z876" s="6">
        <f t="shared" si="112"/>
        <v>129</v>
      </c>
      <c r="AA876" s="6">
        <f t="shared" si="113"/>
        <v>176</v>
      </c>
      <c r="AB876" s="6">
        <f t="shared" si="114"/>
        <v>64.800000000000011</v>
      </c>
      <c r="AC876" t="s">
        <v>33</v>
      </c>
      <c r="AD876" s="3" t="s">
        <v>168</v>
      </c>
    </row>
    <row r="877" spans="1:30" ht="15.75" customHeight="1" x14ac:dyDescent="0.2">
      <c r="A877" s="7" t="str">
        <f t="shared" si="109"/>
        <v>SECOTEJ510New Buy</v>
      </c>
      <c r="B877" s="7" t="str">
        <f t="shared" si="110"/>
        <v>iPadNew Buy</v>
      </c>
      <c r="C877">
        <v>408902</v>
      </c>
      <c r="D877" t="s">
        <v>1101</v>
      </c>
      <c r="E877" t="s">
        <v>166</v>
      </c>
      <c r="F877" t="s">
        <v>173</v>
      </c>
      <c r="G877" t="s">
        <v>68</v>
      </c>
      <c r="H877" t="s">
        <v>167</v>
      </c>
      <c r="J877" t="s">
        <v>1125</v>
      </c>
      <c r="L877" t="s">
        <v>321</v>
      </c>
      <c r="M877" s="25">
        <v>86</v>
      </c>
      <c r="N877" s="4">
        <v>65</v>
      </c>
      <c r="O877">
        <v>3</v>
      </c>
      <c r="T877" t="s">
        <v>178</v>
      </c>
      <c r="U877" t="s">
        <v>66</v>
      </c>
      <c r="V877" s="4">
        <v>64.5</v>
      </c>
      <c r="Y877" s="6">
        <f t="shared" si="111"/>
        <v>258</v>
      </c>
      <c r="Z877" s="6">
        <f t="shared" si="112"/>
        <v>193.5</v>
      </c>
      <c r="AA877" s="6">
        <f t="shared" si="113"/>
        <v>195</v>
      </c>
      <c r="AB877" s="6">
        <f t="shared" si="114"/>
        <v>63</v>
      </c>
      <c r="AC877" t="s">
        <v>16</v>
      </c>
      <c r="AD877" s="3" t="s">
        <v>168</v>
      </c>
    </row>
    <row r="878" spans="1:30" ht="15.75" customHeight="1" x14ac:dyDescent="0.2">
      <c r="A878" s="7" t="str">
        <f t="shared" si="109"/>
        <v>SECOTEJ510New Buy</v>
      </c>
      <c r="B878" s="7" t="str">
        <f t="shared" si="110"/>
        <v>iPadNew Buy</v>
      </c>
      <c r="C878">
        <v>408901</v>
      </c>
      <c r="D878" t="s">
        <v>1101</v>
      </c>
      <c r="E878" t="s">
        <v>166</v>
      </c>
      <c r="F878" t="s">
        <v>173</v>
      </c>
      <c r="G878" t="s">
        <v>68</v>
      </c>
      <c r="H878" t="s">
        <v>167</v>
      </c>
      <c r="J878" t="s">
        <v>1126</v>
      </c>
      <c r="L878" t="s">
        <v>772</v>
      </c>
      <c r="M878" s="25">
        <v>278</v>
      </c>
      <c r="N878" s="4">
        <v>203.2</v>
      </c>
      <c r="O878">
        <v>1</v>
      </c>
      <c r="T878" t="s">
        <v>178</v>
      </c>
      <c r="U878" t="s">
        <v>116</v>
      </c>
      <c r="V878" s="4">
        <v>208.5</v>
      </c>
      <c r="Y878" s="6">
        <f t="shared" si="111"/>
        <v>278</v>
      </c>
      <c r="Z878" s="6">
        <f t="shared" si="112"/>
        <v>208.5</v>
      </c>
      <c r="AA878" s="6">
        <f t="shared" si="113"/>
        <v>203.2</v>
      </c>
      <c r="AB878" s="6">
        <f t="shared" si="114"/>
        <v>74.800000000000011</v>
      </c>
      <c r="AC878" t="s">
        <v>33</v>
      </c>
      <c r="AD878" s="3" t="s">
        <v>168</v>
      </c>
    </row>
    <row r="879" spans="1:30" ht="15.75" customHeight="1" x14ac:dyDescent="0.2">
      <c r="A879" s="7" t="str">
        <f t="shared" si="109"/>
        <v>SECOTEJ510New Buy</v>
      </c>
      <c r="B879" s="7" t="str">
        <f t="shared" si="110"/>
        <v>iPadNew Buy</v>
      </c>
      <c r="C879">
        <v>408896</v>
      </c>
      <c r="D879" t="s">
        <v>1101</v>
      </c>
      <c r="E879" t="s">
        <v>166</v>
      </c>
      <c r="F879" t="s">
        <v>173</v>
      </c>
      <c r="G879" t="s">
        <v>68</v>
      </c>
      <c r="H879" t="s">
        <v>167</v>
      </c>
      <c r="J879" t="s">
        <v>1127</v>
      </c>
      <c r="L879" t="s">
        <v>774</v>
      </c>
      <c r="M879" s="25">
        <v>278</v>
      </c>
      <c r="N879" s="4">
        <v>216</v>
      </c>
      <c r="O879">
        <v>2</v>
      </c>
      <c r="T879" t="s">
        <v>178</v>
      </c>
      <c r="U879" t="s">
        <v>116</v>
      </c>
      <c r="V879" s="4">
        <v>208.5</v>
      </c>
      <c r="Y879" s="6">
        <f t="shared" si="111"/>
        <v>556</v>
      </c>
      <c r="Z879" s="6">
        <f t="shared" si="112"/>
        <v>417</v>
      </c>
      <c r="AA879" s="6">
        <f t="shared" si="113"/>
        <v>432</v>
      </c>
      <c r="AB879" s="6">
        <f t="shared" si="114"/>
        <v>124</v>
      </c>
      <c r="AC879" t="s">
        <v>33</v>
      </c>
      <c r="AD879" s="3" t="s">
        <v>168</v>
      </c>
    </row>
    <row r="880" spans="1:30" ht="15.75" customHeight="1" x14ac:dyDescent="0.2">
      <c r="A880" s="7" t="str">
        <f t="shared" si="109"/>
        <v>SECOTEJ510New Buy</v>
      </c>
      <c r="B880" s="7" t="str">
        <f t="shared" si="110"/>
        <v>iPadNew Buy</v>
      </c>
      <c r="C880">
        <v>408883</v>
      </c>
      <c r="D880" t="s">
        <v>1101</v>
      </c>
      <c r="E880" t="s">
        <v>166</v>
      </c>
      <c r="F880" t="s">
        <v>173</v>
      </c>
      <c r="G880" t="s">
        <v>68</v>
      </c>
      <c r="H880" t="s">
        <v>167</v>
      </c>
      <c r="J880" t="s">
        <v>1128</v>
      </c>
      <c r="L880" t="s">
        <v>323</v>
      </c>
      <c r="M880" s="25">
        <v>238</v>
      </c>
      <c r="N880" s="4">
        <v>171.45</v>
      </c>
      <c r="O880">
        <v>3</v>
      </c>
      <c r="T880" t="s">
        <v>178</v>
      </c>
      <c r="U880" t="s">
        <v>116</v>
      </c>
      <c r="V880" s="4">
        <v>127.5</v>
      </c>
      <c r="Y880" s="6">
        <f t="shared" si="111"/>
        <v>714</v>
      </c>
      <c r="Z880" s="6">
        <f t="shared" si="112"/>
        <v>382.5</v>
      </c>
      <c r="AA880" s="6">
        <f t="shared" si="113"/>
        <v>514.34999999999991</v>
      </c>
      <c r="AB880" s="6">
        <f t="shared" si="114"/>
        <v>199.65000000000009</v>
      </c>
      <c r="AC880" t="s">
        <v>33</v>
      </c>
      <c r="AD880" s="3" t="s">
        <v>168</v>
      </c>
    </row>
    <row r="881" spans="1:30" ht="15.75" customHeight="1" x14ac:dyDescent="0.2">
      <c r="A881" s="7" t="str">
        <f t="shared" si="109"/>
        <v>SECOTEJ510New Buy</v>
      </c>
      <c r="B881" s="7" t="str">
        <f t="shared" si="110"/>
        <v>iPadNew Buy</v>
      </c>
      <c r="C881">
        <v>408882</v>
      </c>
      <c r="D881" t="s">
        <v>1101</v>
      </c>
      <c r="E881" t="s">
        <v>166</v>
      </c>
      <c r="F881" t="s">
        <v>173</v>
      </c>
      <c r="G881" t="s">
        <v>68</v>
      </c>
      <c r="H881" t="s">
        <v>167</v>
      </c>
      <c r="J881" t="s">
        <v>1128</v>
      </c>
      <c r="L881" t="s">
        <v>323</v>
      </c>
      <c r="M881" s="25">
        <v>170</v>
      </c>
      <c r="N881" s="4">
        <v>135</v>
      </c>
      <c r="O881">
        <v>1</v>
      </c>
      <c r="T881" t="s">
        <v>178</v>
      </c>
      <c r="U881" t="s">
        <v>66</v>
      </c>
      <c r="V881" s="4">
        <v>127.5</v>
      </c>
      <c r="Y881" s="6">
        <f t="shared" si="111"/>
        <v>170</v>
      </c>
      <c r="Z881" s="6">
        <f t="shared" si="112"/>
        <v>127.5</v>
      </c>
      <c r="AA881" s="6">
        <f t="shared" si="113"/>
        <v>135</v>
      </c>
      <c r="AB881" s="6">
        <f t="shared" si="114"/>
        <v>35</v>
      </c>
      <c r="AC881" t="s">
        <v>16</v>
      </c>
      <c r="AD881" s="3" t="s">
        <v>168</v>
      </c>
    </row>
    <row r="882" spans="1:30" ht="15.75" customHeight="1" x14ac:dyDescent="0.2">
      <c r="A882" s="7" t="str">
        <f t="shared" si="109"/>
        <v>SECOTEJ510New Buy</v>
      </c>
      <c r="B882" s="7" t="str">
        <f t="shared" si="110"/>
        <v>iPadNew Buy</v>
      </c>
      <c r="C882">
        <v>408877</v>
      </c>
      <c r="D882" t="s">
        <v>1101</v>
      </c>
      <c r="E882" t="s">
        <v>166</v>
      </c>
      <c r="F882" t="s">
        <v>173</v>
      </c>
      <c r="G882" t="s">
        <v>68</v>
      </c>
      <c r="H882" t="s">
        <v>167</v>
      </c>
      <c r="J882" t="s">
        <v>1129</v>
      </c>
      <c r="L882" t="s">
        <v>325</v>
      </c>
      <c r="M882" s="25">
        <v>238</v>
      </c>
      <c r="N882" s="4">
        <v>171.45</v>
      </c>
      <c r="O882">
        <v>1088</v>
      </c>
      <c r="T882" t="s">
        <v>178</v>
      </c>
      <c r="U882" t="s">
        <v>116</v>
      </c>
      <c r="V882" s="4">
        <v>127.5</v>
      </c>
      <c r="Y882" s="6">
        <f t="shared" si="111"/>
        <v>258944</v>
      </c>
      <c r="Z882" s="6">
        <f t="shared" si="112"/>
        <v>138720</v>
      </c>
      <c r="AA882" s="6">
        <f t="shared" si="113"/>
        <v>186537.59999999998</v>
      </c>
      <c r="AB882" s="6">
        <f t="shared" si="114"/>
        <v>72406.400000000023</v>
      </c>
      <c r="AC882" t="s">
        <v>33</v>
      </c>
      <c r="AD882" s="3" t="s">
        <v>168</v>
      </c>
    </row>
    <row r="883" spans="1:30" ht="15.75" customHeight="1" x14ac:dyDescent="0.2">
      <c r="A883" s="7" t="str">
        <f t="shared" si="109"/>
        <v>SECOTEJ510New Buy</v>
      </c>
      <c r="B883" s="7" t="str">
        <f t="shared" si="110"/>
        <v>iPadNew Buy</v>
      </c>
      <c r="C883">
        <v>408876</v>
      </c>
      <c r="D883" t="s">
        <v>1101</v>
      </c>
      <c r="E883" t="s">
        <v>166</v>
      </c>
      <c r="F883" t="s">
        <v>173</v>
      </c>
      <c r="G883" t="s">
        <v>68</v>
      </c>
      <c r="H883" t="s">
        <v>167</v>
      </c>
      <c r="J883" t="s">
        <v>1129</v>
      </c>
      <c r="L883" t="s">
        <v>325</v>
      </c>
      <c r="M883" s="25">
        <v>170</v>
      </c>
      <c r="N883" s="4">
        <v>135</v>
      </c>
      <c r="O883">
        <v>644</v>
      </c>
      <c r="T883" t="s">
        <v>178</v>
      </c>
      <c r="U883" t="s">
        <v>66</v>
      </c>
      <c r="V883" s="4">
        <v>127.5</v>
      </c>
      <c r="Y883" s="6">
        <f t="shared" si="111"/>
        <v>109480</v>
      </c>
      <c r="Z883" s="6">
        <f t="shared" si="112"/>
        <v>82110</v>
      </c>
      <c r="AA883" s="6">
        <f t="shared" si="113"/>
        <v>86940</v>
      </c>
      <c r="AB883" s="6">
        <f t="shared" si="114"/>
        <v>22540</v>
      </c>
      <c r="AC883" t="s">
        <v>16</v>
      </c>
      <c r="AD883" s="3" t="s">
        <v>168</v>
      </c>
    </row>
    <row r="884" spans="1:30" ht="15.75" customHeight="1" x14ac:dyDescent="0.2">
      <c r="A884" s="7" t="str">
        <f t="shared" si="109"/>
        <v>SECOTEJ510New Buy</v>
      </c>
      <c r="B884" s="7" t="str">
        <f t="shared" si="110"/>
        <v>iPadNew Buy</v>
      </c>
      <c r="C884">
        <v>408871</v>
      </c>
      <c r="D884" t="s">
        <v>1101</v>
      </c>
      <c r="E884" t="s">
        <v>166</v>
      </c>
      <c r="F884" t="s">
        <v>173</v>
      </c>
      <c r="G884" t="s">
        <v>68</v>
      </c>
      <c r="H884" t="s">
        <v>167</v>
      </c>
      <c r="J884" t="s">
        <v>1130</v>
      </c>
      <c r="L884" t="s">
        <v>327</v>
      </c>
      <c r="M884" s="25">
        <v>105</v>
      </c>
      <c r="N884" s="4">
        <v>79</v>
      </c>
      <c r="O884">
        <v>1547</v>
      </c>
      <c r="T884" t="s">
        <v>178</v>
      </c>
      <c r="U884" t="s">
        <v>66</v>
      </c>
      <c r="V884" s="4">
        <v>78.75</v>
      </c>
      <c r="Y884" s="6">
        <f t="shared" si="111"/>
        <v>162435</v>
      </c>
      <c r="Z884" s="6">
        <f t="shared" si="112"/>
        <v>121826.25</v>
      </c>
      <c r="AA884" s="6">
        <f t="shared" si="113"/>
        <v>122213</v>
      </c>
      <c r="AB884" s="6">
        <f t="shared" si="114"/>
        <v>40222</v>
      </c>
      <c r="AC884" t="s">
        <v>16</v>
      </c>
      <c r="AD884" s="3" t="s">
        <v>168</v>
      </c>
    </row>
    <row r="885" spans="1:30" ht="15.75" customHeight="1" x14ac:dyDescent="0.2">
      <c r="A885" s="7" t="str">
        <f t="shared" si="109"/>
        <v>SECOTEJ510New Buy</v>
      </c>
      <c r="B885" s="7" t="str">
        <f t="shared" si="110"/>
        <v>iPadNew Buy</v>
      </c>
      <c r="C885">
        <v>408866</v>
      </c>
      <c r="D885" t="s">
        <v>1101</v>
      </c>
      <c r="E885" t="s">
        <v>166</v>
      </c>
      <c r="F885" t="s">
        <v>173</v>
      </c>
      <c r="G885" t="s">
        <v>68</v>
      </c>
      <c r="H885" t="s">
        <v>167</v>
      </c>
      <c r="J885" t="s">
        <v>1131</v>
      </c>
      <c r="L885" t="s">
        <v>329</v>
      </c>
      <c r="M885" s="25">
        <v>105</v>
      </c>
      <c r="N885" s="4">
        <v>79</v>
      </c>
      <c r="O885">
        <v>1076</v>
      </c>
      <c r="T885" t="s">
        <v>178</v>
      </c>
      <c r="U885" t="s">
        <v>66</v>
      </c>
      <c r="V885" s="4">
        <v>78.75</v>
      </c>
      <c r="Y885" s="6">
        <f t="shared" si="111"/>
        <v>112980</v>
      </c>
      <c r="Z885" s="6">
        <f t="shared" si="112"/>
        <v>84735</v>
      </c>
      <c r="AA885" s="6">
        <f t="shared" si="113"/>
        <v>85004</v>
      </c>
      <c r="AB885" s="6">
        <f t="shared" si="114"/>
        <v>27976</v>
      </c>
      <c r="AC885" t="s">
        <v>16</v>
      </c>
      <c r="AD885" s="3" t="s">
        <v>168</v>
      </c>
    </row>
    <row r="886" spans="1:30" ht="15.75" customHeight="1" x14ac:dyDescent="0.2">
      <c r="A886" s="7" t="str">
        <f t="shared" si="109"/>
        <v>SECOTEJ510New Buy</v>
      </c>
      <c r="B886" s="7" t="str">
        <f t="shared" si="110"/>
        <v>iPadNew Buy</v>
      </c>
      <c r="C886">
        <v>408863</v>
      </c>
      <c r="D886" t="s">
        <v>1101</v>
      </c>
      <c r="E886" t="s">
        <v>166</v>
      </c>
      <c r="F886" t="s">
        <v>173</v>
      </c>
      <c r="G886" t="s">
        <v>68</v>
      </c>
      <c r="H886" t="s">
        <v>167</v>
      </c>
      <c r="J886" t="s">
        <v>1132</v>
      </c>
      <c r="L886" t="s">
        <v>794</v>
      </c>
      <c r="M886" s="25">
        <v>126</v>
      </c>
      <c r="N886" s="4">
        <v>92</v>
      </c>
      <c r="O886">
        <v>264</v>
      </c>
      <c r="T886" t="s">
        <v>178</v>
      </c>
      <c r="U886" t="s">
        <v>116</v>
      </c>
      <c r="V886" s="4">
        <v>67.5</v>
      </c>
      <c r="Y886" s="6">
        <f t="shared" si="111"/>
        <v>33264</v>
      </c>
      <c r="Z886" s="6">
        <f t="shared" si="112"/>
        <v>17820</v>
      </c>
      <c r="AA886" s="6">
        <f t="shared" si="113"/>
        <v>24288</v>
      </c>
      <c r="AB886" s="6">
        <f t="shared" si="114"/>
        <v>8976</v>
      </c>
      <c r="AC886" t="s">
        <v>33</v>
      </c>
      <c r="AD886" s="3" t="s">
        <v>168</v>
      </c>
    </row>
    <row r="887" spans="1:30" ht="15.75" customHeight="1" x14ac:dyDescent="0.2">
      <c r="A887" s="7" t="str">
        <f t="shared" si="109"/>
        <v>SECOTEJ510New Buy</v>
      </c>
      <c r="B887" s="7" t="str">
        <f t="shared" si="110"/>
        <v>iPadNew Buy</v>
      </c>
      <c r="C887">
        <v>408862</v>
      </c>
      <c r="D887" t="s">
        <v>1101</v>
      </c>
      <c r="E887" t="s">
        <v>166</v>
      </c>
      <c r="F887" t="s">
        <v>173</v>
      </c>
      <c r="G887" t="s">
        <v>68</v>
      </c>
      <c r="H887" t="s">
        <v>167</v>
      </c>
      <c r="J887" t="s">
        <v>1132</v>
      </c>
      <c r="L887" t="s">
        <v>794</v>
      </c>
      <c r="M887" s="25">
        <v>90</v>
      </c>
      <c r="N887" s="4">
        <v>68</v>
      </c>
      <c r="O887">
        <v>704</v>
      </c>
      <c r="T887" t="s">
        <v>178</v>
      </c>
      <c r="U887" t="s">
        <v>66</v>
      </c>
      <c r="V887" s="4">
        <v>67.5</v>
      </c>
      <c r="Y887" s="6">
        <f t="shared" si="111"/>
        <v>63360</v>
      </c>
      <c r="Z887" s="6">
        <f t="shared" si="112"/>
        <v>47520</v>
      </c>
      <c r="AA887" s="6">
        <f t="shared" si="113"/>
        <v>47872</v>
      </c>
      <c r="AB887" s="6">
        <f t="shared" si="114"/>
        <v>15488</v>
      </c>
      <c r="AC887" t="s">
        <v>16</v>
      </c>
      <c r="AD887" s="3" t="s">
        <v>168</v>
      </c>
    </row>
    <row r="888" spans="1:30" ht="15.75" customHeight="1" x14ac:dyDescent="0.2">
      <c r="A888" s="7" t="str">
        <f t="shared" si="109"/>
        <v>SECOTEJ510New Buy</v>
      </c>
      <c r="B888" s="7" t="str">
        <f t="shared" si="110"/>
        <v>iPadNew Buy</v>
      </c>
      <c r="C888">
        <v>408859</v>
      </c>
      <c r="D888" t="s">
        <v>1101</v>
      </c>
      <c r="E888" t="s">
        <v>166</v>
      </c>
      <c r="F888" t="s">
        <v>173</v>
      </c>
      <c r="G888" t="s">
        <v>68</v>
      </c>
      <c r="H888" t="s">
        <v>167</v>
      </c>
      <c r="J888" t="s">
        <v>1133</v>
      </c>
      <c r="L888" t="s">
        <v>796</v>
      </c>
      <c r="M888" s="25">
        <v>126</v>
      </c>
      <c r="N888" s="4">
        <v>86.55</v>
      </c>
      <c r="O888" t="s">
        <v>175</v>
      </c>
      <c r="T888" t="s">
        <v>178</v>
      </c>
      <c r="U888" t="s">
        <v>116</v>
      </c>
      <c r="V888" s="4">
        <v>67.5</v>
      </c>
      <c r="Y888" s="6">
        <f t="shared" si="111"/>
        <v>0</v>
      </c>
      <c r="Z888" s="6">
        <f t="shared" si="112"/>
        <v>0</v>
      </c>
      <c r="AA888" s="6">
        <f t="shared" si="113"/>
        <v>0</v>
      </c>
      <c r="AB888" s="6">
        <f t="shared" si="114"/>
        <v>0</v>
      </c>
      <c r="AC888" t="s">
        <v>33</v>
      </c>
      <c r="AD888" s="3" t="s">
        <v>168</v>
      </c>
    </row>
    <row r="889" spans="1:30" ht="15.75" customHeight="1" x14ac:dyDescent="0.2">
      <c r="A889" s="7" t="str">
        <f t="shared" si="109"/>
        <v>SECOTEJ510New Buy</v>
      </c>
      <c r="B889" s="7" t="str">
        <f t="shared" si="110"/>
        <v>iPadNew Buy</v>
      </c>
      <c r="C889">
        <v>408858</v>
      </c>
      <c r="D889" t="s">
        <v>1101</v>
      </c>
      <c r="E889" t="s">
        <v>166</v>
      </c>
      <c r="F889" t="s">
        <v>173</v>
      </c>
      <c r="G889" t="s">
        <v>68</v>
      </c>
      <c r="H889" t="s">
        <v>167</v>
      </c>
      <c r="J889" t="s">
        <v>1133</v>
      </c>
      <c r="L889" t="s">
        <v>796</v>
      </c>
      <c r="M889" s="25">
        <v>90</v>
      </c>
      <c r="N889" s="4">
        <v>68</v>
      </c>
      <c r="O889" t="s">
        <v>175</v>
      </c>
      <c r="T889" t="s">
        <v>178</v>
      </c>
      <c r="U889" t="s">
        <v>66</v>
      </c>
      <c r="V889" s="4">
        <v>67.5</v>
      </c>
      <c r="Y889" s="6">
        <f t="shared" si="111"/>
        <v>0</v>
      </c>
      <c r="Z889" s="6">
        <f t="shared" si="112"/>
        <v>0</v>
      </c>
      <c r="AA889" s="6">
        <f t="shared" si="113"/>
        <v>0</v>
      </c>
      <c r="AB889" s="6">
        <f t="shared" si="114"/>
        <v>0</v>
      </c>
      <c r="AC889" t="s">
        <v>16</v>
      </c>
      <c r="AD889" s="3" t="s">
        <v>168</v>
      </c>
    </row>
    <row r="890" spans="1:30" ht="15.75" customHeight="1" x14ac:dyDescent="0.2">
      <c r="A890" s="7" t="str">
        <f t="shared" si="109"/>
        <v>SECOTEJ510New Buy</v>
      </c>
      <c r="B890" s="7" t="str">
        <f t="shared" si="110"/>
        <v>iPadNew Buy</v>
      </c>
      <c r="C890">
        <v>408853</v>
      </c>
      <c r="D890" t="s">
        <v>1101</v>
      </c>
      <c r="E890" t="s">
        <v>166</v>
      </c>
      <c r="F890" t="s">
        <v>173</v>
      </c>
      <c r="G890" t="s">
        <v>68</v>
      </c>
      <c r="H890" t="s">
        <v>167</v>
      </c>
      <c r="J890" t="s">
        <v>1134</v>
      </c>
      <c r="L890" t="s">
        <v>798</v>
      </c>
      <c r="M890" s="25">
        <v>123.2</v>
      </c>
      <c r="N890" s="4">
        <v>94.5</v>
      </c>
      <c r="O890">
        <v>52</v>
      </c>
      <c r="T890" t="s">
        <v>178</v>
      </c>
      <c r="U890" t="s">
        <v>116</v>
      </c>
      <c r="V890" s="4">
        <v>66</v>
      </c>
      <c r="Y890" s="6">
        <f t="shared" si="111"/>
        <v>6406.4000000000005</v>
      </c>
      <c r="Z890" s="6">
        <f t="shared" si="112"/>
        <v>3432</v>
      </c>
      <c r="AA890" s="6">
        <f t="shared" si="113"/>
        <v>4914</v>
      </c>
      <c r="AB890" s="6">
        <f t="shared" si="114"/>
        <v>1492.4000000000005</v>
      </c>
      <c r="AC890" t="s">
        <v>33</v>
      </c>
      <c r="AD890" s="3" t="s">
        <v>168</v>
      </c>
    </row>
    <row r="891" spans="1:30" ht="15.75" customHeight="1" x14ac:dyDescent="0.2">
      <c r="A891" s="7" t="str">
        <f t="shared" si="109"/>
        <v>SECOTEJ510New Buy</v>
      </c>
      <c r="B891" s="7" t="str">
        <f t="shared" si="110"/>
        <v>iPadNew Buy</v>
      </c>
      <c r="C891">
        <v>408852</v>
      </c>
      <c r="D891" t="s">
        <v>1101</v>
      </c>
      <c r="E891" t="s">
        <v>166</v>
      </c>
      <c r="F891" t="s">
        <v>173</v>
      </c>
      <c r="G891" t="s">
        <v>68</v>
      </c>
      <c r="H891" t="s">
        <v>167</v>
      </c>
      <c r="J891" t="s">
        <v>1134</v>
      </c>
      <c r="L891" t="s">
        <v>798</v>
      </c>
      <c r="M891" s="25">
        <v>88</v>
      </c>
      <c r="N891" s="4">
        <v>70</v>
      </c>
      <c r="O891">
        <v>52</v>
      </c>
      <c r="T891" t="s">
        <v>178</v>
      </c>
      <c r="U891" t="s">
        <v>66</v>
      </c>
      <c r="V891" s="4">
        <v>66</v>
      </c>
      <c r="Y891" s="6">
        <f t="shared" si="111"/>
        <v>4576</v>
      </c>
      <c r="Z891" s="6">
        <f t="shared" si="112"/>
        <v>3432</v>
      </c>
      <c r="AA891" s="6">
        <f t="shared" si="113"/>
        <v>3640</v>
      </c>
      <c r="AB891" s="6">
        <f t="shared" si="114"/>
        <v>936</v>
      </c>
      <c r="AC891" t="s">
        <v>16</v>
      </c>
      <c r="AD891" s="3" t="s">
        <v>168</v>
      </c>
    </row>
    <row r="892" spans="1:30" ht="15.75" customHeight="1" x14ac:dyDescent="0.2">
      <c r="A892" s="7" t="str">
        <f t="shared" si="109"/>
        <v>SECOTEJ510New Buy</v>
      </c>
      <c r="B892" s="7" t="str">
        <f t="shared" si="110"/>
        <v>iPadNew Buy</v>
      </c>
      <c r="C892">
        <v>408851</v>
      </c>
      <c r="D892" t="s">
        <v>1101</v>
      </c>
      <c r="E892" t="s">
        <v>166</v>
      </c>
      <c r="F892" t="s">
        <v>173</v>
      </c>
      <c r="G892" t="s">
        <v>68</v>
      </c>
      <c r="H892" t="s">
        <v>167</v>
      </c>
      <c r="J892" t="s">
        <v>1135</v>
      </c>
      <c r="L892" t="s">
        <v>800</v>
      </c>
      <c r="M892" s="25">
        <v>123.2</v>
      </c>
      <c r="N892" s="4">
        <v>88.9</v>
      </c>
      <c r="O892" t="s">
        <v>175</v>
      </c>
      <c r="T892" t="s">
        <v>178</v>
      </c>
      <c r="U892" t="s">
        <v>116</v>
      </c>
      <c r="V892" s="4">
        <v>66</v>
      </c>
      <c r="Y892" s="6">
        <f t="shared" si="111"/>
        <v>0</v>
      </c>
      <c r="Z892" s="6">
        <f t="shared" si="112"/>
        <v>0</v>
      </c>
      <c r="AA892" s="6">
        <f t="shared" si="113"/>
        <v>0</v>
      </c>
      <c r="AB892" s="6">
        <f t="shared" si="114"/>
        <v>0</v>
      </c>
      <c r="AC892" t="s">
        <v>33</v>
      </c>
      <c r="AD892" s="3" t="s">
        <v>168</v>
      </c>
    </row>
    <row r="893" spans="1:30" ht="15.75" customHeight="1" x14ac:dyDescent="0.2">
      <c r="A893" s="7" t="str">
        <f t="shared" si="109"/>
        <v>SECOTEJ510New Buy</v>
      </c>
      <c r="B893" s="7" t="str">
        <f t="shared" si="110"/>
        <v>iPadNew Buy</v>
      </c>
      <c r="C893">
        <v>408850</v>
      </c>
      <c r="D893" t="s">
        <v>1101</v>
      </c>
      <c r="E893" t="s">
        <v>166</v>
      </c>
      <c r="F893" t="s">
        <v>173</v>
      </c>
      <c r="G893" t="s">
        <v>68</v>
      </c>
      <c r="H893" t="s">
        <v>167</v>
      </c>
      <c r="J893" t="s">
        <v>1135</v>
      </c>
      <c r="L893" t="s">
        <v>800</v>
      </c>
      <c r="M893" s="25">
        <v>88</v>
      </c>
      <c r="N893" s="4">
        <v>70</v>
      </c>
      <c r="O893" t="s">
        <v>175</v>
      </c>
      <c r="T893" t="s">
        <v>178</v>
      </c>
      <c r="U893" t="s">
        <v>66</v>
      </c>
      <c r="V893" s="4">
        <v>66</v>
      </c>
      <c r="Y893" s="6">
        <f t="shared" si="111"/>
        <v>0</v>
      </c>
      <c r="Z893" s="6">
        <f t="shared" si="112"/>
        <v>0</v>
      </c>
      <c r="AA893" s="6">
        <f t="shared" si="113"/>
        <v>0</v>
      </c>
      <c r="AB893" s="6">
        <f t="shared" si="114"/>
        <v>0</v>
      </c>
      <c r="AC893" t="s">
        <v>16</v>
      </c>
      <c r="AD893" s="3" t="s">
        <v>168</v>
      </c>
    </row>
    <row r="894" spans="1:30" ht="15.75" customHeight="1" x14ac:dyDescent="0.2">
      <c r="A894" s="7" t="str">
        <f t="shared" si="109"/>
        <v>SECOTEJ510New Buy</v>
      </c>
      <c r="B894" s="7" t="str">
        <f t="shared" si="110"/>
        <v>iPadNew Buy</v>
      </c>
      <c r="C894">
        <v>408847</v>
      </c>
      <c r="D894" t="s">
        <v>1101</v>
      </c>
      <c r="E894" t="s">
        <v>166</v>
      </c>
      <c r="F894" t="s">
        <v>173</v>
      </c>
      <c r="G894" t="s">
        <v>68</v>
      </c>
      <c r="H894" t="s">
        <v>167</v>
      </c>
      <c r="J894" t="s">
        <v>1136</v>
      </c>
      <c r="L894" t="s">
        <v>802</v>
      </c>
      <c r="M894" s="25">
        <v>314</v>
      </c>
      <c r="N894" s="4">
        <v>234.95</v>
      </c>
      <c r="O894" t="s">
        <v>175</v>
      </c>
      <c r="T894" t="s">
        <v>178</v>
      </c>
      <c r="U894" t="s">
        <v>116</v>
      </c>
      <c r="V894" s="4">
        <v>168</v>
      </c>
      <c r="Y894" s="6">
        <f t="shared" si="111"/>
        <v>0</v>
      </c>
      <c r="Z894" s="6">
        <f t="shared" si="112"/>
        <v>0</v>
      </c>
      <c r="AA894" s="6">
        <f t="shared" si="113"/>
        <v>0</v>
      </c>
      <c r="AB894" s="6">
        <f t="shared" si="114"/>
        <v>0</v>
      </c>
      <c r="AC894" t="s">
        <v>33</v>
      </c>
      <c r="AD894" s="3" t="s">
        <v>168</v>
      </c>
    </row>
    <row r="895" spans="1:30" ht="15.75" customHeight="1" x14ac:dyDescent="0.2">
      <c r="A895" s="7" t="str">
        <f t="shared" si="109"/>
        <v>SECOTEJ510New Buy</v>
      </c>
      <c r="B895" s="7" t="str">
        <f t="shared" si="110"/>
        <v>iPadNew Buy</v>
      </c>
      <c r="C895">
        <v>408846</v>
      </c>
      <c r="D895" t="s">
        <v>1101</v>
      </c>
      <c r="E895" t="s">
        <v>166</v>
      </c>
      <c r="F895" t="s">
        <v>173</v>
      </c>
      <c r="G895" t="s">
        <v>68</v>
      </c>
      <c r="H895" t="s">
        <v>167</v>
      </c>
      <c r="J895" t="s">
        <v>1136</v>
      </c>
      <c r="L895" t="s">
        <v>802</v>
      </c>
      <c r="M895" s="25">
        <v>224</v>
      </c>
      <c r="N895" s="4">
        <v>185</v>
      </c>
      <c r="O895" t="s">
        <v>175</v>
      </c>
      <c r="T895" t="s">
        <v>178</v>
      </c>
      <c r="U895" t="s">
        <v>66</v>
      </c>
      <c r="V895" s="4">
        <v>168</v>
      </c>
      <c r="Y895" s="6">
        <f t="shared" si="111"/>
        <v>0</v>
      </c>
      <c r="Z895" s="6">
        <f t="shared" si="112"/>
        <v>0</v>
      </c>
      <c r="AA895" s="6">
        <f t="shared" si="113"/>
        <v>0</v>
      </c>
      <c r="AB895" s="6">
        <f t="shared" si="114"/>
        <v>0</v>
      </c>
      <c r="AC895" t="s">
        <v>16</v>
      </c>
      <c r="AD895" s="3" t="s">
        <v>168</v>
      </c>
    </row>
    <row r="896" spans="1:30" ht="15.75" customHeight="1" x14ac:dyDescent="0.2">
      <c r="A896" s="7" t="str">
        <f t="shared" si="109"/>
        <v>SECOTEJ510New Buy</v>
      </c>
      <c r="B896" s="7" t="str">
        <f t="shared" si="110"/>
        <v>iPadNew Buy</v>
      </c>
      <c r="C896">
        <v>408841</v>
      </c>
      <c r="D896" t="s">
        <v>1101</v>
      </c>
      <c r="E896" t="s">
        <v>166</v>
      </c>
      <c r="F896" t="s">
        <v>173</v>
      </c>
      <c r="G896" t="s">
        <v>68</v>
      </c>
      <c r="H896" t="s">
        <v>167</v>
      </c>
      <c r="J896" t="s">
        <v>1137</v>
      </c>
      <c r="L896" t="s">
        <v>804</v>
      </c>
      <c r="M896" s="25">
        <v>314</v>
      </c>
      <c r="N896" s="4">
        <v>234.95</v>
      </c>
      <c r="O896" t="s">
        <v>175</v>
      </c>
      <c r="T896" t="s">
        <v>178</v>
      </c>
      <c r="U896" t="s">
        <v>116</v>
      </c>
      <c r="V896" s="4">
        <v>168</v>
      </c>
      <c r="Y896" s="6">
        <f t="shared" si="111"/>
        <v>0</v>
      </c>
      <c r="Z896" s="6">
        <f t="shared" si="112"/>
        <v>0</v>
      </c>
      <c r="AA896" s="6">
        <f t="shared" si="113"/>
        <v>0</v>
      </c>
      <c r="AB896" s="6">
        <f t="shared" si="114"/>
        <v>0</v>
      </c>
      <c r="AC896" t="s">
        <v>33</v>
      </c>
      <c r="AD896" s="3" t="s">
        <v>168</v>
      </c>
    </row>
    <row r="897" spans="1:30" ht="15.75" customHeight="1" x14ac:dyDescent="0.2">
      <c r="A897" s="7" t="str">
        <f t="shared" si="109"/>
        <v>SECOTEJ510New Buy</v>
      </c>
      <c r="B897" s="7" t="str">
        <f t="shared" si="110"/>
        <v>iPadNew Buy</v>
      </c>
      <c r="C897">
        <v>408840</v>
      </c>
      <c r="D897" t="s">
        <v>1101</v>
      </c>
      <c r="E897" t="s">
        <v>166</v>
      </c>
      <c r="F897" t="s">
        <v>173</v>
      </c>
      <c r="G897" t="s">
        <v>68</v>
      </c>
      <c r="H897" t="s">
        <v>167</v>
      </c>
      <c r="J897" t="s">
        <v>1137</v>
      </c>
      <c r="L897" t="s">
        <v>804</v>
      </c>
      <c r="M897" s="25">
        <v>224</v>
      </c>
      <c r="N897" s="4">
        <v>185</v>
      </c>
      <c r="O897" t="s">
        <v>175</v>
      </c>
      <c r="T897" t="s">
        <v>178</v>
      </c>
      <c r="U897" t="s">
        <v>66</v>
      </c>
      <c r="V897" s="4">
        <v>168</v>
      </c>
      <c r="Y897" s="6">
        <f t="shared" si="111"/>
        <v>0</v>
      </c>
      <c r="Z897" s="6">
        <f t="shared" si="112"/>
        <v>0</v>
      </c>
      <c r="AA897" s="6">
        <f t="shared" si="113"/>
        <v>0</v>
      </c>
      <c r="AB897" s="6">
        <f t="shared" si="114"/>
        <v>0</v>
      </c>
      <c r="AC897" t="s">
        <v>16</v>
      </c>
      <c r="AD897" s="3" t="s">
        <v>168</v>
      </c>
    </row>
    <row r="898" spans="1:30" ht="15.75" customHeight="1" x14ac:dyDescent="0.2">
      <c r="A898" s="7" t="str">
        <f t="shared" si="109"/>
        <v>SECOTEJ510New Buy</v>
      </c>
      <c r="B898" s="7" t="str">
        <f t="shared" si="110"/>
        <v>iPadNew Buy</v>
      </c>
      <c r="C898">
        <v>408835</v>
      </c>
      <c r="D898" t="s">
        <v>1101</v>
      </c>
      <c r="E898" t="s">
        <v>166</v>
      </c>
      <c r="F898" t="s">
        <v>173</v>
      </c>
      <c r="G898" t="s">
        <v>68</v>
      </c>
      <c r="H898" t="s">
        <v>167</v>
      </c>
      <c r="J898" t="s">
        <v>1138</v>
      </c>
      <c r="L898" t="s">
        <v>331</v>
      </c>
      <c r="M898" s="25">
        <v>105</v>
      </c>
      <c r="N898" s="4">
        <v>76.2</v>
      </c>
      <c r="O898">
        <v>1</v>
      </c>
      <c r="T898" t="s">
        <v>178</v>
      </c>
      <c r="U898" t="s">
        <v>116</v>
      </c>
      <c r="V898" s="4">
        <v>56.25</v>
      </c>
      <c r="Y898" s="6">
        <f t="shared" si="111"/>
        <v>105</v>
      </c>
      <c r="Z898" s="6">
        <f t="shared" si="112"/>
        <v>56.25</v>
      </c>
      <c r="AA898" s="6">
        <f t="shared" si="113"/>
        <v>76.2</v>
      </c>
      <c r="AB898" s="6">
        <f t="shared" si="114"/>
        <v>28.799999999999997</v>
      </c>
      <c r="AC898" t="s">
        <v>33</v>
      </c>
      <c r="AD898" s="3" t="s">
        <v>168</v>
      </c>
    </row>
    <row r="899" spans="1:30" ht="15.75" customHeight="1" x14ac:dyDescent="0.2">
      <c r="A899" s="7" t="str">
        <f t="shared" si="109"/>
        <v>SECOTEJ510New Buy</v>
      </c>
      <c r="B899" s="7" t="str">
        <f t="shared" si="110"/>
        <v>iPadNew Buy</v>
      </c>
      <c r="C899">
        <v>408834</v>
      </c>
      <c r="D899" t="s">
        <v>1101</v>
      </c>
      <c r="E899" t="s">
        <v>166</v>
      </c>
      <c r="F899" t="s">
        <v>173</v>
      </c>
      <c r="G899" t="s">
        <v>68</v>
      </c>
      <c r="H899" t="s">
        <v>167</v>
      </c>
      <c r="J899" t="s">
        <v>1138</v>
      </c>
      <c r="L899" t="s">
        <v>331</v>
      </c>
      <c r="M899" s="25">
        <v>75</v>
      </c>
      <c r="N899" s="4">
        <v>60</v>
      </c>
      <c r="O899" t="s">
        <v>175</v>
      </c>
      <c r="T899" t="s">
        <v>178</v>
      </c>
      <c r="U899" t="s">
        <v>66</v>
      </c>
      <c r="V899" s="4">
        <v>56.25</v>
      </c>
      <c r="Y899" s="6">
        <f t="shared" si="111"/>
        <v>0</v>
      </c>
      <c r="Z899" s="6">
        <f t="shared" si="112"/>
        <v>0</v>
      </c>
      <c r="AA899" s="6">
        <f t="shared" si="113"/>
        <v>0</v>
      </c>
      <c r="AB899" s="6">
        <f t="shared" si="114"/>
        <v>0</v>
      </c>
      <c r="AC899" t="s">
        <v>16</v>
      </c>
      <c r="AD899" s="3" t="s">
        <v>168</v>
      </c>
    </row>
    <row r="900" spans="1:30" ht="15.75" customHeight="1" x14ac:dyDescent="0.2">
      <c r="A900" s="7" t="str">
        <f t="shared" si="109"/>
        <v>SECOTEJ510New Buy</v>
      </c>
      <c r="B900" s="7" t="str">
        <f t="shared" si="110"/>
        <v>iPadNew Buy</v>
      </c>
      <c r="C900">
        <v>408831</v>
      </c>
      <c r="D900" t="s">
        <v>1101</v>
      </c>
      <c r="E900" t="s">
        <v>166</v>
      </c>
      <c r="F900" t="s">
        <v>173</v>
      </c>
      <c r="G900" t="s">
        <v>68</v>
      </c>
      <c r="H900" t="s">
        <v>167</v>
      </c>
      <c r="J900" t="s">
        <v>1139</v>
      </c>
      <c r="L900" t="s">
        <v>333</v>
      </c>
      <c r="M900" s="25">
        <v>105</v>
      </c>
      <c r="N900" s="4">
        <v>76.2</v>
      </c>
      <c r="O900" t="s">
        <v>175</v>
      </c>
      <c r="T900" t="s">
        <v>178</v>
      </c>
      <c r="U900" t="s">
        <v>116</v>
      </c>
      <c r="V900" s="4">
        <v>56.25</v>
      </c>
      <c r="Y900" s="6">
        <f t="shared" si="111"/>
        <v>0</v>
      </c>
      <c r="Z900" s="6">
        <f t="shared" si="112"/>
        <v>0</v>
      </c>
      <c r="AA900" s="6">
        <f t="shared" si="113"/>
        <v>0</v>
      </c>
      <c r="AB900" s="6">
        <f t="shared" si="114"/>
        <v>0</v>
      </c>
      <c r="AC900" t="s">
        <v>33</v>
      </c>
      <c r="AD900" s="3" t="s">
        <v>168</v>
      </c>
    </row>
    <row r="901" spans="1:30" ht="15.75" customHeight="1" x14ac:dyDescent="0.2">
      <c r="A901" s="7" t="str">
        <f t="shared" si="109"/>
        <v>SECOTEJ510New Buy</v>
      </c>
      <c r="B901" s="7" t="str">
        <f t="shared" si="110"/>
        <v>iPadNew Buy</v>
      </c>
      <c r="C901">
        <v>408830</v>
      </c>
      <c r="D901" t="s">
        <v>1101</v>
      </c>
      <c r="E901" t="s">
        <v>166</v>
      </c>
      <c r="F901" t="s">
        <v>173</v>
      </c>
      <c r="G901" t="s">
        <v>68</v>
      </c>
      <c r="H901" t="s">
        <v>167</v>
      </c>
      <c r="J901" t="s">
        <v>1139</v>
      </c>
      <c r="L901" t="s">
        <v>333</v>
      </c>
      <c r="M901" s="25">
        <v>75</v>
      </c>
      <c r="N901" s="4">
        <v>60</v>
      </c>
      <c r="O901" t="s">
        <v>175</v>
      </c>
      <c r="T901" t="s">
        <v>178</v>
      </c>
      <c r="U901" t="s">
        <v>66</v>
      </c>
      <c r="V901" s="4">
        <v>56.25</v>
      </c>
      <c r="Y901" s="6">
        <f t="shared" si="111"/>
        <v>0</v>
      </c>
      <c r="Z901" s="6">
        <f t="shared" si="112"/>
        <v>0</v>
      </c>
      <c r="AA901" s="6">
        <f t="shared" si="113"/>
        <v>0</v>
      </c>
      <c r="AB901" s="6">
        <f t="shared" si="114"/>
        <v>0</v>
      </c>
      <c r="AC901" t="s">
        <v>16</v>
      </c>
      <c r="AD901" s="3" t="s">
        <v>168</v>
      </c>
    </row>
    <row r="902" spans="1:30" ht="15.75" customHeight="1" x14ac:dyDescent="0.2">
      <c r="A902" s="7" t="str">
        <f t="shared" si="109"/>
        <v>SECOTEJ581New Buy</v>
      </c>
      <c r="B902" s="7" t="str">
        <f t="shared" si="110"/>
        <v>iPadNew Buy</v>
      </c>
      <c r="C902">
        <v>407783</v>
      </c>
      <c r="D902" t="s">
        <v>1101</v>
      </c>
      <c r="E902" t="s">
        <v>166</v>
      </c>
      <c r="F902" t="s">
        <v>173</v>
      </c>
      <c r="G902" t="s">
        <v>174</v>
      </c>
      <c r="H902" t="s">
        <v>167</v>
      </c>
      <c r="J902" t="s">
        <v>1140</v>
      </c>
      <c r="L902" t="s">
        <v>1141</v>
      </c>
      <c r="M902" s="25">
        <v>2800</v>
      </c>
      <c r="N902" s="4">
        <v>2500</v>
      </c>
      <c r="O902">
        <v>1</v>
      </c>
      <c r="T902" t="s">
        <v>178</v>
      </c>
      <c r="U902" t="s">
        <v>104</v>
      </c>
      <c r="V902" s="4">
        <v>2100</v>
      </c>
      <c r="Y902" s="6">
        <f t="shared" si="111"/>
        <v>2800</v>
      </c>
      <c r="Z902" s="6">
        <f t="shared" si="112"/>
        <v>2100</v>
      </c>
      <c r="AA902" s="6">
        <f t="shared" si="113"/>
        <v>2500</v>
      </c>
      <c r="AB902" s="6">
        <f t="shared" si="114"/>
        <v>300</v>
      </c>
      <c r="AC902" t="s">
        <v>16</v>
      </c>
      <c r="AD902" s="3" t="s">
        <v>168</v>
      </c>
    </row>
    <row r="903" spans="1:30" ht="15.75" customHeight="1" x14ac:dyDescent="0.2">
      <c r="A903" s="7" t="str">
        <f t="shared" si="109"/>
        <v>SECOTEJ510New Buy</v>
      </c>
      <c r="B903" s="7" t="str">
        <f t="shared" si="110"/>
        <v>iPadNew Buy</v>
      </c>
      <c r="C903">
        <v>408695</v>
      </c>
      <c r="D903" t="s">
        <v>1101</v>
      </c>
      <c r="E903" t="s">
        <v>166</v>
      </c>
      <c r="F903" t="s">
        <v>173</v>
      </c>
      <c r="G903" t="s">
        <v>68</v>
      </c>
      <c r="H903" t="s">
        <v>167</v>
      </c>
      <c r="J903" t="s">
        <v>1142</v>
      </c>
      <c r="L903" t="s">
        <v>1143</v>
      </c>
      <c r="M903" s="25">
        <v>88</v>
      </c>
      <c r="N903" s="4">
        <v>70</v>
      </c>
      <c r="O903">
        <v>1</v>
      </c>
      <c r="T903" t="s">
        <v>178</v>
      </c>
      <c r="U903" t="s">
        <v>66</v>
      </c>
      <c r="V903" s="4">
        <v>66</v>
      </c>
      <c r="Y903" s="6">
        <f t="shared" si="111"/>
        <v>88</v>
      </c>
      <c r="Z903" s="6">
        <f t="shared" si="112"/>
        <v>66</v>
      </c>
      <c r="AA903" s="6">
        <f t="shared" si="113"/>
        <v>70</v>
      </c>
      <c r="AB903" s="6">
        <f t="shared" si="114"/>
        <v>18</v>
      </c>
      <c r="AC903" t="s">
        <v>16</v>
      </c>
      <c r="AD903" s="3" t="s">
        <v>168</v>
      </c>
    </row>
    <row r="904" spans="1:30" ht="15.75" customHeight="1" x14ac:dyDescent="0.2">
      <c r="A904" s="7" t="str">
        <f t="shared" si="109"/>
        <v>SECOTEJ510New Buy</v>
      </c>
      <c r="B904" s="7" t="str">
        <f t="shared" si="110"/>
        <v>iPadNew Buy</v>
      </c>
      <c r="C904">
        <v>408694</v>
      </c>
      <c r="D904" t="s">
        <v>1101</v>
      </c>
      <c r="E904" t="s">
        <v>166</v>
      </c>
      <c r="F904" t="s">
        <v>173</v>
      </c>
      <c r="G904" t="s">
        <v>68</v>
      </c>
      <c r="H904" t="s">
        <v>167</v>
      </c>
      <c r="J904" t="s">
        <v>1144</v>
      </c>
      <c r="L904" t="s">
        <v>1145</v>
      </c>
      <c r="M904" s="25">
        <v>95</v>
      </c>
      <c r="N904" s="4">
        <v>113</v>
      </c>
      <c r="O904" t="s">
        <v>175</v>
      </c>
      <c r="T904" t="s">
        <v>178</v>
      </c>
      <c r="U904" t="s">
        <v>66</v>
      </c>
      <c r="V904" s="4">
        <v>71.25</v>
      </c>
      <c r="Y904" s="6">
        <f t="shared" si="111"/>
        <v>0</v>
      </c>
      <c r="Z904" s="6">
        <f t="shared" si="112"/>
        <v>0</v>
      </c>
      <c r="AA904" s="6">
        <f t="shared" si="113"/>
        <v>0</v>
      </c>
      <c r="AB904" s="6">
        <f t="shared" si="114"/>
        <v>0</v>
      </c>
      <c r="AC904" t="s">
        <v>16</v>
      </c>
      <c r="AD904" s="3" t="s">
        <v>168</v>
      </c>
    </row>
    <row r="905" spans="1:30" ht="15.75" customHeight="1" x14ac:dyDescent="0.2">
      <c r="A905" s="7" t="str">
        <f t="shared" si="109"/>
        <v>SECOTEJ581Retrofit</v>
      </c>
      <c r="B905" s="7" t="str">
        <f t="shared" si="110"/>
        <v>iPadNew Buy</v>
      </c>
      <c r="C905">
        <v>407767</v>
      </c>
      <c r="D905" t="s">
        <v>1101</v>
      </c>
      <c r="E905" t="s">
        <v>166</v>
      </c>
      <c r="F905" t="s">
        <v>173</v>
      </c>
      <c r="G905" t="s">
        <v>174</v>
      </c>
      <c r="H905" t="s">
        <v>170</v>
      </c>
      <c r="J905" t="s">
        <v>1146</v>
      </c>
      <c r="L905" t="s">
        <v>1147</v>
      </c>
      <c r="M905" s="25">
        <v>170</v>
      </c>
      <c r="N905" s="4">
        <v>128</v>
      </c>
      <c r="O905">
        <v>1</v>
      </c>
      <c r="T905" t="s">
        <v>178</v>
      </c>
      <c r="U905" t="s">
        <v>104</v>
      </c>
      <c r="V905" s="4">
        <v>127.5</v>
      </c>
      <c r="Y905" s="6">
        <f t="shared" si="111"/>
        <v>170</v>
      </c>
      <c r="Z905" s="6">
        <f t="shared" si="112"/>
        <v>127.5</v>
      </c>
      <c r="AA905" s="6">
        <f t="shared" si="113"/>
        <v>128</v>
      </c>
      <c r="AB905" s="6">
        <f t="shared" si="114"/>
        <v>42</v>
      </c>
      <c r="AC905" t="s">
        <v>16</v>
      </c>
      <c r="AD905" s="3" t="s">
        <v>171</v>
      </c>
    </row>
    <row r="906" spans="1:30" ht="15.75" customHeight="1" x14ac:dyDescent="0.2">
      <c r="A906" s="7" t="str">
        <f t="shared" si="109"/>
        <v>SECOTEJ581Retrofit</v>
      </c>
      <c r="B906" s="7" t="str">
        <f t="shared" si="110"/>
        <v>iPadNew Buy</v>
      </c>
      <c r="C906">
        <v>407766</v>
      </c>
      <c r="D906" t="s">
        <v>1101</v>
      </c>
      <c r="E906" t="s">
        <v>166</v>
      </c>
      <c r="F906" t="s">
        <v>173</v>
      </c>
      <c r="G906" t="s">
        <v>174</v>
      </c>
      <c r="H906" t="s">
        <v>170</v>
      </c>
      <c r="J906" t="s">
        <v>1148</v>
      </c>
      <c r="L906" t="s">
        <v>1149</v>
      </c>
      <c r="M906" s="25">
        <v>170</v>
      </c>
      <c r="N906" s="4">
        <v>128</v>
      </c>
      <c r="O906" t="s">
        <v>175</v>
      </c>
      <c r="T906" t="s">
        <v>178</v>
      </c>
      <c r="U906" t="s">
        <v>104</v>
      </c>
      <c r="V906" s="4">
        <v>127.5</v>
      </c>
      <c r="Y906" s="6">
        <f t="shared" si="111"/>
        <v>0</v>
      </c>
      <c r="Z906" s="6">
        <f t="shared" si="112"/>
        <v>0</v>
      </c>
      <c r="AA906" s="6">
        <f t="shared" si="113"/>
        <v>0</v>
      </c>
      <c r="AB906" s="6">
        <f t="shared" si="114"/>
        <v>0</v>
      </c>
      <c r="AC906" t="s">
        <v>16</v>
      </c>
      <c r="AD906" s="3" t="s">
        <v>171</v>
      </c>
    </row>
    <row r="907" spans="1:30" ht="15.75" customHeight="1" x14ac:dyDescent="0.2">
      <c r="A907" s="7" t="str">
        <f t="shared" si="109"/>
        <v>SECOTEJ510New Buy</v>
      </c>
      <c r="B907" s="7" t="str">
        <f t="shared" si="110"/>
        <v>iPadNew Buy</v>
      </c>
      <c r="C907">
        <v>408692</v>
      </c>
      <c r="D907" t="s">
        <v>1101</v>
      </c>
      <c r="E907" t="s">
        <v>166</v>
      </c>
      <c r="F907" t="s">
        <v>173</v>
      </c>
      <c r="G907" t="s">
        <v>68</v>
      </c>
      <c r="H907" t="s">
        <v>167</v>
      </c>
      <c r="J907" t="s">
        <v>1150</v>
      </c>
      <c r="L907" t="s">
        <v>1151</v>
      </c>
      <c r="M907" s="25">
        <v>90</v>
      </c>
      <c r="N907" s="4">
        <v>68</v>
      </c>
      <c r="O907" t="s">
        <v>175</v>
      </c>
      <c r="T907" t="s">
        <v>178</v>
      </c>
      <c r="U907" t="s">
        <v>66</v>
      </c>
      <c r="V907" s="4">
        <v>67.5</v>
      </c>
      <c r="Y907" s="6">
        <f t="shared" si="111"/>
        <v>0</v>
      </c>
      <c r="Z907" s="6">
        <f t="shared" si="112"/>
        <v>0</v>
      </c>
      <c r="AA907" s="6">
        <f t="shared" si="113"/>
        <v>0</v>
      </c>
      <c r="AB907" s="6">
        <f t="shared" si="114"/>
        <v>0</v>
      </c>
      <c r="AC907" t="s">
        <v>16</v>
      </c>
      <c r="AD907" s="3" t="s">
        <v>168</v>
      </c>
    </row>
    <row r="908" spans="1:30" ht="15.75" customHeight="1" x14ac:dyDescent="0.2">
      <c r="A908" s="7" t="str">
        <f t="shared" si="109"/>
        <v>SECOTEJ510New Buy</v>
      </c>
      <c r="B908" s="7" t="str">
        <f t="shared" si="110"/>
        <v>iPadNew Buy</v>
      </c>
      <c r="C908">
        <v>408691</v>
      </c>
      <c r="D908" t="s">
        <v>1101</v>
      </c>
      <c r="E908" t="s">
        <v>166</v>
      </c>
      <c r="F908" t="s">
        <v>173</v>
      </c>
      <c r="G908" t="s">
        <v>68</v>
      </c>
      <c r="H908" t="s">
        <v>167</v>
      </c>
      <c r="J908" t="s">
        <v>1152</v>
      </c>
      <c r="L908" t="s">
        <v>1153</v>
      </c>
      <c r="M908" s="25">
        <v>90</v>
      </c>
      <c r="N908" s="4">
        <v>68</v>
      </c>
      <c r="O908" t="s">
        <v>175</v>
      </c>
      <c r="T908" t="s">
        <v>178</v>
      </c>
      <c r="U908" t="s">
        <v>66</v>
      </c>
      <c r="V908" s="4">
        <v>67.5</v>
      </c>
      <c r="Y908" s="6">
        <f t="shared" si="111"/>
        <v>0</v>
      </c>
      <c r="Z908" s="6">
        <f t="shared" si="112"/>
        <v>0</v>
      </c>
      <c r="AA908" s="6">
        <f t="shared" si="113"/>
        <v>0</v>
      </c>
      <c r="AB908" s="6">
        <f t="shared" si="114"/>
        <v>0</v>
      </c>
      <c r="AC908" t="s">
        <v>16</v>
      </c>
      <c r="AD908" s="3" t="s">
        <v>168</v>
      </c>
    </row>
    <row r="909" spans="1:30" ht="15.75" customHeight="1" x14ac:dyDescent="0.2">
      <c r="A909" s="7" t="str">
        <f t="shared" si="109"/>
        <v>SECOTEJ510New Buy</v>
      </c>
      <c r="B909" s="7" t="str">
        <f t="shared" si="110"/>
        <v>iPadNew Buy</v>
      </c>
      <c r="C909">
        <v>408690</v>
      </c>
      <c r="D909" t="s">
        <v>1101</v>
      </c>
      <c r="E909" t="s">
        <v>166</v>
      </c>
      <c r="F909" t="s">
        <v>173</v>
      </c>
      <c r="G909" t="s">
        <v>68</v>
      </c>
      <c r="H909" t="s">
        <v>167</v>
      </c>
      <c r="J909" t="s">
        <v>1154</v>
      </c>
      <c r="L909" t="s">
        <v>1155</v>
      </c>
      <c r="M909" s="25">
        <v>185</v>
      </c>
      <c r="N909" s="4">
        <v>160</v>
      </c>
      <c r="O909" t="s">
        <v>175</v>
      </c>
      <c r="T909" t="s">
        <v>178</v>
      </c>
      <c r="U909" t="s">
        <v>66</v>
      </c>
      <c r="V909" s="4">
        <v>138.75</v>
      </c>
      <c r="Y909" s="6">
        <f t="shared" si="111"/>
        <v>0</v>
      </c>
      <c r="Z909" s="6">
        <f t="shared" si="112"/>
        <v>0</v>
      </c>
      <c r="AA909" s="6">
        <f t="shared" si="113"/>
        <v>0</v>
      </c>
      <c r="AB909" s="6">
        <f t="shared" si="114"/>
        <v>0</v>
      </c>
      <c r="AC909" t="s">
        <v>16</v>
      </c>
      <c r="AD909" s="3" t="s">
        <v>168</v>
      </c>
    </row>
    <row r="910" spans="1:30" ht="15.75" customHeight="1" x14ac:dyDescent="0.2">
      <c r="A910" s="7" t="str">
        <f t="shared" si="109"/>
        <v>SECOTEJ510New Buy</v>
      </c>
      <c r="B910" s="7" t="str">
        <f t="shared" si="110"/>
        <v>iPadNew Buy</v>
      </c>
      <c r="C910">
        <v>408689</v>
      </c>
      <c r="D910" t="s">
        <v>1101</v>
      </c>
      <c r="E910" t="s">
        <v>166</v>
      </c>
      <c r="F910" t="s">
        <v>173</v>
      </c>
      <c r="G910" t="s">
        <v>68</v>
      </c>
      <c r="H910" t="s">
        <v>167</v>
      </c>
      <c r="J910" t="s">
        <v>1156</v>
      </c>
      <c r="L910" t="s">
        <v>1157</v>
      </c>
      <c r="M910" s="25">
        <v>340</v>
      </c>
      <c r="N910" s="4">
        <v>325</v>
      </c>
      <c r="O910">
        <v>60</v>
      </c>
      <c r="T910" t="s">
        <v>178</v>
      </c>
      <c r="U910" t="s">
        <v>66</v>
      </c>
      <c r="V910" s="4">
        <v>255</v>
      </c>
      <c r="Y910" s="6">
        <f t="shared" si="111"/>
        <v>20400</v>
      </c>
      <c r="Z910" s="6">
        <f t="shared" si="112"/>
        <v>15300</v>
      </c>
      <c r="AA910" s="6">
        <f t="shared" si="113"/>
        <v>19500</v>
      </c>
      <c r="AB910" s="6">
        <f t="shared" si="114"/>
        <v>900</v>
      </c>
      <c r="AC910" t="s">
        <v>16</v>
      </c>
      <c r="AD910" s="3" t="s">
        <v>168</v>
      </c>
    </row>
    <row r="911" spans="1:30" ht="15.75" customHeight="1" x14ac:dyDescent="0.2">
      <c r="A911" s="7" t="str">
        <f t="shared" ref="A911:A961" si="115">CONCATENATE(D911,G911,H911,K911)</f>
        <v>SECOTEJ510New Buy</v>
      </c>
      <c r="B911" s="7" t="str">
        <f t="shared" ref="B911:B961" si="116">_xlfn.CONCAT(F911,K911,"New Buy")</f>
        <v>iPadNew Buy</v>
      </c>
      <c r="C911">
        <v>408688</v>
      </c>
      <c r="D911" t="s">
        <v>1101</v>
      </c>
      <c r="E911" t="s">
        <v>166</v>
      </c>
      <c r="F911" t="s">
        <v>173</v>
      </c>
      <c r="G911" t="s">
        <v>68</v>
      </c>
      <c r="H911" t="s">
        <v>167</v>
      </c>
      <c r="J911" t="s">
        <v>1158</v>
      </c>
      <c r="L911" t="s">
        <v>1159</v>
      </c>
      <c r="M911" s="25">
        <v>340</v>
      </c>
      <c r="N911" s="4">
        <v>325</v>
      </c>
      <c r="O911">
        <v>40</v>
      </c>
      <c r="T911" t="s">
        <v>178</v>
      </c>
      <c r="U911" t="s">
        <v>66</v>
      </c>
      <c r="V911" s="4">
        <v>255</v>
      </c>
      <c r="Y911" s="6">
        <f t="shared" ref="Y911:Y961" si="117">IFERROR(O911*M911,0)</f>
        <v>13600</v>
      </c>
      <c r="Z911" s="6">
        <f t="shared" ref="Z911:Z961" si="118">IFERROR(O911*V911,0)</f>
        <v>10200</v>
      </c>
      <c r="AA911" s="6">
        <f t="shared" ref="AA911:AA961" si="119">IFERROR(N911*O911,0)</f>
        <v>13000</v>
      </c>
      <c r="AB911" s="6">
        <f t="shared" si="114"/>
        <v>600</v>
      </c>
      <c r="AC911" t="s">
        <v>16</v>
      </c>
      <c r="AD911" s="3" t="s">
        <v>168</v>
      </c>
    </row>
    <row r="912" spans="1:30" ht="15.75" customHeight="1" x14ac:dyDescent="0.2">
      <c r="A912" s="7" t="str">
        <f t="shared" si="115"/>
        <v>SECOTEJ510New Buy</v>
      </c>
      <c r="B912" s="7" t="str">
        <f t="shared" si="116"/>
        <v>iPadNew Buy</v>
      </c>
      <c r="C912">
        <v>408687</v>
      </c>
      <c r="D912" t="s">
        <v>1101</v>
      </c>
      <c r="E912" t="s">
        <v>166</v>
      </c>
      <c r="F912" t="s">
        <v>173</v>
      </c>
      <c r="G912" t="s">
        <v>68</v>
      </c>
      <c r="H912" t="s">
        <v>167</v>
      </c>
      <c r="J912" t="s">
        <v>1160</v>
      </c>
      <c r="L912" t="s">
        <v>1161</v>
      </c>
      <c r="M912" s="25">
        <v>86</v>
      </c>
      <c r="N912" s="4">
        <v>65</v>
      </c>
      <c r="O912" t="s">
        <v>175</v>
      </c>
      <c r="T912" t="s">
        <v>178</v>
      </c>
      <c r="U912" t="s">
        <v>66</v>
      </c>
      <c r="V912" s="4">
        <v>64.5</v>
      </c>
      <c r="Y912" s="6">
        <f t="shared" si="117"/>
        <v>0</v>
      </c>
      <c r="Z912" s="6">
        <f t="shared" si="118"/>
        <v>0</v>
      </c>
      <c r="AA912" s="6">
        <f t="shared" si="119"/>
        <v>0</v>
      </c>
      <c r="AB912" s="6">
        <f t="shared" si="114"/>
        <v>0</v>
      </c>
      <c r="AC912" t="s">
        <v>16</v>
      </c>
      <c r="AD912" s="3" t="s">
        <v>168</v>
      </c>
    </row>
    <row r="913" spans="1:30" ht="15.75" customHeight="1" x14ac:dyDescent="0.2">
      <c r="A913" s="7" t="str">
        <f t="shared" si="115"/>
        <v>SECOTEJ510New Buy</v>
      </c>
      <c r="B913" s="7" t="str">
        <f t="shared" si="116"/>
        <v>iPadNew Buy</v>
      </c>
      <c r="C913">
        <v>408686</v>
      </c>
      <c r="D913" t="s">
        <v>1101</v>
      </c>
      <c r="E913" t="s">
        <v>166</v>
      </c>
      <c r="F913" t="s">
        <v>173</v>
      </c>
      <c r="G913" t="s">
        <v>68</v>
      </c>
      <c r="H913" t="s">
        <v>167</v>
      </c>
      <c r="J913" t="s">
        <v>1162</v>
      </c>
      <c r="L913" t="s">
        <v>1163</v>
      </c>
      <c r="M913" s="25">
        <v>86</v>
      </c>
      <c r="N913" s="4">
        <v>65</v>
      </c>
      <c r="O913" t="s">
        <v>175</v>
      </c>
      <c r="T913" t="s">
        <v>178</v>
      </c>
      <c r="U913" t="s">
        <v>66</v>
      </c>
      <c r="V913" s="4">
        <v>64.5</v>
      </c>
      <c r="Y913" s="6">
        <f t="shared" si="117"/>
        <v>0</v>
      </c>
      <c r="Z913" s="6">
        <f t="shared" si="118"/>
        <v>0</v>
      </c>
      <c r="AA913" s="6">
        <f t="shared" si="119"/>
        <v>0</v>
      </c>
      <c r="AB913" s="6">
        <f t="shared" si="114"/>
        <v>0</v>
      </c>
      <c r="AC913" t="s">
        <v>16</v>
      </c>
      <c r="AD913" s="3" t="s">
        <v>168</v>
      </c>
    </row>
    <row r="914" spans="1:30" ht="15.75" customHeight="1" x14ac:dyDescent="0.2">
      <c r="A914" s="7" t="str">
        <f t="shared" si="115"/>
        <v>SECOTEJ510New Buy</v>
      </c>
      <c r="B914" s="7" t="str">
        <f t="shared" si="116"/>
        <v>iPadNew Buy</v>
      </c>
      <c r="C914">
        <v>408685</v>
      </c>
      <c r="D914" t="s">
        <v>1101</v>
      </c>
      <c r="E914" t="s">
        <v>166</v>
      </c>
      <c r="F914" t="s">
        <v>173</v>
      </c>
      <c r="G914" t="s">
        <v>68</v>
      </c>
      <c r="H914" t="s">
        <v>167</v>
      </c>
      <c r="J914" t="s">
        <v>1164</v>
      </c>
      <c r="L914" t="s">
        <v>1165</v>
      </c>
      <c r="M914" s="25">
        <v>185</v>
      </c>
      <c r="N914" s="4">
        <v>160</v>
      </c>
      <c r="O914" t="s">
        <v>175</v>
      </c>
      <c r="T914" t="s">
        <v>178</v>
      </c>
      <c r="U914" t="s">
        <v>66</v>
      </c>
      <c r="V914" s="4">
        <v>138.75</v>
      </c>
      <c r="Y914" s="6">
        <f t="shared" si="117"/>
        <v>0</v>
      </c>
      <c r="Z914" s="6">
        <f t="shared" si="118"/>
        <v>0</v>
      </c>
      <c r="AA914" s="6">
        <f t="shared" si="119"/>
        <v>0</v>
      </c>
      <c r="AB914" s="6">
        <f t="shared" si="114"/>
        <v>0</v>
      </c>
      <c r="AC914" t="s">
        <v>16</v>
      </c>
      <c r="AD914" s="3" t="s">
        <v>168</v>
      </c>
    </row>
    <row r="915" spans="1:30" ht="15.75" customHeight="1" x14ac:dyDescent="0.2">
      <c r="A915" s="7" t="str">
        <f t="shared" si="115"/>
        <v>SECOTEJ510New Buy</v>
      </c>
      <c r="B915" s="7" t="str">
        <f t="shared" si="116"/>
        <v>iPadNew Buy</v>
      </c>
      <c r="C915">
        <v>408684</v>
      </c>
      <c r="D915" t="s">
        <v>1101</v>
      </c>
      <c r="E915" t="s">
        <v>166</v>
      </c>
      <c r="F915" t="s">
        <v>173</v>
      </c>
      <c r="G915" t="s">
        <v>68</v>
      </c>
      <c r="H915" t="s">
        <v>167</v>
      </c>
      <c r="J915" t="s">
        <v>1166</v>
      </c>
      <c r="L915" t="s">
        <v>1167</v>
      </c>
      <c r="M915" s="25">
        <v>185</v>
      </c>
      <c r="N915" s="4">
        <v>160</v>
      </c>
      <c r="O915" t="s">
        <v>175</v>
      </c>
      <c r="T915" t="s">
        <v>178</v>
      </c>
      <c r="U915" t="s">
        <v>66</v>
      </c>
      <c r="V915" s="4">
        <v>138.75</v>
      </c>
      <c r="Y915" s="6">
        <f t="shared" si="117"/>
        <v>0</v>
      </c>
      <c r="Z915" s="6">
        <f t="shared" si="118"/>
        <v>0</v>
      </c>
      <c r="AA915" s="6">
        <f t="shared" si="119"/>
        <v>0</v>
      </c>
      <c r="AB915" s="6">
        <f t="shared" si="114"/>
        <v>0</v>
      </c>
      <c r="AC915" t="s">
        <v>16</v>
      </c>
      <c r="AD915" s="3" t="s">
        <v>168</v>
      </c>
    </row>
    <row r="916" spans="1:30" ht="15.75" customHeight="1" x14ac:dyDescent="0.2">
      <c r="A916" s="7" t="str">
        <f t="shared" si="115"/>
        <v>SECOTEJ510New Buy</v>
      </c>
      <c r="B916" s="7" t="str">
        <f t="shared" si="116"/>
        <v>iPadNew Buy</v>
      </c>
      <c r="C916">
        <v>408683</v>
      </c>
      <c r="D916" t="s">
        <v>1101</v>
      </c>
      <c r="E916" t="s">
        <v>166</v>
      </c>
      <c r="F916" t="s">
        <v>173</v>
      </c>
      <c r="G916" t="s">
        <v>68</v>
      </c>
      <c r="H916" t="s">
        <v>167</v>
      </c>
      <c r="J916" t="s">
        <v>1168</v>
      </c>
      <c r="L916" t="s">
        <v>1169</v>
      </c>
      <c r="M916" s="25">
        <v>170</v>
      </c>
      <c r="N916" s="4">
        <v>135</v>
      </c>
      <c r="T916" t="s">
        <v>178</v>
      </c>
      <c r="U916" t="s">
        <v>66</v>
      </c>
      <c r="V916" s="4">
        <v>127.5</v>
      </c>
      <c r="Y916" s="6">
        <f t="shared" si="117"/>
        <v>0</v>
      </c>
      <c r="Z916" s="6">
        <f t="shared" si="118"/>
        <v>0</v>
      </c>
      <c r="AA916" s="6">
        <f t="shared" si="119"/>
        <v>0</v>
      </c>
      <c r="AB916" s="6">
        <f t="shared" si="114"/>
        <v>0</v>
      </c>
      <c r="AC916" t="s">
        <v>16</v>
      </c>
      <c r="AD916" s="3" t="s">
        <v>168</v>
      </c>
    </row>
    <row r="917" spans="1:30" ht="15.75" customHeight="1" x14ac:dyDescent="0.2">
      <c r="A917" s="7" t="str">
        <f t="shared" si="115"/>
        <v>SECOTEJ510New Buy</v>
      </c>
      <c r="B917" s="7" t="str">
        <f t="shared" si="116"/>
        <v>iPadNew Buy</v>
      </c>
      <c r="C917">
        <v>408682</v>
      </c>
      <c r="D917" t="s">
        <v>1101</v>
      </c>
      <c r="E917" t="s">
        <v>166</v>
      </c>
      <c r="F917" t="s">
        <v>173</v>
      </c>
      <c r="G917" t="s">
        <v>68</v>
      </c>
      <c r="H917" t="s">
        <v>167</v>
      </c>
      <c r="J917" t="s">
        <v>1170</v>
      </c>
      <c r="L917" t="s">
        <v>1171</v>
      </c>
      <c r="M917" s="25">
        <v>90</v>
      </c>
      <c r="N917" s="4">
        <v>68</v>
      </c>
      <c r="O917" t="s">
        <v>175</v>
      </c>
      <c r="T917" t="s">
        <v>178</v>
      </c>
      <c r="U917" t="s">
        <v>66</v>
      </c>
      <c r="V917" s="4">
        <v>67.5</v>
      </c>
      <c r="Y917" s="6">
        <f t="shared" si="117"/>
        <v>0</v>
      </c>
      <c r="Z917" s="6">
        <f t="shared" si="118"/>
        <v>0</v>
      </c>
      <c r="AA917" s="6">
        <f t="shared" si="119"/>
        <v>0</v>
      </c>
      <c r="AB917" s="6">
        <f t="shared" si="114"/>
        <v>0</v>
      </c>
      <c r="AC917" t="s">
        <v>16</v>
      </c>
      <c r="AD917" s="3" t="s">
        <v>168</v>
      </c>
    </row>
    <row r="918" spans="1:30" ht="15.75" customHeight="1" x14ac:dyDescent="0.2">
      <c r="A918" s="7" t="str">
        <f t="shared" si="115"/>
        <v>SECOTEJ510New Buy</v>
      </c>
      <c r="B918" s="7" t="str">
        <f t="shared" si="116"/>
        <v>iPadNew Buy</v>
      </c>
      <c r="C918">
        <v>408681</v>
      </c>
      <c r="D918" t="s">
        <v>1101</v>
      </c>
      <c r="E918" t="s">
        <v>166</v>
      </c>
      <c r="F918" t="s">
        <v>173</v>
      </c>
      <c r="G918" t="s">
        <v>68</v>
      </c>
      <c r="H918" t="s">
        <v>167</v>
      </c>
      <c r="J918" t="s">
        <v>1172</v>
      </c>
      <c r="L918" t="s">
        <v>1173</v>
      </c>
      <c r="M918" s="25">
        <v>90</v>
      </c>
      <c r="N918" s="4">
        <v>68</v>
      </c>
      <c r="O918" t="s">
        <v>175</v>
      </c>
      <c r="T918" t="s">
        <v>178</v>
      </c>
      <c r="U918" t="s">
        <v>66</v>
      </c>
      <c r="V918" s="4">
        <v>67.5</v>
      </c>
      <c r="Y918" s="6">
        <f t="shared" si="117"/>
        <v>0</v>
      </c>
      <c r="Z918" s="6">
        <f t="shared" si="118"/>
        <v>0</v>
      </c>
      <c r="AA918" s="6">
        <f t="shared" si="119"/>
        <v>0</v>
      </c>
      <c r="AB918" s="6">
        <f t="shared" si="114"/>
        <v>0</v>
      </c>
      <c r="AC918" t="s">
        <v>16</v>
      </c>
      <c r="AD918" s="3" t="s">
        <v>168</v>
      </c>
    </row>
    <row r="919" spans="1:30" ht="15.75" customHeight="1" x14ac:dyDescent="0.2">
      <c r="A919" s="7" t="str">
        <f t="shared" si="115"/>
        <v>SECOTEJ510New Buy</v>
      </c>
      <c r="B919" s="7" t="str">
        <f t="shared" si="116"/>
        <v>iPadNew Buy</v>
      </c>
      <c r="C919">
        <v>408680</v>
      </c>
      <c r="D919" t="s">
        <v>1101</v>
      </c>
      <c r="E919" t="s">
        <v>166</v>
      </c>
      <c r="F919" t="s">
        <v>173</v>
      </c>
      <c r="G919" t="s">
        <v>68</v>
      </c>
      <c r="H919" t="s">
        <v>167</v>
      </c>
      <c r="J919" t="s">
        <v>1174</v>
      </c>
      <c r="L919" t="s">
        <v>1175</v>
      </c>
      <c r="M919" s="25">
        <v>150</v>
      </c>
      <c r="N919" s="4">
        <v>113</v>
      </c>
      <c r="O919" t="s">
        <v>175</v>
      </c>
      <c r="T919" t="s">
        <v>178</v>
      </c>
      <c r="U919" t="s">
        <v>66</v>
      </c>
      <c r="V919" s="4">
        <v>112.5</v>
      </c>
      <c r="Y919" s="6">
        <f t="shared" si="117"/>
        <v>0</v>
      </c>
      <c r="Z919" s="6">
        <f t="shared" si="118"/>
        <v>0</v>
      </c>
      <c r="AA919" s="6">
        <f t="shared" si="119"/>
        <v>0</v>
      </c>
      <c r="AB919" s="6">
        <f t="shared" si="114"/>
        <v>0</v>
      </c>
      <c r="AC919" t="s">
        <v>16</v>
      </c>
      <c r="AD919" s="3" t="s">
        <v>168</v>
      </c>
    </row>
    <row r="920" spans="1:30" ht="15.75" customHeight="1" x14ac:dyDescent="0.2">
      <c r="A920" s="7" t="str">
        <f t="shared" si="115"/>
        <v>SECOTEJ510New Buy</v>
      </c>
      <c r="B920" s="7" t="str">
        <f t="shared" si="116"/>
        <v>iPadNew Buy</v>
      </c>
      <c r="C920">
        <v>408679</v>
      </c>
      <c r="D920" t="s">
        <v>1101</v>
      </c>
      <c r="E920" t="s">
        <v>166</v>
      </c>
      <c r="F920" t="s">
        <v>173</v>
      </c>
      <c r="G920" t="s">
        <v>68</v>
      </c>
      <c r="H920" t="s">
        <v>167</v>
      </c>
      <c r="J920" t="s">
        <v>1176</v>
      </c>
      <c r="L920" t="s">
        <v>1177</v>
      </c>
      <c r="M920" s="25">
        <v>95</v>
      </c>
      <c r="N920" s="4">
        <v>75</v>
      </c>
      <c r="O920" t="s">
        <v>175</v>
      </c>
      <c r="T920" t="s">
        <v>178</v>
      </c>
      <c r="U920" t="s">
        <v>66</v>
      </c>
      <c r="V920" s="4">
        <v>71.25</v>
      </c>
      <c r="Y920" s="6">
        <f t="shared" si="117"/>
        <v>0</v>
      </c>
      <c r="Z920" s="6">
        <f t="shared" si="118"/>
        <v>0</v>
      </c>
      <c r="AA920" s="6">
        <f t="shared" si="119"/>
        <v>0</v>
      </c>
      <c r="AB920" s="6">
        <f t="shared" si="114"/>
        <v>0</v>
      </c>
      <c r="AC920" t="s">
        <v>16</v>
      </c>
      <c r="AD920" s="3" t="s">
        <v>168</v>
      </c>
    </row>
    <row r="921" spans="1:30" ht="15.75" customHeight="1" x14ac:dyDescent="0.2">
      <c r="A921" s="7" t="str">
        <f t="shared" si="115"/>
        <v>SECOTEJ581New Buy</v>
      </c>
      <c r="B921" s="7" t="str">
        <f t="shared" si="116"/>
        <v>iPadNew Buy</v>
      </c>
      <c r="C921">
        <v>407758</v>
      </c>
      <c r="D921" t="s">
        <v>1101</v>
      </c>
      <c r="E921" t="s">
        <v>166</v>
      </c>
      <c r="F921" t="s">
        <v>173</v>
      </c>
      <c r="G921" t="s">
        <v>174</v>
      </c>
      <c r="H921" t="s">
        <v>167</v>
      </c>
      <c r="J921" t="s">
        <v>1178</v>
      </c>
      <c r="L921" t="s">
        <v>1179</v>
      </c>
      <c r="M921" s="25">
        <v>154</v>
      </c>
      <c r="N921" s="4">
        <v>130</v>
      </c>
      <c r="O921" t="s">
        <v>175</v>
      </c>
      <c r="T921" t="s">
        <v>178</v>
      </c>
      <c r="U921" t="s">
        <v>116</v>
      </c>
      <c r="V921" s="4">
        <v>115.5</v>
      </c>
      <c r="Y921" s="6">
        <f t="shared" si="117"/>
        <v>0</v>
      </c>
      <c r="Z921" s="6">
        <f t="shared" si="118"/>
        <v>0</v>
      </c>
      <c r="AA921" s="6">
        <f t="shared" si="119"/>
        <v>0</v>
      </c>
      <c r="AB921" s="6">
        <f t="shared" si="114"/>
        <v>0</v>
      </c>
      <c r="AC921" t="s">
        <v>33</v>
      </c>
      <c r="AD921" s="3" t="s">
        <v>168</v>
      </c>
    </row>
    <row r="922" spans="1:30" ht="15.75" customHeight="1" x14ac:dyDescent="0.2">
      <c r="A922" s="7" t="str">
        <f t="shared" si="115"/>
        <v>SECOTEJ581New Buy</v>
      </c>
      <c r="B922" s="7" t="str">
        <f t="shared" si="116"/>
        <v>iPadNew Buy</v>
      </c>
      <c r="C922">
        <v>407757</v>
      </c>
      <c r="D922" t="s">
        <v>1101</v>
      </c>
      <c r="E922" t="s">
        <v>166</v>
      </c>
      <c r="F922" t="s">
        <v>173</v>
      </c>
      <c r="G922" t="s">
        <v>174</v>
      </c>
      <c r="H922" t="s">
        <v>167</v>
      </c>
      <c r="J922" t="s">
        <v>1180</v>
      </c>
      <c r="L922" t="s">
        <v>1181</v>
      </c>
      <c r="M922" s="25">
        <v>154</v>
      </c>
      <c r="N922" s="4">
        <v>130</v>
      </c>
      <c r="O922">
        <v>1</v>
      </c>
      <c r="T922" t="s">
        <v>178</v>
      </c>
      <c r="U922" t="s">
        <v>116</v>
      </c>
      <c r="V922" s="4">
        <v>115.5</v>
      </c>
      <c r="Y922" s="6">
        <f t="shared" si="117"/>
        <v>154</v>
      </c>
      <c r="Z922" s="6">
        <f t="shared" si="118"/>
        <v>115.5</v>
      </c>
      <c r="AA922" s="6">
        <f t="shared" si="119"/>
        <v>130</v>
      </c>
      <c r="AB922" s="6">
        <f t="shared" si="114"/>
        <v>24</v>
      </c>
      <c r="AC922" t="s">
        <v>33</v>
      </c>
      <c r="AD922" s="3" t="s">
        <v>168</v>
      </c>
    </row>
    <row r="923" spans="1:30" ht="15.75" customHeight="1" x14ac:dyDescent="0.2">
      <c r="A923" s="7" t="str">
        <f t="shared" si="115"/>
        <v>SECOTEJ581New Buy</v>
      </c>
      <c r="B923" s="7" t="str">
        <f t="shared" si="116"/>
        <v>iPadNew Buy</v>
      </c>
      <c r="C923">
        <v>407756</v>
      </c>
      <c r="D923" t="s">
        <v>1101</v>
      </c>
      <c r="E923" t="s">
        <v>166</v>
      </c>
      <c r="F923" t="s">
        <v>173</v>
      </c>
      <c r="G923" t="s">
        <v>174</v>
      </c>
      <c r="H923" t="s">
        <v>167</v>
      </c>
      <c r="J923" t="s">
        <v>1182</v>
      </c>
      <c r="L923" t="s">
        <v>1183</v>
      </c>
      <c r="M923" s="25">
        <v>101</v>
      </c>
      <c r="N923" s="4">
        <v>81</v>
      </c>
      <c r="O923" t="s">
        <v>175</v>
      </c>
      <c r="T923" t="s">
        <v>178</v>
      </c>
      <c r="U923" t="s">
        <v>116</v>
      </c>
      <c r="V923" s="4">
        <v>75.75</v>
      </c>
      <c r="Y923" s="6">
        <f t="shared" si="117"/>
        <v>0</v>
      </c>
      <c r="Z923" s="6">
        <f t="shared" si="118"/>
        <v>0</v>
      </c>
      <c r="AA923" s="6">
        <f t="shared" si="119"/>
        <v>0</v>
      </c>
      <c r="AB923" s="6">
        <f t="shared" si="114"/>
        <v>0</v>
      </c>
      <c r="AC923" t="s">
        <v>33</v>
      </c>
      <c r="AD923" s="3" t="s">
        <v>168</v>
      </c>
    </row>
    <row r="924" spans="1:30" ht="15.75" customHeight="1" x14ac:dyDescent="0.2">
      <c r="A924" s="7" t="str">
        <f t="shared" si="115"/>
        <v>SECOTEJ581New Buy</v>
      </c>
      <c r="B924" s="7" t="str">
        <f t="shared" si="116"/>
        <v>iPadNew Buy</v>
      </c>
      <c r="C924">
        <v>407755</v>
      </c>
      <c r="D924" t="s">
        <v>1101</v>
      </c>
      <c r="E924" t="s">
        <v>166</v>
      </c>
      <c r="F924" t="s">
        <v>173</v>
      </c>
      <c r="G924" t="s">
        <v>174</v>
      </c>
      <c r="H924" t="s">
        <v>167</v>
      </c>
      <c r="J924" t="s">
        <v>1184</v>
      </c>
      <c r="L924" t="s">
        <v>1185</v>
      </c>
      <c r="M924" s="25">
        <v>101</v>
      </c>
      <c r="N924" s="4">
        <v>81</v>
      </c>
      <c r="O924" t="s">
        <v>175</v>
      </c>
      <c r="T924" t="s">
        <v>178</v>
      </c>
      <c r="U924" t="s">
        <v>116</v>
      </c>
      <c r="V924" s="4">
        <v>75.75</v>
      </c>
      <c r="Y924" s="6">
        <f t="shared" si="117"/>
        <v>0</v>
      </c>
      <c r="Z924" s="6">
        <f t="shared" si="118"/>
        <v>0</v>
      </c>
      <c r="AA924" s="6">
        <f t="shared" si="119"/>
        <v>0</v>
      </c>
      <c r="AB924" s="6">
        <f t="shared" si="114"/>
        <v>0</v>
      </c>
      <c r="AC924" t="s">
        <v>33</v>
      </c>
      <c r="AD924" s="3" t="s">
        <v>168</v>
      </c>
    </row>
    <row r="925" spans="1:30" ht="15.75" customHeight="1" x14ac:dyDescent="0.2">
      <c r="A925" s="7" t="str">
        <f t="shared" si="115"/>
        <v>SECOTEJ581New Buy</v>
      </c>
      <c r="B925" s="7" t="str">
        <f t="shared" si="116"/>
        <v>iPadNew Buy</v>
      </c>
      <c r="C925">
        <v>407752</v>
      </c>
      <c r="D925" t="s">
        <v>1101</v>
      </c>
      <c r="E925" t="s">
        <v>166</v>
      </c>
      <c r="F925" t="s">
        <v>173</v>
      </c>
      <c r="G925" t="s">
        <v>174</v>
      </c>
      <c r="H925" t="s">
        <v>167</v>
      </c>
      <c r="J925" t="s">
        <v>1186</v>
      </c>
      <c r="L925" t="s">
        <v>1187</v>
      </c>
      <c r="M925" s="25">
        <v>137.19999999999999</v>
      </c>
      <c r="N925" s="4">
        <v>112</v>
      </c>
      <c r="O925" t="s">
        <v>175</v>
      </c>
      <c r="T925" t="s">
        <v>178</v>
      </c>
      <c r="U925" t="s">
        <v>116</v>
      </c>
      <c r="V925" s="4">
        <v>73.5</v>
      </c>
      <c r="Y925" s="6">
        <f t="shared" si="117"/>
        <v>0</v>
      </c>
      <c r="Z925" s="6">
        <f t="shared" si="118"/>
        <v>0</v>
      </c>
      <c r="AA925" s="6">
        <f t="shared" si="119"/>
        <v>0</v>
      </c>
      <c r="AB925" s="6">
        <f t="shared" si="114"/>
        <v>0</v>
      </c>
      <c r="AC925" t="s">
        <v>33</v>
      </c>
      <c r="AD925" s="3" t="s">
        <v>168</v>
      </c>
    </row>
    <row r="926" spans="1:30" ht="15.75" customHeight="1" x14ac:dyDescent="0.2">
      <c r="A926" s="7" t="str">
        <f t="shared" si="115"/>
        <v>SECOTEJ581New Buy</v>
      </c>
      <c r="B926" s="7" t="str">
        <f t="shared" si="116"/>
        <v>iPadNew Buy</v>
      </c>
      <c r="C926">
        <v>407751</v>
      </c>
      <c r="D926" t="s">
        <v>1101</v>
      </c>
      <c r="E926" t="s">
        <v>166</v>
      </c>
      <c r="F926" t="s">
        <v>173</v>
      </c>
      <c r="G926" t="s">
        <v>174</v>
      </c>
      <c r="H926" t="s">
        <v>167</v>
      </c>
      <c r="J926" t="s">
        <v>1186</v>
      </c>
      <c r="L926" t="s">
        <v>1187</v>
      </c>
      <c r="M926" s="25">
        <v>98</v>
      </c>
      <c r="N926" s="4">
        <v>83</v>
      </c>
      <c r="O926" t="s">
        <v>175</v>
      </c>
      <c r="T926" t="s">
        <v>178</v>
      </c>
      <c r="U926" t="s">
        <v>66</v>
      </c>
      <c r="V926" s="4">
        <v>73.5</v>
      </c>
      <c r="Y926" s="6">
        <f t="shared" si="117"/>
        <v>0</v>
      </c>
      <c r="Z926" s="6">
        <f t="shared" si="118"/>
        <v>0</v>
      </c>
      <c r="AA926" s="6">
        <f t="shared" si="119"/>
        <v>0</v>
      </c>
      <c r="AB926" s="6">
        <f t="shared" si="114"/>
        <v>0</v>
      </c>
      <c r="AC926" t="s">
        <v>16</v>
      </c>
      <c r="AD926" s="3" t="s">
        <v>168</v>
      </c>
    </row>
    <row r="927" spans="1:30" ht="15.75" customHeight="1" x14ac:dyDescent="0.2">
      <c r="A927" s="7" t="str">
        <f t="shared" si="115"/>
        <v>SECOTEJ581New Buy</v>
      </c>
      <c r="B927" s="7" t="str">
        <f t="shared" si="116"/>
        <v>iPadNew Buy</v>
      </c>
      <c r="C927">
        <v>407750</v>
      </c>
      <c r="D927" t="s">
        <v>1101</v>
      </c>
      <c r="E927" t="s">
        <v>166</v>
      </c>
      <c r="F927" t="s">
        <v>173</v>
      </c>
      <c r="G927" t="s">
        <v>174</v>
      </c>
      <c r="H927" t="s">
        <v>167</v>
      </c>
      <c r="J927" t="s">
        <v>1186</v>
      </c>
      <c r="L927" t="s">
        <v>1188</v>
      </c>
      <c r="M927" s="25">
        <v>98</v>
      </c>
      <c r="N927" s="4">
        <v>83</v>
      </c>
      <c r="O927" t="s">
        <v>175</v>
      </c>
      <c r="T927" t="s">
        <v>178</v>
      </c>
      <c r="U927" t="s">
        <v>104</v>
      </c>
      <c r="V927" s="4">
        <v>73.5</v>
      </c>
      <c r="Y927" s="6">
        <f t="shared" si="117"/>
        <v>0</v>
      </c>
      <c r="Z927" s="6">
        <f t="shared" si="118"/>
        <v>0</v>
      </c>
      <c r="AA927" s="6">
        <f t="shared" si="119"/>
        <v>0</v>
      </c>
      <c r="AB927" s="6">
        <f t="shared" si="114"/>
        <v>0</v>
      </c>
      <c r="AC927" t="s">
        <v>16</v>
      </c>
      <c r="AD927" s="3" t="s">
        <v>168</v>
      </c>
    </row>
    <row r="928" spans="1:30" ht="15.75" customHeight="1" x14ac:dyDescent="0.2">
      <c r="A928" s="7" t="str">
        <f t="shared" si="115"/>
        <v>SECOTEJ581New Buy</v>
      </c>
      <c r="B928" s="7" t="str">
        <f t="shared" si="116"/>
        <v>iPadNew Buy</v>
      </c>
      <c r="C928">
        <v>407745</v>
      </c>
      <c r="D928" t="s">
        <v>1101</v>
      </c>
      <c r="E928" t="s">
        <v>166</v>
      </c>
      <c r="F928" t="s">
        <v>173</v>
      </c>
      <c r="G928" t="s">
        <v>174</v>
      </c>
      <c r="H928" t="s">
        <v>167</v>
      </c>
      <c r="J928" t="s">
        <v>1189</v>
      </c>
      <c r="L928" t="s">
        <v>1190</v>
      </c>
      <c r="M928" s="25">
        <v>266</v>
      </c>
      <c r="N928" s="4">
        <v>209</v>
      </c>
      <c r="O928" t="s">
        <v>175</v>
      </c>
      <c r="T928" t="s">
        <v>178</v>
      </c>
      <c r="U928" t="s">
        <v>116</v>
      </c>
      <c r="V928" s="4">
        <v>66</v>
      </c>
      <c r="Y928" s="6">
        <f t="shared" si="117"/>
        <v>0</v>
      </c>
      <c r="Z928" s="6">
        <f t="shared" si="118"/>
        <v>0</v>
      </c>
      <c r="AA928" s="6">
        <f t="shared" si="119"/>
        <v>0</v>
      </c>
      <c r="AB928" s="6">
        <f t="shared" si="114"/>
        <v>0</v>
      </c>
      <c r="AC928" t="s">
        <v>33</v>
      </c>
      <c r="AD928" s="3" t="s">
        <v>168</v>
      </c>
    </row>
    <row r="929" spans="1:30" ht="15.75" customHeight="1" x14ac:dyDescent="0.2">
      <c r="A929" s="7" t="str">
        <f t="shared" si="115"/>
        <v>SECOTEJ581New Buy</v>
      </c>
      <c r="B929" s="7" t="str">
        <f t="shared" si="116"/>
        <v>iPadNew Buy</v>
      </c>
      <c r="C929">
        <v>407744</v>
      </c>
      <c r="D929" t="s">
        <v>1101</v>
      </c>
      <c r="E929" t="s">
        <v>166</v>
      </c>
      <c r="F929" t="s">
        <v>173</v>
      </c>
      <c r="G929" t="s">
        <v>174</v>
      </c>
      <c r="H929" t="s">
        <v>167</v>
      </c>
      <c r="J929" t="s">
        <v>1189</v>
      </c>
      <c r="L929" t="s">
        <v>1190</v>
      </c>
      <c r="M929" s="25">
        <v>190</v>
      </c>
      <c r="N929" s="4">
        <v>155</v>
      </c>
      <c r="O929" t="s">
        <v>175</v>
      </c>
      <c r="T929" t="s">
        <v>178</v>
      </c>
      <c r="U929" t="s">
        <v>66</v>
      </c>
      <c r="V929" s="4">
        <v>66</v>
      </c>
      <c r="Y929" s="6">
        <f t="shared" si="117"/>
        <v>0</v>
      </c>
      <c r="Z929" s="6">
        <f t="shared" si="118"/>
        <v>0</v>
      </c>
      <c r="AA929" s="6">
        <f t="shared" si="119"/>
        <v>0</v>
      </c>
      <c r="AB929" s="6">
        <f t="shared" si="114"/>
        <v>0</v>
      </c>
      <c r="AC929" t="s">
        <v>16</v>
      </c>
      <c r="AD929" s="3" t="s">
        <v>168</v>
      </c>
    </row>
    <row r="930" spans="1:30" ht="15.75" customHeight="1" x14ac:dyDescent="0.2">
      <c r="A930" s="7" t="str">
        <f t="shared" si="115"/>
        <v>SECOTEJ581New Buy</v>
      </c>
      <c r="B930" s="7" t="str">
        <f t="shared" si="116"/>
        <v>iPadNew Buy</v>
      </c>
      <c r="C930">
        <v>407739</v>
      </c>
      <c r="D930" t="s">
        <v>1101</v>
      </c>
      <c r="E930" t="s">
        <v>166</v>
      </c>
      <c r="F930" t="s">
        <v>173</v>
      </c>
      <c r="G930" t="s">
        <v>174</v>
      </c>
      <c r="H930" t="s">
        <v>167</v>
      </c>
      <c r="J930" t="s">
        <v>1191</v>
      </c>
      <c r="L930" t="s">
        <v>1192</v>
      </c>
      <c r="M930" s="25">
        <v>266</v>
      </c>
      <c r="N930" s="4">
        <v>209</v>
      </c>
      <c r="O930" t="s">
        <v>175</v>
      </c>
      <c r="T930" t="s">
        <v>178</v>
      </c>
      <c r="U930" t="s">
        <v>116</v>
      </c>
      <c r="V930" s="4">
        <v>60.04</v>
      </c>
      <c r="Y930" s="6">
        <f t="shared" si="117"/>
        <v>0</v>
      </c>
      <c r="Z930" s="6">
        <f t="shared" si="118"/>
        <v>0</v>
      </c>
      <c r="AA930" s="6">
        <f t="shared" si="119"/>
        <v>0</v>
      </c>
      <c r="AB930" s="6">
        <f t="shared" si="114"/>
        <v>0</v>
      </c>
      <c r="AC930" t="s">
        <v>33</v>
      </c>
      <c r="AD930" s="3" t="s">
        <v>168</v>
      </c>
    </row>
    <row r="931" spans="1:30" ht="15.75" customHeight="1" x14ac:dyDescent="0.2">
      <c r="A931" s="7" t="str">
        <f t="shared" si="115"/>
        <v>SECOTEJ581New Buy</v>
      </c>
      <c r="B931" s="7" t="str">
        <f t="shared" si="116"/>
        <v>iPadNew Buy</v>
      </c>
      <c r="C931">
        <v>407738</v>
      </c>
      <c r="D931" t="s">
        <v>1101</v>
      </c>
      <c r="E931" t="s">
        <v>166</v>
      </c>
      <c r="F931" t="s">
        <v>173</v>
      </c>
      <c r="G931" t="s">
        <v>174</v>
      </c>
      <c r="H931" t="s">
        <v>167</v>
      </c>
      <c r="J931" t="s">
        <v>1191</v>
      </c>
      <c r="L931" t="s">
        <v>1192</v>
      </c>
      <c r="M931" s="25">
        <v>190</v>
      </c>
      <c r="N931" s="4">
        <v>155</v>
      </c>
      <c r="O931" t="s">
        <v>175</v>
      </c>
      <c r="T931" t="s">
        <v>178</v>
      </c>
      <c r="U931" t="s">
        <v>66</v>
      </c>
      <c r="V931" s="4">
        <v>60.04</v>
      </c>
      <c r="Y931" s="6">
        <f t="shared" si="117"/>
        <v>0</v>
      </c>
      <c r="Z931" s="6">
        <f t="shared" si="118"/>
        <v>0</v>
      </c>
      <c r="AA931" s="6">
        <f t="shared" si="119"/>
        <v>0</v>
      </c>
      <c r="AB931" s="6">
        <f t="shared" si="114"/>
        <v>0</v>
      </c>
      <c r="AC931" t="s">
        <v>16</v>
      </c>
      <c r="AD931" s="3" t="s">
        <v>168</v>
      </c>
    </row>
    <row r="932" spans="1:30" ht="15.75" customHeight="1" x14ac:dyDescent="0.2">
      <c r="A932" s="7" t="str">
        <f t="shared" si="115"/>
        <v>SECOTEJ581New Buy</v>
      </c>
      <c r="B932" s="7" t="str">
        <f t="shared" si="116"/>
        <v>iPadNew Buy</v>
      </c>
      <c r="C932">
        <v>407732</v>
      </c>
      <c r="D932" t="s">
        <v>1101</v>
      </c>
      <c r="E932" t="s">
        <v>166</v>
      </c>
      <c r="F932" t="s">
        <v>173</v>
      </c>
      <c r="G932" t="s">
        <v>174</v>
      </c>
      <c r="H932" t="s">
        <v>167</v>
      </c>
      <c r="J932" t="s">
        <v>1193</v>
      </c>
      <c r="L932" t="s">
        <v>1194</v>
      </c>
      <c r="M932" s="25">
        <v>308</v>
      </c>
      <c r="N932" s="4">
        <v>243</v>
      </c>
      <c r="O932" t="s">
        <v>175</v>
      </c>
      <c r="T932" t="s">
        <v>178</v>
      </c>
      <c r="U932" t="s">
        <v>116</v>
      </c>
      <c r="V932" s="4">
        <v>120</v>
      </c>
      <c r="Y932" s="6">
        <f t="shared" si="117"/>
        <v>0</v>
      </c>
      <c r="Z932" s="6">
        <f t="shared" si="118"/>
        <v>0</v>
      </c>
      <c r="AA932" s="6">
        <f t="shared" si="119"/>
        <v>0</v>
      </c>
      <c r="AB932" s="6">
        <f t="shared" si="114"/>
        <v>0</v>
      </c>
      <c r="AC932" t="s">
        <v>33</v>
      </c>
      <c r="AD932" s="3" t="s">
        <v>168</v>
      </c>
    </row>
    <row r="933" spans="1:30" ht="15.75" customHeight="1" x14ac:dyDescent="0.2">
      <c r="A933" s="7" t="str">
        <f t="shared" si="115"/>
        <v>SECOTEJ581New Buy</v>
      </c>
      <c r="B933" s="7" t="str">
        <f t="shared" si="116"/>
        <v>iPadNew Buy</v>
      </c>
      <c r="C933">
        <v>407731</v>
      </c>
      <c r="D933" t="s">
        <v>1101</v>
      </c>
      <c r="E933" t="s">
        <v>166</v>
      </c>
      <c r="F933" t="s">
        <v>173</v>
      </c>
      <c r="G933" t="s">
        <v>174</v>
      </c>
      <c r="H933" t="s">
        <v>167</v>
      </c>
      <c r="J933" t="s">
        <v>1193</v>
      </c>
      <c r="L933" t="s">
        <v>1194</v>
      </c>
      <c r="M933" s="25">
        <v>220</v>
      </c>
      <c r="N933" s="4">
        <v>180</v>
      </c>
      <c r="O933" t="s">
        <v>175</v>
      </c>
      <c r="T933" t="s">
        <v>178</v>
      </c>
      <c r="U933" t="s">
        <v>66</v>
      </c>
      <c r="V933" s="4">
        <v>120</v>
      </c>
      <c r="Y933" s="6">
        <f t="shared" si="117"/>
        <v>0</v>
      </c>
      <c r="Z933" s="6">
        <f t="shared" si="118"/>
        <v>0</v>
      </c>
      <c r="AA933" s="6">
        <f t="shared" si="119"/>
        <v>0</v>
      </c>
      <c r="AB933" s="6">
        <f t="shared" ref="AB933:AB961" si="120">IF(AA933=0,0,Y933-AA933)</f>
        <v>0</v>
      </c>
      <c r="AC933" t="s">
        <v>16</v>
      </c>
      <c r="AD933" s="3" t="s">
        <v>168</v>
      </c>
    </row>
    <row r="934" spans="1:30" ht="15.75" customHeight="1" x14ac:dyDescent="0.2">
      <c r="A934" s="7" t="str">
        <f t="shared" si="115"/>
        <v>SECOTEJ581New Buy</v>
      </c>
      <c r="B934" s="7" t="str">
        <f t="shared" si="116"/>
        <v>iPadNew Buy</v>
      </c>
      <c r="C934">
        <v>407726</v>
      </c>
      <c r="D934" t="s">
        <v>1101</v>
      </c>
      <c r="E934" t="s">
        <v>166</v>
      </c>
      <c r="F934" t="s">
        <v>173</v>
      </c>
      <c r="G934" t="s">
        <v>174</v>
      </c>
      <c r="H934" t="s">
        <v>167</v>
      </c>
      <c r="J934" t="s">
        <v>1195</v>
      </c>
      <c r="L934" t="s">
        <v>1196</v>
      </c>
      <c r="M934" s="25">
        <v>137.19999999999999</v>
      </c>
      <c r="N934" s="4">
        <v>112</v>
      </c>
      <c r="O934">
        <v>1</v>
      </c>
      <c r="T934" t="s">
        <v>178</v>
      </c>
      <c r="U934" t="s">
        <v>116</v>
      </c>
      <c r="V934" s="4">
        <v>73.5</v>
      </c>
      <c r="Y934" s="6">
        <f t="shared" si="117"/>
        <v>137.19999999999999</v>
      </c>
      <c r="Z934" s="6">
        <f t="shared" si="118"/>
        <v>73.5</v>
      </c>
      <c r="AA934" s="6">
        <f t="shared" si="119"/>
        <v>112</v>
      </c>
      <c r="AB934" s="6">
        <f t="shared" si="120"/>
        <v>25.199999999999989</v>
      </c>
      <c r="AC934" t="s">
        <v>33</v>
      </c>
      <c r="AD934" s="3" t="s">
        <v>168</v>
      </c>
    </row>
    <row r="935" spans="1:30" ht="15.75" customHeight="1" x14ac:dyDescent="0.2">
      <c r="A935" s="7" t="str">
        <f t="shared" si="115"/>
        <v>SECOTEJ581New Buy</v>
      </c>
      <c r="B935" s="7" t="str">
        <f t="shared" si="116"/>
        <v>iPadNew Buy</v>
      </c>
      <c r="C935">
        <v>407725</v>
      </c>
      <c r="D935" t="s">
        <v>1101</v>
      </c>
      <c r="E935" t="s">
        <v>166</v>
      </c>
      <c r="F935" t="s">
        <v>173</v>
      </c>
      <c r="G935" t="s">
        <v>174</v>
      </c>
      <c r="H935" t="s">
        <v>167</v>
      </c>
      <c r="J935" t="s">
        <v>1195</v>
      </c>
      <c r="L935" t="s">
        <v>1196</v>
      </c>
      <c r="M935" s="25">
        <v>98</v>
      </c>
      <c r="N935" s="4">
        <v>83</v>
      </c>
      <c r="O935">
        <v>1</v>
      </c>
      <c r="T935" t="s">
        <v>178</v>
      </c>
      <c r="U935" t="s">
        <v>66</v>
      </c>
      <c r="V935" s="4">
        <v>73.5</v>
      </c>
      <c r="Y935" s="6">
        <f t="shared" si="117"/>
        <v>98</v>
      </c>
      <c r="Z935" s="6">
        <f t="shared" si="118"/>
        <v>73.5</v>
      </c>
      <c r="AA935" s="6">
        <f t="shared" si="119"/>
        <v>83</v>
      </c>
      <c r="AB935" s="6">
        <f t="shared" si="120"/>
        <v>15</v>
      </c>
      <c r="AC935" t="s">
        <v>16</v>
      </c>
      <c r="AD935" s="3" t="s">
        <v>168</v>
      </c>
    </row>
    <row r="936" spans="1:30" ht="15.75" customHeight="1" x14ac:dyDescent="0.2">
      <c r="A936" s="7" t="str">
        <f t="shared" si="115"/>
        <v>SECOTEJ581New Buy</v>
      </c>
      <c r="B936" s="7" t="str">
        <f t="shared" si="116"/>
        <v>iPadNew Buy</v>
      </c>
      <c r="C936">
        <v>407720</v>
      </c>
      <c r="D936" t="s">
        <v>1101</v>
      </c>
      <c r="E936" t="s">
        <v>166</v>
      </c>
      <c r="F936" t="s">
        <v>173</v>
      </c>
      <c r="G936" t="s">
        <v>174</v>
      </c>
      <c r="H936" t="s">
        <v>167</v>
      </c>
      <c r="J936" t="s">
        <v>1197</v>
      </c>
      <c r="L936" t="s">
        <v>1198</v>
      </c>
      <c r="M936" s="25">
        <v>280</v>
      </c>
      <c r="N936" s="4">
        <v>209</v>
      </c>
      <c r="O936" t="s">
        <v>175</v>
      </c>
      <c r="T936" t="s">
        <v>178</v>
      </c>
      <c r="U936" t="s">
        <v>116</v>
      </c>
      <c r="V936" s="4">
        <v>120</v>
      </c>
      <c r="Y936" s="6">
        <f t="shared" si="117"/>
        <v>0</v>
      </c>
      <c r="Z936" s="6">
        <f t="shared" si="118"/>
        <v>0</v>
      </c>
      <c r="AA936" s="6">
        <f t="shared" si="119"/>
        <v>0</v>
      </c>
      <c r="AB936" s="6">
        <f t="shared" si="120"/>
        <v>0</v>
      </c>
      <c r="AC936" t="s">
        <v>33</v>
      </c>
      <c r="AD936" s="3" t="s">
        <v>168</v>
      </c>
    </row>
    <row r="937" spans="1:30" ht="15.75" customHeight="1" x14ac:dyDescent="0.2">
      <c r="A937" s="7" t="str">
        <f t="shared" si="115"/>
        <v>SECOTEJ581New Buy</v>
      </c>
      <c r="B937" s="7" t="str">
        <f t="shared" si="116"/>
        <v>iPadNew Buy</v>
      </c>
      <c r="C937">
        <v>407719</v>
      </c>
      <c r="D937" t="s">
        <v>1101</v>
      </c>
      <c r="E937" t="s">
        <v>166</v>
      </c>
      <c r="F937" t="s">
        <v>173</v>
      </c>
      <c r="G937" t="s">
        <v>174</v>
      </c>
      <c r="H937" t="s">
        <v>167</v>
      </c>
      <c r="J937" t="s">
        <v>1197</v>
      </c>
      <c r="L937" t="s">
        <v>1198</v>
      </c>
      <c r="M937" s="25">
        <v>200</v>
      </c>
      <c r="N937" s="4">
        <v>155</v>
      </c>
      <c r="O937" t="s">
        <v>175</v>
      </c>
      <c r="T937" t="s">
        <v>178</v>
      </c>
      <c r="U937" t="s">
        <v>66</v>
      </c>
      <c r="V937" s="4">
        <v>120</v>
      </c>
      <c r="Y937" s="6">
        <f t="shared" si="117"/>
        <v>0</v>
      </c>
      <c r="Z937" s="6">
        <f t="shared" si="118"/>
        <v>0</v>
      </c>
      <c r="AA937" s="6">
        <f t="shared" si="119"/>
        <v>0</v>
      </c>
      <c r="AB937" s="6">
        <f t="shared" si="120"/>
        <v>0</v>
      </c>
      <c r="AC937" t="s">
        <v>16</v>
      </c>
      <c r="AD937" s="3" t="s">
        <v>168</v>
      </c>
    </row>
    <row r="938" spans="1:30" ht="15.75" customHeight="1" x14ac:dyDescent="0.2">
      <c r="A938" s="7" t="str">
        <f t="shared" si="115"/>
        <v>SECOTEJ581New Buy</v>
      </c>
      <c r="B938" s="7" t="str">
        <f t="shared" si="116"/>
        <v>iPadNew Buy</v>
      </c>
      <c r="C938">
        <v>407714</v>
      </c>
      <c r="D938" t="s">
        <v>1101</v>
      </c>
      <c r="E938" t="s">
        <v>166</v>
      </c>
      <c r="F938" t="s">
        <v>173</v>
      </c>
      <c r="G938" t="s">
        <v>174</v>
      </c>
      <c r="H938" t="s">
        <v>167</v>
      </c>
      <c r="J938" t="s">
        <v>1199</v>
      </c>
      <c r="L938" t="s">
        <v>1200</v>
      </c>
      <c r="M938" s="25">
        <v>280</v>
      </c>
      <c r="N938" s="4">
        <v>209</v>
      </c>
      <c r="O938" t="s">
        <v>175</v>
      </c>
      <c r="T938" t="s">
        <v>178</v>
      </c>
      <c r="U938" t="s">
        <v>116</v>
      </c>
      <c r="V938" s="4">
        <v>120</v>
      </c>
      <c r="Y938" s="6">
        <f t="shared" si="117"/>
        <v>0</v>
      </c>
      <c r="Z938" s="6">
        <f t="shared" si="118"/>
        <v>0</v>
      </c>
      <c r="AA938" s="6">
        <f t="shared" si="119"/>
        <v>0</v>
      </c>
      <c r="AB938" s="6">
        <f t="shared" si="120"/>
        <v>0</v>
      </c>
      <c r="AC938" t="s">
        <v>33</v>
      </c>
      <c r="AD938" s="3" t="s">
        <v>168</v>
      </c>
    </row>
    <row r="939" spans="1:30" ht="15.75" customHeight="1" x14ac:dyDescent="0.2">
      <c r="A939" s="7" t="str">
        <f t="shared" si="115"/>
        <v>SECOTEJ581New Buy</v>
      </c>
      <c r="B939" s="7" t="str">
        <f t="shared" si="116"/>
        <v>iPadNew Buy</v>
      </c>
      <c r="C939">
        <v>407713</v>
      </c>
      <c r="D939" t="s">
        <v>1101</v>
      </c>
      <c r="E939" t="s">
        <v>166</v>
      </c>
      <c r="F939" t="s">
        <v>173</v>
      </c>
      <c r="G939" t="s">
        <v>174</v>
      </c>
      <c r="H939" t="s">
        <v>167</v>
      </c>
      <c r="J939" t="s">
        <v>1199</v>
      </c>
      <c r="L939" t="s">
        <v>1200</v>
      </c>
      <c r="M939" s="25">
        <v>200</v>
      </c>
      <c r="N939" s="4">
        <v>155</v>
      </c>
      <c r="O939" t="s">
        <v>175</v>
      </c>
      <c r="T939" t="s">
        <v>178</v>
      </c>
      <c r="U939" t="s">
        <v>66</v>
      </c>
      <c r="V939" s="4">
        <v>120</v>
      </c>
      <c r="Y939" s="6">
        <f t="shared" si="117"/>
        <v>0</v>
      </c>
      <c r="Z939" s="6">
        <f t="shared" si="118"/>
        <v>0</v>
      </c>
      <c r="AA939" s="6">
        <f t="shared" si="119"/>
        <v>0</v>
      </c>
      <c r="AB939" s="6">
        <f t="shared" si="120"/>
        <v>0</v>
      </c>
      <c r="AC939" t="s">
        <v>16</v>
      </c>
      <c r="AD939" s="3" t="s">
        <v>168</v>
      </c>
    </row>
    <row r="940" spans="1:30" ht="15.75" customHeight="1" x14ac:dyDescent="0.2">
      <c r="A940" s="7" t="str">
        <f t="shared" si="115"/>
        <v>SECOTEJ581Retrofit</v>
      </c>
      <c r="B940" s="7" t="str">
        <f t="shared" si="116"/>
        <v>iPadNew Buy</v>
      </c>
      <c r="C940">
        <v>407708</v>
      </c>
      <c r="D940" t="s">
        <v>1101</v>
      </c>
      <c r="E940" t="s">
        <v>166</v>
      </c>
      <c r="F940" t="s">
        <v>173</v>
      </c>
      <c r="G940" t="s">
        <v>174</v>
      </c>
      <c r="H940" t="s">
        <v>170</v>
      </c>
      <c r="J940" t="s">
        <v>1201</v>
      </c>
      <c r="L940" t="s">
        <v>1202</v>
      </c>
      <c r="M940" s="25">
        <v>2170</v>
      </c>
      <c r="N940" s="4">
        <v>1600</v>
      </c>
      <c r="O940">
        <v>1</v>
      </c>
      <c r="T940" t="s">
        <v>178</v>
      </c>
      <c r="U940" t="s">
        <v>116</v>
      </c>
      <c r="V940" s="4">
        <v>1162.5</v>
      </c>
      <c r="Y940" s="6">
        <f t="shared" si="117"/>
        <v>2170</v>
      </c>
      <c r="Z940" s="6">
        <f t="shared" si="118"/>
        <v>1162.5</v>
      </c>
      <c r="AA940" s="6">
        <f t="shared" si="119"/>
        <v>1600</v>
      </c>
      <c r="AB940" s="6">
        <f t="shared" si="120"/>
        <v>570</v>
      </c>
      <c r="AC940" t="s">
        <v>33</v>
      </c>
      <c r="AD940" s="3" t="s">
        <v>171</v>
      </c>
    </row>
    <row r="941" spans="1:30" ht="15.75" customHeight="1" x14ac:dyDescent="0.2">
      <c r="A941" s="7" t="str">
        <f t="shared" si="115"/>
        <v>SECOTEJ581Retrofit</v>
      </c>
      <c r="B941" s="7" t="str">
        <f t="shared" si="116"/>
        <v>iPadNew Buy</v>
      </c>
      <c r="C941">
        <v>407707</v>
      </c>
      <c r="D941" t="s">
        <v>1101</v>
      </c>
      <c r="E941" t="s">
        <v>166</v>
      </c>
      <c r="F941" t="s">
        <v>173</v>
      </c>
      <c r="G941" t="s">
        <v>174</v>
      </c>
      <c r="H941" t="s">
        <v>170</v>
      </c>
      <c r="J941" t="s">
        <v>1201</v>
      </c>
      <c r="L941" t="s">
        <v>1203</v>
      </c>
      <c r="M941" s="25">
        <v>1550</v>
      </c>
      <c r="N941" s="4">
        <v>1200</v>
      </c>
      <c r="O941">
        <v>1</v>
      </c>
      <c r="T941" t="s">
        <v>178</v>
      </c>
      <c r="U941" t="s">
        <v>104</v>
      </c>
      <c r="V941" s="4">
        <v>1162.5</v>
      </c>
      <c r="Y941" s="6">
        <f t="shared" si="117"/>
        <v>1550</v>
      </c>
      <c r="Z941" s="6">
        <f t="shared" si="118"/>
        <v>1162.5</v>
      </c>
      <c r="AA941" s="6">
        <f t="shared" si="119"/>
        <v>1200</v>
      </c>
      <c r="AB941" s="6">
        <f t="shared" si="120"/>
        <v>350</v>
      </c>
      <c r="AC941" t="s">
        <v>16</v>
      </c>
      <c r="AD941" s="3" t="s">
        <v>171</v>
      </c>
    </row>
    <row r="942" spans="1:30" ht="15.75" customHeight="1" x14ac:dyDescent="0.2">
      <c r="A942" s="7" t="str">
        <f t="shared" si="115"/>
        <v>SECOTEJ581Retrofit</v>
      </c>
      <c r="B942" s="7" t="str">
        <f t="shared" si="116"/>
        <v>iPadNew Buy</v>
      </c>
      <c r="C942">
        <v>407706</v>
      </c>
      <c r="D942" t="s">
        <v>1101</v>
      </c>
      <c r="E942" t="s">
        <v>166</v>
      </c>
      <c r="F942" t="s">
        <v>173</v>
      </c>
      <c r="G942" t="s">
        <v>174</v>
      </c>
      <c r="H942" t="s">
        <v>170</v>
      </c>
      <c r="J942" t="s">
        <v>1201</v>
      </c>
      <c r="L942" t="s">
        <v>1203</v>
      </c>
      <c r="M942" s="25">
        <v>1550</v>
      </c>
      <c r="N942" s="4">
        <v>1200</v>
      </c>
      <c r="O942">
        <v>1</v>
      </c>
      <c r="T942" t="s">
        <v>178</v>
      </c>
      <c r="U942" t="s">
        <v>66</v>
      </c>
      <c r="V942" s="4">
        <v>1162.5</v>
      </c>
      <c r="Y942" s="6">
        <f t="shared" si="117"/>
        <v>1550</v>
      </c>
      <c r="Z942" s="6">
        <f t="shared" si="118"/>
        <v>1162.5</v>
      </c>
      <c r="AA942" s="6">
        <f t="shared" si="119"/>
        <v>1200</v>
      </c>
      <c r="AB942" s="6">
        <f t="shared" si="120"/>
        <v>350</v>
      </c>
      <c r="AC942" t="s">
        <v>16</v>
      </c>
      <c r="AD942" s="3" t="s">
        <v>171</v>
      </c>
    </row>
    <row r="943" spans="1:30" ht="15.75" customHeight="1" x14ac:dyDescent="0.2">
      <c r="A943" s="7" t="str">
        <f t="shared" si="115"/>
        <v>SECOTEJ581Retrofit</v>
      </c>
      <c r="B943" s="7" t="str">
        <f t="shared" si="116"/>
        <v>iPadNew Buy</v>
      </c>
      <c r="C943">
        <v>407705</v>
      </c>
      <c r="D943" t="s">
        <v>1101</v>
      </c>
      <c r="E943" t="s">
        <v>166</v>
      </c>
      <c r="F943" t="s">
        <v>173</v>
      </c>
      <c r="G943" t="s">
        <v>174</v>
      </c>
      <c r="H943" t="s">
        <v>170</v>
      </c>
      <c r="J943" t="s">
        <v>1204</v>
      </c>
      <c r="L943" t="s">
        <v>1205</v>
      </c>
      <c r="M943" s="25">
        <v>2170</v>
      </c>
      <c r="N943" s="4">
        <v>1600</v>
      </c>
      <c r="O943">
        <v>1</v>
      </c>
      <c r="T943" t="s">
        <v>178</v>
      </c>
      <c r="U943" t="s">
        <v>116</v>
      </c>
      <c r="V943" s="4">
        <v>1162.5</v>
      </c>
      <c r="Y943" s="6">
        <f t="shared" si="117"/>
        <v>2170</v>
      </c>
      <c r="Z943" s="6">
        <f t="shared" si="118"/>
        <v>1162.5</v>
      </c>
      <c r="AA943" s="6">
        <f t="shared" si="119"/>
        <v>1600</v>
      </c>
      <c r="AB943" s="6">
        <f t="shared" si="120"/>
        <v>570</v>
      </c>
      <c r="AC943" t="s">
        <v>33</v>
      </c>
      <c r="AD943" s="3" t="s">
        <v>171</v>
      </c>
    </row>
    <row r="944" spans="1:30" ht="15.75" customHeight="1" x14ac:dyDescent="0.2">
      <c r="A944" s="7" t="str">
        <f t="shared" si="115"/>
        <v>SECOTEJ581Retrofit</v>
      </c>
      <c r="B944" s="7" t="str">
        <f t="shared" si="116"/>
        <v>iPadNew Buy</v>
      </c>
      <c r="C944">
        <v>407704</v>
      </c>
      <c r="D944" t="s">
        <v>1101</v>
      </c>
      <c r="E944" t="s">
        <v>166</v>
      </c>
      <c r="F944" t="s">
        <v>173</v>
      </c>
      <c r="G944" t="s">
        <v>174</v>
      </c>
      <c r="H944" t="s">
        <v>170</v>
      </c>
      <c r="J944" t="s">
        <v>1204</v>
      </c>
      <c r="L944" t="s">
        <v>1206</v>
      </c>
      <c r="M944" s="25">
        <v>1550</v>
      </c>
      <c r="N944" s="4">
        <v>1200</v>
      </c>
      <c r="O944">
        <v>1</v>
      </c>
      <c r="T944" t="s">
        <v>178</v>
      </c>
      <c r="U944" t="s">
        <v>104</v>
      </c>
      <c r="V944" s="4">
        <v>1162.5</v>
      </c>
      <c r="Y944" s="6">
        <f t="shared" si="117"/>
        <v>1550</v>
      </c>
      <c r="Z944" s="6">
        <f t="shared" si="118"/>
        <v>1162.5</v>
      </c>
      <c r="AA944" s="6">
        <f t="shared" si="119"/>
        <v>1200</v>
      </c>
      <c r="AB944" s="6">
        <f t="shared" si="120"/>
        <v>350</v>
      </c>
      <c r="AC944" t="s">
        <v>16</v>
      </c>
      <c r="AD944" s="3" t="s">
        <v>171</v>
      </c>
    </row>
    <row r="945" spans="1:30" ht="15.75" customHeight="1" x14ac:dyDescent="0.2">
      <c r="A945" s="7" t="str">
        <f t="shared" si="115"/>
        <v>SECOTEJ581Retrofit</v>
      </c>
      <c r="B945" s="7" t="str">
        <f t="shared" si="116"/>
        <v>iPadNew Buy</v>
      </c>
      <c r="C945">
        <v>407703</v>
      </c>
      <c r="D945" t="s">
        <v>1101</v>
      </c>
      <c r="E945" t="s">
        <v>166</v>
      </c>
      <c r="F945" t="s">
        <v>173</v>
      </c>
      <c r="G945" t="s">
        <v>174</v>
      </c>
      <c r="H945" t="s">
        <v>170</v>
      </c>
      <c r="J945" t="s">
        <v>1204</v>
      </c>
      <c r="L945" t="s">
        <v>1206</v>
      </c>
      <c r="M945" s="25">
        <v>1550</v>
      </c>
      <c r="N945" s="4">
        <v>1200</v>
      </c>
      <c r="O945">
        <v>1</v>
      </c>
      <c r="T945" t="s">
        <v>178</v>
      </c>
      <c r="U945" t="s">
        <v>66</v>
      </c>
      <c r="V945" s="4">
        <v>1162.5</v>
      </c>
      <c r="Y945" s="6">
        <f t="shared" si="117"/>
        <v>1550</v>
      </c>
      <c r="Z945" s="6">
        <f t="shared" si="118"/>
        <v>1162.5</v>
      </c>
      <c r="AA945" s="6">
        <f t="shared" si="119"/>
        <v>1200</v>
      </c>
      <c r="AB945" s="6">
        <f t="shared" si="120"/>
        <v>350</v>
      </c>
      <c r="AC945" t="s">
        <v>16</v>
      </c>
      <c r="AD945" s="3" t="s">
        <v>171</v>
      </c>
    </row>
    <row r="946" spans="1:30" ht="15.75" customHeight="1" x14ac:dyDescent="0.2">
      <c r="A946" s="7" t="str">
        <f t="shared" si="115"/>
        <v>SECOTEJ581Retrofit</v>
      </c>
      <c r="B946" s="7" t="str">
        <f t="shared" si="116"/>
        <v>iPadNew Buy</v>
      </c>
      <c r="C946">
        <v>407681</v>
      </c>
      <c r="D946" t="s">
        <v>1101</v>
      </c>
      <c r="E946" t="s">
        <v>166</v>
      </c>
      <c r="F946" t="s">
        <v>173</v>
      </c>
      <c r="G946" t="s">
        <v>174</v>
      </c>
      <c r="H946" t="s">
        <v>170</v>
      </c>
      <c r="J946" t="s">
        <v>1207</v>
      </c>
      <c r="L946" t="s">
        <v>1179</v>
      </c>
      <c r="O946">
        <v>2</v>
      </c>
      <c r="T946" t="s">
        <v>178</v>
      </c>
      <c r="U946" t="s">
        <v>116</v>
      </c>
      <c r="V946" s="4">
        <v>0</v>
      </c>
      <c r="Y946" s="6">
        <f t="shared" si="117"/>
        <v>0</v>
      </c>
      <c r="Z946" s="6">
        <f t="shared" si="118"/>
        <v>0</v>
      </c>
      <c r="AA946" s="6">
        <f t="shared" si="119"/>
        <v>0</v>
      </c>
      <c r="AB946" s="6">
        <f t="shared" si="120"/>
        <v>0</v>
      </c>
      <c r="AC946" t="s">
        <v>33</v>
      </c>
      <c r="AD946" s="3" t="s">
        <v>171</v>
      </c>
    </row>
    <row r="947" spans="1:30" ht="15.75" customHeight="1" x14ac:dyDescent="0.2">
      <c r="A947" s="7" t="str">
        <f t="shared" si="115"/>
        <v>SECOTEJ581Retrofit</v>
      </c>
      <c r="B947" s="7" t="str">
        <f t="shared" si="116"/>
        <v>iPadNew Buy</v>
      </c>
      <c r="C947">
        <v>407680</v>
      </c>
      <c r="D947" t="s">
        <v>1101</v>
      </c>
      <c r="E947" t="s">
        <v>166</v>
      </c>
      <c r="F947" t="s">
        <v>173</v>
      </c>
      <c r="G947" t="s">
        <v>174</v>
      </c>
      <c r="H947" t="s">
        <v>170</v>
      </c>
      <c r="J947" t="s">
        <v>1207</v>
      </c>
      <c r="L947" t="s">
        <v>1208</v>
      </c>
      <c r="M947" s="25">
        <v>100</v>
      </c>
      <c r="N947" s="4">
        <v>80</v>
      </c>
      <c r="O947">
        <v>2</v>
      </c>
      <c r="T947" t="s">
        <v>178</v>
      </c>
      <c r="U947" t="s">
        <v>66</v>
      </c>
      <c r="V947" s="4">
        <v>0</v>
      </c>
      <c r="Y947" s="6">
        <f t="shared" si="117"/>
        <v>200</v>
      </c>
      <c r="Z947" s="6">
        <f t="shared" si="118"/>
        <v>0</v>
      </c>
      <c r="AA947" s="6">
        <f t="shared" si="119"/>
        <v>160</v>
      </c>
      <c r="AB947" s="6">
        <f t="shared" si="120"/>
        <v>40</v>
      </c>
      <c r="AC947" t="s">
        <v>16</v>
      </c>
      <c r="AD947" s="3" t="s">
        <v>171</v>
      </c>
    </row>
    <row r="948" spans="1:30" ht="15.75" customHeight="1" x14ac:dyDescent="0.2">
      <c r="A948" s="7" t="str">
        <f t="shared" si="115"/>
        <v>SECOTEJ581Retrofit</v>
      </c>
      <c r="B948" s="7" t="str">
        <f t="shared" si="116"/>
        <v>iPadNew Buy</v>
      </c>
      <c r="C948">
        <v>407679</v>
      </c>
      <c r="D948" t="s">
        <v>1101</v>
      </c>
      <c r="E948" t="s">
        <v>166</v>
      </c>
      <c r="F948" t="s">
        <v>173</v>
      </c>
      <c r="G948" t="s">
        <v>174</v>
      </c>
      <c r="H948" t="s">
        <v>170</v>
      </c>
      <c r="J948" t="s">
        <v>1209</v>
      </c>
      <c r="L948" t="s">
        <v>1210</v>
      </c>
      <c r="M948" s="25">
        <v>70</v>
      </c>
      <c r="N948" s="4">
        <v>54</v>
      </c>
      <c r="O948">
        <v>1</v>
      </c>
      <c r="T948" t="s">
        <v>178</v>
      </c>
      <c r="U948" t="s">
        <v>116</v>
      </c>
      <c r="V948" s="4">
        <v>37.5</v>
      </c>
      <c r="Y948" s="6">
        <f t="shared" si="117"/>
        <v>70</v>
      </c>
      <c r="Z948" s="6">
        <f t="shared" si="118"/>
        <v>37.5</v>
      </c>
      <c r="AA948" s="6">
        <f t="shared" si="119"/>
        <v>54</v>
      </c>
      <c r="AB948" s="6">
        <f t="shared" si="120"/>
        <v>16</v>
      </c>
      <c r="AC948" t="s">
        <v>33</v>
      </c>
      <c r="AD948" s="3" t="s">
        <v>171</v>
      </c>
    </row>
    <row r="949" spans="1:30" ht="15.75" customHeight="1" x14ac:dyDescent="0.2">
      <c r="A949" s="7" t="str">
        <f t="shared" si="115"/>
        <v>SECOTEJ581Retrofit</v>
      </c>
      <c r="B949" s="7" t="str">
        <f t="shared" si="116"/>
        <v>iPadNew Buy</v>
      </c>
      <c r="C949">
        <v>407678</v>
      </c>
      <c r="D949" t="s">
        <v>1101</v>
      </c>
      <c r="E949" t="s">
        <v>166</v>
      </c>
      <c r="F949" t="s">
        <v>173</v>
      </c>
      <c r="G949" t="s">
        <v>174</v>
      </c>
      <c r="H949" t="s">
        <v>170</v>
      </c>
      <c r="J949" t="s">
        <v>1209</v>
      </c>
      <c r="L949" t="s">
        <v>1210</v>
      </c>
      <c r="M949" s="25">
        <v>50</v>
      </c>
      <c r="N949" s="4">
        <v>40</v>
      </c>
      <c r="O949">
        <v>1</v>
      </c>
      <c r="T949" t="s">
        <v>178</v>
      </c>
      <c r="U949" t="s">
        <v>66</v>
      </c>
      <c r="V949" s="4">
        <v>37.5</v>
      </c>
      <c r="Y949" s="6">
        <f t="shared" si="117"/>
        <v>50</v>
      </c>
      <c r="Z949" s="6">
        <f t="shared" si="118"/>
        <v>37.5</v>
      </c>
      <c r="AA949" s="6">
        <f t="shared" si="119"/>
        <v>40</v>
      </c>
      <c r="AB949" s="6">
        <f t="shared" si="120"/>
        <v>10</v>
      </c>
      <c r="AC949" t="s">
        <v>16</v>
      </c>
      <c r="AD949" s="3" t="s">
        <v>171</v>
      </c>
    </row>
    <row r="950" spans="1:30" ht="15.75" customHeight="1" x14ac:dyDescent="0.2">
      <c r="A950" s="7" t="str">
        <f t="shared" si="115"/>
        <v>SECOTEJ581Retrofit</v>
      </c>
      <c r="B950" s="7" t="str">
        <f t="shared" si="116"/>
        <v>iPadNew Buy</v>
      </c>
      <c r="C950">
        <v>407677</v>
      </c>
      <c r="D950" t="s">
        <v>1101</v>
      </c>
      <c r="E950" t="s">
        <v>166</v>
      </c>
      <c r="F950" t="s">
        <v>173</v>
      </c>
      <c r="G950" t="s">
        <v>174</v>
      </c>
      <c r="H950" t="s">
        <v>170</v>
      </c>
      <c r="J950" t="s">
        <v>1211</v>
      </c>
      <c r="L950" t="s">
        <v>1212</v>
      </c>
      <c r="M950" s="25">
        <v>1550</v>
      </c>
      <c r="N950" s="4">
        <v>1200</v>
      </c>
      <c r="O950">
        <v>1</v>
      </c>
      <c r="T950" t="s">
        <v>178</v>
      </c>
      <c r="U950" t="s">
        <v>104</v>
      </c>
      <c r="V950" s="4">
        <v>1162.5</v>
      </c>
      <c r="Y950" s="6">
        <f t="shared" si="117"/>
        <v>1550</v>
      </c>
      <c r="Z950" s="6">
        <f t="shared" si="118"/>
        <v>1162.5</v>
      </c>
      <c r="AA950" s="6">
        <f t="shared" si="119"/>
        <v>1200</v>
      </c>
      <c r="AB950" s="6">
        <f t="shared" si="120"/>
        <v>350</v>
      </c>
      <c r="AC950" t="s">
        <v>16</v>
      </c>
      <c r="AD950" s="3" t="s">
        <v>171</v>
      </c>
    </row>
    <row r="951" spans="1:30" ht="15.75" customHeight="1" x14ac:dyDescent="0.2">
      <c r="A951" s="7" t="str">
        <f t="shared" si="115"/>
        <v>SECOTEJ581Retrofit</v>
      </c>
      <c r="B951" s="7" t="str">
        <f t="shared" si="116"/>
        <v>iPadNew Buy</v>
      </c>
      <c r="C951">
        <v>407676</v>
      </c>
      <c r="D951" t="s">
        <v>1101</v>
      </c>
      <c r="E951" t="s">
        <v>166</v>
      </c>
      <c r="F951" t="s">
        <v>173</v>
      </c>
      <c r="G951" t="s">
        <v>174</v>
      </c>
      <c r="H951" t="s">
        <v>170</v>
      </c>
      <c r="J951" t="s">
        <v>1211</v>
      </c>
      <c r="L951" t="s">
        <v>1212</v>
      </c>
      <c r="M951" s="25">
        <v>2170</v>
      </c>
      <c r="N951" s="4">
        <v>1600</v>
      </c>
      <c r="O951">
        <v>1</v>
      </c>
      <c r="T951" t="s">
        <v>178</v>
      </c>
      <c r="U951" t="s">
        <v>116</v>
      </c>
      <c r="V951" s="4">
        <v>1162.5</v>
      </c>
      <c r="Y951" s="6">
        <f t="shared" si="117"/>
        <v>2170</v>
      </c>
      <c r="Z951" s="6">
        <f t="shared" si="118"/>
        <v>1162.5</v>
      </c>
      <c r="AA951" s="6">
        <f t="shared" si="119"/>
        <v>1600</v>
      </c>
      <c r="AB951" s="6">
        <f t="shared" si="120"/>
        <v>570</v>
      </c>
      <c r="AC951" t="s">
        <v>33</v>
      </c>
      <c r="AD951" s="3" t="s">
        <v>171</v>
      </c>
    </row>
    <row r="952" spans="1:30" ht="15.75" customHeight="1" x14ac:dyDescent="0.2">
      <c r="A952" s="7" t="str">
        <f t="shared" si="115"/>
        <v>SECOTEJ581Retrofit</v>
      </c>
      <c r="B952" s="7" t="str">
        <f t="shared" si="116"/>
        <v>iPadNew Buy</v>
      </c>
      <c r="C952">
        <v>407675</v>
      </c>
      <c r="D952" t="s">
        <v>1101</v>
      </c>
      <c r="E952" t="s">
        <v>166</v>
      </c>
      <c r="F952" t="s">
        <v>173</v>
      </c>
      <c r="G952" t="s">
        <v>174</v>
      </c>
      <c r="H952" t="s">
        <v>170</v>
      </c>
      <c r="J952" t="s">
        <v>1211</v>
      </c>
      <c r="L952" t="s">
        <v>1212</v>
      </c>
      <c r="M952" s="25">
        <v>1550</v>
      </c>
      <c r="N952" s="4">
        <v>1200</v>
      </c>
      <c r="O952">
        <v>1</v>
      </c>
      <c r="T952" t="s">
        <v>178</v>
      </c>
      <c r="U952" t="s">
        <v>66</v>
      </c>
      <c r="V952" s="4">
        <v>1162.5</v>
      </c>
      <c r="Y952" s="6">
        <f t="shared" si="117"/>
        <v>1550</v>
      </c>
      <c r="Z952" s="6">
        <f t="shared" si="118"/>
        <v>1162.5</v>
      </c>
      <c r="AA952" s="6">
        <f t="shared" si="119"/>
        <v>1200</v>
      </c>
      <c r="AB952" s="6">
        <f t="shared" si="120"/>
        <v>350</v>
      </c>
      <c r="AC952" t="s">
        <v>16</v>
      </c>
      <c r="AD952" s="3" t="s">
        <v>171</v>
      </c>
    </row>
    <row r="953" spans="1:30" ht="15.75" customHeight="1" x14ac:dyDescent="0.2">
      <c r="A953" s="7" t="str">
        <f t="shared" si="115"/>
        <v>SECOTEJ581Retrofit</v>
      </c>
      <c r="B953" s="7" t="str">
        <f t="shared" si="116"/>
        <v>iPadNew Buy</v>
      </c>
      <c r="C953">
        <v>407674</v>
      </c>
      <c r="D953" t="s">
        <v>1101</v>
      </c>
      <c r="E953" t="s">
        <v>166</v>
      </c>
      <c r="F953" t="s">
        <v>173</v>
      </c>
      <c r="G953" t="s">
        <v>174</v>
      </c>
      <c r="H953" t="s">
        <v>170</v>
      </c>
      <c r="J953" t="s">
        <v>1213</v>
      </c>
      <c r="L953" t="s">
        <v>1214</v>
      </c>
      <c r="M953" s="25">
        <v>1550</v>
      </c>
      <c r="N953" s="4">
        <v>1200</v>
      </c>
      <c r="O953">
        <v>133</v>
      </c>
      <c r="T953" t="s">
        <v>178</v>
      </c>
      <c r="U953" t="s">
        <v>104</v>
      </c>
      <c r="V953" s="4">
        <v>1162.5</v>
      </c>
      <c r="Y953" s="6">
        <f t="shared" si="117"/>
        <v>206150</v>
      </c>
      <c r="Z953" s="6">
        <f t="shared" si="118"/>
        <v>154612.5</v>
      </c>
      <c r="AA953" s="6">
        <f t="shared" si="119"/>
        <v>159600</v>
      </c>
      <c r="AB953" s="6">
        <f t="shared" si="120"/>
        <v>46550</v>
      </c>
      <c r="AC953" t="s">
        <v>16</v>
      </c>
      <c r="AD953" s="3" t="s">
        <v>171</v>
      </c>
    </row>
    <row r="954" spans="1:30" ht="15.75" customHeight="1" x14ac:dyDescent="0.2">
      <c r="A954" s="7" t="str">
        <f t="shared" si="115"/>
        <v>SECOTEJ581Retrofit</v>
      </c>
      <c r="B954" s="7" t="str">
        <f t="shared" si="116"/>
        <v>iPadNew Buy</v>
      </c>
      <c r="C954">
        <v>407673</v>
      </c>
      <c r="D954" t="s">
        <v>1101</v>
      </c>
      <c r="E954" t="s">
        <v>166</v>
      </c>
      <c r="F954" t="s">
        <v>173</v>
      </c>
      <c r="G954" t="s">
        <v>174</v>
      </c>
      <c r="H954" t="s">
        <v>170</v>
      </c>
      <c r="J954" t="s">
        <v>1213</v>
      </c>
      <c r="L954" t="s">
        <v>1214</v>
      </c>
      <c r="M954" s="25">
        <v>2170</v>
      </c>
      <c r="N954" s="4">
        <v>1600</v>
      </c>
      <c r="O954">
        <v>55</v>
      </c>
      <c r="T954" t="s">
        <v>178</v>
      </c>
      <c r="U954" t="s">
        <v>116</v>
      </c>
      <c r="V954" s="4">
        <v>1162.5</v>
      </c>
      <c r="Y954" s="6">
        <f t="shared" si="117"/>
        <v>119350</v>
      </c>
      <c r="Z954" s="6">
        <f t="shared" si="118"/>
        <v>63937.5</v>
      </c>
      <c r="AA954" s="6">
        <f t="shared" si="119"/>
        <v>88000</v>
      </c>
      <c r="AB954" s="6">
        <f t="shared" si="120"/>
        <v>31350</v>
      </c>
      <c r="AC954" t="s">
        <v>33</v>
      </c>
      <c r="AD954" s="3" t="s">
        <v>171</v>
      </c>
    </row>
    <row r="955" spans="1:30" ht="15.75" customHeight="1" x14ac:dyDescent="0.2">
      <c r="A955" s="7" t="str">
        <f t="shared" si="115"/>
        <v>SECOTEJ581Retrofit</v>
      </c>
      <c r="B955" s="7" t="str">
        <f t="shared" si="116"/>
        <v>iPadNew Buy</v>
      </c>
      <c r="C955">
        <v>407672</v>
      </c>
      <c r="D955" t="s">
        <v>1101</v>
      </c>
      <c r="E955" t="s">
        <v>166</v>
      </c>
      <c r="F955" t="s">
        <v>173</v>
      </c>
      <c r="G955" t="s">
        <v>174</v>
      </c>
      <c r="H955" t="s">
        <v>170</v>
      </c>
      <c r="J955" t="s">
        <v>1213</v>
      </c>
      <c r="L955" t="s">
        <v>1214</v>
      </c>
      <c r="M955" s="25">
        <v>1550</v>
      </c>
      <c r="N955" s="4">
        <v>1200</v>
      </c>
      <c r="O955">
        <v>2</v>
      </c>
      <c r="T955" t="s">
        <v>178</v>
      </c>
      <c r="U955" t="s">
        <v>66</v>
      </c>
      <c r="V955" s="4">
        <v>1162.5</v>
      </c>
      <c r="Y955" s="6">
        <f t="shared" si="117"/>
        <v>3100</v>
      </c>
      <c r="Z955" s="6">
        <f t="shared" si="118"/>
        <v>2325</v>
      </c>
      <c r="AA955" s="6">
        <f t="shared" si="119"/>
        <v>2400</v>
      </c>
      <c r="AB955" s="6">
        <f t="shared" si="120"/>
        <v>700</v>
      </c>
      <c r="AC955" t="s">
        <v>16</v>
      </c>
      <c r="AD955" s="3" t="s">
        <v>171</v>
      </c>
    </row>
    <row r="956" spans="1:30" ht="15.75" customHeight="1" x14ac:dyDescent="0.2">
      <c r="A956" s="7" t="str">
        <f t="shared" si="115"/>
        <v>SECOTEJ581Retrofit</v>
      </c>
      <c r="B956" s="7" t="str">
        <f t="shared" si="116"/>
        <v>iPadNew Buy</v>
      </c>
      <c r="C956">
        <v>407668</v>
      </c>
      <c r="D956" t="s">
        <v>1101</v>
      </c>
      <c r="E956" t="s">
        <v>166</v>
      </c>
      <c r="F956" t="s">
        <v>173</v>
      </c>
      <c r="G956" t="s">
        <v>174</v>
      </c>
      <c r="H956" t="s">
        <v>170</v>
      </c>
      <c r="J956" t="s">
        <v>1215</v>
      </c>
      <c r="L956" t="s">
        <v>1181</v>
      </c>
      <c r="O956">
        <v>2</v>
      </c>
      <c r="T956" t="s">
        <v>178</v>
      </c>
      <c r="U956" t="s">
        <v>116</v>
      </c>
      <c r="V956" s="4">
        <v>0</v>
      </c>
      <c r="Y956" s="6">
        <f t="shared" si="117"/>
        <v>0</v>
      </c>
      <c r="Z956" s="6">
        <f t="shared" si="118"/>
        <v>0</v>
      </c>
      <c r="AA956" s="6">
        <f t="shared" si="119"/>
        <v>0</v>
      </c>
      <c r="AB956" s="6">
        <f t="shared" si="120"/>
        <v>0</v>
      </c>
      <c r="AC956" t="s">
        <v>33</v>
      </c>
      <c r="AD956" s="3" t="s">
        <v>171</v>
      </c>
    </row>
    <row r="957" spans="1:30" ht="15.75" customHeight="1" x14ac:dyDescent="0.2">
      <c r="A957" s="7" t="str">
        <f t="shared" si="115"/>
        <v>SECOTEJ581Retrofit</v>
      </c>
      <c r="B957" s="7" t="str">
        <f t="shared" si="116"/>
        <v>iPadNew Buy</v>
      </c>
      <c r="C957">
        <v>407667</v>
      </c>
      <c r="D957" t="s">
        <v>1101</v>
      </c>
      <c r="E957" t="s">
        <v>166</v>
      </c>
      <c r="F957" t="s">
        <v>173</v>
      </c>
      <c r="G957" t="s">
        <v>174</v>
      </c>
      <c r="H957" t="s">
        <v>170</v>
      </c>
      <c r="J957" t="s">
        <v>1215</v>
      </c>
      <c r="L957" t="s">
        <v>1216</v>
      </c>
      <c r="M957" s="25">
        <v>100</v>
      </c>
      <c r="N957" s="4">
        <v>80</v>
      </c>
      <c r="O957">
        <v>2</v>
      </c>
      <c r="T957" t="s">
        <v>178</v>
      </c>
      <c r="U957" t="s">
        <v>66</v>
      </c>
      <c r="V957" s="4">
        <v>0</v>
      </c>
      <c r="Y957" s="6">
        <f t="shared" si="117"/>
        <v>200</v>
      </c>
      <c r="Z957" s="6">
        <f t="shared" si="118"/>
        <v>0</v>
      </c>
      <c r="AA957" s="6">
        <f t="shared" si="119"/>
        <v>160</v>
      </c>
      <c r="AB957" s="6">
        <f t="shared" si="120"/>
        <v>40</v>
      </c>
      <c r="AC957" t="s">
        <v>16</v>
      </c>
      <c r="AD957" s="3" t="s">
        <v>171</v>
      </c>
    </row>
    <row r="958" spans="1:30" ht="15.75" customHeight="1" x14ac:dyDescent="0.2">
      <c r="A958" s="7" t="str">
        <f t="shared" si="115"/>
        <v>SECOTEJ581Retrofit</v>
      </c>
      <c r="B958" s="7" t="str">
        <f t="shared" si="116"/>
        <v>iPadNew Buy</v>
      </c>
      <c r="C958">
        <v>407666</v>
      </c>
      <c r="D958" t="s">
        <v>1101</v>
      </c>
      <c r="E958" t="s">
        <v>166</v>
      </c>
      <c r="F958" t="s">
        <v>173</v>
      </c>
      <c r="G958" t="s">
        <v>174</v>
      </c>
      <c r="H958" t="s">
        <v>170</v>
      </c>
      <c r="J958" t="s">
        <v>1217</v>
      </c>
      <c r="L958" t="s">
        <v>1218</v>
      </c>
      <c r="M958" s="25">
        <v>70</v>
      </c>
      <c r="N958" s="4">
        <v>54</v>
      </c>
      <c r="O958">
        <v>1</v>
      </c>
      <c r="T958" t="s">
        <v>178</v>
      </c>
      <c r="U958" t="s">
        <v>116</v>
      </c>
      <c r="V958" s="4">
        <v>37.5</v>
      </c>
      <c r="Y958" s="6">
        <f t="shared" si="117"/>
        <v>70</v>
      </c>
      <c r="Z958" s="6">
        <f t="shared" si="118"/>
        <v>37.5</v>
      </c>
      <c r="AA958" s="6">
        <f t="shared" si="119"/>
        <v>54</v>
      </c>
      <c r="AB958" s="6">
        <f t="shared" si="120"/>
        <v>16</v>
      </c>
      <c r="AC958" t="s">
        <v>33</v>
      </c>
      <c r="AD958" s="3" t="s">
        <v>171</v>
      </c>
    </row>
    <row r="959" spans="1:30" ht="15.75" customHeight="1" x14ac:dyDescent="0.2">
      <c r="A959" s="7" t="str">
        <f t="shared" si="115"/>
        <v>SECOTEJ581Retrofit</v>
      </c>
      <c r="B959" s="7" t="str">
        <f t="shared" si="116"/>
        <v>iPadNew Buy</v>
      </c>
      <c r="C959">
        <v>407665</v>
      </c>
      <c r="D959" t="s">
        <v>1101</v>
      </c>
      <c r="E959" t="s">
        <v>166</v>
      </c>
      <c r="F959" t="s">
        <v>173</v>
      </c>
      <c r="G959" t="s">
        <v>174</v>
      </c>
      <c r="H959" t="s">
        <v>170</v>
      </c>
      <c r="J959" t="s">
        <v>1217</v>
      </c>
      <c r="L959" t="s">
        <v>1218</v>
      </c>
      <c r="M959" s="25">
        <v>50</v>
      </c>
      <c r="N959" s="4">
        <v>40</v>
      </c>
      <c r="O959">
        <v>1</v>
      </c>
      <c r="T959" t="s">
        <v>178</v>
      </c>
      <c r="U959" t="s">
        <v>66</v>
      </c>
      <c r="V959" s="4">
        <v>37.5</v>
      </c>
      <c r="Y959" s="6">
        <f t="shared" si="117"/>
        <v>50</v>
      </c>
      <c r="Z959" s="6">
        <f t="shared" si="118"/>
        <v>37.5</v>
      </c>
      <c r="AA959" s="6">
        <f t="shared" si="119"/>
        <v>40</v>
      </c>
      <c r="AB959" s="6">
        <f t="shared" si="120"/>
        <v>10</v>
      </c>
      <c r="AC959" t="s">
        <v>16</v>
      </c>
      <c r="AD959" s="3" t="s">
        <v>171</v>
      </c>
    </row>
    <row r="960" spans="1:30" ht="15.75" customHeight="1" x14ac:dyDescent="0.2">
      <c r="A960" s="7" t="str">
        <f t="shared" si="115"/>
        <v>SECOTEJ581New Buy</v>
      </c>
      <c r="B960" s="7" t="str">
        <f t="shared" si="116"/>
        <v>iPadNew Buy</v>
      </c>
      <c r="C960">
        <v>407266</v>
      </c>
      <c r="D960" t="s">
        <v>1101</v>
      </c>
      <c r="E960" t="s">
        <v>166</v>
      </c>
      <c r="F960" t="s">
        <v>173</v>
      </c>
      <c r="G960" t="s">
        <v>174</v>
      </c>
      <c r="H960" t="s">
        <v>167</v>
      </c>
      <c r="J960" t="s">
        <v>280</v>
      </c>
      <c r="L960" t="s">
        <v>281</v>
      </c>
      <c r="M960" s="25">
        <v>210</v>
      </c>
      <c r="N960" s="4">
        <v>163</v>
      </c>
      <c r="O960">
        <v>2</v>
      </c>
      <c r="T960" t="s">
        <v>178</v>
      </c>
      <c r="U960" t="s">
        <v>116</v>
      </c>
      <c r="V960" s="4">
        <v>112.5</v>
      </c>
      <c r="Y960" s="6">
        <f t="shared" si="117"/>
        <v>420</v>
      </c>
      <c r="Z960" s="6">
        <f t="shared" si="118"/>
        <v>225</v>
      </c>
      <c r="AA960" s="6">
        <f t="shared" si="119"/>
        <v>326</v>
      </c>
      <c r="AB960" s="6">
        <f t="shared" si="120"/>
        <v>94</v>
      </c>
      <c r="AC960" t="s">
        <v>33</v>
      </c>
      <c r="AD960" s="3" t="s">
        <v>168</v>
      </c>
    </row>
    <row r="961" spans="1:30" ht="15.75" customHeight="1" x14ac:dyDescent="0.2">
      <c r="A961" s="7" t="str">
        <f t="shared" si="115"/>
        <v>SECOTEJ581New Buy</v>
      </c>
      <c r="B961" s="7" t="str">
        <f t="shared" si="116"/>
        <v>iPadNew Buy</v>
      </c>
      <c r="C961">
        <v>407263</v>
      </c>
      <c r="D961" t="s">
        <v>1101</v>
      </c>
      <c r="E961" t="s">
        <v>166</v>
      </c>
      <c r="F961" t="s">
        <v>173</v>
      </c>
      <c r="G961" t="s">
        <v>174</v>
      </c>
      <c r="H961" t="s">
        <v>167</v>
      </c>
      <c r="J961" t="s">
        <v>282</v>
      </c>
      <c r="L961" t="s">
        <v>283</v>
      </c>
      <c r="M961" s="25">
        <v>210</v>
      </c>
      <c r="N961" s="4">
        <v>163</v>
      </c>
      <c r="O961">
        <v>2</v>
      </c>
      <c r="T961" t="s">
        <v>178</v>
      </c>
      <c r="U961" t="s">
        <v>116</v>
      </c>
      <c r="V961" s="4">
        <v>112.5</v>
      </c>
      <c r="Y961" s="6">
        <f t="shared" si="117"/>
        <v>420</v>
      </c>
      <c r="Z961" s="6">
        <f t="shared" si="118"/>
        <v>225</v>
      </c>
      <c r="AA961" s="6">
        <f t="shared" si="119"/>
        <v>326</v>
      </c>
      <c r="AB961" s="6">
        <f t="shared" si="120"/>
        <v>94</v>
      </c>
      <c r="AC961" t="s">
        <v>33</v>
      </c>
      <c r="AD961" s="3" t="s">
        <v>168</v>
      </c>
    </row>
    <row r="962" spans="1:30" ht="15.75" customHeight="1" x14ac:dyDescent="0.2">
      <c r="A962" s="7" t="str">
        <f t="shared" ref="A962:A999" si="121">CONCATENATE(D962,G962,H962,K962)</f>
        <v>GUANGDONG WORLD PRECISION TECHNOLOGY CO., LTDJ581New Buy</v>
      </c>
      <c r="B962" s="7" t="str">
        <f t="shared" ref="B962:B999" si="122">_xlfn.CONCAT(F962,K962,"New Buy")</f>
        <v>iPadNew Buy</v>
      </c>
      <c r="C962">
        <v>407437</v>
      </c>
      <c r="D962" t="s">
        <v>114</v>
      </c>
      <c r="E962" t="s">
        <v>166</v>
      </c>
      <c r="F962" t="s">
        <v>173</v>
      </c>
      <c r="G962" t="s">
        <v>174</v>
      </c>
      <c r="H962" t="s">
        <v>167</v>
      </c>
      <c r="J962" t="s">
        <v>1219</v>
      </c>
      <c r="L962" t="s">
        <v>1220</v>
      </c>
      <c r="M962" s="4">
        <v>525</v>
      </c>
      <c r="N962" s="4">
        <v>397.14400000000001</v>
      </c>
      <c r="O962">
        <v>6</v>
      </c>
      <c r="T962" t="s">
        <v>178</v>
      </c>
      <c r="U962" t="s">
        <v>104</v>
      </c>
      <c r="V962" s="4">
        <v>397.14400000000001</v>
      </c>
      <c r="Y962" s="6">
        <f t="shared" ref="Y962:Y999" si="123">IFERROR(O962*M962,0)</f>
        <v>3150</v>
      </c>
      <c r="Z962" s="6">
        <f t="shared" ref="Z962:Z999" si="124">IFERROR(O962*V962,0)</f>
        <v>2382.864</v>
      </c>
      <c r="AA962" s="6">
        <f t="shared" ref="AA962:AA999" si="125">IFERROR(N962*O962,0)</f>
        <v>2382.864</v>
      </c>
      <c r="AB962" s="6">
        <f t="shared" ref="AB962:AB1021" si="126">IF(AA962=0,0,Y962-AA962)</f>
        <v>767.13599999999997</v>
      </c>
      <c r="AC962" t="s">
        <v>16</v>
      </c>
      <c r="AD962" s="3" t="s">
        <v>168</v>
      </c>
    </row>
    <row r="963" spans="1:30" ht="15.75" customHeight="1" x14ac:dyDescent="0.2">
      <c r="A963" s="7" t="str">
        <f t="shared" si="121"/>
        <v>GUANGDONG WORLD PRECISION TECHNOLOGY CO., LTDJ510New Buy</v>
      </c>
      <c r="B963" s="7" t="str">
        <f t="shared" si="122"/>
        <v>iPadNew Buy</v>
      </c>
      <c r="C963">
        <v>409030</v>
      </c>
      <c r="D963" t="s">
        <v>114</v>
      </c>
      <c r="E963" t="s">
        <v>166</v>
      </c>
      <c r="F963" t="s">
        <v>173</v>
      </c>
      <c r="G963" t="s">
        <v>68</v>
      </c>
      <c r="H963" t="s">
        <v>167</v>
      </c>
      <c r="J963" t="s">
        <v>1221</v>
      </c>
      <c r="L963" t="s">
        <v>1222</v>
      </c>
      <c r="M963" s="4">
        <v>300</v>
      </c>
      <c r="N963" s="4">
        <v>277</v>
      </c>
      <c r="O963">
        <v>16</v>
      </c>
      <c r="T963" t="s">
        <v>178</v>
      </c>
      <c r="U963" t="s">
        <v>66</v>
      </c>
      <c r="V963" s="4">
        <v>240</v>
      </c>
      <c r="Y963" s="6">
        <f t="shared" si="123"/>
        <v>4800</v>
      </c>
      <c r="Z963" s="6">
        <f t="shared" si="124"/>
        <v>3840</v>
      </c>
      <c r="AA963" s="6">
        <f t="shared" si="125"/>
        <v>4432</v>
      </c>
      <c r="AB963" s="6">
        <f t="shared" si="126"/>
        <v>368</v>
      </c>
      <c r="AC963" t="s">
        <v>16</v>
      </c>
      <c r="AD963" s="3" t="s">
        <v>168</v>
      </c>
    </row>
    <row r="964" spans="1:30" ht="15.75" customHeight="1" x14ac:dyDescent="0.2">
      <c r="A964" s="7" t="str">
        <f t="shared" si="121"/>
        <v>GUANGDONG WORLD PRECISION TECHNOLOGY CO., LTDJ510New Buy</v>
      </c>
      <c r="B964" s="7" t="str">
        <f t="shared" si="122"/>
        <v>iPadNew Buy</v>
      </c>
      <c r="C964">
        <v>409029</v>
      </c>
      <c r="D964" t="s">
        <v>114</v>
      </c>
      <c r="E964" t="s">
        <v>166</v>
      </c>
      <c r="F964" t="s">
        <v>173</v>
      </c>
      <c r="G964" t="s">
        <v>68</v>
      </c>
      <c r="H964" t="s">
        <v>167</v>
      </c>
      <c r="J964" t="s">
        <v>1223</v>
      </c>
      <c r="L964" t="s">
        <v>1224</v>
      </c>
      <c r="M964" s="4">
        <v>300</v>
      </c>
      <c r="N964" s="4">
        <v>240</v>
      </c>
      <c r="O964">
        <v>16</v>
      </c>
      <c r="T964" t="s">
        <v>178</v>
      </c>
      <c r="U964" t="s">
        <v>66</v>
      </c>
      <c r="V964" s="4">
        <v>240</v>
      </c>
      <c r="Y964" s="6">
        <f t="shared" si="123"/>
        <v>4800</v>
      </c>
      <c r="Z964" s="6">
        <f t="shared" si="124"/>
        <v>3840</v>
      </c>
      <c r="AA964" s="6">
        <f t="shared" si="125"/>
        <v>3840</v>
      </c>
      <c r="AB964" s="6">
        <f t="shared" si="126"/>
        <v>960</v>
      </c>
      <c r="AC964" t="s">
        <v>16</v>
      </c>
      <c r="AD964" s="3" t="s">
        <v>168</v>
      </c>
    </row>
    <row r="965" spans="1:30" ht="15.75" customHeight="1" x14ac:dyDescent="0.2">
      <c r="A965" s="7" t="str">
        <f t="shared" si="121"/>
        <v>GUANGDONG WORLD PRECISION TECHNOLOGY CO., LTDJ510New Buy</v>
      </c>
      <c r="B965" s="7" t="str">
        <f t="shared" si="122"/>
        <v>iPadNew Buy</v>
      </c>
      <c r="C965">
        <v>409028</v>
      </c>
      <c r="D965" t="s">
        <v>114</v>
      </c>
      <c r="E965" t="s">
        <v>166</v>
      </c>
      <c r="F965" t="s">
        <v>173</v>
      </c>
      <c r="G965" t="s">
        <v>68</v>
      </c>
      <c r="H965" t="s">
        <v>167</v>
      </c>
      <c r="J965" t="s">
        <v>1225</v>
      </c>
      <c r="L965" t="s">
        <v>1226</v>
      </c>
      <c r="M965" s="4">
        <v>1390</v>
      </c>
      <c r="N965" s="4">
        <v>1376</v>
      </c>
      <c r="O965">
        <v>12</v>
      </c>
      <c r="T965" t="s">
        <v>178</v>
      </c>
      <c r="U965" t="s">
        <v>66</v>
      </c>
      <c r="V965" s="4">
        <v>1112</v>
      </c>
      <c r="Y965" s="6">
        <f t="shared" si="123"/>
        <v>16680</v>
      </c>
      <c r="Z965" s="6">
        <f t="shared" si="124"/>
        <v>13344</v>
      </c>
      <c r="AA965" s="6">
        <f t="shared" si="125"/>
        <v>16512</v>
      </c>
      <c r="AB965" s="6">
        <f t="shared" si="126"/>
        <v>168</v>
      </c>
      <c r="AC965" t="s">
        <v>16</v>
      </c>
      <c r="AD965" s="3" t="s">
        <v>168</v>
      </c>
    </row>
    <row r="966" spans="1:30" ht="15.75" customHeight="1" x14ac:dyDescent="0.2">
      <c r="A966" s="7" t="str">
        <f t="shared" si="121"/>
        <v>GUANGDONG WORLD PRECISION TECHNOLOGY CO., LTDJ510New Buy</v>
      </c>
      <c r="B966" s="7" t="str">
        <f t="shared" si="122"/>
        <v>iPadNew Buy</v>
      </c>
      <c r="C966">
        <v>409027</v>
      </c>
      <c r="D966" t="s">
        <v>114</v>
      </c>
      <c r="E966" t="s">
        <v>166</v>
      </c>
      <c r="F966" t="s">
        <v>173</v>
      </c>
      <c r="G966" t="s">
        <v>68</v>
      </c>
      <c r="H966" t="s">
        <v>167</v>
      </c>
      <c r="J966" t="s">
        <v>1227</v>
      </c>
      <c r="L966" t="s">
        <v>1228</v>
      </c>
      <c r="M966" s="4">
        <v>850</v>
      </c>
      <c r="N966" s="4">
        <v>767</v>
      </c>
      <c r="O966">
        <v>12</v>
      </c>
      <c r="T966" t="s">
        <v>178</v>
      </c>
      <c r="U966" t="s">
        <v>66</v>
      </c>
      <c r="V966" s="4">
        <v>680</v>
      </c>
      <c r="Y966" s="6">
        <f t="shared" si="123"/>
        <v>10200</v>
      </c>
      <c r="Z966" s="6">
        <f t="shared" si="124"/>
        <v>8160</v>
      </c>
      <c r="AA966" s="6">
        <f t="shared" si="125"/>
        <v>9204</v>
      </c>
      <c r="AB966" s="6">
        <f t="shared" si="126"/>
        <v>996</v>
      </c>
      <c r="AC966" t="s">
        <v>16</v>
      </c>
      <c r="AD966" s="3" t="s">
        <v>168</v>
      </c>
    </row>
    <row r="967" spans="1:30" ht="15.75" customHeight="1" x14ac:dyDescent="0.2">
      <c r="A967" s="7" t="str">
        <f t="shared" si="121"/>
        <v>GUANGDONG WORLD PRECISION TECHNOLOGY CO., LTDJ510New Buy</v>
      </c>
      <c r="B967" s="7" t="str">
        <f t="shared" si="122"/>
        <v>iPadNew Buy</v>
      </c>
      <c r="C967">
        <v>409026</v>
      </c>
      <c r="D967" t="s">
        <v>114</v>
      </c>
      <c r="E967" t="s">
        <v>166</v>
      </c>
      <c r="F967" t="s">
        <v>173</v>
      </c>
      <c r="G967" t="s">
        <v>68</v>
      </c>
      <c r="H967" t="s">
        <v>167</v>
      </c>
      <c r="J967" t="s">
        <v>1229</v>
      </c>
      <c r="L967" t="s">
        <v>1230</v>
      </c>
      <c r="M967" s="4">
        <v>376</v>
      </c>
      <c r="N967" s="4">
        <v>372</v>
      </c>
      <c r="O967">
        <v>2</v>
      </c>
      <c r="T967" t="s">
        <v>178</v>
      </c>
      <c r="U967" t="s">
        <v>66</v>
      </c>
      <c r="V967" s="4">
        <v>300.8</v>
      </c>
      <c r="Y967" s="6">
        <f t="shared" si="123"/>
        <v>752</v>
      </c>
      <c r="Z967" s="6">
        <f t="shared" si="124"/>
        <v>601.6</v>
      </c>
      <c r="AA967" s="6">
        <f t="shared" si="125"/>
        <v>744</v>
      </c>
      <c r="AB967" s="6">
        <f t="shared" si="126"/>
        <v>8</v>
      </c>
      <c r="AC967" t="s">
        <v>16</v>
      </c>
      <c r="AD967" s="3" t="s">
        <v>168</v>
      </c>
    </row>
    <row r="968" spans="1:30" ht="15.75" customHeight="1" x14ac:dyDescent="0.2">
      <c r="A968" s="7" t="str">
        <f t="shared" si="121"/>
        <v>GUANGDONG WORLD PRECISION TECHNOLOGY CO., LTDJ510New Buy</v>
      </c>
      <c r="B968" s="7" t="str">
        <f t="shared" si="122"/>
        <v>iPadNew Buy</v>
      </c>
      <c r="C968">
        <v>409025</v>
      </c>
      <c r="D968" t="s">
        <v>114</v>
      </c>
      <c r="E968" t="s">
        <v>166</v>
      </c>
      <c r="F968" t="s">
        <v>173</v>
      </c>
      <c r="G968" t="s">
        <v>68</v>
      </c>
      <c r="H968" t="s">
        <v>167</v>
      </c>
      <c r="J968" t="s">
        <v>1231</v>
      </c>
      <c r="L968" t="s">
        <v>1232</v>
      </c>
      <c r="M968" s="4">
        <v>920</v>
      </c>
      <c r="N968" s="4">
        <v>911</v>
      </c>
      <c r="O968">
        <v>6</v>
      </c>
      <c r="T968" t="s">
        <v>178</v>
      </c>
      <c r="U968" t="s">
        <v>66</v>
      </c>
      <c r="V968" s="4">
        <v>736</v>
      </c>
      <c r="Y968" s="6">
        <f t="shared" si="123"/>
        <v>5520</v>
      </c>
      <c r="Z968" s="6">
        <f t="shared" si="124"/>
        <v>4416</v>
      </c>
      <c r="AA968" s="6">
        <f t="shared" si="125"/>
        <v>5466</v>
      </c>
      <c r="AB968" s="6">
        <f t="shared" si="126"/>
        <v>54</v>
      </c>
      <c r="AC968" t="s">
        <v>16</v>
      </c>
      <c r="AD968" s="3" t="s">
        <v>168</v>
      </c>
    </row>
    <row r="969" spans="1:30" ht="15.75" customHeight="1" x14ac:dyDescent="0.2">
      <c r="A969" s="7" t="str">
        <f t="shared" si="121"/>
        <v>GUANGDONG WORLD PRECISION TECHNOLOGY CO., LTDJ510New Buy</v>
      </c>
      <c r="B969" s="7" t="str">
        <f t="shared" si="122"/>
        <v>iPadNew Buy</v>
      </c>
      <c r="C969">
        <v>408824</v>
      </c>
      <c r="D969" t="s">
        <v>114</v>
      </c>
      <c r="E969" t="s">
        <v>166</v>
      </c>
      <c r="F969" t="s">
        <v>173</v>
      </c>
      <c r="G969" t="s">
        <v>68</v>
      </c>
      <c r="H969" t="s">
        <v>167</v>
      </c>
      <c r="J969" t="s">
        <v>1233</v>
      </c>
      <c r="L969" t="s">
        <v>1234</v>
      </c>
      <c r="M969" s="4">
        <v>20</v>
      </c>
      <c r="N969" s="4">
        <v>16</v>
      </c>
      <c r="O969">
        <v>6</v>
      </c>
      <c r="T969" t="s">
        <v>178</v>
      </c>
      <c r="U969" t="s">
        <v>66</v>
      </c>
      <c r="V969" s="4">
        <v>16</v>
      </c>
      <c r="Y969" s="6">
        <f t="shared" si="123"/>
        <v>120</v>
      </c>
      <c r="Z969" s="6">
        <f t="shared" si="124"/>
        <v>96</v>
      </c>
      <c r="AA969" s="6">
        <f t="shared" si="125"/>
        <v>96</v>
      </c>
      <c r="AB969" s="6">
        <f t="shared" si="126"/>
        <v>24</v>
      </c>
      <c r="AC969" t="s">
        <v>16</v>
      </c>
      <c r="AD969" s="3" t="s">
        <v>168</v>
      </c>
    </row>
    <row r="970" spans="1:30" ht="15.75" customHeight="1" x14ac:dyDescent="0.2">
      <c r="A970" s="7" t="str">
        <f t="shared" si="121"/>
        <v>GUANGDONG WORLD PRECISION TECHNOLOGY CO., LTDJ510New Buy</v>
      </c>
      <c r="B970" s="7" t="str">
        <f t="shared" si="122"/>
        <v>iPadNew Buy</v>
      </c>
      <c r="C970">
        <v>408809</v>
      </c>
      <c r="D970" t="s">
        <v>114</v>
      </c>
      <c r="E970" t="s">
        <v>166</v>
      </c>
      <c r="F970" t="s">
        <v>173</v>
      </c>
      <c r="G970" t="s">
        <v>68</v>
      </c>
      <c r="H970" t="s">
        <v>167</v>
      </c>
      <c r="J970" t="s">
        <v>1235</v>
      </c>
      <c r="L970" t="s">
        <v>1236</v>
      </c>
      <c r="M970" s="4">
        <v>620</v>
      </c>
      <c r="N970" s="4">
        <v>496</v>
      </c>
      <c r="O970">
        <v>14</v>
      </c>
      <c r="T970" t="s">
        <v>178</v>
      </c>
      <c r="U970" t="s">
        <v>66</v>
      </c>
      <c r="V970" s="4">
        <v>496</v>
      </c>
      <c r="Y970" s="6">
        <f t="shared" si="123"/>
        <v>8680</v>
      </c>
      <c r="Z970" s="6">
        <f t="shared" si="124"/>
        <v>6944</v>
      </c>
      <c r="AA970" s="6">
        <f t="shared" si="125"/>
        <v>6944</v>
      </c>
      <c r="AB970" s="6">
        <f t="shared" si="126"/>
        <v>1736</v>
      </c>
      <c r="AC970" t="s">
        <v>16</v>
      </c>
      <c r="AD970" s="3" t="s">
        <v>168</v>
      </c>
    </row>
    <row r="971" spans="1:30" ht="15.75" customHeight="1" x14ac:dyDescent="0.2">
      <c r="A971" s="7" t="str">
        <f t="shared" si="121"/>
        <v>GUANGDONG WORLD PRECISION TECHNOLOGY CO., LTDJ510New Buy</v>
      </c>
      <c r="B971" s="7" t="str">
        <f t="shared" si="122"/>
        <v>iPadNew Buy</v>
      </c>
      <c r="C971">
        <v>408803</v>
      </c>
      <c r="D971" t="s">
        <v>114</v>
      </c>
      <c r="E971" t="s">
        <v>166</v>
      </c>
      <c r="F971" t="s">
        <v>173</v>
      </c>
      <c r="G971" t="s">
        <v>68</v>
      </c>
      <c r="H971" t="s">
        <v>167</v>
      </c>
      <c r="J971" t="s">
        <v>1237</v>
      </c>
      <c r="L971" t="s">
        <v>1238</v>
      </c>
      <c r="M971" s="4">
        <v>340</v>
      </c>
      <c r="N971" s="4">
        <v>337</v>
      </c>
      <c r="O971">
        <v>6</v>
      </c>
      <c r="T971" t="s">
        <v>178</v>
      </c>
      <c r="U971" t="s">
        <v>66</v>
      </c>
      <c r="V971" s="4">
        <v>272</v>
      </c>
      <c r="Y971" s="6">
        <f t="shared" si="123"/>
        <v>2040</v>
      </c>
      <c r="Z971" s="6">
        <f t="shared" si="124"/>
        <v>1632</v>
      </c>
      <c r="AA971" s="6">
        <f t="shared" si="125"/>
        <v>2022</v>
      </c>
      <c r="AB971" s="6">
        <f t="shared" si="126"/>
        <v>18</v>
      </c>
      <c r="AC971" t="s">
        <v>16</v>
      </c>
      <c r="AD971" s="3" t="s">
        <v>168</v>
      </c>
    </row>
    <row r="972" spans="1:30" ht="15.75" customHeight="1" x14ac:dyDescent="0.2">
      <c r="A972" s="7" t="str">
        <f t="shared" si="121"/>
        <v>GUANGDONG WORLD PRECISION TECHNOLOGY CO., LTDJ510New Buy</v>
      </c>
      <c r="B972" s="7" t="str">
        <f t="shared" si="122"/>
        <v>iPadNew Buy</v>
      </c>
      <c r="C972">
        <v>408751</v>
      </c>
      <c r="D972" t="s">
        <v>114</v>
      </c>
      <c r="E972" t="s">
        <v>166</v>
      </c>
      <c r="F972" t="s">
        <v>173</v>
      </c>
      <c r="G972" t="s">
        <v>68</v>
      </c>
      <c r="H972" t="s">
        <v>167</v>
      </c>
      <c r="J972" t="s">
        <v>1239</v>
      </c>
      <c r="L972" t="s">
        <v>1240</v>
      </c>
      <c r="M972" s="4">
        <v>30</v>
      </c>
      <c r="N972" s="4">
        <v>24</v>
      </c>
      <c r="O972">
        <v>16</v>
      </c>
      <c r="T972" t="s">
        <v>178</v>
      </c>
      <c r="U972" t="s">
        <v>66</v>
      </c>
      <c r="V972" s="4">
        <v>24</v>
      </c>
      <c r="Y972" s="6">
        <f t="shared" si="123"/>
        <v>480</v>
      </c>
      <c r="Z972" s="6">
        <f t="shared" si="124"/>
        <v>384</v>
      </c>
      <c r="AA972" s="6">
        <f t="shared" si="125"/>
        <v>384</v>
      </c>
      <c r="AB972" s="6">
        <f t="shared" si="126"/>
        <v>96</v>
      </c>
      <c r="AC972" t="s">
        <v>16</v>
      </c>
      <c r="AD972" s="3" t="s">
        <v>168</v>
      </c>
    </row>
    <row r="973" spans="1:30" ht="15.75" customHeight="1" x14ac:dyDescent="0.2">
      <c r="A973" s="7" t="str">
        <f t="shared" si="121"/>
        <v>GUANGDONG WORLD PRECISION TECHNOLOGY CO., LTDJ510New Buy</v>
      </c>
      <c r="B973" s="7" t="str">
        <f t="shared" si="122"/>
        <v>iPadNew Buy</v>
      </c>
      <c r="C973">
        <v>408744</v>
      </c>
      <c r="D973" t="s">
        <v>114</v>
      </c>
      <c r="E973" t="s">
        <v>166</v>
      </c>
      <c r="F973" t="s">
        <v>173</v>
      </c>
      <c r="G973" t="s">
        <v>68</v>
      </c>
      <c r="H973" t="s">
        <v>167</v>
      </c>
      <c r="J973" t="s">
        <v>1241</v>
      </c>
      <c r="L973" t="s">
        <v>1242</v>
      </c>
      <c r="M973" s="4">
        <v>120</v>
      </c>
      <c r="N973" s="4">
        <v>118</v>
      </c>
      <c r="O973">
        <v>16</v>
      </c>
      <c r="T973" t="s">
        <v>178</v>
      </c>
      <c r="U973" t="s">
        <v>66</v>
      </c>
      <c r="V973" s="4">
        <v>96</v>
      </c>
      <c r="Y973" s="6">
        <f t="shared" si="123"/>
        <v>1920</v>
      </c>
      <c r="Z973" s="6">
        <f t="shared" si="124"/>
        <v>1536</v>
      </c>
      <c r="AA973" s="6">
        <f t="shared" si="125"/>
        <v>1888</v>
      </c>
      <c r="AB973" s="6">
        <f t="shared" si="126"/>
        <v>32</v>
      </c>
      <c r="AC973" t="s">
        <v>16</v>
      </c>
      <c r="AD973" s="3" t="s">
        <v>168</v>
      </c>
    </row>
    <row r="974" spans="1:30" ht="15.75" customHeight="1" x14ac:dyDescent="0.2">
      <c r="A974" s="7" t="str">
        <f t="shared" si="121"/>
        <v>GUANGDONG WORLD PRECISION TECHNOLOGY CO., LTDJ510New Buy</v>
      </c>
      <c r="B974" s="7" t="str">
        <f t="shared" si="122"/>
        <v>iPadNew Buy</v>
      </c>
      <c r="C974">
        <v>408741</v>
      </c>
      <c r="D974" t="s">
        <v>114</v>
      </c>
      <c r="E974" t="s">
        <v>166</v>
      </c>
      <c r="F974" t="s">
        <v>173</v>
      </c>
      <c r="G974" t="s">
        <v>68</v>
      </c>
      <c r="H974" t="s">
        <v>167</v>
      </c>
      <c r="J974" t="s">
        <v>1243</v>
      </c>
      <c r="L974" t="s">
        <v>1244</v>
      </c>
      <c r="M974" s="4">
        <v>370</v>
      </c>
      <c r="N974" s="4">
        <v>341</v>
      </c>
      <c r="O974">
        <v>16</v>
      </c>
      <c r="T974" t="s">
        <v>178</v>
      </c>
      <c r="U974" t="s">
        <v>66</v>
      </c>
      <c r="V974" s="4">
        <v>296</v>
      </c>
      <c r="Y974" s="6">
        <f t="shared" si="123"/>
        <v>5920</v>
      </c>
      <c r="Z974" s="6">
        <f t="shared" si="124"/>
        <v>4736</v>
      </c>
      <c r="AA974" s="6">
        <f t="shared" si="125"/>
        <v>5456</v>
      </c>
      <c r="AB974" s="6">
        <f t="shared" si="126"/>
        <v>464</v>
      </c>
      <c r="AC974" t="s">
        <v>16</v>
      </c>
      <c r="AD974" s="3" t="s">
        <v>168</v>
      </c>
    </row>
    <row r="975" spans="1:30" ht="15.75" customHeight="1" x14ac:dyDescent="0.2">
      <c r="A975" s="7" t="str">
        <f t="shared" si="121"/>
        <v>GUANGDONG WORLD PRECISION TECHNOLOGY CO., LTDJ510New Buy</v>
      </c>
      <c r="B975" s="7" t="str">
        <f t="shared" si="122"/>
        <v>iPadNew Buy</v>
      </c>
      <c r="C975">
        <v>408740</v>
      </c>
      <c r="D975" t="s">
        <v>114</v>
      </c>
      <c r="E975" t="s">
        <v>166</v>
      </c>
      <c r="F975" t="s">
        <v>173</v>
      </c>
      <c r="G975" t="s">
        <v>68</v>
      </c>
      <c r="H975" t="s">
        <v>167</v>
      </c>
      <c r="J975" t="s">
        <v>1245</v>
      </c>
      <c r="L975" t="s">
        <v>1246</v>
      </c>
      <c r="M975" s="4">
        <v>847</v>
      </c>
      <c r="N975" s="4">
        <v>678</v>
      </c>
      <c r="O975">
        <v>16</v>
      </c>
      <c r="T975" t="s">
        <v>178</v>
      </c>
      <c r="U975" t="s">
        <v>66</v>
      </c>
      <c r="V975" s="4">
        <v>677.6</v>
      </c>
      <c r="Y975" s="6">
        <f t="shared" si="123"/>
        <v>13552</v>
      </c>
      <c r="Z975" s="6">
        <f t="shared" si="124"/>
        <v>10841.6</v>
      </c>
      <c r="AA975" s="6">
        <f t="shared" si="125"/>
        <v>10848</v>
      </c>
      <c r="AB975" s="6">
        <f t="shared" si="126"/>
        <v>2704</v>
      </c>
      <c r="AC975" t="s">
        <v>16</v>
      </c>
      <c r="AD975" s="3" t="s">
        <v>168</v>
      </c>
    </row>
    <row r="976" spans="1:30" ht="15.75" customHeight="1" x14ac:dyDescent="0.2">
      <c r="A976" s="7" t="str">
        <f t="shared" si="121"/>
        <v>GUANGDONG WORLD PRECISION TECHNOLOGY CO., LTDJ510New Buy</v>
      </c>
      <c r="B976" s="7" t="str">
        <f t="shared" si="122"/>
        <v>iPadNew Buy</v>
      </c>
      <c r="C976">
        <v>408739</v>
      </c>
      <c r="D976" t="s">
        <v>114</v>
      </c>
      <c r="E976" t="s">
        <v>166</v>
      </c>
      <c r="F976" t="s">
        <v>173</v>
      </c>
      <c r="G976" t="s">
        <v>68</v>
      </c>
      <c r="H976" t="s">
        <v>167</v>
      </c>
      <c r="J976" t="s">
        <v>1247</v>
      </c>
      <c r="L976" t="s">
        <v>1248</v>
      </c>
      <c r="M976" s="4">
        <v>847</v>
      </c>
      <c r="N976" s="4">
        <v>678</v>
      </c>
      <c r="O976">
        <v>16</v>
      </c>
      <c r="T976" t="s">
        <v>178</v>
      </c>
      <c r="U976" t="s">
        <v>66</v>
      </c>
      <c r="V976" s="4">
        <v>677.6</v>
      </c>
      <c r="Y976" s="6">
        <f t="shared" si="123"/>
        <v>13552</v>
      </c>
      <c r="Z976" s="6">
        <f t="shared" si="124"/>
        <v>10841.6</v>
      </c>
      <c r="AA976" s="6">
        <f t="shared" si="125"/>
        <v>10848</v>
      </c>
      <c r="AB976" s="6">
        <f t="shared" si="126"/>
        <v>2704</v>
      </c>
      <c r="AC976" t="s">
        <v>16</v>
      </c>
      <c r="AD976" s="3" t="s">
        <v>168</v>
      </c>
    </row>
    <row r="977" spans="1:30" ht="15.75" customHeight="1" x14ac:dyDescent="0.2">
      <c r="A977" s="7" t="str">
        <f t="shared" si="121"/>
        <v>GUANGDONG WORLD PRECISION TECHNOLOGY CO., LTDJ510New Buy</v>
      </c>
      <c r="B977" s="7" t="str">
        <f t="shared" si="122"/>
        <v>iPadNew Buy</v>
      </c>
      <c r="C977">
        <v>408738</v>
      </c>
      <c r="D977" t="s">
        <v>114</v>
      </c>
      <c r="E977" t="s">
        <v>166</v>
      </c>
      <c r="F977" t="s">
        <v>173</v>
      </c>
      <c r="G977" t="s">
        <v>68</v>
      </c>
      <c r="H977" t="s">
        <v>167</v>
      </c>
      <c r="J977" t="s">
        <v>1249</v>
      </c>
      <c r="L977" t="s">
        <v>1250</v>
      </c>
      <c r="M977" s="4">
        <v>198</v>
      </c>
      <c r="N977" s="4">
        <v>194</v>
      </c>
      <c r="O977">
        <v>3</v>
      </c>
      <c r="T977" t="s">
        <v>178</v>
      </c>
      <c r="U977" t="s">
        <v>66</v>
      </c>
      <c r="V977" s="4">
        <v>158.4</v>
      </c>
      <c r="Y977" s="6">
        <f t="shared" si="123"/>
        <v>594</v>
      </c>
      <c r="Z977" s="6">
        <f t="shared" si="124"/>
        <v>475.20000000000005</v>
      </c>
      <c r="AA977" s="6">
        <f t="shared" si="125"/>
        <v>582</v>
      </c>
      <c r="AB977" s="6">
        <f t="shared" si="126"/>
        <v>12</v>
      </c>
      <c r="AC977" t="s">
        <v>16</v>
      </c>
      <c r="AD977" s="3" t="s">
        <v>168</v>
      </c>
    </row>
    <row r="978" spans="1:30" ht="15.75" customHeight="1" x14ac:dyDescent="0.2">
      <c r="A978" s="7" t="str">
        <f t="shared" si="121"/>
        <v>GUANGDONG WORLD PRECISION TECHNOLOGY CO., LTDJ510New Buy</v>
      </c>
      <c r="B978" s="7" t="str">
        <f t="shared" si="122"/>
        <v>iPadNew Buy</v>
      </c>
      <c r="C978">
        <v>408731</v>
      </c>
      <c r="D978" t="s">
        <v>114</v>
      </c>
      <c r="E978" t="s">
        <v>166</v>
      </c>
      <c r="F978" t="s">
        <v>173</v>
      </c>
      <c r="G978" t="s">
        <v>68</v>
      </c>
      <c r="H978" t="s">
        <v>167</v>
      </c>
      <c r="J978" t="s">
        <v>1251</v>
      </c>
      <c r="L978" t="s">
        <v>1252</v>
      </c>
      <c r="M978" s="4">
        <v>58</v>
      </c>
      <c r="N978" s="4">
        <v>54</v>
      </c>
      <c r="O978">
        <v>16</v>
      </c>
      <c r="T978" t="s">
        <v>178</v>
      </c>
      <c r="U978" t="s">
        <v>66</v>
      </c>
      <c r="V978" s="4">
        <v>46.4</v>
      </c>
      <c r="Y978" s="6">
        <f t="shared" si="123"/>
        <v>928</v>
      </c>
      <c r="Z978" s="6">
        <f t="shared" si="124"/>
        <v>742.4</v>
      </c>
      <c r="AA978" s="6">
        <f t="shared" si="125"/>
        <v>864</v>
      </c>
      <c r="AB978" s="6">
        <f t="shared" si="126"/>
        <v>64</v>
      </c>
      <c r="AC978" t="s">
        <v>16</v>
      </c>
      <c r="AD978" s="3" t="s">
        <v>168</v>
      </c>
    </row>
    <row r="979" spans="1:30" ht="15.75" customHeight="1" x14ac:dyDescent="0.2">
      <c r="A979" s="7" t="str">
        <f t="shared" si="121"/>
        <v>GUANGDONG WORLD PRECISION TECHNOLOGY CO., LTDJ510New Buy</v>
      </c>
      <c r="B979" s="7" t="str">
        <f t="shared" si="122"/>
        <v>iPadNew Buy</v>
      </c>
      <c r="C979">
        <v>408730</v>
      </c>
      <c r="D979" t="s">
        <v>114</v>
      </c>
      <c r="E979" t="s">
        <v>166</v>
      </c>
      <c r="F979" t="s">
        <v>173</v>
      </c>
      <c r="G979" t="s">
        <v>68</v>
      </c>
      <c r="H979" t="s">
        <v>167</v>
      </c>
      <c r="J979" t="s">
        <v>1253</v>
      </c>
      <c r="L979" t="s">
        <v>1254</v>
      </c>
      <c r="M979" s="4">
        <v>460</v>
      </c>
      <c r="N979" s="4">
        <v>451</v>
      </c>
      <c r="O979">
        <v>16</v>
      </c>
      <c r="T979" t="s">
        <v>178</v>
      </c>
      <c r="U979" t="s">
        <v>66</v>
      </c>
      <c r="V979" s="4">
        <v>368</v>
      </c>
      <c r="Y979" s="6">
        <f t="shared" si="123"/>
        <v>7360</v>
      </c>
      <c r="Z979" s="6">
        <f t="shared" si="124"/>
        <v>5888</v>
      </c>
      <c r="AA979" s="6">
        <f t="shared" si="125"/>
        <v>7216</v>
      </c>
      <c r="AB979" s="6">
        <f t="shared" si="126"/>
        <v>144</v>
      </c>
      <c r="AC979" t="s">
        <v>16</v>
      </c>
      <c r="AD979" s="3" t="s">
        <v>168</v>
      </c>
    </row>
    <row r="980" spans="1:30" ht="15.75" customHeight="1" x14ac:dyDescent="0.2">
      <c r="A980" s="7" t="str">
        <f t="shared" si="121"/>
        <v>GUANGDONG WORLD PRECISION TECHNOLOGY CO., LTDJ510New Buy</v>
      </c>
      <c r="B980" s="7" t="str">
        <f t="shared" si="122"/>
        <v>iPadNew Buy</v>
      </c>
      <c r="C980">
        <v>408713</v>
      </c>
      <c r="D980" t="s">
        <v>114</v>
      </c>
      <c r="E980" t="s">
        <v>166</v>
      </c>
      <c r="F980" t="s">
        <v>173</v>
      </c>
      <c r="G980" t="s">
        <v>68</v>
      </c>
      <c r="H980" t="s">
        <v>167</v>
      </c>
      <c r="J980" t="s">
        <v>1255</v>
      </c>
      <c r="L980" t="s">
        <v>1256</v>
      </c>
      <c r="M980" s="4">
        <v>578</v>
      </c>
      <c r="N980" s="4">
        <v>572</v>
      </c>
      <c r="O980">
        <v>16</v>
      </c>
      <c r="T980" t="s">
        <v>178</v>
      </c>
      <c r="U980" t="s">
        <v>66</v>
      </c>
      <c r="V980" s="4">
        <v>462.4</v>
      </c>
      <c r="Y980" s="6">
        <f t="shared" si="123"/>
        <v>9248</v>
      </c>
      <c r="Z980" s="6">
        <f t="shared" si="124"/>
        <v>7398.4</v>
      </c>
      <c r="AA980" s="6">
        <f t="shared" si="125"/>
        <v>9152</v>
      </c>
      <c r="AB980" s="6">
        <f t="shared" si="126"/>
        <v>96</v>
      </c>
      <c r="AC980" t="s">
        <v>16</v>
      </c>
      <c r="AD980" s="3" t="s">
        <v>168</v>
      </c>
    </row>
    <row r="981" spans="1:30" ht="15.75" customHeight="1" x14ac:dyDescent="0.2">
      <c r="A981" s="7" t="str">
        <f t="shared" si="121"/>
        <v>GUANGDONG WORLD PRECISION TECHNOLOGY CO., LTDJ510New Buy</v>
      </c>
      <c r="B981" s="7" t="str">
        <f t="shared" si="122"/>
        <v>iPadNew Buy</v>
      </c>
      <c r="C981">
        <v>408711</v>
      </c>
      <c r="D981" t="s">
        <v>114</v>
      </c>
      <c r="E981" t="s">
        <v>166</v>
      </c>
      <c r="F981" t="s">
        <v>173</v>
      </c>
      <c r="G981" t="s">
        <v>68</v>
      </c>
      <c r="H981" t="s">
        <v>167</v>
      </c>
      <c r="J981" t="s">
        <v>1257</v>
      </c>
      <c r="L981" t="s">
        <v>1258</v>
      </c>
      <c r="M981" s="4">
        <v>8950</v>
      </c>
      <c r="N981" s="4">
        <v>7245</v>
      </c>
      <c r="O981">
        <v>2</v>
      </c>
      <c r="T981" t="s">
        <v>178</v>
      </c>
      <c r="U981" t="s">
        <v>66</v>
      </c>
      <c r="V981" s="4">
        <v>7160</v>
      </c>
      <c r="Y981" s="6">
        <f t="shared" si="123"/>
        <v>17900</v>
      </c>
      <c r="Z981" s="6">
        <f t="shared" si="124"/>
        <v>14320</v>
      </c>
      <c r="AA981" s="6">
        <f t="shared" si="125"/>
        <v>14490</v>
      </c>
      <c r="AB981" s="6">
        <f t="shared" si="126"/>
        <v>3410</v>
      </c>
      <c r="AC981" t="s">
        <v>16</v>
      </c>
      <c r="AD981" s="3" t="s">
        <v>168</v>
      </c>
    </row>
    <row r="982" spans="1:30" ht="15.75" customHeight="1" x14ac:dyDescent="0.2">
      <c r="A982" s="7" t="str">
        <f t="shared" si="121"/>
        <v>JIANGSU COWAIN TECHNOLOGY CO., LTD.J581New Buy</v>
      </c>
      <c r="B982" s="7" t="str">
        <f t="shared" si="122"/>
        <v>iPadNew Buy</v>
      </c>
      <c r="C982">
        <v>407898</v>
      </c>
      <c r="D982" t="s">
        <v>169</v>
      </c>
      <c r="E982" t="s">
        <v>166</v>
      </c>
      <c r="F982" t="s">
        <v>173</v>
      </c>
      <c r="G982" t="s">
        <v>174</v>
      </c>
      <c r="H982" t="s">
        <v>167</v>
      </c>
      <c r="J982" t="s">
        <v>1259</v>
      </c>
      <c r="L982" t="s">
        <v>1260</v>
      </c>
      <c r="M982" s="4">
        <v>1517.57</v>
      </c>
      <c r="N982" s="4">
        <v>1417.713894</v>
      </c>
      <c r="O982">
        <v>1</v>
      </c>
      <c r="T982" t="s">
        <v>178</v>
      </c>
      <c r="U982" t="s">
        <v>116</v>
      </c>
      <c r="V982" s="4">
        <v>1214.056</v>
      </c>
      <c r="Y982" s="6">
        <f t="shared" si="123"/>
        <v>1517.57</v>
      </c>
      <c r="Z982" s="6">
        <f t="shared" si="124"/>
        <v>1214.056</v>
      </c>
      <c r="AA982" s="6">
        <f t="shared" si="125"/>
        <v>1417.713894</v>
      </c>
      <c r="AB982" s="6">
        <f t="shared" si="126"/>
        <v>99.856105999999954</v>
      </c>
      <c r="AC982" t="s">
        <v>33</v>
      </c>
      <c r="AD982" s="3" t="s">
        <v>168</v>
      </c>
    </row>
    <row r="983" spans="1:30" ht="15.75" customHeight="1" x14ac:dyDescent="0.2">
      <c r="A983" s="7" t="str">
        <f t="shared" si="121"/>
        <v>JIANGSU COWAIN TECHNOLOGY CO., LTD.J581New Buy</v>
      </c>
      <c r="B983" s="7" t="str">
        <f t="shared" si="122"/>
        <v>iPadNew Buy</v>
      </c>
      <c r="C983">
        <v>407841</v>
      </c>
      <c r="D983" t="s">
        <v>169</v>
      </c>
      <c r="E983" t="s">
        <v>166</v>
      </c>
      <c r="F983" t="s">
        <v>173</v>
      </c>
      <c r="G983" t="s">
        <v>174</v>
      </c>
      <c r="H983" t="s">
        <v>167</v>
      </c>
      <c r="J983" t="s">
        <v>1261</v>
      </c>
      <c r="L983" t="s">
        <v>1262</v>
      </c>
      <c r="M983" s="4">
        <v>2148.2800000000002</v>
      </c>
      <c r="N983" s="4">
        <v>1565.7192</v>
      </c>
      <c r="O983">
        <v>64</v>
      </c>
      <c r="T983" t="s">
        <v>178</v>
      </c>
      <c r="U983" t="s">
        <v>116</v>
      </c>
      <c r="V983" s="4">
        <v>1200</v>
      </c>
      <c r="Y983" s="6">
        <f t="shared" si="123"/>
        <v>137489.92000000001</v>
      </c>
      <c r="Z983" s="6">
        <f t="shared" si="124"/>
        <v>76800</v>
      </c>
      <c r="AA983" s="6">
        <f t="shared" si="125"/>
        <v>100206.0288</v>
      </c>
      <c r="AB983" s="6">
        <f t="shared" si="126"/>
        <v>37283.891200000013</v>
      </c>
      <c r="AC983" t="s">
        <v>33</v>
      </c>
      <c r="AD983" s="3" t="s">
        <v>168</v>
      </c>
    </row>
    <row r="984" spans="1:30" ht="15.75" customHeight="1" x14ac:dyDescent="0.2">
      <c r="A984" s="7" t="str">
        <f t="shared" si="121"/>
        <v>JIANGSU COWAIN TECHNOLOGY CO., LTD.J581New Buy</v>
      </c>
      <c r="B984" s="7" t="str">
        <f t="shared" si="122"/>
        <v>iPadNew Buy</v>
      </c>
      <c r="C984">
        <v>407840</v>
      </c>
      <c r="D984" t="s">
        <v>169</v>
      </c>
      <c r="E984" t="s">
        <v>166</v>
      </c>
      <c r="F984" t="s">
        <v>173</v>
      </c>
      <c r="G984" t="s">
        <v>174</v>
      </c>
      <c r="H984" t="s">
        <v>167</v>
      </c>
      <c r="J984" t="s">
        <v>1261</v>
      </c>
      <c r="L984" t="s">
        <v>1262</v>
      </c>
      <c r="M984" s="4">
        <v>1500</v>
      </c>
      <c r="N984" s="4">
        <v>1200</v>
      </c>
      <c r="O984">
        <v>42</v>
      </c>
      <c r="T984" t="s">
        <v>178</v>
      </c>
      <c r="U984" t="s">
        <v>104</v>
      </c>
      <c r="V984" s="4">
        <v>1200</v>
      </c>
      <c r="Y984" s="6">
        <f t="shared" si="123"/>
        <v>63000</v>
      </c>
      <c r="Z984" s="6">
        <f t="shared" si="124"/>
        <v>50400</v>
      </c>
      <c r="AA984" s="6">
        <f t="shared" si="125"/>
        <v>50400</v>
      </c>
      <c r="AB984" s="6">
        <f t="shared" si="126"/>
        <v>12600</v>
      </c>
      <c r="AC984" t="s">
        <v>16</v>
      </c>
      <c r="AD984" s="3" t="s">
        <v>168</v>
      </c>
    </row>
    <row r="985" spans="1:30" ht="15.75" customHeight="1" x14ac:dyDescent="0.2">
      <c r="A985" s="7" t="str">
        <f t="shared" si="121"/>
        <v>JIANGSU COWAIN TECHNOLOGY CO., LTD.J581New Buy</v>
      </c>
      <c r="B985" s="7" t="str">
        <f t="shared" si="122"/>
        <v>iPadNew Buy</v>
      </c>
      <c r="C985">
        <v>407839</v>
      </c>
      <c r="D985" t="s">
        <v>169</v>
      </c>
      <c r="E985" t="s">
        <v>166</v>
      </c>
      <c r="F985" t="s">
        <v>173</v>
      </c>
      <c r="G985" t="s">
        <v>174</v>
      </c>
      <c r="H985" t="s">
        <v>167</v>
      </c>
      <c r="J985" t="s">
        <v>1261</v>
      </c>
      <c r="L985" t="s">
        <v>1262</v>
      </c>
      <c r="M985" s="4">
        <v>1500</v>
      </c>
      <c r="N985" s="4">
        <v>1200</v>
      </c>
      <c r="O985">
        <v>33</v>
      </c>
      <c r="T985" t="s">
        <v>178</v>
      </c>
      <c r="U985" t="s">
        <v>66</v>
      </c>
      <c r="V985" s="4">
        <v>1200</v>
      </c>
      <c r="Y985" s="6">
        <f t="shared" si="123"/>
        <v>49500</v>
      </c>
      <c r="Z985" s="6">
        <f t="shared" si="124"/>
        <v>39600</v>
      </c>
      <c r="AA985" s="6">
        <f t="shared" si="125"/>
        <v>39600</v>
      </c>
      <c r="AB985" s="6">
        <f t="shared" si="126"/>
        <v>9900</v>
      </c>
      <c r="AC985" t="s">
        <v>16</v>
      </c>
      <c r="AD985" s="3" t="s">
        <v>168</v>
      </c>
    </row>
    <row r="986" spans="1:30" ht="15.75" customHeight="1" x14ac:dyDescent="0.2">
      <c r="A986" s="7" t="str">
        <f t="shared" si="121"/>
        <v>JIANGSU COWAIN TECHNOLOGY CO., LTD.J581Retrofit</v>
      </c>
      <c r="B986" s="7" t="str">
        <f t="shared" si="122"/>
        <v>iPadNew Buy</v>
      </c>
      <c r="C986">
        <v>407832</v>
      </c>
      <c r="D986" t="s">
        <v>169</v>
      </c>
      <c r="E986" t="s">
        <v>166</v>
      </c>
      <c r="F986" t="s">
        <v>173</v>
      </c>
      <c r="G986" t="s">
        <v>174</v>
      </c>
      <c r="H986" t="s">
        <v>170</v>
      </c>
      <c r="J986" t="s">
        <v>1263</v>
      </c>
      <c r="L986" t="s">
        <v>1264</v>
      </c>
      <c r="M986" s="4">
        <v>1900</v>
      </c>
      <c r="N986" s="4">
        <v>1681.56</v>
      </c>
      <c r="O986">
        <v>1</v>
      </c>
      <c r="T986" t="s">
        <v>178</v>
      </c>
      <c r="U986" t="s">
        <v>104</v>
      </c>
      <c r="V986" s="4">
        <v>1520</v>
      </c>
      <c r="Y986" s="6">
        <f t="shared" si="123"/>
        <v>1900</v>
      </c>
      <c r="Z986" s="6">
        <f t="shared" si="124"/>
        <v>1520</v>
      </c>
      <c r="AA986" s="6">
        <f t="shared" si="125"/>
        <v>1681.56</v>
      </c>
      <c r="AB986" s="6">
        <f t="shared" si="126"/>
        <v>218.44000000000005</v>
      </c>
      <c r="AC986" t="s">
        <v>16</v>
      </c>
      <c r="AD986" s="3" t="s">
        <v>171</v>
      </c>
    </row>
    <row r="987" spans="1:30" ht="15.75" customHeight="1" x14ac:dyDescent="0.2">
      <c r="A987" s="7" t="str">
        <f t="shared" si="121"/>
        <v>JIANGSU COWAIN TECHNOLOGY CO., LTD.J581New Buy</v>
      </c>
      <c r="B987" s="7" t="str">
        <f t="shared" si="122"/>
        <v>iPadNew Buy</v>
      </c>
      <c r="C987">
        <v>407812</v>
      </c>
      <c r="D987" t="s">
        <v>169</v>
      </c>
      <c r="E987" t="s">
        <v>166</v>
      </c>
      <c r="F987" t="s">
        <v>173</v>
      </c>
      <c r="G987" t="s">
        <v>174</v>
      </c>
      <c r="H987" t="s">
        <v>167</v>
      </c>
      <c r="J987" t="s">
        <v>1265</v>
      </c>
      <c r="L987" t="s">
        <v>1266</v>
      </c>
      <c r="M987" s="4">
        <v>31.5</v>
      </c>
      <c r="N987" s="4">
        <v>29.427299999999999</v>
      </c>
      <c r="O987">
        <v>1</v>
      </c>
      <c r="T987" t="s">
        <v>178</v>
      </c>
      <c r="U987" t="s">
        <v>104</v>
      </c>
      <c r="V987" s="4">
        <v>25.2</v>
      </c>
      <c r="Y987" s="6">
        <f t="shared" si="123"/>
        <v>31.5</v>
      </c>
      <c r="Z987" s="6">
        <f t="shared" si="124"/>
        <v>25.2</v>
      </c>
      <c r="AA987" s="6">
        <f t="shared" si="125"/>
        <v>29.427299999999999</v>
      </c>
      <c r="AB987" s="6">
        <f t="shared" si="126"/>
        <v>2.0727000000000011</v>
      </c>
      <c r="AC987" t="s">
        <v>16</v>
      </c>
      <c r="AD987" s="3" t="s">
        <v>168</v>
      </c>
    </row>
    <row r="988" spans="1:30" ht="15.75" customHeight="1" x14ac:dyDescent="0.2">
      <c r="A988" s="7" t="str">
        <f t="shared" si="121"/>
        <v>JIANGSU COWAIN TECHNOLOGY CO., LTD.J581New Buy</v>
      </c>
      <c r="B988" s="7" t="str">
        <f t="shared" si="122"/>
        <v>iPadNew Buy</v>
      </c>
      <c r="C988">
        <v>407811</v>
      </c>
      <c r="D988" t="s">
        <v>169</v>
      </c>
      <c r="E988" t="s">
        <v>166</v>
      </c>
      <c r="F988" t="s">
        <v>173</v>
      </c>
      <c r="G988" t="s">
        <v>174</v>
      </c>
      <c r="H988" t="s">
        <v>167</v>
      </c>
      <c r="J988" t="s">
        <v>1265</v>
      </c>
      <c r="L988" t="s">
        <v>1266</v>
      </c>
      <c r="M988" s="4">
        <v>83.52</v>
      </c>
      <c r="N988" s="4">
        <v>51.381</v>
      </c>
      <c r="O988">
        <v>1</v>
      </c>
      <c r="T988" t="s">
        <v>178</v>
      </c>
      <c r="U988" t="s">
        <v>116</v>
      </c>
      <c r="V988" s="4">
        <v>25.2</v>
      </c>
      <c r="Y988" s="6">
        <f t="shared" si="123"/>
        <v>83.52</v>
      </c>
      <c r="Z988" s="6">
        <f t="shared" si="124"/>
        <v>25.2</v>
      </c>
      <c r="AA988" s="6">
        <f t="shared" si="125"/>
        <v>51.381</v>
      </c>
      <c r="AB988" s="6">
        <f t="shared" si="126"/>
        <v>32.138999999999996</v>
      </c>
      <c r="AC988" t="s">
        <v>33</v>
      </c>
      <c r="AD988" s="3" t="s">
        <v>168</v>
      </c>
    </row>
    <row r="989" spans="1:30" ht="15.75" customHeight="1" x14ac:dyDescent="0.2">
      <c r="A989" s="7" t="str">
        <f t="shared" si="121"/>
        <v>JIANGSU COWAIN TECHNOLOGY CO., LTD.J581New Buy</v>
      </c>
      <c r="B989" s="7" t="str">
        <f t="shared" si="122"/>
        <v>iPadNew Buy</v>
      </c>
      <c r="C989">
        <v>407810</v>
      </c>
      <c r="D989" t="s">
        <v>169</v>
      </c>
      <c r="E989" t="s">
        <v>166</v>
      </c>
      <c r="F989" t="s">
        <v>173</v>
      </c>
      <c r="G989" t="s">
        <v>174</v>
      </c>
      <c r="H989" t="s">
        <v>167</v>
      </c>
      <c r="J989" t="s">
        <v>1265</v>
      </c>
      <c r="L989" t="s">
        <v>1266</v>
      </c>
      <c r="M989" s="4">
        <v>31.5</v>
      </c>
      <c r="N989" s="4">
        <v>29.427299999999999</v>
      </c>
      <c r="O989">
        <v>1</v>
      </c>
      <c r="T989" t="s">
        <v>178</v>
      </c>
      <c r="U989" t="s">
        <v>66</v>
      </c>
      <c r="V989" s="4">
        <v>25.2</v>
      </c>
      <c r="Y989" s="6">
        <f t="shared" si="123"/>
        <v>31.5</v>
      </c>
      <c r="Z989" s="6">
        <f t="shared" si="124"/>
        <v>25.2</v>
      </c>
      <c r="AA989" s="6">
        <f t="shared" si="125"/>
        <v>29.427299999999999</v>
      </c>
      <c r="AB989" s="6">
        <f t="shared" si="126"/>
        <v>2.0727000000000011</v>
      </c>
      <c r="AC989" t="s">
        <v>16</v>
      </c>
      <c r="AD989" s="3" t="s">
        <v>168</v>
      </c>
    </row>
    <row r="990" spans="1:30" ht="15.75" customHeight="1" x14ac:dyDescent="0.2">
      <c r="A990" s="7" t="str">
        <f t="shared" si="121"/>
        <v>JIANGSU COWAIN TECHNOLOGY CO., LTD.J510New Buy</v>
      </c>
      <c r="B990" s="7" t="str">
        <f t="shared" si="122"/>
        <v>iPadNew Buy</v>
      </c>
      <c r="C990">
        <v>409044</v>
      </c>
      <c r="D990" t="s">
        <v>169</v>
      </c>
      <c r="E990" t="s">
        <v>166</v>
      </c>
      <c r="F990" t="s">
        <v>173</v>
      </c>
      <c r="G990" t="s">
        <v>68</v>
      </c>
      <c r="H990" t="s">
        <v>167</v>
      </c>
      <c r="J990" t="s">
        <v>1267</v>
      </c>
      <c r="L990" t="s">
        <v>1268</v>
      </c>
      <c r="M990" s="4">
        <v>48</v>
      </c>
      <c r="N990" s="4">
        <v>38.4</v>
      </c>
      <c r="O990">
        <v>1</v>
      </c>
      <c r="T990" t="s">
        <v>178</v>
      </c>
      <c r="U990" t="s">
        <v>66</v>
      </c>
      <c r="V990" s="4">
        <v>38.4</v>
      </c>
      <c r="Y990" s="6">
        <f t="shared" si="123"/>
        <v>48</v>
      </c>
      <c r="Z990" s="6">
        <f t="shared" si="124"/>
        <v>38.4</v>
      </c>
      <c r="AA990" s="6">
        <f t="shared" si="125"/>
        <v>38.4</v>
      </c>
      <c r="AB990" s="6">
        <f t="shared" si="126"/>
        <v>9.6000000000000014</v>
      </c>
      <c r="AC990" t="s">
        <v>16</v>
      </c>
      <c r="AD990" s="3" t="s">
        <v>168</v>
      </c>
    </row>
    <row r="991" spans="1:30" ht="15.75" customHeight="1" x14ac:dyDescent="0.2">
      <c r="A991" s="7" t="str">
        <f t="shared" si="121"/>
        <v>JIANGSU COWAIN TECHNOLOGY CO., LTD.J510New Buy</v>
      </c>
      <c r="B991" s="7" t="str">
        <f t="shared" si="122"/>
        <v>iPadNew Buy</v>
      </c>
      <c r="C991">
        <v>409043</v>
      </c>
      <c r="D991" t="s">
        <v>169</v>
      </c>
      <c r="E991" t="s">
        <v>166</v>
      </c>
      <c r="F991" t="s">
        <v>173</v>
      </c>
      <c r="G991" t="s">
        <v>68</v>
      </c>
      <c r="H991" t="s">
        <v>167</v>
      </c>
      <c r="J991" t="s">
        <v>1269</v>
      </c>
      <c r="L991" t="s">
        <v>1270</v>
      </c>
      <c r="M991" s="4">
        <v>125</v>
      </c>
      <c r="N991" s="4">
        <v>100</v>
      </c>
      <c r="O991">
        <v>1</v>
      </c>
      <c r="T991" t="s">
        <v>178</v>
      </c>
      <c r="U991" t="s">
        <v>66</v>
      </c>
      <c r="V991" s="4">
        <v>100</v>
      </c>
      <c r="Y991" s="6">
        <f t="shared" si="123"/>
        <v>125</v>
      </c>
      <c r="Z991" s="6">
        <f t="shared" si="124"/>
        <v>100</v>
      </c>
      <c r="AA991" s="6">
        <f t="shared" si="125"/>
        <v>100</v>
      </c>
      <c r="AB991" s="6">
        <f t="shared" si="126"/>
        <v>25</v>
      </c>
      <c r="AC991" t="s">
        <v>16</v>
      </c>
      <c r="AD991" s="3" t="s">
        <v>168</v>
      </c>
    </row>
    <row r="992" spans="1:30" ht="15.75" customHeight="1" x14ac:dyDescent="0.2">
      <c r="A992" s="7" t="str">
        <f t="shared" si="121"/>
        <v>JIANGSU COWAIN TECHNOLOGY CO., LTD.J510New Buy</v>
      </c>
      <c r="B992" s="7" t="str">
        <f t="shared" si="122"/>
        <v>iPadNew Buy</v>
      </c>
      <c r="C992">
        <v>409042</v>
      </c>
      <c r="D992" t="s">
        <v>169</v>
      </c>
      <c r="E992" t="s">
        <v>166</v>
      </c>
      <c r="F992" t="s">
        <v>173</v>
      </c>
      <c r="G992" t="s">
        <v>68</v>
      </c>
      <c r="H992" t="s">
        <v>167</v>
      </c>
      <c r="J992" t="s">
        <v>1271</v>
      </c>
      <c r="L992" t="s">
        <v>1272</v>
      </c>
      <c r="M992" s="4">
        <v>1455</v>
      </c>
      <c r="N992" s="4">
        <v>1359.261</v>
      </c>
      <c r="O992">
        <v>1</v>
      </c>
      <c r="T992" t="s">
        <v>178</v>
      </c>
      <c r="U992" t="s">
        <v>66</v>
      </c>
      <c r="V992" s="4">
        <v>1164</v>
      </c>
      <c r="Y992" s="6">
        <f t="shared" si="123"/>
        <v>1455</v>
      </c>
      <c r="Z992" s="6">
        <f t="shared" si="124"/>
        <v>1164</v>
      </c>
      <c r="AA992" s="6">
        <f t="shared" si="125"/>
        <v>1359.261</v>
      </c>
      <c r="AB992" s="6">
        <f t="shared" si="126"/>
        <v>95.739000000000033</v>
      </c>
      <c r="AC992" t="s">
        <v>16</v>
      </c>
      <c r="AD992" s="3" t="s">
        <v>168</v>
      </c>
    </row>
    <row r="993" spans="1:30" ht="15.75" customHeight="1" x14ac:dyDescent="0.2">
      <c r="A993" s="7" t="str">
        <f t="shared" si="121"/>
        <v>JIANGSU COWAIN TECHNOLOGY CO., LTD.J510New Buy</v>
      </c>
      <c r="B993" s="7" t="str">
        <f t="shared" si="122"/>
        <v>iPadNew Buy</v>
      </c>
      <c r="C993">
        <v>409041</v>
      </c>
      <c r="D993" t="s">
        <v>169</v>
      </c>
      <c r="E993" t="s">
        <v>166</v>
      </c>
      <c r="F993" t="s">
        <v>173</v>
      </c>
      <c r="G993" t="s">
        <v>68</v>
      </c>
      <c r="H993" t="s">
        <v>167</v>
      </c>
      <c r="J993" t="s">
        <v>1273</v>
      </c>
      <c r="L993" t="s">
        <v>1274</v>
      </c>
      <c r="M993" s="4">
        <v>1455</v>
      </c>
      <c r="N993" s="4">
        <v>1359.261</v>
      </c>
      <c r="O993">
        <v>8</v>
      </c>
      <c r="T993" t="s">
        <v>178</v>
      </c>
      <c r="U993" t="s">
        <v>66</v>
      </c>
      <c r="V993" s="4">
        <v>1164</v>
      </c>
      <c r="Y993" s="6">
        <f t="shared" si="123"/>
        <v>11640</v>
      </c>
      <c r="Z993" s="6">
        <f t="shared" si="124"/>
        <v>9312</v>
      </c>
      <c r="AA993" s="6">
        <f t="shared" si="125"/>
        <v>10874.088</v>
      </c>
      <c r="AB993" s="6">
        <f t="shared" si="126"/>
        <v>765.91200000000026</v>
      </c>
      <c r="AC993" t="s">
        <v>16</v>
      </c>
      <c r="AD993" s="3" t="s">
        <v>168</v>
      </c>
    </row>
    <row r="994" spans="1:30" ht="15.75" customHeight="1" x14ac:dyDescent="0.2">
      <c r="A994" s="7" t="str">
        <f t="shared" si="121"/>
        <v>JIANGSU COWAIN TECHNOLOGY CO., LTD.J510New Buy</v>
      </c>
      <c r="B994" s="7" t="str">
        <f t="shared" si="122"/>
        <v>iPadNew Buy</v>
      </c>
      <c r="C994">
        <v>409040</v>
      </c>
      <c r="D994" t="s">
        <v>169</v>
      </c>
      <c r="E994" t="s">
        <v>166</v>
      </c>
      <c r="F994" t="s">
        <v>173</v>
      </c>
      <c r="G994" t="s">
        <v>68</v>
      </c>
      <c r="H994" t="s">
        <v>167</v>
      </c>
      <c r="J994" t="s">
        <v>1275</v>
      </c>
      <c r="L994" t="s">
        <v>1276</v>
      </c>
      <c r="M994" s="4">
        <v>1455</v>
      </c>
      <c r="N994" s="4">
        <v>1359.261</v>
      </c>
      <c r="O994">
        <v>9</v>
      </c>
      <c r="T994" t="s">
        <v>178</v>
      </c>
      <c r="U994" t="s">
        <v>66</v>
      </c>
      <c r="V994" s="4">
        <v>1164</v>
      </c>
      <c r="Y994" s="6">
        <f t="shared" si="123"/>
        <v>13095</v>
      </c>
      <c r="Z994" s="6">
        <f t="shared" si="124"/>
        <v>10476</v>
      </c>
      <c r="AA994" s="6">
        <f t="shared" si="125"/>
        <v>12233.349</v>
      </c>
      <c r="AB994" s="6">
        <f t="shared" si="126"/>
        <v>861.65099999999984</v>
      </c>
      <c r="AC994" t="s">
        <v>16</v>
      </c>
      <c r="AD994" s="3" t="s">
        <v>168</v>
      </c>
    </row>
    <row r="995" spans="1:30" ht="15.75" customHeight="1" x14ac:dyDescent="0.2">
      <c r="A995" s="7" t="str">
        <f t="shared" si="121"/>
        <v>JIANGSU COWAIN TECHNOLOGY CO., LTD.J510New Buy</v>
      </c>
      <c r="B995" s="7" t="str">
        <f t="shared" si="122"/>
        <v>iPadNew Buy</v>
      </c>
      <c r="C995">
        <v>409039</v>
      </c>
      <c r="D995" t="s">
        <v>169</v>
      </c>
      <c r="E995" t="s">
        <v>166</v>
      </c>
      <c r="F995" t="s">
        <v>173</v>
      </c>
      <c r="G995" t="s">
        <v>68</v>
      </c>
      <c r="H995" t="s">
        <v>167</v>
      </c>
      <c r="J995" t="s">
        <v>1277</v>
      </c>
      <c r="L995" t="s">
        <v>1278</v>
      </c>
      <c r="M995" s="4">
        <v>1455</v>
      </c>
      <c r="N995" s="4">
        <v>1359.261</v>
      </c>
      <c r="O995">
        <v>14</v>
      </c>
      <c r="T995" t="s">
        <v>178</v>
      </c>
      <c r="U995" t="s">
        <v>66</v>
      </c>
      <c r="V995" s="4">
        <v>1164</v>
      </c>
      <c r="Y995" s="6">
        <f t="shared" si="123"/>
        <v>20370</v>
      </c>
      <c r="Z995" s="6">
        <f t="shared" si="124"/>
        <v>16296</v>
      </c>
      <c r="AA995" s="6">
        <f t="shared" si="125"/>
        <v>19029.653999999999</v>
      </c>
      <c r="AB995" s="6">
        <f t="shared" si="126"/>
        <v>1340.3460000000014</v>
      </c>
      <c r="AC995" t="s">
        <v>16</v>
      </c>
      <c r="AD995" s="3" t="s">
        <v>168</v>
      </c>
    </row>
    <row r="996" spans="1:30" ht="15.75" customHeight="1" x14ac:dyDescent="0.2">
      <c r="A996" s="7" t="str">
        <f t="shared" si="121"/>
        <v>JIANGSU COWAIN TECHNOLOGY CO., LTD.J510Retrofit</v>
      </c>
      <c r="B996" s="7" t="str">
        <f t="shared" si="122"/>
        <v>iPadNew Buy</v>
      </c>
      <c r="C996">
        <v>409024</v>
      </c>
      <c r="D996" t="s">
        <v>169</v>
      </c>
      <c r="E996" t="s">
        <v>166</v>
      </c>
      <c r="F996" t="s">
        <v>173</v>
      </c>
      <c r="G996" t="s">
        <v>68</v>
      </c>
      <c r="H996" t="s">
        <v>170</v>
      </c>
      <c r="J996" t="s">
        <v>1279</v>
      </c>
      <c r="L996" t="s">
        <v>1280</v>
      </c>
      <c r="M996" s="4">
        <v>835</v>
      </c>
      <c r="N996" s="4">
        <v>740.82060000000001</v>
      </c>
      <c r="O996">
        <v>21</v>
      </c>
      <c r="T996" t="s">
        <v>178</v>
      </c>
      <c r="U996" t="s">
        <v>66</v>
      </c>
      <c r="V996" s="4">
        <v>668</v>
      </c>
      <c r="Y996" s="6">
        <f t="shared" si="123"/>
        <v>17535</v>
      </c>
      <c r="Z996" s="6">
        <f t="shared" si="124"/>
        <v>14028</v>
      </c>
      <c r="AA996" s="6">
        <f t="shared" si="125"/>
        <v>15557.232599999999</v>
      </c>
      <c r="AB996" s="6">
        <f t="shared" si="126"/>
        <v>1977.7674000000006</v>
      </c>
      <c r="AC996" t="s">
        <v>16</v>
      </c>
      <c r="AD996" s="3" t="s">
        <v>171</v>
      </c>
    </row>
    <row r="997" spans="1:30" ht="15.75" customHeight="1" x14ac:dyDescent="0.2">
      <c r="A997" s="7" t="str">
        <f t="shared" si="121"/>
        <v>JIANGSU COWAIN TECHNOLOGY CO., LTD.J510Retrofit</v>
      </c>
      <c r="B997" s="7" t="str">
        <f t="shared" si="122"/>
        <v>iPadNew Buy</v>
      </c>
      <c r="C997">
        <v>409023</v>
      </c>
      <c r="D997" t="s">
        <v>169</v>
      </c>
      <c r="E997" t="s">
        <v>166</v>
      </c>
      <c r="F997" t="s">
        <v>173</v>
      </c>
      <c r="G997" t="s">
        <v>68</v>
      </c>
      <c r="H997" t="s">
        <v>170</v>
      </c>
      <c r="J997" t="s">
        <v>1281</v>
      </c>
      <c r="L997" t="s">
        <v>1282</v>
      </c>
      <c r="M997" s="4">
        <v>1057</v>
      </c>
      <c r="N997" s="4">
        <v>937.93679999999995</v>
      </c>
      <c r="O997">
        <v>15</v>
      </c>
      <c r="T997" t="s">
        <v>178</v>
      </c>
      <c r="U997" t="s">
        <v>66</v>
      </c>
      <c r="V997" s="4">
        <v>845.6</v>
      </c>
      <c r="Y997" s="6">
        <f t="shared" si="123"/>
        <v>15855</v>
      </c>
      <c r="Z997" s="6">
        <f t="shared" si="124"/>
        <v>12684</v>
      </c>
      <c r="AA997" s="6">
        <f t="shared" si="125"/>
        <v>14069.052</v>
      </c>
      <c r="AB997" s="6">
        <f t="shared" si="126"/>
        <v>1785.9480000000003</v>
      </c>
      <c r="AC997" t="s">
        <v>16</v>
      </c>
      <c r="AD997" s="3" t="s">
        <v>171</v>
      </c>
    </row>
    <row r="998" spans="1:30" ht="15.75" customHeight="1" x14ac:dyDescent="0.2">
      <c r="A998" s="7" t="str">
        <f t="shared" si="121"/>
        <v>JIANGSU COWAIN TECHNOLOGY CO., LTD.J510Retrofit</v>
      </c>
      <c r="B998" s="7" t="str">
        <f t="shared" si="122"/>
        <v>iPadNew Buy</v>
      </c>
      <c r="C998">
        <v>409022</v>
      </c>
      <c r="D998" t="s">
        <v>169</v>
      </c>
      <c r="E998" t="s">
        <v>166</v>
      </c>
      <c r="F998" t="s">
        <v>173</v>
      </c>
      <c r="G998" t="s">
        <v>68</v>
      </c>
      <c r="H998" t="s">
        <v>170</v>
      </c>
      <c r="J998" t="s">
        <v>1283</v>
      </c>
      <c r="L998" t="s">
        <v>1284</v>
      </c>
      <c r="M998" s="4">
        <v>1057</v>
      </c>
      <c r="N998" s="4">
        <v>920.18700000000001</v>
      </c>
      <c r="O998">
        <v>10</v>
      </c>
      <c r="T998" t="s">
        <v>178</v>
      </c>
      <c r="U998" t="s">
        <v>66</v>
      </c>
      <c r="V998" s="4">
        <v>845.6</v>
      </c>
      <c r="Y998" s="6">
        <f t="shared" si="123"/>
        <v>10570</v>
      </c>
      <c r="Z998" s="6">
        <f t="shared" si="124"/>
        <v>8456</v>
      </c>
      <c r="AA998" s="6">
        <f t="shared" si="125"/>
        <v>9201.8700000000008</v>
      </c>
      <c r="AB998" s="6">
        <f t="shared" si="126"/>
        <v>1368.1299999999992</v>
      </c>
      <c r="AC998" t="s">
        <v>16</v>
      </c>
      <c r="AD998" s="3" t="s">
        <v>171</v>
      </c>
    </row>
    <row r="999" spans="1:30" ht="15.75" customHeight="1" x14ac:dyDescent="0.2">
      <c r="A999" s="7" t="str">
        <f t="shared" si="121"/>
        <v>JIANGSU COWAIN TECHNOLOGY CO., LTD.J510Retrofit</v>
      </c>
      <c r="B999" s="7" t="str">
        <f t="shared" si="122"/>
        <v>iPadNew Buy</v>
      </c>
      <c r="C999">
        <v>409019</v>
      </c>
      <c r="D999" t="s">
        <v>169</v>
      </c>
      <c r="E999" t="s">
        <v>166</v>
      </c>
      <c r="F999" t="s">
        <v>173</v>
      </c>
      <c r="G999" t="s">
        <v>68</v>
      </c>
      <c r="H999" t="s">
        <v>170</v>
      </c>
      <c r="J999" t="s">
        <v>1285</v>
      </c>
      <c r="L999" t="s">
        <v>1286</v>
      </c>
      <c r="M999" s="4">
        <v>933</v>
      </c>
      <c r="N999" s="4">
        <v>746.4</v>
      </c>
      <c r="O999">
        <v>15</v>
      </c>
      <c r="T999" t="s">
        <v>178</v>
      </c>
      <c r="U999" t="s">
        <v>66</v>
      </c>
      <c r="V999" s="4">
        <v>746.4</v>
      </c>
      <c r="Y999" s="6">
        <f t="shared" si="123"/>
        <v>13995</v>
      </c>
      <c r="Z999" s="6">
        <f t="shared" si="124"/>
        <v>11196</v>
      </c>
      <c r="AA999" s="6">
        <f t="shared" si="125"/>
        <v>11196</v>
      </c>
      <c r="AB999" s="6">
        <f t="shared" si="126"/>
        <v>2799</v>
      </c>
      <c r="AC999" t="s">
        <v>16</v>
      </c>
      <c r="AD999" s="3" t="s">
        <v>171</v>
      </c>
    </row>
    <row r="1000" spans="1:30" ht="15.75" customHeight="1" x14ac:dyDescent="0.2">
      <c r="A1000" s="7" t="str">
        <f t="shared" ref="A1000:A1059" si="127">CONCATENATE(D1000,G1000,H1000,K1000)</f>
        <v>JIANGSU COWAIN TECHNOLOGY CO., LTD.J510Retrofit</v>
      </c>
      <c r="B1000" s="7" t="str">
        <f t="shared" ref="B1000:B1059" si="128">_xlfn.CONCAT(F1000,K1000,"New Buy")</f>
        <v>iPadNew Buy</v>
      </c>
      <c r="C1000">
        <v>409018</v>
      </c>
      <c r="D1000" t="s">
        <v>169</v>
      </c>
      <c r="E1000" t="s">
        <v>166</v>
      </c>
      <c r="F1000" t="s">
        <v>173</v>
      </c>
      <c r="G1000" t="s">
        <v>68</v>
      </c>
      <c r="H1000" t="s">
        <v>170</v>
      </c>
      <c r="J1000" t="s">
        <v>1287</v>
      </c>
      <c r="L1000" t="s">
        <v>1288</v>
      </c>
      <c r="M1000" s="4">
        <v>930</v>
      </c>
      <c r="N1000" s="4">
        <v>744</v>
      </c>
      <c r="O1000">
        <v>11</v>
      </c>
      <c r="T1000" t="s">
        <v>178</v>
      </c>
      <c r="U1000" t="s">
        <v>66</v>
      </c>
      <c r="V1000" s="4">
        <v>744</v>
      </c>
      <c r="Y1000" s="6">
        <f t="shared" ref="Y1000:Y1059" si="129">IFERROR(O1000*M1000,0)</f>
        <v>10230</v>
      </c>
      <c r="Z1000" s="6">
        <f t="shared" ref="Z1000:Z1059" si="130">IFERROR(O1000*V1000,0)</f>
        <v>8184</v>
      </c>
      <c r="AA1000" s="6">
        <f t="shared" ref="AA1000:AA1059" si="131">IFERROR(N1000*O1000,0)</f>
        <v>8184</v>
      </c>
      <c r="AB1000" s="6">
        <f t="shared" si="126"/>
        <v>2046</v>
      </c>
      <c r="AC1000" t="s">
        <v>16</v>
      </c>
      <c r="AD1000" s="3" t="s">
        <v>171</v>
      </c>
    </row>
    <row r="1001" spans="1:30" ht="15.75" customHeight="1" x14ac:dyDescent="0.2">
      <c r="A1001" s="7" t="str">
        <f t="shared" si="127"/>
        <v>JIANGSU COWAIN TECHNOLOGY CO., LTD.J510Retrofit</v>
      </c>
      <c r="B1001" s="7" t="str">
        <f t="shared" si="128"/>
        <v>iPadNew Buy</v>
      </c>
      <c r="C1001">
        <v>409017</v>
      </c>
      <c r="D1001" t="s">
        <v>169</v>
      </c>
      <c r="E1001" t="s">
        <v>166</v>
      </c>
      <c r="F1001" t="s">
        <v>173</v>
      </c>
      <c r="G1001" t="s">
        <v>68</v>
      </c>
      <c r="H1001" t="s">
        <v>170</v>
      </c>
      <c r="J1001" t="s">
        <v>1289</v>
      </c>
      <c r="L1001" t="s">
        <v>1290</v>
      </c>
      <c r="M1001" s="4">
        <v>1310</v>
      </c>
      <c r="N1001" s="4">
        <v>1048</v>
      </c>
      <c r="O1001">
        <v>15</v>
      </c>
      <c r="T1001" t="s">
        <v>178</v>
      </c>
      <c r="U1001" t="s">
        <v>66</v>
      </c>
      <c r="V1001" s="4">
        <v>1048</v>
      </c>
      <c r="Y1001" s="6">
        <f t="shared" si="129"/>
        <v>19650</v>
      </c>
      <c r="Z1001" s="6">
        <f t="shared" si="130"/>
        <v>15720</v>
      </c>
      <c r="AA1001" s="6">
        <f t="shared" si="131"/>
        <v>15720</v>
      </c>
      <c r="AB1001" s="6">
        <f t="shared" si="126"/>
        <v>3930</v>
      </c>
      <c r="AC1001" t="s">
        <v>16</v>
      </c>
      <c r="AD1001" s="3" t="s">
        <v>171</v>
      </c>
    </row>
    <row r="1002" spans="1:30" ht="15.75" customHeight="1" x14ac:dyDescent="0.2">
      <c r="A1002" s="7" t="str">
        <f t="shared" si="127"/>
        <v>JIANGSU COWAIN TECHNOLOGY CO., LTD.J510Retrofit</v>
      </c>
      <c r="B1002" s="7" t="str">
        <f t="shared" si="128"/>
        <v>iPadNew Buy</v>
      </c>
      <c r="C1002">
        <v>409016</v>
      </c>
      <c r="D1002" t="s">
        <v>169</v>
      </c>
      <c r="E1002" t="s">
        <v>166</v>
      </c>
      <c r="F1002" t="s">
        <v>173</v>
      </c>
      <c r="G1002" t="s">
        <v>68</v>
      </c>
      <c r="H1002" t="s">
        <v>170</v>
      </c>
      <c r="J1002" t="s">
        <v>1291</v>
      </c>
      <c r="L1002" t="s">
        <v>1292</v>
      </c>
      <c r="M1002" s="4">
        <v>1158</v>
      </c>
      <c r="N1002" s="4">
        <v>1081.8036</v>
      </c>
      <c r="O1002">
        <v>5</v>
      </c>
      <c r="T1002" t="s">
        <v>178</v>
      </c>
      <c r="U1002" t="s">
        <v>66</v>
      </c>
      <c r="V1002" s="4">
        <v>926.4</v>
      </c>
      <c r="Y1002" s="6">
        <f t="shared" si="129"/>
        <v>5790</v>
      </c>
      <c r="Z1002" s="6">
        <f t="shared" si="130"/>
        <v>4632</v>
      </c>
      <c r="AA1002" s="6">
        <f t="shared" si="131"/>
        <v>5409.018</v>
      </c>
      <c r="AB1002" s="6">
        <f t="shared" si="126"/>
        <v>380.98199999999997</v>
      </c>
      <c r="AC1002" t="s">
        <v>16</v>
      </c>
      <c r="AD1002" s="3" t="s">
        <v>171</v>
      </c>
    </row>
    <row r="1003" spans="1:30" ht="15.75" customHeight="1" x14ac:dyDescent="0.2">
      <c r="A1003" s="7" t="str">
        <f t="shared" si="127"/>
        <v>JIANGSU COWAIN TECHNOLOGY CO., LTD.J510Retrofit</v>
      </c>
      <c r="B1003" s="7" t="str">
        <f t="shared" si="128"/>
        <v>iPadNew Buy</v>
      </c>
      <c r="C1003">
        <v>409015</v>
      </c>
      <c r="D1003" t="s">
        <v>169</v>
      </c>
      <c r="E1003" t="s">
        <v>166</v>
      </c>
      <c r="F1003" t="s">
        <v>173</v>
      </c>
      <c r="G1003" t="s">
        <v>68</v>
      </c>
      <c r="H1003" t="s">
        <v>170</v>
      </c>
      <c r="J1003" t="s">
        <v>1293</v>
      </c>
      <c r="L1003" t="s">
        <v>1294</v>
      </c>
      <c r="M1003" s="4">
        <v>3387.5</v>
      </c>
      <c r="N1003" s="4">
        <v>2710</v>
      </c>
      <c r="O1003">
        <v>10</v>
      </c>
      <c r="T1003" t="s">
        <v>178</v>
      </c>
      <c r="U1003" t="s">
        <v>66</v>
      </c>
      <c r="V1003" s="4">
        <v>2710</v>
      </c>
      <c r="Y1003" s="6">
        <f t="shared" si="129"/>
        <v>33875</v>
      </c>
      <c r="Z1003" s="6">
        <f t="shared" si="130"/>
        <v>27100</v>
      </c>
      <c r="AA1003" s="6">
        <f t="shared" si="131"/>
        <v>27100</v>
      </c>
      <c r="AB1003" s="6">
        <f t="shared" si="126"/>
        <v>6775</v>
      </c>
      <c r="AC1003" t="s">
        <v>16</v>
      </c>
      <c r="AD1003" s="3" t="s">
        <v>171</v>
      </c>
    </row>
    <row r="1004" spans="1:30" ht="15.75" customHeight="1" x14ac:dyDescent="0.2">
      <c r="A1004" s="7" t="str">
        <f t="shared" si="127"/>
        <v>JIANGSU COWAIN TECHNOLOGY CO., LTD.J510Retrofit</v>
      </c>
      <c r="B1004" s="7" t="str">
        <f t="shared" si="128"/>
        <v>iPadNew Buy</v>
      </c>
      <c r="C1004">
        <v>409014</v>
      </c>
      <c r="D1004" t="s">
        <v>169</v>
      </c>
      <c r="E1004" t="s">
        <v>166</v>
      </c>
      <c r="F1004" t="s">
        <v>173</v>
      </c>
      <c r="G1004" t="s">
        <v>68</v>
      </c>
      <c r="H1004" t="s">
        <v>170</v>
      </c>
      <c r="J1004" t="s">
        <v>1295</v>
      </c>
      <c r="L1004" t="s">
        <v>1296</v>
      </c>
      <c r="M1004" s="4">
        <v>2858</v>
      </c>
      <c r="N1004" s="4">
        <v>2286.4</v>
      </c>
      <c r="O1004">
        <v>13</v>
      </c>
      <c r="T1004" t="s">
        <v>178</v>
      </c>
      <c r="U1004" t="s">
        <v>66</v>
      </c>
      <c r="V1004" s="4">
        <v>2286.4</v>
      </c>
      <c r="Y1004" s="6">
        <f t="shared" si="129"/>
        <v>37154</v>
      </c>
      <c r="Z1004" s="6">
        <f t="shared" si="130"/>
        <v>29723.200000000001</v>
      </c>
      <c r="AA1004" s="6">
        <f t="shared" si="131"/>
        <v>29723.200000000001</v>
      </c>
      <c r="AB1004" s="6">
        <f t="shared" si="126"/>
        <v>7430.7999999999993</v>
      </c>
      <c r="AC1004" t="s">
        <v>16</v>
      </c>
      <c r="AD1004" s="3" t="s">
        <v>171</v>
      </c>
    </row>
    <row r="1005" spans="1:30" ht="15.75" customHeight="1" x14ac:dyDescent="0.2">
      <c r="A1005" s="7" t="str">
        <f t="shared" si="127"/>
        <v>JIANGSU COWAIN TECHNOLOGY CO., LTD.J510New Buy</v>
      </c>
      <c r="B1005" s="7" t="str">
        <f t="shared" si="128"/>
        <v>iPadNew Buy</v>
      </c>
      <c r="C1005">
        <v>408823</v>
      </c>
      <c r="D1005" t="s">
        <v>169</v>
      </c>
      <c r="E1005" t="s">
        <v>166</v>
      </c>
      <c r="F1005" t="s">
        <v>173</v>
      </c>
      <c r="G1005" t="s">
        <v>68</v>
      </c>
      <c r="H1005" t="s">
        <v>167</v>
      </c>
      <c r="J1005" t="s">
        <v>1297</v>
      </c>
      <c r="L1005" t="s">
        <v>1298</v>
      </c>
      <c r="M1005" s="4">
        <v>3</v>
      </c>
      <c r="N1005" s="4">
        <v>2.4</v>
      </c>
      <c r="O1005">
        <v>11</v>
      </c>
      <c r="T1005" t="s">
        <v>178</v>
      </c>
      <c r="U1005" t="s">
        <v>66</v>
      </c>
      <c r="V1005" s="4">
        <v>2.4</v>
      </c>
      <c r="Y1005" s="6">
        <f t="shared" si="129"/>
        <v>33</v>
      </c>
      <c r="Z1005" s="6">
        <f t="shared" si="130"/>
        <v>26.4</v>
      </c>
      <c r="AA1005" s="6">
        <f t="shared" si="131"/>
        <v>26.4</v>
      </c>
      <c r="AB1005" s="6">
        <f t="shared" si="126"/>
        <v>6.6000000000000014</v>
      </c>
      <c r="AC1005" t="s">
        <v>16</v>
      </c>
      <c r="AD1005" s="3" t="s">
        <v>168</v>
      </c>
    </row>
    <row r="1006" spans="1:30" ht="15.75" customHeight="1" x14ac:dyDescent="0.2">
      <c r="A1006" s="7" t="str">
        <f t="shared" si="127"/>
        <v>JIANGSU COWAIN TECHNOLOGY CO., LTD.J510New Buy</v>
      </c>
      <c r="B1006" s="7" t="str">
        <f t="shared" si="128"/>
        <v>iPadNew Buy</v>
      </c>
      <c r="C1006">
        <v>408818</v>
      </c>
      <c r="D1006" t="s">
        <v>169</v>
      </c>
      <c r="E1006" t="s">
        <v>166</v>
      </c>
      <c r="F1006" t="s">
        <v>173</v>
      </c>
      <c r="G1006" t="s">
        <v>68</v>
      </c>
      <c r="H1006" t="s">
        <v>167</v>
      </c>
      <c r="J1006" t="s">
        <v>1299</v>
      </c>
      <c r="L1006" t="s">
        <v>1300</v>
      </c>
      <c r="M1006" s="4">
        <v>27</v>
      </c>
      <c r="N1006" s="4">
        <v>21.6</v>
      </c>
      <c r="O1006">
        <v>9</v>
      </c>
      <c r="T1006" t="s">
        <v>178</v>
      </c>
      <c r="U1006" t="s">
        <v>66</v>
      </c>
      <c r="V1006" s="4">
        <v>21.6</v>
      </c>
      <c r="Y1006" s="6">
        <f t="shared" si="129"/>
        <v>243</v>
      </c>
      <c r="Z1006" s="6">
        <f t="shared" si="130"/>
        <v>194.4</v>
      </c>
      <c r="AA1006" s="6">
        <f t="shared" si="131"/>
        <v>194.4</v>
      </c>
      <c r="AB1006" s="6">
        <f t="shared" si="126"/>
        <v>48.599999999999994</v>
      </c>
      <c r="AC1006" t="s">
        <v>16</v>
      </c>
      <c r="AD1006" s="3" t="s">
        <v>168</v>
      </c>
    </row>
    <row r="1007" spans="1:30" ht="15.75" customHeight="1" x14ac:dyDescent="0.2">
      <c r="A1007" s="7" t="str">
        <f t="shared" si="127"/>
        <v>JIANGSU COWAIN TECHNOLOGY CO., LTD.J510New Buy</v>
      </c>
      <c r="B1007" s="7" t="str">
        <f t="shared" si="128"/>
        <v>iPadNew Buy</v>
      </c>
      <c r="C1007">
        <v>408815</v>
      </c>
      <c r="D1007" t="s">
        <v>169</v>
      </c>
      <c r="E1007" t="s">
        <v>166</v>
      </c>
      <c r="F1007" t="s">
        <v>173</v>
      </c>
      <c r="G1007" t="s">
        <v>68</v>
      </c>
      <c r="H1007" t="s">
        <v>167</v>
      </c>
      <c r="J1007" t="s">
        <v>1301</v>
      </c>
      <c r="L1007" t="s">
        <v>1302</v>
      </c>
      <c r="M1007" s="4">
        <v>2120</v>
      </c>
      <c r="N1007" s="4">
        <v>1774.98</v>
      </c>
      <c r="O1007">
        <v>3</v>
      </c>
      <c r="T1007" t="s">
        <v>178</v>
      </c>
      <c r="U1007" t="s">
        <v>66</v>
      </c>
      <c r="V1007" s="4">
        <v>1696</v>
      </c>
      <c r="Y1007" s="6">
        <f t="shared" si="129"/>
        <v>6360</v>
      </c>
      <c r="Z1007" s="6">
        <f t="shared" si="130"/>
        <v>5088</v>
      </c>
      <c r="AA1007" s="6">
        <f t="shared" si="131"/>
        <v>5324.9400000000005</v>
      </c>
      <c r="AB1007" s="6">
        <f t="shared" si="126"/>
        <v>1035.0599999999995</v>
      </c>
      <c r="AC1007" t="s">
        <v>16</v>
      </c>
      <c r="AD1007" s="3" t="s">
        <v>168</v>
      </c>
    </row>
    <row r="1008" spans="1:30" ht="15.75" customHeight="1" x14ac:dyDescent="0.2">
      <c r="A1008" s="7" t="str">
        <f t="shared" si="127"/>
        <v>JIANGSU COWAIN TECHNOLOGY CO., LTD.J510New Buy</v>
      </c>
      <c r="B1008" s="7" t="str">
        <f t="shared" si="128"/>
        <v>iPadNew Buy</v>
      </c>
      <c r="C1008">
        <v>408807</v>
      </c>
      <c r="D1008" t="s">
        <v>169</v>
      </c>
      <c r="E1008" t="s">
        <v>166</v>
      </c>
      <c r="F1008" t="s">
        <v>173</v>
      </c>
      <c r="G1008" t="s">
        <v>68</v>
      </c>
      <c r="H1008" t="s">
        <v>167</v>
      </c>
      <c r="J1008" t="s">
        <v>1303</v>
      </c>
      <c r="L1008" t="s">
        <v>1304</v>
      </c>
      <c r="M1008" s="4">
        <v>312</v>
      </c>
      <c r="N1008" s="4">
        <v>280.26</v>
      </c>
      <c r="O1008">
        <v>4</v>
      </c>
      <c r="T1008" t="s">
        <v>178</v>
      </c>
      <c r="U1008" t="s">
        <v>66</v>
      </c>
      <c r="V1008" s="4">
        <v>249.6</v>
      </c>
      <c r="Y1008" s="6">
        <f t="shared" si="129"/>
        <v>1248</v>
      </c>
      <c r="Z1008" s="6">
        <f t="shared" si="130"/>
        <v>998.4</v>
      </c>
      <c r="AA1008" s="6">
        <f t="shared" si="131"/>
        <v>1121.04</v>
      </c>
      <c r="AB1008" s="6">
        <f t="shared" si="126"/>
        <v>126.96000000000004</v>
      </c>
      <c r="AC1008" t="s">
        <v>16</v>
      </c>
      <c r="AD1008" s="3" t="s">
        <v>168</v>
      </c>
    </row>
    <row r="1009" spans="1:30" ht="15.75" customHeight="1" x14ac:dyDescent="0.2">
      <c r="A1009" s="7" t="str">
        <f t="shared" si="127"/>
        <v>JIANGSU COWAIN TECHNOLOGY CO., LTD.J510New Buy</v>
      </c>
      <c r="B1009" s="7" t="str">
        <f t="shared" si="128"/>
        <v>iPadNew Buy</v>
      </c>
      <c r="C1009">
        <v>408806</v>
      </c>
      <c r="D1009" t="s">
        <v>169</v>
      </c>
      <c r="E1009" t="s">
        <v>166</v>
      </c>
      <c r="F1009" t="s">
        <v>173</v>
      </c>
      <c r="G1009" t="s">
        <v>68</v>
      </c>
      <c r="H1009" t="s">
        <v>167</v>
      </c>
      <c r="J1009" t="s">
        <v>1305</v>
      </c>
      <c r="L1009" t="s">
        <v>1306</v>
      </c>
      <c r="M1009" s="4">
        <v>245</v>
      </c>
      <c r="N1009" s="4">
        <v>205.524</v>
      </c>
      <c r="O1009">
        <v>2</v>
      </c>
      <c r="T1009" t="s">
        <v>178</v>
      </c>
      <c r="U1009" t="s">
        <v>66</v>
      </c>
      <c r="V1009" s="4">
        <v>196</v>
      </c>
      <c r="Y1009" s="6">
        <f t="shared" si="129"/>
        <v>490</v>
      </c>
      <c r="Z1009" s="6">
        <f t="shared" si="130"/>
        <v>392</v>
      </c>
      <c r="AA1009" s="6">
        <f t="shared" si="131"/>
        <v>411.048</v>
      </c>
      <c r="AB1009" s="6">
        <f t="shared" si="126"/>
        <v>78.951999999999998</v>
      </c>
      <c r="AC1009" t="s">
        <v>16</v>
      </c>
      <c r="AD1009" s="3" t="s">
        <v>168</v>
      </c>
    </row>
    <row r="1010" spans="1:30" ht="15.75" customHeight="1" x14ac:dyDescent="0.2">
      <c r="A1010" s="7" t="str">
        <f t="shared" si="127"/>
        <v>JIANGSU COWAIN TECHNOLOGY CO., LTD.J510New Buy</v>
      </c>
      <c r="B1010" s="7" t="str">
        <f t="shared" si="128"/>
        <v>iPadNew Buy</v>
      </c>
      <c r="C1010">
        <v>408799</v>
      </c>
      <c r="D1010" t="s">
        <v>169</v>
      </c>
      <c r="E1010" t="s">
        <v>166</v>
      </c>
      <c r="F1010" t="s">
        <v>173</v>
      </c>
      <c r="G1010" t="s">
        <v>68</v>
      </c>
      <c r="H1010" t="s">
        <v>167</v>
      </c>
      <c r="J1010" t="s">
        <v>1307</v>
      </c>
      <c r="L1010" t="s">
        <v>1308</v>
      </c>
      <c r="M1010" s="4">
        <v>265</v>
      </c>
      <c r="N1010" s="4">
        <v>228.87899999999999</v>
      </c>
      <c r="O1010">
        <v>1</v>
      </c>
      <c r="T1010" t="s">
        <v>178</v>
      </c>
      <c r="U1010" t="s">
        <v>66</v>
      </c>
      <c r="V1010" s="4">
        <v>212</v>
      </c>
      <c r="Y1010" s="6">
        <f t="shared" si="129"/>
        <v>265</v>
      </c>
      <c r="Z1010" s="6">
        <f t="shared" si="130"/>
        <v>212</v>
      </c>
      <c r="AA1010" s="6">
        <f t="shared" si="131"/>
        <v>228.87899999999999</v>
      </c>
      <c r="AB1010" s="6">
        <f t="shared" si="126"/>
        <v>36.121000000000009</v>
      </c>
      <c r="AC1010" t="s">
        <v>16</v>
      </c>
      <c r="AD1010" s="3" t="s">
        <v>168</v>
      </c>
    </row>
    <row r="1011" spans="1:30" ht="15.75" customHeight="1" x14ac:dyDescent="0.2">
      <c r="A1011" s="7" t="str">
        <f t="shared" si="127"/>
        <v>JIANGSU COWAIN TECHNOLOGY CO., LTD.J510New Buy</v>
      </c>
      <c r="B1011" s="7" t="str">
        <f t="shared" si="128"/>
        <v>iPadNew Buy</v>
      </c>
      <c r="C1011">
        <v>408798</v>
      </c>
      <c r="D1011" t="s">
        <v>169</v>
      </c>
      <c r="E1011" t="s">
        <v>166</v>
      </c>
      <c r="F1011" t="s">
        <v>173</v>
      </c>
      <c r="G1011" t="s">
        <v>68</v>
      </c>
      <c r="H1011" t="s">
        <v>167</v>
      </c>
      <c r="J1011" t="s">
        <v>1309</v>
      </c>
      <c r="L1011" t="s">
        <v>1310</v>
      </c>
      <c r="M1011" s="4">
        <v>3</v>
      </c>
      <c r="N1011" s="4">
        <v>2.4</v>
      </c>
      <c r="O1011">
        <v>11</v>
      </c>
      <c r="T1011" t="s">
        <v>178</v>
      </c>
      <c r="U1011" t="s">
        <v>66</v>
      </c>
      <c r="V1011" s="4">
        <v>2.4</v>
      </c>
      <c r="Y1011" s="6">
        <f t="shared" si="129"/>
        <v>33</v>
      </c>
      <c r="Z1011" s="6">
        <f t="shared" si="130"/>
        <v>26.4</v>
      </c>
      <c r="AA1011" s="6">
        <f t="shared" si="131"/>
        <v>26.4</v>
      </c>
      <c r="AB1011" s="6">
        <f t="shared" si="126"/>
        <v>6.6000000000000014</v>
      </c>
      <c r="AC1011" t="s">
        <v>16</v>
      </c>
      <c r="AD1011" s="3" t="s">
        <v>168</v>
      </c>
    </row>
    <row r="1012" spans="1:30" ht="15.75" customHeight="1" x14ac:dyDescent="0.2">
      <c r="A1012" s="7" t="str">
        <f t="shared" si="127"/>
        <v>JIANGSU COWAIN TECHNOLOGY CO., LTD.J510New Buy</v>
      </c>
      <c r="B1012" s="7" t="str">
        <f t="shared" si="128"/>
        <v>iPadNew Buy</v>
      </c>
      <c r="C1012">
        <v>408797</v>
      </c>
      <c r="D1012" t="s">
        <v>169</v>
      </c>
      <c r="E1012" t="s">
        <v>166</v>
      </c>
      <c r="F1012" t="s">
        <v>173</v>
      </c>
      <c r="G1012" t="s">
        <v>68</v>
      </c>
      <c r="H1012" t="s">
        <v>167</v>
      </c>
      <c r="J1012" t="s">
        <v>1311</v>
      </c>
      <c r="L1012" t="s">
        <v>1312</v>
      </c>
      <c r="M1012" s="4">
        <v>5</v>
      </c>
      <c r="N1012" s="4">
        <v>4</v>
      </c>
      <c r="O1012">
        <v>1</v>
      </c>
      <c r="T1012" t="s">
        <v>178</v>
      </c>
      <c r="U1012" t="s">
        <v>66</v>
      </c>
      <c r="V1012" s="4">
        <v>4</v>
      </c>
      <c r="Y1012" s="6">
        <f t="shared" si="129"/>
        <v>5</v>
      </c>
      <c r="Z1012" s="6">
        <f t="shared" si="130"/>
        <v>4</v>
      </c>
      <c r="AA1012" s="6">
        <f t="shared" si="131"/>
        <v>4</v>
      </c>
      <c r="AB1012" s="6">
        <f t="shared" si="126"/>
        <v>1</v>
      </c>
      <c r="AC1012" t="s">
        <v>16</v>
      </c>
      <c r="AD1012" s="3" t="s">
        <v>168</v>
      </c>
    </row>
    <row r="1013" spans="1:30" ht="15.75" customHeight="1" x14ac:dyDescent="0.2">
      <c r="A1013" s="7" t="str">
        <f t="shared" si="127"/>
        <v>JIANGSU COWAIN TECHNOLOGY CO., LTD.J510New Buy</v>
      </c>
      <c r="B1013" s="7" t="str">
        <f t="shared" si="128"/>
        <v>iPadNew Buy</v>
      </c>
      <c r="C1013">
        <v>408796</v>
      </c>
      <c r="D1013" t="s">
        <v>169</v>
      </c>
      <c r="E1013" t="s">
        <v>166</v>
      </c>
      <c r="F1013" t="s">
        <v>173</v>
      </c>
      <c r="G1013" t="s">
        <v>68</v>
      </c>
      <c r="H1013" t="s">
        <v>167</v>
      </c>
      <c r="J1013" t="s">
        <v>1313</v>
      </c>
      <c r="L1013" t="s">
        <v>1314</v>
      </c>
      <c r="M1013" s="4">
        <v>55</v>
      </c>
      <c r="N1013" s="4">
        <v>44</v>
      </c>
      <c r="O1013">
        <v>1</v>
      </c>
      <c r="T1013" t="s">
        <v>178</v>
      </c>
      <c r="U1013" t="s">
        <v>66</v>
      </c>
      <c r="V1013" s="4">
        <v>44</v>
      </c>
      <c r="Y1013" s="6">
        <f t="shared" si="129"/>
        <v>55</v>
      </c>
      <c r="Z1013" s="6">
        <f t="shared" si="130"/>
        <v>44</v>
      </c>
      <c r="AA1013" s="6">
        <f t="shared" si="131"/>
        <v>44</v>
      </c>
      <c r="AB1013" s="6">
        <f t="shared" si="126"/>
        <v>11</v>
      </c>
      <c r="AC1013" t="s">
        <v>16</v>
      </c>
      <c r="AD1013" s="3" t="s">
        <v>168</v>
      </c>
    </row>
    <row r="1014" spans="1:30" ht="15.75" customHeight="1" x14ac:dyDescent="0.2">
      <c r="A1014" s="7" t="str">
        <f t="shared" si="127"/>
        <v>JIANGSU COWAIN TECHNOLOGY CO., LTD.J510New Buy</v>
      </c>
      <c r="B1014" s="7" t="str">
        <f t="shared" si="128"/>
        <v>iPadNew Buy</v>
      </c>
      <c r="C1014">
        <v>408795</v>
      </c>
      <c r="D1014" t="s">
        <v>169</v>
      </c>
      <c r="E1014" t="s">
        <v>166</v>
      </c>
      <c r="F1014" t="s">
        <v>173</v>
      </c>
      <c r="G1014" t="s">
        <v>68</v>
      </c>
      <c r="H1014" t="s">
        <v>167</v>
      </c>
      <c r="J1014" t="s">
        <v>1315</v>
      </c>
      <c r="L1014" t="s">
        <v>1316</v>
      </c>
      <c r="M1014" s="4">
        <v>55</v>
      </c>
      <c r="N1014" s="4">
        <v>44</v>
      </c>
      <c r="O1014">
        <v>1</v>
      </c>
      <c r="T1014" t="s">
        <v>178</v>
      </c>
      <c r="U1014" t="s">
        <v>66</v>
      </c>
      <c r="V1014" s="4">
        <v>44</v>
      </c>
      <c r="Y1014" s="6">
        <f t="shared" si="129"/>
        <v>55</v>
      </c>
      <c r="Z1014" s="6">
        <f t="shared" si="130"/>
        <v>44</v>
      </c>
      <c r="AA1014" s="6">
        <f t="shared" si="131"/>
        <v>44</v>
      </c>
      <c r="AB1014" s="6">
        <f t="shared" si="126"/>
        <v>11</v>
      </c>
      <c r="AC1014" t="s">
        <v>16</v>
      </c>
      <c r="AD1014" s="3" t="s">
        <v>168</v>
      </c>
    </row>
    <row r="1015" spans="1:30" ht="15.75" customHeight="1" x14ac:dyDescent="0.2">
      <c r="A1015" s="7" t="str">
        <f t="shared" si="127"/>
        <v>JIANGSU COWAIN TECHNOLOGY CO., LTD.J510New Buy</v>
      </c>
      <c r="B1015" s="7" t="str">
        <f t="shared" si="128"/>
        <v>iPadNew Buy</v>
      </c>
      <c r="C1015">
        <v>408794</v>
      </c>
      <c r="D1015" t="s">
        <v>169</v>
      </c>
      <c r="E1015" t="s">
        <v>166</v>
      </c>
      <c r="F1015" t="s">
        <v>173</v>
      </c>
      <c r="G1015" t="s">
        <v>68</v>
      </c>
      <c r="H1015" t="s">
        <v>167</v>
      </c>
      <c r="J1015" t="s">
        <v>1317</v>
      </c>
      <c r="L1015" t="s">
        <v>1318</v>
      </c>
      <c r="M1015" s="4">
        <v>355</v>
      </c>
      <c r="N1015" s="4">
        <v>331.64100000000002</v>
      </c>
      <c r="O1015">
        <v>11</v>
      </c>
      <c r="T1015" t="s">
        <v>178</v>
      </c>
      <c r="U1015" t="s">
        <v>66</v>
      </c>
      <c r="V1015" s="4">
        <v>284</v>
      </c>
      <c r="Y1015" s="6">
        <f t="shared" si="129"/>
        <v>3905</v>
      </c>
      <c r="Z1015" s="6">
        <f t="shared" si="130"/>
        <v>3124</v>
      </c>
      <c r="AA1015" s="6">
        <f t="shared" si="131"/>
        <v>3648.0510000000004</v>
      </c>
      <c r="AB1015" s="6">
        <f t="shared" si="126"/>
        <v>256.94899999999961</v>
      </c>
      <c r="AC1015" t="s">
        <v>16</v>
      </c>
      <c r="AD1015" s="3" t="s">
        <v>168</v>
      </c>
    </row>
    <row r="1016" spans="1:30" ht="15.75" customHeight="1" x14ac:dyDescent="0.2">
      <c r="A1016" s="7" t="str">
        <f t="shared" si="127"/>
        <v>JIANGSU COWAIN TECHNOLOGY CO., LTD.J510New Buy</v>
      </c>
      <c r="B1016" s="7" t="str">
        <f t="shared" si="128"/>
        <v>iPadNew Buy</v>
      </c>
      <c r="C1016">
        <v>408790</v>
      </c>
      <c r="D1016" t="s">
        <v>169</v>
      </c>
      <c r="E1016" t="s">
        <v>166</v>
      </c>
      <c r="F1016" t="s">
        <v>173</v>
      </c>
      <c r="G1016" t="s">
        <v>68</v>
      </c>
      <c r="H1016" t="s">
        <v>167</v>
      </c>
      <c r="J1016" t="s">
        <v>1319</v>
      </c>
      <c r="L1016" t="s">
        <v>1320</v>
      </c>
      <c r="M1016" s="4">
        <v>100</v>
      </c>
      <c r="N1016" s="4">
        <v>80</v>
      </c>
      <c r="O1016">
        <v>13</v>
      </c>
      <c r="T1016" t="s">
        <v>178</v>
      </c>
      <c r="U1016" t="s">
        <v>66</v>
      </c>
      <c r="V1016" s="4">
        <v>80</v>
      </c>
      <c r="Y1016" s="6">
        <f t="shared" si="129"/>
        <v>1300</v>
      </c>
      <c r="Z1016" s="6">
        <f t="shared" si="130"/>
        <v>1040</v>
      </c>
      <c r="AA1016" s="6">
        <f t="shared" si="131"/>
        <v>1040</v>
      </c>
      <c r="AB1016" s="6">
        <f t="shared" si="126"/>
        <v>260</v>
      </c>
      <c r="AC1016" t="s">
        <v>16</v>
      </c>
      <c r="AD1016" s="3" t="s">
        <v>168</v>
      </c>
    </row>
    <row r="1017" spans="1:30" ht="15.75" customHeight="1" x14ac:dyDescent="0.2">
      <c r="A1017" s="7" t="str">
        <f t="shared" si="127"/>
        <v>JIANGSU COWAIN TECHNOLOGY CO., LTD.J510New Buy</v>
      </c>
      <c r="B1017" s="7" t="str">
        <f t="shared" si="128"/>
        <v>iPadNew Buy</v>
      </c>
      <c r="C1017">
        <v>408789</v>
      </c>
      <c r="D1017" t="s">
        <v>169</v>
      </c>
      <c r="E1017" t="s">
        <v>166</v>
      </c>
      <c r="F1017" t="s">
        <v>173</v>
      </c>
      <c r="G1017" t="s">
        <v>68</v>
      </c>
      <c r="H1017" t="s">
        <v>167</v>
      </c>
      <c r="J1017" t="s">
        <v>1321</v>
      </c>
      <c r="L1017" t="s">
        <v>1322</v>
      </c>
      <c r="M1017" s="4">
        <v>58</v>
      </c>
      <c r="N1017" s="4">
        <v>46.4</v>
      </c>
      <c r="O1017">
        <v>3</v>
      </c>
      <c r="T1017" t="s">
        <v>178</v>
      </c>
      <c r="U1017" t="s">
        <v>66</v>
      </c>
      <c r="V1017" s="4">
        <v>46.4</v>
      </c>
      <c r="Y1017" s="6">
        <f t="shared" si="129"/>
        <v>174</v>
      </c>
      <c r="Z1017" s="6">
        <f t="shared" si="130"/>
        <v>139.19999999999999</v>
      </c>
      <c r="AA1017" s="6">
        <f t="shared" si="131"/>
        <v>139.19999999999999</v>
      </c>
      <c r="AB1017" s="6">
        <f t="shared" si="126"/>
        <v>34.800000000000011</v>
      </c>
      <c r="AC1017" t="s">
        <v>16</v>
      </c>
      <c r="AD1017" s="3" t="s">
        <v>168</v>
      </c>
    </row>
    <row r="1018" spans="1:30" ht="15.75" customHeight="1" x14ac:dyDescent="0.2">
      <c r="A1018" s="7" t="str">
        <f t="shared" si="127"/>
        <v>JIANGSU COWAIN TECHNOLOGY CO., LTD.J510New Buy</v>
      </c>
      <c r="B1018" s="7" t="str">
        <f t="shared" si="128"/>
        <v>iPadNew Buy</v>
      </c>
      <c r="C1018">
        <v>408787</v>
      </c>
      <c r="D1018" t="s">
        <v>169</v>
      </c>
      <c r="E1018" t="s">
        <v>166</v>
      </c>
      <c r="F1018" t="s">
        <v>173</v>
      </c>
      <c r="G1018" t="s">
        <v>68</v>
      </c>
      <c r="H1018" t="s">
        <v>167</v>
      </c>
      <c r="J1018" t="s">
        <v>1323</v>
      </c>
      <c r="L1018" t="s">
        <v>1324</v>
      </c>
      <c r="M1018" s="4">
        <v>45</v>
      </c>
      <c r="N1018" s="4">
        <v>36</v>
      </c>
      <c r="O1018">
        <v>4</v>
      </c>
      <c r="T1018" t="s">
        <v>178</v>
      </c>
      <c r="U1018" t="s">
        <v>66</v>
      </c>
      <c r="V1018" s="4">
        <v>36</v>
      </c>
      <c r="Y1018" s="6">
        <f t="shared" si="129"/>
        <v>180</v>
      </c>
      <c r="Z1018" s="6">
        <f t="shared" si="130"/>
        <v>144</v>
      </c>
      <c r="AA1018" s="6">
        <f t="shared" si="131"/>
        <v>144</v>
      </c>
      <c r="AB1018" s="6">
        <f t="shared" si="126"/>
        <v>36</v>
      </c>
      <c r="AC1018" t="s">
        <v>16</v>
      </c>
      <c r="AD1018" s="3" t="s">
        <v>168</v>
      </c>
    </row>
    <row r="1019" spans="1:30" ht="15.75" customHeight="1" x14ac:dyDescent="0.2">
      <c r="A1019" s="7" t="str">
        <f t="shared" si="127"/>
        <v>JIANGSU COWAIN TECHNOLOGY CO., LTD.J510New Buy</v>
      </c>
      <c r="B1019" s="7" t="str">
        <f t="shared" si="128"/>
        <v>iPadNew Buy</v>
      </c>
      <c r="C1019">
        <v>408785</v>
      </c>
      <c r="D1019" t="s">
        <v>169</v>
      </c>
      <c r="E1019" t="s">
        <v>166</v>
      </c>
      <c r="F1019" t="s">
        <v>173</v>
      </c>
      <c r="G1019" t="s">
        <v>68</v>
      </c>
      <c r="H1019" t="s">
        <v>167</v>
      </c>
      <c r="J1019" t="s">
        <v>1325</v>
      </c>
      <c r="L1019" t="s">
        <v>1326</v>
      </c>
      <c r="M1019" s="4">
        <v>55</v>
      </c>
      <c r="N1019" s="4">
        <v>44</v>
      </c>
      <c r="O1019">
        <v>3</v>
      </c>
      <c r="T1019" t="s">
        <v>178</v>
      </c>
      <c r="U1019" t="s">
        <v>66</v>
      </c>
      <c r="V1019" s="4">
        <v>44</v>
      </c>
      <c r="Y1019" s="6">
        <f t="shared" si="129"/>
        <v>165</v>
      </c>
      <c r="Z1019" s="6">
        <f t="shared" si="130"/>
        <v>132</v>
      </c>
      <c r="AA1019" s="6">
        <f t="shared" si="131"/>
        <v>132</v>
      </c>
      <c r="AB1019" s="6">
        <f t="shared" si="126"/>
        <v>33</v>
      </c>
      <c r="AC1019" t="s">
        <v>16</v>
      </c>
      <c r="AD1019" s="3" t="s">
        <v>168</v>
      </c>
    </row>
    <row r="1020" spans="1:30" ht="15.75" customHeight="1" x14ac:dyDescent="0.2">
      <c r="A1020" s="7" t="str">
        <f t="shared" si="127"/>
        <v>JIANGSU COWAIN TECHNOLOGY CO., LTD.J510New Buy</v>
      </c>
      <c r="B1020" s="7" t="str">
        <f t="shared" si="128"/>
        <v>iPadNew Buy</v>
      </c>
      <c r="C1020">
        <v>408784</v>
      </c>
      <c r="D1020" t="s">
        <v>169</v>
      </c>
      <c r="E1020" t="s">
        <v>166</v>
      </c>
      <c r="F1020" t="s">
        <v>173</v>
      </c>
      <c r="G1020" t="s">
        <v>68</v>
      </c>
      <c r="H1020" t="s">
        <v>167</v>
      </c>
      <c r="J1020" t="s">
        <v>1327</v>
      </c>
      <c r="L1020" t="s">
        <v>1328</v>
      </c>
      <c r="M1020" s="4">
        <v>211</v>
      </c>
      <c r="N1020" s="4">
        <v>177.49799999999999</v>
      </c>
      <c r="O1020">
        <v>16</v>
      </c>
      <c r="T1020" t="s">
        <v>178</v>
      </c>
      <c r="U1020" t="s">
        <v>66</v>
      </c>
      <c r="V1020" s="4">
        <v>168.8</v>
      </c>
      <c r="Y1020" s="6">
        <f t="shared" si="129"/>
        <v>3376</v>
      </c>
      <c r="Z1020" s="6">
        <f t="shared" si="130"/>
        <v>2700.8</v>
      </c>
      <c r="AA1020" s="6">
        <f t="shared" si="131"/>
        <v>2839.9679999999998</v>
      </c>
      <c r="AB1020" s="6">
        <f t="shared" si="126"/>
        <v>536.03200000000015</v>
      </c>
      <c r="AC1020" t="s">
        <v>16</v>
      </c>
      <c r="AD1020" s="3" t="s">
        <v>168</v>
      </c>
    </row>
    <row r="1021" spans="1:30" ht="15.75" customHeight="1" x14ac:dyDescent="0.2">
      <c r="A1021" s="7" t="str">
        <f t="shared" si="127"/>
        <v>JIANGSU COWAIN TECHNOLOGY CO., LTD.J510New Buy</v>
      </c>
      <c r="B1021" s="7" t="str">
        <f t="shared" si="128"/>
        <v>iPadNew Buy</v>
      </c>
      <c r="C1021">
        <v>408779</v>
      </c>
      <c r="D1021" t="s">
        <v>169</v>
      </c>
      <c r="E1021" t="s">
        <v>166</v>
      </c>
      <c r="F1021" t="s">
        <v>173</v>
      </c>
      <c r="G1021" t="s">
        <v>68</v>
      </c>
      <c r="H1021" t="s">
        <v>167</v>
      </c>
      <c r="J1021" t="s">
        <v>1329</v>
      </c>
      <c r="L1021" t="s">
        <v>1330</v>
      </c>
      <c r="M1021" s="4">
        <v>100</v>
      </c>
      <c r="N1021" s="4">
        <v>80</v>
      </c>
      <c r="O1021">
        <v>1</v>
      </c>
      <c r="T1021" t="s">
        <v>178</v>
      </c>
      <c r="U1021" t="s">
        <v>66</v>
      </c>
      <c r="V1021" s="4">
        <v>80</v>
      </c>
      <c r="Y1021" s="6">
        <f t="shared" si="129"/>
        <v>100</v>
      </c>
      <c r="Z1021" s="6">
        <f t="shared" si="130"/>
        <v>80</v>
      </c>
      <c r="AA1021" s="6">
        <f t="shared" si="131"/>
        <v>80</v>
      </c>
      <c r="AB1021" s="6">
        <f t="shared" si="126"/>
        <v>20</v>
      </c>
      <c r="AC1021" t="s">
        <v>16</v>
      </c>
      <c r="AD1021" s="3" t="s">
        <v>168</v>
      </c>
    </row>
    <row r="1022" spans="1:30" ht="15.75" customHeight="1" x14ac:dyDescent="0.2">
      <c r="A1022" s="7" t="str">
        <f t="shared" si="127"/>
        <v>JIANGSU COWAIN TECHNOLOGY CO., LTD.J510New Buy</v>
      </c>
      <c r="B1022" s="7" t="str">
        <f t="shared" si="128"/>
        <v>iPadNew Buy</v>
      </c>
      <c r="C1022">
        <v>408763</v>
      </c>
      <c r="D1022" t="s">
        <v>169</v>
      </c>
      <c r="E1022" t="s">
        <v>166</v>
      </c>
      <c r="F1022" t="s">
        <v>173</v>
      </c>
      <c r="G1022" t="s">
        <v>68</v>
      </c>
      <c r="H1022" t="s">
        <v>167</v>
      </c>
      <c r="J1022" t="s">
        <v>1331</v>
      </c>
      <c r="L1022" t="s">
        <v>1332</v>
      </c>
      <c r="M1022" s="4">
        <v>43</v>
      </c>
      <c r="N1022" s="4">
        <v>34.4</v>
      </c>
      <c r="O1022">
        <v>1</v>
      </c>
      <c r="T1022" t="s">
        <v>178</v>
      </c>
      <c r="U1022" t="s">
        <v>66</v>
      </c>
      <c r="V1022" s="4">
        <v>34.4</v>
      </c>
      <c r="Y1022" s="6">
        <f t="shared" si="129"/>
        <v>43</v>
      </c>
      <c r="Z1022" s="6">
        <f t="shared" si="130"/>
        <v>34.4</v>
      </c>
      <c r="AA1022" s="6">
        <f t="shared" si="131"/>
        <v>34.4</v>
      </c>
      <c r="AB1022" s="6">
        <f t="shared" ref="AB1022:AB1067" si="132">IF(AA1022=0,0,Y1022-AA1022)</f>
        <v>8.6000000000000014</v>
      </c>
      <c r="AC1022" t="s">
        <v>16</v>
      </c>
      <c r="AD1022" s="3" t="s">
        <v>168</v>
      </c>
    </row>
    <row r="1023" spans="1:30" ht="15.75" customHeight="1" x14ac:dyDescent="0.2">
      <c r="A1023" s="7" t="str">
        <f t="shared" si="127"/>
        <v>JIANGSU COWAIN TECHNOLOGY CO., LTD.J581New Buy</v>
      </c>
      <c r="B1023" s="7" t="str">
        <f t="shared" si="128"/>
        <v>iPadNew Buy</v>
      </c>
      <c r="C1023">
        <v>407451</v>
      </c>
      <c r="D1023" t="s">
        <v>169</v>
      </c>
      <c r="E1023" t="s">
        <v>166</v>
      </c>
      <c r="F1023" t="s">
        <v>173</v>
      </c>
      <c r="G1023" t="s">
        <v>174</v>
      </c>
      <c r="H1023" t="s">
        <v>167</v>
      </c>
      <c r="J1023" t="s">
        <v>1333</v>
      </c>
      <c r="L1023" t="s">
        <v>1334</v>
      </c>
      <c r="M1023" s="4">
        <v>85</v>
      </c>
      <c r="N1023" s="4">
        <v>79.406999999999996</v>
      </c>
      <c r="O1023">
        <v>15</v>
      </c>
      <c r="T1023" t="s">
        <v>178</v>
      </c>
      <c r="U1023" t="s">
        <v>104</v>
      </c>
      <c r="V1023" s="4">
        <v>68</v>
      </c>
      <c r="Y1023" s="6">
        <f t="shared" si="129"/>
        <v>1275</v>
      </c>
      <c r="Z1023" s="6">
        <f t="shared" si="130"/>
        <v>1020</v>
      </c>
      <c r="AA1023" s="6">
        <f t="shared" si="131"/>
        <v>1191.105</v>
      </c>
      <c r="AB1023" s="6">
        <f t="shared" si="132"/>
        <v>83.894999999999982</v>
      </c>
      <c r="AC1023" t="s">
        <v>16</v>
      </c>
      <c r="AD1023" s="3" t="s">
        <v>168</v>
      </c>
    </row>
    <row r="1024" spans="1:30" ht="15.75" customHeight="1" x14ac:dyDescent="0.2">
      <c r="A1024" s="7" t="str">
        <f t="shared" si="127"/>
        <v>JIANGSU COWAIN TECHNOLOGY CO., LTD.J581Retrofit</v>
      </c>
      <c r="B1024" s="7" t="str">
        <f t="shared" si="128"/>
        <v>iPadNew Buy</v>
      </c>
      <c r="C1024">
        <v>407450</v>
      </c>
      <c r="D1024" t="s">
        <v>169</v>
      </c>
      <c r="E1024" t="s">
        <v>166</v>
      </c>
      <c r="F1024" t="s">
        <v>173</v>
      </c>
      <c r="G1024" t="s">
        <v>174</v>
      </c>
      <c r="H1024" t="s">
        <v>170</v>
      </c>
      <c r="J1024" t="s">
        <v>1333</v>
      </c>
      <c r="L1024" t="s">
        <v>1334</v>
      </c>
      <c r="M1024" s="4">
        <v>124.1</v>
      </c>
      <c r="N1024" s="4">
        <v>115.93422</v>
      </c>
      <c r="O1024">
        <v>3</v>
      </c>
      <c r="T1024" t="s">
        <v>178</v>
      </c>
      <c r="U1024" t="s">
        <v>116</v>
      </c>
      <c r="V1024" s="4">
        <v>68</v>
      </c>
      <c r="Y1024" s="6">
        <f t="shared" si="129"/>
        <v>372.29999999999995</v>
      </c>
      <c r="Z1024" s="6">
        <f t="shared" si="130"/>
        <v>204</v>
      </c>
      <c r="AA1024" s="6">
        <f t="shared" si="131"/>
        <v>347.80266</v>
      </c>
      <c r="AB1024" s="6">
        <f t="shared" si="132"/>
        <v>24.497339999999951</v>
      </c>
      <c r="AC1024" t="s">
        <v>33</v>
      </c>
      <c r="AD1024" s="3" t="s">
        <v>171</v>
      </c>
    </row>
    <row r="1025" spans="1:30" ht="15.75" customHeight="1" x14ac:dyDescent="0.2">
      <c r="A1025" s="7" t="str">
        <f t="shared" si="127"/>
        <v>JIANGSU COWAIN TECHNOLOGY CO., LTD.J581Retrofit</v>
      </c>
      <c r="B1025" s="7" t="str">
        <f t="shared" si="128"/>
        <v>iPadNew Buy</v>
      </c>
      <c r="C1025">
        <v>407449</v>
      </c>
      <c r="D1025" t="s">
        <v>169</v>
      </c>
      <c r="E1025" t="s">
        <v>166</v>
      </c>
      <c r="F1025" t="s">
        <v>173</v>
      </c>
      <c r="G1025" t="s">
        <v>174</v>
      </c>
      <c r="H1025" t="s">
        <v>170</v>
      </c>
      <c r="J1025" t="s">
        <v>1333</v>
      </c>
      <c r="L1025" t="s">
        <v>1334</v>
      </c>
      <c r="M1025" s="4">
        <v>85</v>
      </c>
      <c r="N1025" s="4">
        <v>79.406999999999996</v>
      </c>
      <c r="O1025">
        <v>3</v>
      </c>
      <c r="T1025" t="s">
        <v>178</v>
      </c>
      <c r="U1025" t="s">
        <v>66</v>
      </c>
      <c r="V1025" s="4">
        <v>68</v>
      </c>
      <c r="Y1025" s="6">
        <f t="shared" si="129"/>
        <v>255</v>
      </c>
      <c r="Z1025" s="6">
        <f t="shared" si="130"/>
        <v>204</v>
      </c>
      <c r="AA1025" s="6">
        <f t="shared" si="131"/>
        <v>238.221</v>
      </c>
      <c r="AB1025" s="6">
        <f t="shared" si="132"/>
        <v>16.778999999999996</v>
      </c>
      <c r="AC1025" t="s">
        <v>16</v>
      </c>
      <c r="AD1025" s="3" t="s">
        <v>171</v>
      </c>
    </row>
    <row r="1026" spans="1:30" ht="15.75" customHeight="1" x14ac:dyDescent="0.2">
      <c r="A1026" s="7" t="str">
        <f t="shared" si="127"/>
        <v>JIANGSU COWAIN TECHNOLOGY CO., LTD.J581Retrofit</v>
      </c>
      <c r="B1026" s="7" t="str">
        <f t="shared" si="128"/>
        <v>iPadNew Buy</v>
      </c>
      <c r="C1026">
        <v>407448</v>
      </c>
      <c r="D1026" t="s">
        <v>169</v>
      </c>
      <c r="E1026" t="s">
        <v>166</v>
      </c>
      <c r="F1026" t="s">
        <v>173</v>
      </c>
      <c r="G1026" t="s">
        <v>174</v>
      </c>
      <c r="H1026" t="s">
        <v>170</v>
      </c>
      <c r="J1026" t="s">
        <v>1335</v>
      </c>
      <c r="L1026" t="s">
        <v>1336</v>
      </c>
      <c r="M1026" s="4">
        <v>445.71</v>
      </c>
      <c r="N1026" s="4">
        <v>356.56799999999998</v>
      </c>
      <c r="O1026">
        <v>4</v>
      </c>
      <c r="T1026" t="s">
        <v>178</v>
      </c>
      <c r="U1026" t="s">
        <v>66</v>
      </c>
      <c r="V1026" s="4">
        <v>356.56799999999998</v>
      </c>
      <c r="Y1026" s="6">
        <f t="shared" si="129"/>
        <v>1782.84</v>
      </c>
      <c r="Z1026" s="6">
        <f t="shared" si="130"/>
        <v>1426.2719999999999</v>
      </c>
      <c r="AA1026" s="6">
        <f t="shared" si="131"/>
        <v>1426.2719999999999</v>
      </c>
      <c r="AB1026" s="6">
        <f t="shared" si="132"/>
        <v>356.56799999999998</v>
      </c>
      <c r="AC1026" t="s">
        <v>16</v>
      </c>
      <c r="AD1026" s="3" t="s">
        <v>171</v>
      </c>
    </row>
    <row r="1027" spans="1:30" ht="15.75" customHeight="1" x14ac:dyDescent="0.2">
      <c r="A1027" s="7" t="str">
        <f t="shared" si="127"/>
        <v>JIANGSU COWAIN TECHNOLOGY CO., LTD.J581New Buy</v>
      </c>
      <c r="B1027" s="7" t="str">
        <f t="shared" si="128"/>
        <v>iPadNew Buy</v>
      </c>
      <c r="C1027">
        <v>407447</v>
      </c>
      <c r="D1027" t="s">
        <v>169</v>
      </c>
      <c r="E1027" t="s">
        <v>166</v>
      </c>
      <c r="F1027" t="s">
        <v>173</v>
      </c>
      <c r="G1027" t="s">
        <v>174</v>
      </c>
      <c r="H1027" t="s">
        <v>167</v>
      </c>
      <c r="J1027" t="s">
        <v>1335</v>
      </c>
      <c r="L1027" t="s">
        <v>1336</v>
      </c>
      <c r="M1027" s="4">
        <v>445.71</v>
      </c>
      <c r="N1027" s="4">
        <v>356.56799999999998</v>
      </c>
      <c r="O1027">
        <v>1</v>
      </c>
      <c r="T1027" t="s">
        <v>178</v>
      </c>
      <c r="U1027" t="s">
        <v>104</v>
      </c>
      <c r="V1027" s="4">
        <v>356.56799999999998</v>
      </c>
      <c r="Y1027" s="6">
        <f t="shared" si="129"/>
        <v>445.71</v>
      </c>
      <c r="Z1027" s="6">
        <f t="shared" si="130"/>
        <v>356.56799999999998</v>
      </c>
      <c r="AA1027" s="6">
        <f t="shared" si="131"/>
        <v>356.56799999999998</v>
      </c>
      <c r="AB1027" s="6">
        <f t="shared" si="132"/>
        <v>89.141999999999996</v>
      </c>
      <c r="AC1027" t="s">
        <v>16</v>
      </c>
      <c r="AD1027" s="3" t="s">
        <v>168</v>
      </c>
    </row>
    <row r="1028" spans="1:30" ht="15.75" customHeight="1" x14ac:dyDescent="0.2">
      <c r="A1028" s="7" t="str">
        <f t="shared" si="127"/>
        <v>JIANGSU COWAIN TECHNOLOGY CO., LTD.J581Retrofit</v>
      </c>
      <c r="B1028" s="7" t="str">
        <f t="shared" si="128"/>
        <v>iPadNew Buy</v>
      </c>
      <c r="C1028">
        <v>407446</v>
      </c>
      <c r="D1028" t="s">
        <v>169</v>
      </c>
      <c r="E1028" t="s">
        <v>166</v>
      </c>
      <c r="F1028" t="s">
        <v>173</v>
      </c>
      <c r="G1028" t="s">
        <v>174</v>
      </c>
      <c r="H1028" t="s">
        <v>170</v>
      </c>
      <c r="J1028" t="s">
        <v>1337</v>
      </c>
      <c r="L1028" t="s">
        <v>1338</v>
      </c>
      <c r="M1028" s="4">
        <v>264</v>
      </c>
      <c r="N1028" s="4">
        <v>211.2</v>
      </c>
      <c r="O1028">
        <v>9</v>
      </c>
      <c r="T1028" t="s">
        <v>178</v>
      </c>
      <c r="U1028" t="s">
        <v>66</v>
      </c>
      <c r="V1028" s="4">
        <v>211.2</v>
      </c>
      <c r="Y1028" s="6">
        <f t="shared" si="129"/>
        <v>2376</v>
      </c>
      <c r="Z1028" s="6">
        <f t="shared" si="130"/>
        <v>1900.8</v>
      </c>
      <c r="AA1028" s="6">
        <f t="shared" si="131"/>
        <v>1900.8</v>
      </c>
      <c r="AB1028" s="6">
        <f t="shared" si="132"/>
        <v>475.20000000000005</v>
      </c>
      <c r="AC1028" t="s">
        <v>16</v>
      </c>
      <c r="AD1028" s="3" t="s">
        <v>171</v>
      </c>
    </row>
    <row r="1029" spans="1:30" ht="15.75" customHeight="1" x14ac:dyDescent="0.2">
      <c r="A1029" s="7" t="str">
        <f t="shared" si="127"/>
        <v>JIANGSU COWAIN TECHNOLOGY CO., LTD.J581Retrofit</v>
      </c>
      <c r="B1029" s="7" t="str">
        <f t="shared" si="128"/>
        <v>iPadNew Buy</v>
      </c>
      <c r="C1029">
        <v>407445</v>
      </c>
      <c r="D1029" t="s">
        <v>169</v>
      </c>
      <c r="E1029" t="s">
        <v>166</v>
      </c>
      <c r="F1029" t="s">
        <v>173</v>
      </c>
      <c r="G1029" t="s">
        <v>174</v>
      </c>
      <c r="H1029" t="s">
        <v>170</v>
      </c>
      <c r="J1029" t="s">
        <v>1337</v>
      </c>
      <c r="L1029" t="s">
        <v>1338</v>
      </c>
      <c r="M1029" s="4">
        <v>385.44</v>
      </c>
      <c r="N1029" s="4">
        <v>289.60199999999998</v>
      </c>
      <c r="O1029">
        <v>13</v>
      </c>
      <c r="T1029" t="s">
        <v>178</v>
      </c>
      <c r="U1029" t="s">
        <v>116</v>
      </c>
      <c r="V1029" s="4">
        <v>211.2</v>
      </c>
      <c r="Y1029" s="6">
        <f t="shared" si="129"/>
        <v>5010.72</v>
      </c>
      <c r="Z1029" s="6">
        <f t="shared" si="130"/>
        <v>2745.6</v>
      </c>
      <c r="AA1029" s="6">
        <f t="shared" si="131"/>
        <v>3764.8259999999996</v>
      </c>
      <c r="AB1029" s="6">
        <f t="shared" si="132"/>
        <v>1245.8940000000007</v>
      </c>
      <c r="AC1029" t="s">
        <v>33</v>
      </c>
      <c r="AD1029" s="3" t="s">
        <v>171</v>
      </c>
    </row>
    <row r="1030" spans="1:30" ht="15.75" customHeight="1" x14ac:dyDescent="0.2">
      <c r="A1030" s="7" t="str">
        <f t="shared" si="127"/>
        <v>JIANGSU COWAIN TECHNOLOGY CO., LTD.J581New Buy</v>
      </c>
      <c r="B1030" s="7" t="str">
        <f t="shared" si="128"/>
        <v>iPadNew Buy</v>
      </c>
      <c r="C1030">
        <v>407444</v>
      </c>
      <c r="D1030" t="s">
        <v>169</v>
      </c>
      <c r="E1030" t="s">
        <v>166</v>
      </c>
      <c r="F1030" t="s">
        <v>173</v>
      </c>
      <c r="G1030" t="s">
        <v>174</v>
      </c>
      <c r="H1030" t="s">
        <v>167</v>
      </c>
      <c r="J1030" t="s">
        <v>1337</v>
      </c>
      <c r="L1030" t="s">
        <v>1338</v>
      </c>
      <c r="M1030" s="4">
        <v>264</v>
      </c>
      <c r="N1030" s="4">
        <v>211.2</v>
      </c>
      <c r="O1030">
        <v>9</v>
      </c>
      <c r="T1030" t="s">
        <v>178</v>
      </c>
      <c r="U1030" t="s">
        <v>104</v>
      </c>
      <c r="V1030" s="4">
        <v>211.2</v>
      </c>
      <c r="Y1030" s="6">
        <f t="shared" si="129"/>
        <v>2376</v>
      </c>
      <c r="Z1030" s="6">
        <f t="shared" si="130"/>
        <v>1900.8</v>
      </c>
      <c r="AA1030" s="6">
        <f t="shared" si="131"/>
        <v>1900.8</v>
      </c>
      <c r="AB1030" s="6">
        <f t="shared" si="132"/>
        <v>475.20000000000005</v>
      </c>
      <c r="AC1030" t="s">
        <v>16</v>
      </c>
      <c r="AD1030" s="3" t="s">
        <v>168</v>
      </c>
    </row>
    <row r="1031" spans="1:30" ht="15.75" customHeight="1" x14ac:dyDescent="0.2">
      <c r="A1031" s="7" t="str">
        <f t="shared" si="127"/>
        <v>JIANGSU COWAIN TECHNOLOGY CO., LTD.J581Retrofit</v>
      </c>
      <c r="B1031" s="7" t="str">
        <f t="shared" si="128"/>
        <v>iPadNew Buy</v>
      </c>
      <c r="C1031">
        <v>407443</v>
      </c>
      <c r="D1031" t="s">
        <v>169</v>
      </c>
      <c r="E1031" t="s">
        <v>166</v>
      </c>
      <c r="F1031" t="s">
        <v>173</v>
      </c>
      <c r="G1031" t="s">
        <v>174</v>
      </c>
      <c r="H1031" t="s">
        <v>170</v>
      </c>
      <c r="J1031" t="s">
        <v>1339</v>
      </c>
      <c r="L1031" t="s">
        <v>1340</v>
      </c>
      <c r="M1031" s="4">
        <v>65</v>
      </c>
      <c r="N1031" s="4">
        <v>52</v>
      </c>
      <c r="O1031">
        <v>17</v>
      </c>
      <c r="T1031" t="s">
        <v>178</v>
      </c>
      <c r="U1031" t="s">
        <v>66</v>
      </c>
      <c r="V1031" s="4">
        <v>52</v>
      </c>
      <c r="Y1031" s="6">
        <f t="shared" si="129"/>
        <v>1105</v>
      </c>
      <c r="Z1031" s="6">
        <f t="shared" si="130"/>
        <v>884</v>
      </c>
      <c r="AA1031" s="6">
        <f t="shared" si="131"/>
        <v>884</v>
      </c>
      <c r="AB1031" s="6">
        <f t="shared" si="132"/>
        <v>221</v>
      </c>
      <c r="AC1031" t="s">
        <v>16</v>
      </c>
      <c r="AD1031" s="3" t="s">
        <v>171</v>
      </c>
    </row>
    <row r="1032" spans="1:30" ht="15.75" customHeight="1" x14ac:dyDescent="0.2">
      <c r="A1032" s="7" t="str">
        <f t="shared" si="127"/>
        <v>JIANGSU COWAIN TECHNOLOGY CO., LTD.J581Retrofit</v>
      </c>
      <c r="B1032" s="7" t="str">
        <f t="shared" si="128"/>
        <v>iPadNew Buy</v>
      </c>
      <c r="C1032">
        <v>407442</v>
      </c>
      <c r="D1032" t="s">
        <v>169</v>
      </c>
      <c r="E1032" t="s">
        <v>166</v>
      </c>
      <c r="F1032" t="s">
        <v>173</v>
      </c>
      <c r="G1032" t="s">
        <v>174</v>
      </c>
      <c r="H1032" t="s">
        <v>170</v>
      </c>
      <c r="J1032" t="s">
        <v>1339</v>
      </c>
      <c r="L1032" t="s">
        <v>1340</v>
      </c>
      <c r="M1032" s="4">
        <v>95</v>
      </c>
      <c r="N1032" s="4">
        <v>61.657200000000003</v>
      </c>
      <c r="O1032">
        <v>13</v>
      </c>
      <c r="T1032" t="s">
        <v>178</v>
      </c>
      <c r="U1032" t="s">
        <v>116</v>
      </c>
      <c r="V1032" s="4">
        <v>52</v>
      </c>
      <c r="Y1032" s="6">
        <f t="shared" si="129"/>
        <v>1235</v>
      </c>
      <c r="Z1032" s="6">
        <f t="shared" si="130"/>
        <v>676</v>
      </c>
      <c r="AA1032" s="6">
        <f t="shared" si="131"/>
        <v>801.54360000000008</v>
      </c>
      <c r="AB1032" s="6">
        <f t="shared" si="132"/>
        <v>433.45639999999992</v>
      </c>
      <c r="AC1032" t="s">
        <v>33</v>
      </c>
      <c r="AD1032" s="3" t="s">
        <v>171</v>
      </c>
    </row>
    <row r="1033" spans="1:30" ht="15.75" customHeight="1" x14ac:dyDescent="0.2">
      <c r="A1033" s="7" t="str">
        <f t="shared" si="127"/>
        <v>JIANGSU COWAIN TECHNOLOGY CO., LTD.J581New Buy</v>
      </c>
      <c r="B1033" s="7" t="str">
        <f t="shared" si="128"/>
        <v>iPadNew Buy</v>
      </c>
      <c r="C1033">
        <v>407441</v>
      </c>
      <c r="D1033" t="s">
        <v>169</v>
      </c>
      <c r="E1033" t="s">
        <v>166</v>
      </c>
      <c r="F1033" t="s">
        <v>173</v>
      </c>
      <c r="G1033" t="s">
        <v>174</v>
      </c>
      <c r="H1033" t="s">
        <v>167</v>
      </c>
      <c r="J1033" t="s">
        <v>1339</v>
      </c>
      <c r="L1033" t="s">
        <v>1340</v>
      </c>
      <c r="M1033" s="4">
        <v>65</v>
      </c>
      <c r="N1033" s="4">
        <v>52</v>
      </c>
      <c r="O1033">
        <v>18</v>
      </c>
      <c r="T1033" t="s">
        <v>178</v>
      </c>
      <c r="U1033" t="s">
        <v>104</v>
      </c>
      <c r="V1033" s="4">
        <v>52</v>
      </c>
      <c r="Y1033" s="6">
        <f t="shared" si="129"/>
        <v>1170</v>
      </c>
      <c r="Z1033" s="6">
        <f t="shared" si="130"/>
        <v>936</v>
      </c>
      <c r="AA1033" s="6">
        <f t="shared" si="131"/>
        <v>936</v>
      </c>
      <c r="AB1033" s="6">
        <f t="shared" si="132"/>
        <v>234</v>
      </c>
      <c r="AC1033" t="s">
        <v>16</v>
      </c>
      <c r="AD1033" s="3" t="s">
        <v>168</v>
      </c>
    </row>
    <row r="1034" spans="1:30" ht="15.75" customHeight="1" x14ac:dyDescent="0.2">
      <c r="A1034" s="7" t="str">
        <f t="shared" si="127"/>
        <v>JIANGSU COWAIN TECHNOLOGY CO., LTD.J581Retrofit</v>
      </c>
      <c r="B1034" s="7" t="str">
        <f t="shared" si="128"/>
        <v>iPadNew Buy</v>
      </c>
      <c r="C1034">
        <v>407440</v>
      </c>
      <c r="D1034" t="s">
        <v>169</v>
      </c>
      <c r="E1034" t="s">
        <v>166</v>
      </c>
      <c r="F1034" t="s">
        <v>173</v>
      </c>
      <c r="G1034" t="s">
        <v>174</v>
      </c>
      <c r="H1034" t="s">
        <v>170</v>
      </c>
      <c r="J1034" t="s">
        <v>1219</v>
      </c>
      <c r="L1034" t="s">
        <v>1220</v>
      </c>
      <c r="M1034" s="4">
        <v>547.5</v>
      </c>
      <c r="N1034" s="4">
        <v>409.17959999999999</v>
      </c>
      <c r="O1034">
        <v>16</v>
      </c>
      <c r="T1034" t="s">
        <v>178</v>
      </c>
      <c r="U1034" t="s">
        <v>116</v>
      </c>
      <c r="V1034" s="4">
        <v>397.14400000000001</v>
      </c>
      <c r="Y1034" s="6">
        <f t="shared" si="129"/>
        <v>8760</v>
      </c>
      <c r="Z1034" s="6">
        <f t="shared" si="130"/>
        <v>6354.3040000000001</v>
      </c>
      <c r="AA1034" s="6">
        <f t="shared" si="131"/>
        <v>6546.8735999999999</v>
      </c>
      <c r="AB1034" s="6">
        <f t="shared" si="132"/>
        <v>2213.1264000000001</v>
      </c>
      <c r="AC1034" t="s">
        <v>33</v>
      </c>
      <c r="AD1034" s="3" t="s">
        <v>171</v>
      </c>
    </row>
    <row r="1035" spans="1:30" ht="15.75" customHeight="1" x14ac:dyDescent="0.2">
      <c r="A1035" s="7" t="str">
        <f t="shared" si="127"/>
        <v>JIANGSU COWAIN TECHNOLOGY CO., LTD.J581New Buy</v>
      </c>
      <c r="B1035" s="7" t="str">
        <f t="shared" si="128"/>
        <v>iPadNew Buy</v>
      </c>
      <c r="C1035">
        <v>407439</v>
      </c>
      <c r="D1035" t="s">
        <v>169</v>
      </c>
      <c r="E1035" t="s">
        <v>166</v>
      </c>
      <c r="F1035" t="s">
        <v>173</v>
      </c>
      <c r="G1035" t="s">
        <v>174</v>
      </c>
      <c r="H1035" t="s">
        <v>167</v>
      </c>
      <c r="J1035" t="s">
        <v>1219</v>
      </c>
      <c r="L1035" t="s">
        <v>1220</v>
      </c>
      <c r="M1035" s="4">
        <v>496.43</v>
      </c>
      <c r="N1035" s="4">
        <v>397.14400000000001</v>
      </c>
      <c r="O1035">
        <v>16</v>
      </c>
      <c r="T1035" t="s">
        <v>178</v>
      </c>
      <c r="U1035" t="s">
        <v>104</v>
      </c>
      <c r="V1035" s="4">
        <v>397.14400000000001</v>
      </c>
      <c r="Y1035" s="6">
        <f t="shared" si="129"/>
        <v>7942.88</v>
      </c>
      <c r="Z1035" s="6">
        <f t="shared" si="130"/>
        <v>6354.3040000000001</v>
      </c>
      <c r="AA1035" s="6">
        <f t="shared" si="131"/>
        <v>6354.3040000000001</v>
      </c>
      <c r="AB1035" s="6">
        <f t="shared" si="132"/>
        <v>1588.576</v>
      </c>
      <c r="AC1035" t="s">
        <v>16</v>
      </c>
      <c r="AD1035" s="3" t="s">
        <v>168</v>
      </c>
    </row>
    <row r="1036" spans="1:30" ht="15.75" customHeight="1" x14ac:dyDescent="0.2">
      <c r="A1036" s="7" t="str">
        <f t="shared" si="127"/>
        <v>JIANGSU COWAIN TECHNOLOGY CO., LTD.J581Retrofit</v>
      </c>
      <c r="B1036" s="7" t="str">
        <f t="shared" si="128"/>
        <v>iPadNew Buy</v>
      </c>
      <c r="C1036">
        <v>407438</v>
      </c>
      <c r="D1036" t="s">
        <v>169</v>
      </c>
      <c r="E1036" t="s">
        <v>166</v>
      </c>
      <c r="F1036" t="s">
        <v>173</v>
      </c>
      <c r="G1036" t="s">
        <v>174</v>
      </c>
      <c r="H1036" t="s">
        <v>170</v>
      </c>
      <c r="J1036" t="s">
        <v>1219</v>
      </c>
      <c r="L1036" t="s">
        <v>1220</v>
      </c>
      <c r="M1036" s="4">
        <v>496.43</v>
      </c>
      <c r="N1036" s="4">
        <v>397.14400000000001</v>
      </c>
      <c r="O1036">
        <v>16</v>
      </c>
      <c r="T1036" t="s">
        <v>178</v>
      </c>
      <c r="U1036" t="s">
        <v>66</v>
      </c>
      <c r="V1036" s="4">
        <v>397.14400000000001</v>
      </c>
      <c r="Y1036" s="6">
        <f t="shared" si="129"/>
        <v>7942.88</v>
      </c>
      <c r="Z1036" s="6">
        <f t="shared" si="130"/>
        <v>6354.3040000000001</v>
      </c>
      <c r="AA1036" s="6">
        <f t="shared" si="131"/>
        <v>6354.3040000000001</v>
      </c>
      <c r="AB1036" s="6">
        <f t="shared" si="132"/>
        <v>1588.576</v>
      </c>
      <c r="AC1036" t="s">
        <v>16</v>
      </c>
      <c r="AD1036" s="3" t="s">
        <v>171</v>
      </c>
    </row>
    <row r="1037" spans="1:30" ht="15.75" customHeight="1" x14ac:dyDescent="0.2">
      <c r="A1037" s="7" t="str">
        <f t="shared" si="127"/>
        <v>JIANGSU COWAIN TECHNOLOGY CO., LTD.J581New Buy</v>
      </c>
      <c r="B1037" s="7" t="str">
        <f t="shared" si="128"/>
        <v>iPadNew Buy</v>
      </c>
      <c r="C1037">
        <v>407406</v>
      </c>
      <c r="D1037" t="s">
        <v>169</v>
      </c>
      <c r="E1037" t="s">
        <v>166</v>
      </c>
      <c r="F1037" t="s">
        <v>173</v>
      </c>
      <c r="G1037" t="s">
        <v>174</v>
      </c>
      <c r="H1037" t="s">
        <v>167</v>
      </c>
      <c r="J1037" t="s">
        <v>1341</v>
      </c>
      <c r="L1037" t="s">
        <v>1342</v>
      </c>
      <c r="M1037" s="4">
        <v>2365.08</v>
      </c>
      <c r="N1037" s="4">
        <v>1494.72</v>
      </c>
      <c r="O1037">
        <v>8</v>
      </c>
      <c r="T1037" t="s">
        <v>178</v>
      </c>
      <c r="U1037" t="s">
        <v>116</v>
      </c>
      <c r="V1037" s="4">
        <v>1336</v>
      </c>
      <c r="Y1037" s="6">
        <f t="shared" si="129"/>
        <v>18920.64</v>
      </c>
      <c r="Z1037" s="6">
        <f t="shared" si="130"/>
        <v>10688</v>
      </c>
      <c r="AA1037" s="6">
        <f t="shared" si="131"/>
        <v>11957.76</v>
      </c>
      <c r="AB1037" s="6">
        <f t="shared" si="132"/>
        <v>6962.8799999999992</v>
      </c>
      <c r="AC1037" t="s">
        <v>33</v>
      </c>
      <c r="AD1037" s="3" t="s">
        <v>168</v>
      </c>
    </row>
    <row r="1038" spans="1:30" ht="15.75" customHeight="1" x14ac:dyDescent="0.2">
      <c r="A1038" s="7" t="str">
        <f t="shared" si="127"/>
        <v>JIANGSU COWAIN TECHNOLOGY CO., LTD.J581New Buy</v>
      </c>
      <c r="B1038" s="7" t="str">
        <f t="shared" si="128"/>
        <v>iPadNew Buy</v>
      </c>
      <c r="C1038">
        <v>407405</v>
      </c>
      <c r="D1038" t="s">
        <v>169</v>
      </c>
      <c r="E1038" t="s">
        <v>166</v>
      </c>
      <c r="F1038" t="s">
        <v>173</v>
      </c>
      <c r="G1038" t="s">
        <v>174</v>
      </c>
      <c r="H1038" t="s">
        <v>167</v>
      </c>
      <c r="J1038" t="s">
        <v>1341</v>
      </c>
      <c r="L1038" t="s">
        <v>1342</v>
      </c>
      <c r="M1038" s="4">
        <v>1670</v>
      </c>
      <c r="N1038" s="4">
        <v>1336</v>
      </c>
      <c r="O1038">
        <v>10</v>
      </c>
      <c r="T1038" t="s">
        <v>178</v>
      </c>
      <c r="U1038" t="s">
        <v>104</v>
      </c>
      <c r="V1038" s="4">
        <v>1336</v>
      </c>
      <c r="Y1038" s="6">
        <f t="shared" si="129"/>
        <v>16700</v>
      </c>
      <c r="Z1038" s="6">
        <f t="shared" si="130"/>
        <v>13360</v>
      </c>
      <c r="AA1038" s="6">
        <f t="shared" si="131"/>
        <v>13360</v>
      </c>
      <c r="AB1038" s="6">
        <f t="shared" si="132"/>
        <v>3340</v>
      </c>
      <c r="AC1038" t="s">
        <v>16</v>
      </c>
      <c r="AD1038" s="3" t="s">
        <v>168</v>
      </c>
    </row>
    <row r="1039" spans="1:30" ht="15.75" customHeight="1" x14ac:dyDescent="0.2">
      <c r="A1039" s="7" t="str">
        <f t="shared" si="127"/>
        <v>JIANGSU COWAIN TECHNOLOGY CO., LTD.J581New Buy</v>
      </c>
      <c r="B1039" s="7" t="str">
        <f t="shared" si="128"/>
        <v>iPadNew Buy</v>
      </c>
      <c r="C1039">
        <v>407404</v>
      </c>
      <c r="D1039" t="s">
        <v>169</v>
      </c>
      <c r="E1039" t="s">
        <v>166</v>
      </c>
      <c r="F1039" t="s">
        <v>173</v>
      </c>
      <c r="G1039" t="s">
        <v>174</v>
      </c>
      <c r="H1039" t="s">
        <v>167</v>
      </c>
      <c r="J1039" t="s">
        <v>1341</v>
      </c>
      <c r="L1039" t="s">
        <v>1342</v>
      </c>
      <c r="M1039" s="4">
        <v>1670</v>
      </c>
      <c r="N1039" s="4">
        <v>1336</v>
      </c>
      <c r="O1039">
        <v>8</v>
      </c>
      <c r="T1039" t="s">
        <v>178</v>
      </c>
      <c r="U1039" t="s">
        <v>66</v>
      </c>
      <c r="V1039" s="4">
        <v>1336</v>
      </c>
      <c r="Y1039" s="6">
        <f t="shared" si="129"/>
        <v>13360</v>
      </c>
      <c r="Z1039" s="6">
        <f t="shared" si="130"/>
        <v>10688</v>
      </c>
      <c r="AA1039" s="6">
        <f t="shared" si="131"/>
        <v>10688</v>
      </c>
      <c r="AB1039" s="6">
        <f t="shared" si="132"/>
        <v>2672</v>
      </c>
      <c r="AC1039" t="s">
        <v>16</v>
      </c>
      <c r="AD1039" s="3" t="s">
        <v>168</v>
      </c>
    </row>
    <row r="1040" spans="1:30" ht="15.75" customHeight="1" x14ac:dyDescent="0.2">
      <c r="A1040" s="7" t="str">
        <f t="shared" si="127"/>
        <v>JIANGSU COWAIN TECHNOLOGY CO., LTD.J581New Buy</v>
      </c>
      <c r="B1040" s="7" t="str">
        <f t="shared" si="128"/>
        <v>iPadNew Buy</v>
      </c>
      <c r="C1040">
        <v>407371</v>
      </c>
      <c r="D1040" t="s">
        <v>169</v>
      </c>
      <c r="E1040" t="s">
        <v>166</v>
      </c>
      <c r="F1040" t="s">
        <v>173</v>
      </c>
      <c r="G1040" t="s">
        <v>174</v>
      </c>
      <c r="H1040" t="s">
        <v>167</v>
      </c>
      <c r="J1040" t="s">
        <v>1343</v>
      </c>
      <c r="L1040" t="s">
        <v>1344</v>
      </c>
      <c r="M1040" s="4">
        <v>83.52</v>
      </c>
      <c r="N1040" s="4">
        <v>46.71</v>
      </c>
      <c r="O1040">
        <v>18</v>
      </c>
      <c r="T1040" t="s">
        <v>178</v>
      </c>
      <c r="U1040" t="s">
        <v>116</v>
      </c>
      <c r="V1040" s="4">
        <v>46.4</v>
      </c>
      <c r="Y1040" s="6">
        <f t="shared" si="129"/>
        <v>1503.36</v>
      </c>
      <c r="Z1040" s="6">
        <f t="shared" si="130"/>
        <v>835.19999999999993</v>
      </c>
      <c r="AA1040" s="6">
        <f t="shared" si="131"/>
        <v>840.78</v>
      </c>
      <c r="AB1040" s="6">
        <f t="shared" si="132"/>
        <v>662.57999999999993</v>
      </c>
      <c r="AC1040" t="s">
        <v>33</v>
      </c>
      <c r="AD1040" s="3" t="s">
        <v>168</v>
      </c>
    </row>
    <row r="1041" spans="1:30" ht="15.75" customHeight="1" x14ac:dyDescent="0.2">
      <c r="A1041" s="7" t="str">
        <f t="shared" si="127"/>
        <v>JIANGSU COWAIN TECHNOLOGY CO., LTD.J581New Buy</v>
      </c>
      <c r="B1041" s="7" t="str">
        <f t="shared" si="128"/>
        <v>iPadNew Buy</v>
      </c>
      <c r="C1041">
        <v>407370</v>
      </c>
      <c r="D1041" t="s">
        <v>169</v>
      </c>
      <c r="E1041" t="s">
        <v>166</v>
      </c>
      <c r="F1041" t="s">
        <v>173</v>
      </c>
      <c r="G1041" t="s">
        <v>174</v>
      </c>
      <c r="H1041" t="s">
        <v>167</v>
      </c>
      <c r="J1041" t="s">
        <v>1343</v>
      </c>
      <c r="L1041" t="s">
        <v>1344</v>
      </c>
      <c r="M1041" s="4">
        <v>58</v>
      </c>
      <c r="N1041" s="4">
        <v>46.4</v>
      </c>
      <c r="O1041">
        <v>7</v>
      </c>
      <c r="T1041" t="s">
        <v>178</v>
      </c>
      <c r="U1041" t="s">
        <v>104</v>
      </c>
      <c r="V1041" s="4">
        <v>46.4</v>
      </c>
      <c r="Y1041" s="6">
        <f t="shared" si="129"/>
        <v>406</v>
      </c>
      <c r="Z1041" s="6">
        <f t="shared" si="130"/>
        <v>324.8</v>
      </c>
      <c r="AA1041" s="6">
        <f t="shared" si="131"/>
        <v>324.8</v>
      </c>
      <c r="AB1041" s="6">
        <f t="shared" si="132"/>
        <v>81.199999999999989</v>
      </c>
      <c r="AC1041" t="s">
        <v>16</v>
      </c>
      <c r="AD1041" s="3" t="s">
        <v>168</v>
      </c>
    </row>
    <row r="1042" spans="1:30" ht="15.75" customHeight="1" x14ac:dyDescent="0.2">
      <c r="A1042" s="7" t="str">
        <f t="shared" si="127"/>
        <v>JIANGSU COWAIN TECHNOLOGY CO., LTD.J581New Buy</v>
      </c>
      <c r="B1042" s="7" t="str">
        <f t="shared" si="128"/>
        <v>iPadNew Buy</v>
      </c>
      <c r="C1042">
        <v>407369</v>
      </c>
      <c r="D1042" t="s">
        <v>169</v>
      </c>
      <c r="E1042" t="s">
        <v>166</v>
      </c>
      <c r="F1042" t="s">
        <v>173</v>
      </c>
      <c r="G1042" t="s">
        <v>174</v>
      </c>
      <c r="H1042" t="s">
        <v>167</v>
      </c>
      <c r="J1042" t="s">
        <v>1343</v>
      </c>
      <c r="L1042" t="s">
        <v>1344</v>
      </c>
      <c r="M1042" s="4">
        <v>58</v>
      </c>
      <c r="N1042" s="4">
        <v>46.4</v>
      </c>
      <c r="O1042">
        <v>8</v>
      </c>
      <c r="T1042" t="s">
        <v>178</v>
      </c>
      <c r="U1042" t="s">
        <v>66</v>
      </c>
      <c r="V1042" s="4">
        <v>46.4</v>
      </c>
      <c r="Y1042" s="6">
        <f t="shared" si="129"/>
        <v>464</v>
      </c>
      <c r="Z1042" s="6">
        <f t="shared" si="130"/>
        <v>371.2</v>
      </c>
      <c r="AA1042" s="6">
        <f t="shared" si="131"/>
        <v>371.2</v>
      </c>
      <c r="AB1042" s="6">
        <f t="shared" si="132"/>
        <v>92.800000000000011</v>
      </c>
      <c r="AC1042" t="s">
        <v>16</v>
      </c>
      <c r="AD1042" s="3" t="s">
        <v>168</v>
      </c>
    </row>
    <row r="1043" spans="1:30" ht="15.75" customHeight="1" x14ac:dyDescent="0.2">
      <c r="A1043" s="7" t="str">
        <f t="shared" si="127"/>
        <v>JIANGSU COWAIN TECHNOLOGY CO., LTD.J581New Buy</v>
      </c>
      <c r="B1043" s="7" t="str">
        <f t="shared" si="128"/>
        <v>iPadNew Buy</v>
      </c>
      <c r="C1043">
        <v>407368</v>
      </c>
      <c r="D1043" t="s">
        <v>169</v>
      </c>
      <c r="E1043" t="s">
        <v>166</v>
      </c>
      <c r="F1043" t="s">
        <v>173</v>
      </c>
      <c r="G1043" t="s">
        <v>174</v>
      </c>
      <c r="H1043" t="s">
        <v>167</v>
      </c>
      <c r="J1043" t="s">
        <v>1345</v>
      </c>
      <c r="L1043" t="s">
        <v>1346</v>
      </c>
      <c r="M1043" s="4">
        <v>2306.8000000000002</v>
      </c>
      <c r="N1043" s="4">
        <v>1961.82</v>
      </c>
      <c r="O1043">
        <v>12</v>
      </c>
      <c r="T1043" t="s">
        <v>178</v>
      </c>
      <c r="U1043" t="s">
        <v>116</v>
      </c>
      <c r="V1043" s="4">
        <v>1264</v>
      </c>
      <c r="Y1043" s="6">
        <f t="shared" si="129"/>
        <v>27681.600000000002</v>
      </c>
      <c r="Z1043" s="6">
        <f t="shared" si="130"/>
        <v>15168</v>
      </c>
      <c r="AA1043" s="6">
        <f t="shared" si="131"/>
        <v>23541.84</v>
      </c>
      <c r="AB1043" s="6">
        <f t="shared" si="132"/>
        <v>4139.760000000002</v>
      </c>
      <c r="AC1043" t="s">
        <v>33</v>
      </c>
      <c r="AD1043" s="3" t="s">
        <v>168</v>
      </c>
    </row>
    <row r="1044" spans="1:30" ht="15.75" customHeight="1" x14ac:dyDescent="0.2">
      <c r="A1044" s="7" t="str">
        <f t="shared" si="127"/>
        <v>JIANGSU COWAIN TECHNOLOGY CO., LTD.J581Retrofit</v>
      </c>
      <c r="B1044" s="7" t="str">
        <f t="shared" si="128"/>
        <v>iPadNew Buy</v>
      </c>
      <c r="C1044">
        <v>407367</v>
      </c>
      <c r="D1044" t="s">
        <v>169</v>
      </c>
      <c r="E1044" t="s">
        <v>166</v>
      </c>
      <c r="F1044" t="s">
        <v>173</v>
      </c>
      <c r="G1044" t="s">
        <v>174</v>
      </c>
      <c r="H1044" t="s">
        <v>170</v>
      </c>
      <c r="J1044" t="s">
        <v>1345</v>
      </c>
      <c r="L1044" t="s">
        <v>1346</v>
      </c>
      <c r="M1044" s="4">
        <v>1580</v>
      </c>
      <c r="N1044" s="4">
        <v>1476.0360000000001</v>
      </c>
      <c r="O1044">
        <v>16</v>
      </c>
      <c r="T1044" t="s">
        <v>178</v>
      </c>
      <c r="U1044" t="s">
        <v>104</v>
      </c>
      <c r="V1044" s="4">
        <v>1264</v>
      </c>
      <c r="Y1044" s="6">
        <f t="shared" si="129"/>
        <v>25280</v>
      </c>
      <c r="Z1044" s="6">
        <f t="shared" si="130"/>
        <v>20224</v>
      </c>
      <c r="AA1044" s="6">
        <f t="shared" si="131"/>
        <v>23616.576000000001</v>
      </c>
      <c r="AB1044" s="6">
        <f t="shared" si="132"/>
        <v>1663.4239999999991</v>
      </c>
      <c r="AC1044" t="s">
        <v>16</v>
      </c>
      <c r="AD1044" s="3" t="s">
        <v>171</v>
      </c>
    </row>
    <row r="1045" spans="1:30" ht="15.75" customHeight="1" x14ac:dyDescent="0.2">
      <c r="A1045" s="7" t="str">
        <f t="shared" si="127"/>
        <v>JIANGSU COWAIN TECHNOLOGY CO., LTD.J581New Buy</v>
      </c>
      <c r="B1045" s="7" t="str">
        <f t="shared" si="128"/>
        <v>iPadNew Buy</v>
      </c>
      <c r="C1045">
        <v>407366</v>
      </c>
      <c r="D1045" t="s">
        <v>169</v>
      </c>
      <c r="E1045" t="s">
        <v>166</v>
      </c>
      <c r="F1045" t="s">
        <v>173</v>
      </c>
      <c r="G1045" t="s">
        <v>174</v>
      </c>
      <c r="H1045" t="s">
        <v>167</v>
      </c>
      <c r="J1045" t="s">
        <v>1345</v>
      </c>
      <c r="L1045" t="s">
        <v>1346</v>
      </c>
      <c r="M1045" s="4">
        <v>1580</v>
      </c>
      <c r="N1045" s="4">
        <v>1476.0360000000001</v>
      </c>
      <c r="O1045">
        <v>14</v>
      </c>
      <c r="T1045" t="s">
        <v>178</v>
      </c>
      <c r="U1045" t="s">
        <v>104</v>
      </c>
      <c r="V1045" s="4">
        <v>1264</v>
      </c>
      <c r="Y1045" s="6">
        <f t="shared" si="129"/>
        <v>22120</v>
      </c>
      <c r="Z1045" s="6">
        <f t="shared" si="130"/>
        <v>17696</v>
      </c>
      <c r="AA1045" s="6">
        <f t="shared" si="131"/>
        <v>20664.504000000001</v>
      </c>
      <c r="AB1045" s="6">
        <f t="shared" si="132"/>
        <v>1455.4959999999992</v>
      </c>
      <c r="AC1045" t="s">
        <v>16</v>
      </c>
      <c r="AD1045" s="3" t="s">
        <v>168</v>
      </c>
    </row>
    <row r="1046" spans="1:30" ht="15.75" customHeight="1" x14ac:dyDescent="0.2">
      <c r="A1046" s="7" t="str">
        <f t="shared" si="127"/>
        <v>JIANGSU COWAIN TECHNOLOGY CO., LTD.J581New Buy</v>
      </c>
      <c r="B1046" s="7" t="str">
        <f t="shared" si="128"/>
        <v>iPadNew Buy</v>
      </c>
      <c r="C1046">
        <v>407365</v>
      </c>
      <c r="D1046" t="s">
        <v>169</v>
      </c>
      <c r="E1046" t="s">
        <v>166</v>
      </c>
      <c r="F1046" t="s">
        <v>173</v>
      </c>
      <c r="G1046" t="s">
        <v>174</v>
      </c>
      <c r="H1046" t="s">
        <v>167</v>
      </c>
      <c r="J1046" t="s">
        <v>1345</v>
      </c>
      <c r="L1046" t="s">
        <v>1346</v>
      </c>
      <c r="M1046" s="4">
        <v>1580</v>
      </c>
      <c r="N1046" s="4">
        <v>1476.0360000000001</v>
      </c>
      <c r="O1046">
        <v>16</v>
      </c>
      <c r="T1046" t="s">
        <v>178</v>
      </c>
      <c r="U1046" t="s">
        <v>66</v>
      </c>
      <c r="V1046" s="4">
        <v>1264</v>
      </c>
      <c r="Y1046" s="6">
        <f t="shared" si="129"/>
        <v>25280</v>
      </c>
      <c r="Z1046" s="6">
        <f t="shared" si="130"/>
        <v>20224</v>
      </c>
      <c r="AA1046" s="6">
        <f t="shared" si="131"/>
        <v>23616.576000000001</v>
      </c>
      <c r="AB1046" s="6">
        <f t="shared" si="132"/>
        <v>1663.4239999999991</v>
      </c>
      <c r="AC1046" t="s">
        <v>16</v>
      </c>
      <c r="AD1046" s="3" t="s">
        <v>168</v>
      </c>
    </row>
    <row r="1047" spans="1:30" ht="15.75" customHeight="1" x14ac:dyDescent="0.2">
      <c r="A1047" s="7" t="str">
        <f t="shared" si="127"/>
        <v>JIANGSU COWAIN TECHNOLOGY CO., LTD.J581New Buy</v>
      </c>
      <c r="B1047" s="7" t="str">
        <f t="shared" si="128"/>
        <v>iPadNew Buy</v>
      </c>
      <c r="C1047">
        <v>407316</v>
      </c>
      <c r="D1047" t="s">
        <v>169</v>
      </c>
      <c r="E1047" t="s">
        <v>166</v>
      </c>
      <c r="F1047" t="s">
        <v>173</v>
      </c>
      <c r="G1047" t="s">
        <v>174</v>
      </c>
      <c r="H1047" t="s">
        <v>167</v>
      </c>
      <c r="J1047" t="s">
        <v>1347</v>
      </c>
      <c r="L1047" t="s">
        <v>1348</v>
      </c>
      <c r="M1047" s="4">
        <v>1534</v>
      </c>
      <c r="N1047" s="4">
        <v>1433.0627999999999</v>
      </c>
      <c r="O1047">
        <v>8</v>
      </c>
      <c r="T1047" t="s">
        <v>178</v>
      </c>
      <c r="U1047" t="s">
        <v>66</v>
      </c>
      <c r="V1047" s="4">
        <v>1227.2</v>
      </c>
      <c r="Y1047" s="6">
        <f t="shared" si="129"/>
        <v>12272</v>
      </c>
      <c r="Z1047" s="6">
        <f t="shared" si="130"/>
        <v>9817.6</v>
      </c>
      <c r="AA1047" s="6">
        <f t="shared" si="131"/>
        <v>11464.502399999999</v>
      </c>
      <c r="AB1047" s="6">
        <f t="shared" si="132"/>
        <v>807.4976000000006</v>
      </c>
      <c r="AC1047" t="s">
        <v>16</v>
      </c>
      <c r="AD1047" s="3" t="s">
        <v>168</v>
      </c>
    </row>
    <row r="1048" spans="1:30" ht="15.75" customHeight="1" x14ac:dyDescent="0.2">
      <c r="A1048" s="7" t="str">
        <f t="shared" si="127"/>
        <v>JIANGSU COWAIN TECHNOLOGY CO., LTD.J581Retrofit</v>
      </c>
      <c r="B1048" s="7" t="str">
        <f t="shared" si="128"/>
        <v>iPadNew Buy</v>
      </c>
      <c r="C1048">
        <v>407315</v>
      </c>
      <c r="D1048" t="s">
        <v>169</v>
      </c>
      <c r="E1048" t="s">
        <v>166</v>
      </c>
      <c r="F1048" t="s">
        <v>173</v>
      </c>
      <c r="G1048" t="s">
        <v>174</v>
      </c>
      <c r="H1048" t="s">
        <v>170</v>
      </c>
      <c r="J1048" t="s">
        <v>1347</v>
      </c>
      <c r="L1048" t="s">
        <v>1348</v>
      </c>
      <c r="M1048" s="4">
        <v>1534</v>
      </c>
      <c r="N1048" s="4">
        <v>1433.0627999999999</v>
      </c>
      <c r="O1048">
        <v>16</v>
      </c>
      <c r="T1048" t="s">
        <v>178</v>
      </c>
      <c r="U1048" t="s">
        <v>104</v>
      </c>
      <c r="V1048" s="4">
        <v>1227.2</v>
      </c>
      <c r="Y1048" s="6">
        <f t="shared" si="129"/>
        <v>24544</v>
      </c>
      <c r="Z1048" s="6">
        <f t="shared" si="130"/>
        <v>19635.2</v>
      </c>
      <c r="AA1048" s="6">
        <f t="shared" si="131"/>
        <v>22929.004799999999</v>
      </c>
      <c r="AB1048" s="6">
        <f t="shared" si="132"/>
        <v>1614.9952000000012</v>
      </c>
      <c r="AC1048" t="s">
        <v>16</v>
      </c>
      <c r="AD1048" s="3" t="s">
        <v>171</v>
      </c>
    </row>
    <row r="1049" spans="1:30" ht="15.75" customHeight="1" x14ac:dyDescent="0.2">
      <c r="A1049" s="7" t="str">
        <f t="shared" si="127"/>
        <v>JIANGSU COWAIN TECHNOLOGY CO., LTD.J581New Buy</v>
      </c>
      <c r="B1049" s="7" t="str">
        <f t="shared" si="128"/>
        <v>iPadNew Buy</v>
      </c>
      <c r="C1049">
        <v>407314</v>
      </c>
      <c r="D1049" t="s">
        <v>169</v>
      </c>
      <c r="E1049" t="s">
        <v>166</v>
      </c>
      <c r="F1049" t="s">
        <v>173</v>
      </c>
      <c r="G1049" t="s">
        <v>174</v>
      </c>
      <c r="H1049" t="s">
        <v>167</v>
      </c>
      <c r="J1049" t="s">
        <v>1347</v>
      </c>
      <c r="L1049" t="s">
        <v>1348</v>
      </c>
      <c r="M1049" s="4">
        <v>2223.7399999999998</v>
      </c>
      <c r="N1049" s="4">
        <v>2077.4179079999999</v>
      </c>
      <c r="O1049">
        <v>16</v>
      </c>
      <c r="T1049" t="s">
        <v>178</v>
      </c>
      <c r="U1049" t="s">
        <v>116</v>
      </c>
      <c r="V1049" s="4">
        <v>1227.2</v>
      </c>
      <c r="Y1049" s="6">
        <f t="shared" si="129"/>
        <v>35579.839999999997</v>
      </c>
      <c r="Z1049" s="6">
        <f t="shared" si="130"/>
        <v>19635.2</v>
      </c>
      <c r="AA1049" s="6">
        <f t="shared" si="131"/>
        <v>33238.686527999998</v>
      </c>
      <c r="AB1049" s="6">
        <f t="shared" si="132"/>
        <v>2341.1534719999981</v>
      </c>
      <c r="AC1049" t="s">
        <v>33</v>
      </c>
      <c r="AD1049" s="3" t="s">
        <v>168</v>
      </c>
    </row>
    <row r="1050" spans="1:30" ht="15.75" customHeight="1" x14ac:dyDescent="0.2">
      <c r="A1050" s="7" t="str">
        <f t="shared" si="127"/>
        <v>JIANGSU COWAIN TECHNOLOGY CO., LTD.J581New Buy</v>
      </c>
      <c r="B1050" s="7" t="str">
        <f t="shared" si="128"/>
        <v>iPadNew Buy</v>
      </c>
      <c r="C1050">
        <v>407310</v>
      </c>
      <c r="D1050" t="s">
        <v>169</v>
      </c>
      <c r="E1050" t="s">
        <v>166</v>
      </c>
      <c r="F1050" t="s">
        <v>173</v>
      </c>
      <c r="G1050" t="s">
        <v>174</v>
      </c>
      <c r="H1050" t="s">
        <v>167</v>
      </c>
      <c r="J1050" t="s">
        <v>1349</v>
      </c>
      <c r="L1050" t="s">
        <v>1350</v>
      </c>
      <c r="M1050" s="4">
        <v>58</v>
      </c>
      <c r="N1050" s="4">
        <v>46.4</v>
      </c>
      <c r="O1050">
        <v>3</v>
      </c>
      <c r="T1050" t="s">
        <v>178</v>
      </c>
      <c r="U1050" t="s">
        <v>66</v>
      </c>
      <c r="V1050" s="4">
        <v>46.4</v>
      </c>
      <c r="Y1050" s="6">
        <f t="shared" si="129"/>
        <v>174</v>
      </c>
      <c r="Z1050" s="6">
        <f t="shared" si="130"/>
        <v>139.19999999999999</v>
      </c>
      <c r="AA1050" s="6">
        <f t="shared" si="131"/>
        <v>139.19999999999999</v>
      </c>
      <c r="AB1050" s="6">
        <f t="shared" si="132"/>
        <v>34.800000000000011</v>
      </c>
      <c r="AC1050" t="s">
        <v>16</v>
      </c>
      <c r="AD1050" s="3" t="s">
        <v>168</v>
      </c>
    </row>
    <row r="1051" spans="1:30" ht="15.75" customHeight="1" x14ac:dyDescent="0.2">
      <c r="A1051" s="7" t="str">
        <f t="shared" si="127"/>
        <v>JIANGSU COWAIN TECHNOLOGY CO., LTD.J581New Buy</v>
      </c>
      <c r="B1051" s="7" t="str">
        <f t="shared" si="128"/>
        <v>iPadNew Buy</v>
      </c>
      <c r="C1051">
        <v>407309</v>
      </c>
      <c r="D1051" t="s">
        <v>169</v>
      </c>
      <c r="E1051" t="s">
        <v>166</v>
      </c>
      <c r="F1051" t="s">
        <v>173</v>
      </c>
      <c r="G1051" t="s">
        <v>174</v>
      </c>
      <c r="H1051" t="s">
        <v>167</v>
      </c>
      <c r="J1051" t="s">
        <v>1349</v>
      </c>
      <c r="L1051" t="s">
        <v>1350</v>
      </c>
      <c r="M1051" s="4">
        <v>83.52</v>
      </c>
      <c r="N1051" s="4">
        <v>51.381</v>
      </c>
      <c r="O1051">
        <v>12</v>
      </c>
      <c r="T1051" t="s">
        <v>178</v>
      </c>
      <c r="U1051" t="s">
        <v>116</v>
      </c>
      <c r="V1051" s="4">
        <v>46.4</v>
      </c>
      <c r="Y1051" s="6">
        <f t="shared" si="129"/>
        <v>1002.24</v>
      </c>
      <c r="Z1051" s="6">
        <f t="shared" si="130"/>
        <v>556.79999999999995</v>
      </c>
      <c r="AA1051" s="6">
        <f t="shared" si="131"/>
        <v>616.572</v>
      </c>
      <c r="AB1051" s="6">
        <f t="shared" si="132"/>
        <v>385.66800000000001</v>
      </c>
      <c r="AC1051" t="s">
        <v>33</v>
      </c>
      <c r="AD1051" s="3" t="s">
        <v>168</v>
      </c>
    </row>
    <row r="1052" spans="1:30" ht="15.75" customHeight="1" x14ac:dyDescent="0.2">
      <c r="A1052" s="7" t="str">
        <f t="shared" si="127"/>
        <v>JIANGSU COWAIN TECHNOLOGY CO., LTD.J581New Buy</v>
      </c>
      <c r="B1052" s="7" t="str">
        <f t="shared" si="128"/>
        <v>iPadNew Buy</v>
      </c>
      <c r="C1052">
        <v>407308</v>
      </c>
      <c r="D1052" t="s">
        <v>169</v>
      </c>
      <c r="E1052" t="s">
        <v>166</v>
      </c>
      <c r="F1052" t="s">
        <v>173</v>
      </c>
      <c r="G1052" t="s">
        <v>174</v>
      </c>
      <c r="H1052" t="s">
        <v>167</v>
      </c>
      <c r="J1052" t="s">
        <v>1349</v>
      </c>
      <c r="L1052" t="s">
        <v>1350</v>
      </c>
      <c r="M1052" s="4">
        <v>58</v>
      </c>
      <c r="N1052" s="4">
        <v>46.4</v>
      </c>
      <c r="O1052">
        <v>16</v>
      </c>
      <c r="T1052" t="s">
        <v>178</v>
      </c>
      <c r="U1052" t="s">
        <v>104</v>
      </c>
      <c r="V1052" s="4">
        <v>46.4</v>
      </c>
      <c r="Y1052" s="6">
        <f t="shared" si="129"/>
        <v>928</v>
      </c>
      <c r="Z1052" s="6">
        <f t="shared" si="130"/>
        <v>742.4</v>
      </c>
      <c r="AA1052" s="6">
        <f t="shared" si="131"/>
        <v>742.4</v>
      </c>
      <c r="AB1052" s="6">
        <f t="shared" si="132"/>
        <v>185.60000000000002</v>
      </c>
      <c r="AC1052" t="s">
        <v>16</v>
      </c>
      <c r="AD1052" s="3" t="s">
        <v>168</v>
      </c>
    </row>
    <row r="1053" spans="1:30" ht="15.75" customHeight="1" x14ac:dyDescent="0.2">
      <c r="A1053" s="7" t="str">
        <f t="shared" si="127"/>
        <v>JIANGSU COWAIN TECHNOLOGY CO., LTD.J581New Buy</v>
      </c>
      <c r="B1053" s="7" t="str">
        <f t="shared" si="128"/>
        <v>iPadNew Buy</v>
      </c>
      <c r="C1053">
        <v>407307</v>
      </c>
      <c r="D1053" t="s">
        <v>169</v>
      </c>
      <c r="E1053" t="s">
        <v>166</v>
      </c>
      <c r="F1053" t="s">
        <v>173</v>
      </c>
      <c r="G1053" t="s">
        <v>174</v>
      </c>
      <c r="H1053" t="s">
        <v>167</v>
      </c>
      <c r="J1053" t="s">
        <v>1351</v>
      </c>
      <c r="L1053" t="s">
        <v>1352</v>
      </c>
      <c r="M1053" s="4">
        <v>2452.8000000000002</v>
      </c>
      <c r="N1053" s="4">
        <v>1961.82</v>
      </c>
      <c r="O1053">
        <v>4</v>
      </c>
      <c r="T1053" t="s">
        <v>178</v>
      </c>
      <c r="U1053" t="s">
        <v>116</v>
      </c>
      <c r="V1053" s="4">
        <v>1344</v>
      </c>
      <c r="Y1053" s="6">
        <f t="shared" si="129"/>
        <v>9811.2000000000007</v>
      </c>
      <c r="Z1053" s="6">
        <f t="shared" si="130"/>
        <v>5376</v>
      </c>
      <c r="AA1053" s="6">
        <f t="shared" si="131"/>
        <v>7847.28</v>
      </c>
      <c r="AB1053" s="6">
        <f t="shared" si="132"/>
        <v>1963.920000000001</v>
      </c>
      <c r="AC1053" t="s">
        <v>33</v>
      </c>
      <c r="AD1053" s="3" t="s">
        <v>168</v>
      </c>
    </row>
    <row r="1054" spans="1:30" ht="15.75" customHeight="1" x14ac:dyDescent="0.2">
      <c r="A1054" s="7" t="str">
        <f t="shared" si="127"/>
        <v>JIANGSU COWAIN TECHNOLOGY CO., LTD.J581New Buy</v>
      </c>
      <c r="B1054" s="7" t="str">
        <f t="shared" si="128"/>
        <v>iPadNew Buy</v>
      </c>
      <c r="C1054">
        <v>407306</v>
      </c>
      <c r="D1054" t="s">
        <v>169</v>
      </c>
      <c r="E1054" t="s">
        <v>166</v>
      </c>
      <c r="F1054" t="s">
        <v>173</v>
      </c>
      <c r="G1054" t="s">
        <v>174</v>
      </c>
      <c r="H1054" t="s">
        <v>167</v>
      </c>
      <c r="J1054" t="s">
        <v>1351</v>
      </c>
      <c r="L1054" t="s">
        <v>1352</v>
      </c>
      <c r="M1054" s="4">
        <v>1680</v>
      </c>
      <c r="N1054" s="4">
        <v>1569.4559999999999</v>
      </c>
      <c r="O1054">
        <v>4</v>
      </c>
      <c r="T1054" t="s">
        <v>178</v>
      </c>
      <c r="U1054" t="s">
        <v>66</v>
      </c>
      <c r="V1054" s="4">
        <v>1344</v>
      </c>
      <c r="Y1054" s="6">
        <f t="shared" si="129"/>
        <v>6720</v>
      </c>
      <c r="Z1054" s="6">
        <f t="shared" si="130"/>
        <v>5376</v>
      </c>
      <c r="AA1054" s="6">
        <f t="shared" si="131"/>
        <v>6277.8239999999996</v>
      </c>
      <c r="AB1054" s="6">
        <f t="shared" si="132"/>
        <v>442.17600000000039</v>
      </c>
      <c r="AC1054" t="s">
        <v>16</v>
      </c>
      <c r="AD1054" s="3" t="s">
        <v>168</v>
      </c>
    </row>
    <row r="1055" spans="1:30" ht="15.75" customHeight="1" x14ac:dyDescent="0.2">
      <c r="A1055" s="7" t="str">
        <f t="shared" si="127"/>
        <v>JIANGSU COWAIN TECHNOLOGY CO., LTD.J581Retrofit</v>
      </c>
      <c r="B1055" s="7" t="str">
        <f t="shared" si="128"/>
        <v>iPadNew Buy</v>
      </c>
      <c r="C1055">
        <v>407305</v>
      </c>
      <c r="D1055" t="s">
        <v>169</v>
      </c>
      <c r="E1055" t="s">
        <v>166</v>
      </c>
      <c r="F1055" t="s">
        <v>173</v>
      </c>
      <c r="G1055" t="s">
        <v>174</v>
      </c>
      <c r="H1055" t="s">
        <v>170</v>
      </c>
      <c r="J1055" t="s">
        <v>1351</v>
      </c>
      <c r="L1055" t="s">
        <v>1352</v>
      </c>
      <c r="M1055" s="4">
        <v>1680</v>
      </c>
      <c r="N1055" s="4">
        <v>1569.4559999999999</v>
      </c>
      <c r="O1055">
        <v>4</v>
      </c>
      <c r="T1055" t="s">
        <v>178</v>
      </c>
      <c r="U1055" t="s">
        <v>104</v>
      </c>
      <c r="V1055" s="4">
        <v>1344</v>
      </c>
      <c r="Y1055" s="6">
        <f t="shared" si="129"/>
        <v>6720</v>
      </c>
      <c r="Z1055" s="6">
        <f t="shared" si="130"/>
        <v>5376</v>
      </c>
      <c r="AA1055" s="6">
        <f t="shared" si="131"/>
        <v>6277.8239999999996</v>
      </c>
      <c r="AB1055" s="6">
        <f t="shared" si="132"/>
        <v>442.17600000000039</v>
      </c>
      <c r="AC1055" t="s">
        <v>16</v>
      </c>
      <c r="AD1055" s="3" t="s">
        <v>171</v>
      </c>
    </row>
    <row r="1056" spans="1:30" ht="15.75" customHeight="1" x14ac:dyDescent="0.2">
      <c r="A1056" s="7" t="str">
        <f t="shared" si="127"/>
        <v>JIANGSU COWAIN TECHNOLOGY CO., LTD.J581New Buy</v>
      </c>
      <c r="B1056" s="7" t="str">
        <f t="shared" si="128"/>
        <v>iPadNew Buy</v>
      </c>
      <c r="C1056">
        <v>407298</v>
      </c>
      <c r="D1056" t="s">
        <v>169</v>
      </c>
      <c r="E1056" t="s">
        <v>166</v>
      </c>
      <c r="F1056" t="s">
        <v>173</v>
      </c>
      <c r="G1056" t="s">
        <v>174</v>
      </c>
      <c r="H1056" t="s">
        <v>167</v>
      </c>
      <c r="J1056" t="s">
        <v>1353</v>
      </c>
      <c r="L1056" t="s">
        <v>1354</v>
      </c>
      <c r="M1056" s="4">
        <v>58</v>
      </c>
      <c r="N1056" s="4">
        <v>46.4</v>
      </c>
      <c r="O1056">
        <v>10</v>
      </c>
      <c r="T1056" t="s">
        <v>178</v>
      </c>
      <c r="U1056" t="s">
        <v>66</v>
      </c>
      <c r="V1056" s="4">
        <v>46.4</v>
      </c>
      <c r="Y1056" s="6">
        <f t="shared" si="129"/>
        <v>580</v>
      </c>
      <c r="Z1056" s="6">
        <f t="shared" si="130"/>
        <v>464</v>
      </c>
      <c r="AA1056" s="6">
        <f t="shared" si="131"/>
        <v>464</v>
      </c>
      <c r="AB1056" s="6">
        <f t="shared" si="132"/>
        <v>116</v>
      </c>
      <c r="AC1056" t="s">
        <v>16</v>
      </c>
      <c r="AD1056" s="3" t="s">
        <v>168</v>
      </c>
    </row>
    <row r="1057" spans="1:30" ht="15.75" customHeight="1" x14ac:dyDescent="0.2">
      <c r="A1057" s="7" t="str">
        <f t="shared" si="127"/>
        <v>JIANGSU COWAIN TECHNOLOGY CO., LTD.J581New Buy</v>
      </c>
      <c r="B1057" s="7" t="str">
        <f t="shared" si="128"/>
        <v>iPadNew Buy</v>
      </c>
      <c r="C1057">
        <v>407297</v>
      </c>
      <c r="D1057" t="s">
        <v>169</v>
      </c>
      <c r="E1057" t="s">
        <v>166</v>
      </c>
      <c r="F1057" t="s">
        <v>173</v>
      </c>
      <c r="G1057" t="s">
        <v>174</v>
      </c>
      <c r="H1057" t="s">
        <v>167</v>
      </c>
      <c r="J1057" t="s">
        <v>1353</v>
      </c>
      <c r="L1057" t="s">
        <v>1354</v>
      </c>
      <c r="M1057" s="4">
        <v>58</v>
      </c>
      <c r="N1057" s="4">
        <v>46.4</v>
      </c>
      <c r="O1057">
        <v>4</v>
      </c>
      <c r="T1057" t="s">
        <v>178</v>
      </c>
      <c r="U1057" t="s">
        <v>104</v>
      </c>
      <c r="V1057" s="4">
        <v>46.4</v>
      </c>
      <c r="Y1057" s="6">
        <f t="shared" si="129"/>
        <v>232</v>
      </c>
      <c r="Z1057" s="6">
        <f t="shared" si="130"/>
        <v>185.6</v>
      </c>
      <c r="AA1057" s="6">
        <f t="shared" si="131"/>
        <v>185.6</v>
      </c>
      <c r="AB1057" s="6">
        <f t="shared" si="132"/>
        <v>46.400000000000006</v>
      </c>
      <c r="AC1057" t="s">
        <v>16</v>
      </c>
      <c r="AD1057" s="3" t="s">
        <v>168</v>
      </c>
    </row>
    <row r="1058" spans="1:30" ht="15.75" customHeight="1" x14ac:dyDescent="0.2">
      <c r="A1058" s="7" t="str">
        <f t="shared" si="127"/>
        <v>JIANGSU COWAIN TECHNOLOGY CO., LTD.J581New Buy</v>
      </c>
      <c r="B1058" s="7" t="str">
        <f t="shared" si="128"/>
        <v>iPadNew Buy</v>
      </c>
      <c r="C1058">
        <v>407296</v>
      </c>
      <c r="D1058" t="s">
        <v>169</v>
      </c>
      <c r="E1058" t="s">
        <v>166</v>
      </c>
      <c r="F1058" t="s">
        <v>173</v>
      </c>
      <c r="G1058" t="s">
        <v>174</v>
      </c>
      <c r="H1058" t="s">
        <v>167</v>
      </c>
      <c r="J1058" t="s">
        <v>1353</v>
      </c>
      <c r="L1058" t="s">
        <v>1354</v>
      </c>
      <c r="M1058" s="4">
        <v>64.8</v>
      </c>
      <c r="N1058" s="4">
        <v>51.381</v>
      </c>
      <c r="O1058">
        <v>2</v>
      </c>
      <c r="T1058" t="s">
        <v>178</v>
      </c>
      <c r="U1058" t="s">
        <v>116</v>
      </c>
      <c r="V1058" s="4">
        <v>46.4</v>
      </c>
      <c r="Y1058" s="6">
        <f t="shared" si="129"/>
        <v>129.6</v>
      </c>
      <c r="Z1058" s="6">
        <f t="shared" si="130"/>
        <v>92.8</v>
      </c>
      <c r="AA1058" s="6">
        <f t="shared" si="131"/>
        <v>102.762</v>
      </c>
      <c r="AB1058" s="6">
        <f t="shared" si="132"/>
        <v>26.837999999999994</v>
      </c>
      <c r="AC1058" t="s">
        <v>33</v>
      </c>
      <c r="AD1058" s="3" t="s">
        <v>168</v>
      </c>
    </row>
    <row r="1059" spans="1:30" ht="15.75" customHeight="1" x14ac:dyDescent="0.2">
      <c r="A1059" s="7" t="str">
        <f t="shared" si="127"/>
        <v>JIANGSU COWAIN TECHNOLOGY CO., LTD.J581New Buy</v>
      </c>
      <c r="B1059" s="7" t="str">
        <f t="shared" si="128"/>
        <v>iPadNew Buy</v>
      </c>
      <c r="C1059">
        <v>407295</v>
      </c>
      <c r="D1059" t="s">
        <v>169</v>
      </c>
      <c r="E1059" t="s">
        <v>166</v>
      </c>
      <c r="F1059" t="s">
        <v>173</v>
      </c>
      <c r="G1059" t="s">
        <v>174</v>
      </c>
      <c r="H1059" t="s">
        <v>167</v>
      </c>
      <c r="J1059" t="s">
        <v>1355</v>
      </c>
      <c r="L1059" t="s">
        <v>1356</v>
      </c>
      <c r="M1059" s="4">
        <v>1648</v>
      </c>
      <c r="N1059" s="4">
        <v>1539.5616</v>
      </c>
      <c r="O1059">
        <v>12</v>
      </c>
      <c r="T1059" t="s">
        <v>178</v>
      </c>
      <c r="U1059" t="s">
        <v>66</v>
      </c>
      <c r="V1059" s="4">
        <v>1318.4</v>
      </c>
      <c r="Y1059" s="6">
        <f t="shared" si="129"/>
        <v>19776</v>
      </c>
      <c r="Z1059" s="6">
        <f t="shared" si="130"/>
        <v>15820.800000000001</v>
      </c>
      <c r="AA1059" s="6">
        <f t="shared" si="131"/>
        <v>18474.7392</v>
      </c>
      <c r="AB1059" s="6">
        <f t="shared" si="132"/>
        <v>1301.2608</v>
      </c>
      <c r="AC1059" t="s">
        <v>16</v>
      </c>
      <c r="AD1059" s="3" t="s">
        <v>168</v>
      </c>
    </row>
    <row r="1060" spans="1:30" ht="15.75" customHeight="1" x14ac:dyDescent="0.2">
      <c r="A1060" s="7" t="str">
        <f t="shared" ref="A1060:A1067" si="133">CONCATENATE(D1060,G1060,H1060,K1060)</f>
        <v>JIANGSU COWAIN TECHNOLOGY CO., LTD.J581Retrofit</v>
      </c>
      <c r="B1060" s="7" t="str">
        <f t="shared" ref="B1060:B1067" si="134">_xlfn.CONCAT(F1060,K1060,"New Buy")</f>
        <v>iPadNew Buy</v>
      </c>
      <c r="C1060">
        <v>407294</v>
      </c>
      <c r="D1060" t="s">
        <v>169</v>
      </c>
      <c r="E1060" t="s">
        <v>166</v>
      </c>
      <c r="F1060" t="s">
        <v>173</v>
      </c>
      <c r="G1060" t="s">
        <v>174</v>
      </c>
      <c r="H1060" t="s">
        <v>170</v>
      </c>
      <c r="J1060" t="s">
        <v>1355</v>
      </c>
      <c r="L1060" t="s">
        <v>1356</v>
      </c>
      <c r="M1060" s="4">
        <v>1648</v>
      </c>
      <c r="N1060" s="4">
        <v>1539.5616</v>
      </c>
      <c r="O1060">
        <v>12</v>
      </c>
      <c r="T1060" t="s">
        <v>178</v>
      </c>
      <c r="U1060" t="s">
        <v>104</v>
      </c>
      <c r="V1060" s="4">
        <v>1318.4</v>
      </c>
      <c r="Y1060" s="6">
        <f t="shared" ref="Y1060:Y1067" si="135">IFERROR(O1060*M1060,0)</f>
        <v>19776</v>
      </c>
      <c r="Z1060" s="6">
        <f t="shared" ref="Z1060:Z1067" si="136">IFERROR(O1060*V1060,0)</f>
        <v>15820.800000000001</v>
      </c>
      <c r="AA1060" s="6">
        <f t="shared" ref="AA1060:AA1067" si="137">IFERROR(N1060*O1060,0)</f>
        <v>18474.7392</v>
      </c>
      <c r="AB1060" s="6">
        <f t="shared" si="132"/>
        <v>1301.2608</v>
      </c>
      <c r="AC1060" t="s">
        <v>16</v>
      </c>
      <c r="AD1060" s="3" t="s">
        <v>171</v>
      </c>
    </row>
    <row r="1061" spans="1:30" ht="15.75" customHeight="1" x14ac:dyDescent="0.2">
      <c r="A1061" s="7" t="str">
        <f t="shared" si="133"/>
        <v>JIANGSU COWAIN TECHNOLOGY CO., LTD.J581New Buy</v>
      </c>
      <c r="B1061" s="7" t="str">
        <f t="shared" si="134"/>
        <v>iPadNew Buy</v>
      </c>
      <c r="C1061">
        <v>407293</v>
      </c>
      <c r="D1061" t="s">
        <v>169</v>
      </c>
      <c r="E1061" t="s">
        <v>166</v>
      </c>
      <c r="F1061" t="s">
        <v>173</v>
      </c>
      <c r="G1061" t="s">
        <v>174</v>
      </c>
      <c r="H1061" t="s">
        <v>167</v>
      </c>
      <c r="J1061" t="s">
        <v>1355</v>
      </c>
      <c r="L1061" t="s">
        <v>1356</v>
      </c>
      <c r="M1061" s="4">
        <v>2288.83</v>
      </c>
      <c r="N1061" s="4">
        <v>1961.82</v>
      </c>
      <c r="O1061">
        <v>16</v>
      </c>
      <c r="T1061" t="s">
        <v>178</v>
      </c>
      <c r="U1061" t="s">
        <v>116</v>
      </c>
      <c r="V1061" s="4">
        <v>1318.4</v>
      </c>
      <c r="Y1061" s="6">
        <f t="shared" si="135"/>
        <v>36621.279999999999</v>
      </c>
      <c r="Z1061" s="6">
        <f t="shared" si="136"/>
        <v>21094.400000000001</v>
      </c>
      <c r="AA1061" s="6">
        <f t="shared" si="137"/>
        <v>31389.119999999999</v>
      </c>
      <c r="AB1061" s="6">
        <f t="shared" si="132"/>
        <v>5232.16</v>
      </c>
      <c r="AC1061" t="s">
        <v>33</v>
      </c>
      <c r="AD1061" s="3" t="s">
        <v>168</v>
      </c>
    </row>
    <row r="1062" spans="1:30" ht="15.75" customHeight="1" x14ac:dyDescent="0.2">
      <c r="A1062" s="7" t="str">
        <f t="shared" si="133"/>
        <v>JIANGSU COWAIN TECHNOLOGY CO., LTD.J510New Buy</v>
      </c>
      <c r="B1062" s="7" t="str">
        <f t="shared" si="134"/>
        <v>iPadNew Buy</v>
      </c>
      <c r="C1062">
        <v>408674</v>
      </c>
      <c r="D1062" t="s">
        <v>169</v>
      </c>
      <c r="E1062" t="s">
        <v>166</v>
      </c>
      <c r="F1062" t="s">
        <v>173</v>
      </c>
      <c r="G1062" t="s">
        <v>68</v>
      </c>
      <c r="H1062" t="s">
        <v>167</v>
      </c>
      <c r="J1062" t="s">
        <v>1357</v>
      </c>
      <c r="L1062" t="s">
        <v>1358</v>
      </c>
      <c r="M1062" s="4">
        <v>50</v>
      </c>
      <c r="N1062" s="4">
        <v>40</v>
      </c>
      <c r="O1062">
        <v>12</v>
      </c>
      <c r="T1062" t="s">
        <v>178</v>
      </c>
      <c r="U1062" t="s">
        <v>66</v>
      </c>
      <c r="V1062" s="4">
        <v>40</v>
      </c>
      <c r="Y1062" s="6">
        <f t="shared" si="135"/>
        <v>600</v>
      </c>
      <c r="Z1062" s="6">
        <f t="shared" si="136"/>
        <v>480</v>
      </c>
      <c r="AA1062" s="6">
        <f t="shared" si="137"/>
        <v>480</v>
      </c>
      <c r="AB1062" s="6">
        <f t="shared" si="132"/>
        <v>120</v>
      </c>
      <c r="AC1062" t="s">
        <v>16</v>
      </c>
      <c r="AD1062" s="3" t="s">
        <v>168</v>
      </c>
    </row>
    <row r="1063" spans="1:30" ht="15.75" customHeight="1" x14ac:dyDescent="0.2">
      <c r="A1063" s="7" t="str">
        <f t="shared" si="133"/>
        <v>JIANGSU COWAIN TECHNOLOGY CO., LTD.J510New Buy</v>
      </c>
      <c r="B1063" s="7" t="str">
        <f t="shared" si="134"/>
        <v>iPadNew Buy</v>
      </c>
      <c r="C1063">
        <v>408673</v>
      </c>
      <c r="D1063" t="s">
        <v>169</v>
      </c>
      <c r="E1063" t="s">
        <v>166</v>
      </c>
      <c r="F1063" t="s">
        <v>173</v>
      </c>
      <c r="G1063" t="s">
        <v>68</v>
      </c>
      <c r="H1063" t="s">
        <v>167</v>
      </c>
      <c r="J1063" t="s">
        <v>1359</v>
      </c>
      <c r="L1063" t="s">
        <v>1360</v>
      </c>
      <c r="M1063" s="4">
        <v>81</v>
      </c>
      <c r="N1063" s="4">
        <v>64.8</v>
      </c>
      <c r="O1063">
        <v>7</v>
      </c>
      <c r="T1063" t="s">
        <v>178</v>
      </c>
      <c r="U1063" t="s">
        <v>66</v>
      </c>
      <c r="V1063" s="4">
        <v>64.8</v>
      </c>
      <c r="Y1063" s="6">
        <f t="shared" si="135"/>
        <v>567</v>
      </c>
      <c r="Z1063" s="6">
        <f t="shared" si="136"/>
        <v>453.59999999999997</v>
      </c>
      <c r="AA1063" s="6">
        <f t="shared" si="137"/>
        <v>453.59999999999997</v>
      </c>
      <c r="AB1063" s="6">
        <f t="shared" si="132"/>
        <v>113.40000000000003</v>
      </c>
      <c r="AC1063" t="s">
        <v>16</v>
      </c>
      <c r="AD1063" s="3" t="s">
        <v>168</v>
      </c>
    </row>
    <row r="1064" spans="1:30" ht="15.75" customHeight="1" x14ac:dyDescent="0.2">
      <c r="A1064" s="7" t="str">
        <f t="shared" si="133"/>
        <v>JIANGSU COWAIN TECHNOLOGY CO., LTD.J510New Buy</v>
      </c>
      <c r="B1064" s="7" t="str">
        <f t="shared" si="134"/>
        <v>iPadNew Buy</v>
      </c>
      <c r="C1064">
        <v>408672</v>
      </c>
      <c r="D1064" t="s">
        <v>169</v>
      </c>
      <c r="E1064" t="s">
        <v>166</v>
      </c>
      <c r="F1064" t="s">
        <v>173</v>
      </c>
      <c r="G1064" t="s">
        <v>68</v>
      </c>
      <c r="H1064" t="s">
        <v>167</v>
      </c>
      <c r="J1064" t="s">
        <v>1361</v>
      </c>
      <c r="L1064" t="s">
        <v>1362</v>
      </c>
      <c r="M1064" s="4">
        <v>90</v>
      </c>
      <c r="N1064" s="4">
        <v>72</v>
      </c>
      <c r="O1064">
        <v>12</v>
      </c>
      <c r="T1064" t="s">
        <v>178</v>
      </c>
      <c r="U1064" t="s">
        <v>66</v>
      </c>
      <c r="V1064" s="4">
        <v>72</v>
      </c>
      <c r="Y1064" s="6">
        <f t="shared" si="135"/>
        <v>1080</v>
      </c>
      <c r="Z1064" s="6">
        <f t="shared" si="136"/>
        <v>864</v>
      </c>
      <c r="AA1064" s="6">
        <f t="shared" si="137"/>
        <v>864</v>
      </c>
      <c r="AB1064" s="6">
        <f t="shared" si="132"/>
        <v>216</v>
      </c>
      <c r="AC1064" t="s">
        <v>16</v>
      </c>
      <c r="AD1064" s="3" t="s">
        <v>168</v>
      </c>
    </row>
    <row r="1065" spans="1:30" ht="15.75" customHeight="1" x14ac:dyDescent="0.2">
      <c r="A1065" s="7" t="str">
        <f t="shared" si="133"/>
        <v>JIANGSU COWAIN TECHNOLOGY CO., LTD.J510New Buy</v>
      </c>
      <c r="B1065" s="7" t="str">
        <f t="shared" si="134"/>
        <v>iPadNew Buy</v>
      </c>
      <c r="C1065">
        <v>408671</v>
      </c>
      <c r="D1065" t="s">
        <v>169</v>
      </c>
      <c r="E1065" t="s">
        <v>166</v>
      </c>
      <c r="F1065" t="s">
        <v>173</v>
      </c>
      <c r="G1065" t="s">
        <v>68</v>
      </c>
      <c r="H1065" t="s">
        <v>167</v>
      </c>
      <c r="J1065" t="s">
        <v>1363</v>
      </c>
      <c r="L1065" t="s">
        <v>1364</v>
      </c>
      <c r="M1065" s="4">
        <v>117.4</v>
      </c>
      <c r="N1065" s="4">
        <v>93.92</v>
      </c>
      <c r="O1065">
        <v>6</v>
      </c>
      <c r="T1065" t="s">
        <v>178</v>
      </c>
      <c r="U1065" t="s">
        <v>66</v>
      </c>
      <c r="V1065" s="4">
        <v>93.92</v>
      </c>
      <c r="Y1065" s="6">
        <f t="shared" si="135"/>
        <v>704.40000000000009</v>
      </c>
      <c r="Z1065" s="6">
        <f t="shared" si="136"/>
        <v>563.52</v>
      </c>
      <c r="AA1065" s="6">
        <f t="shared" si="137"/>
        <v>563.52</v>
      </c>
      <c r="AB1065" s="6">
        <f t="shared" si="132"/>
        <v>140.88000000000011</v>
      </c>
      <c r="AC1065" t="s">
        <v>16</v>
      </c>
      <c r="AD1065" s="3" t="s">
        <v>168</v>
      </c>
    </row>
    <row r="1066" spans="1:30" ht="15.75" customHeight="1" x14ac:dyDescent="0.2">
      <c r="A1066" s="7" t="str">
        <f t="shared" si="133"/>
        <v>JIANGSU COWAIN TECHNOLOGY CO., LTD.J510New Buy</v>
      </c>
      <c r="B1066" s="7" t="str">
        <f t="shared" si="134"/>
        <v>iPadNew Buy</v>
      </c>
      <c r="C1066">
        <v>408670</v>
      </c>
      <c r="D1066" t="s">
        <v>169</v>
      </c>
      <c r="E1066" t="s">
        <v>166</v>
      </c>
      <c r="F1066" t="s">
        <v>173</v>
      </c>
      <c r="G1066" t="s">
        <v>68</v>
      </c>
      <c r="H1066" t="s">
        <v>167</v>
      </c>
      <c r="J1066" t="s">
        <v>1365</v>
      </c>
      <c r="L1066" t="s">
        <v>1366</v>
      </c>
      <c r="M1066" s="4">
        <v>85.5</v>
      </c>
      <c r="N1066" s="4">
        <v>68.400000000000006</v>
      </c>
      <c r="O1066">
        <v>6</v>
      </c>
      <c r="T1066" t="s">
        <v>178</v>
      </c>
      <c r="U1066" t="s">
        <v>66</v>
      </c>
      <c r="V1066" s="4">
        <v>68.400000000000006</v>
      </c>
      <c r="Y1066" s="6">
        <f t="shared" si="135"/>
        <v>513</v>
      </c>
      <c r="Z1066" s="6">
        <f t="shared" si="136"/>
        <v>410.40000000000003</v>
      </c>
      <c r="AA1066" s="6">
        <f t="shared" si="137"/>
        <v>410.40000000000003</v>
      </c>
      <c r="AB1066" s="6">
        <f t="shared" si="132"/>
        <v>102.59999999999997</v>
      </c>
      <c r="AC1066" t="s">
        <v>16</v>
      </c>
      <c r="AD1066" s="3" t="s">
        <v>168</v>
      </c>
    </row>
    <row r="1067" spans="1:30" ht="15.75" customHeight="1" x14ac:dyDescent="0.2">
      <c r="A1067" s="7" t="str">
        <f t="shared" si="133"/>
        <v>JIANGSU COWAIN TECHNOLOGY CO., LTD.J581New Buy</v>
      </c>
      <c r="B1067" s="7" t="str">
        <f t="shared" si="134"/>
        <v>iPadNew Buy</v>
      </c>
      <c r="C1067">
        <v>407216</v>
      </c>
      <c r="D1067" t="s">
        <v>169</v>
      </c>
      <c r="E1067" t="s">
        <v>166</v>
      </c>
      <c r="F1067" t="s">
        <v>173</v>
      </c>
      <c r="G1067" t="s">
        <v>174</v>
      </c>
      <c r="H1067" t="s">
        <v>167</v>
      </c>
      <c r="J1067" t="s">
        <v>700</v>
      </c>
      <c r="L1067" t="s">
        <v>1367</v>
      </c>
      <c r="M1067" s="4">
        <v>241.43</v>
      </c>
      <c r="N1067" s="4">
        <v>193</v>
      </c>
      <c r="O1067">
        <v>6</v>
      </c>
      <c r="T1067" t="s">
        <v>178</v>
      </c>
      <c r="U1067" t="s">
        <v>104</v>
      </c>
      <c r="V1067" s="4">
        <v>154.4</v>
      </c>
      <c r="Y1067" s="6">
        <f t="shared" si="135"/>
        <v>1448.58</v>
      </c>
      <c r="Z1067" s="6">
        <f t="shared" si="136"/>
        <v>926.40000000000009</v>
      </c>
      <c r="AA1067" s="6">
        <f t="shared" si="137"/>
        <v>1158</v>
      </c>
      <c r="AB1067" s="6">
        <f t="shared" si="132"/>
        <v>290.57999999999993</v>
      </c>
      <c r="AC1067" t="s">
        <v>16</v>
      </c>
      <c r="AD1067" s="3" t="s">
        <v>168</v>
      </c>
    </row>
  </sheetData>
  <autoFilter ref="A1:AL1067" xr:uid="{9DE5FB0E-25D0-E74E-BC04-1CB189CF9CED}"/>
  <conditionalFormatting sqref="AM1:A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Worley</dc:creator>
  <cp:keywords/>
  <dc:description/>
  <cp:lastModifiedBy>Amit Koppalkar</cp:lastModifiedBy>
  <cp:revision/>
  <dcterms:created xsi:type="dcterms:W3CDTF">2026-02-20T05:17:17Z</dcterms:created>
  <dcterms:modified xsi:type="dcterms:W3CDTF">2026-03-04T01:03:53Z</dcterms:modified>
  <cp:category/>
  <cp:contentStatus/>
</cp:coreProperties>
</file>