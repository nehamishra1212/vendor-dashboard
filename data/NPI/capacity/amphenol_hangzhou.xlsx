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nghua.jin\Desktop\"/>
    </mc:Choice>
  </mc:AlternateContent>
  <xr:revisionPtr revIDLastSave="0" documentId="13_ncr:1_{95C5D609-84A2-4396-8FB2-75C3A096031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Y2027 NPI - Amphenol Hangzho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2" i="1"/>
  <c r="G6" i="1"/>
  <c r="G11" i="1"/>
  <c r="G13" i="1"/>
  <c r="D6" i="1" a="1"/>
  <c r="D6" i="1" s="1"/>
  <c r="E14" i="1" a="1"/>
  <c r="E14" i="1" s="1"/>
  <c r="G14" i="1" l="1" a="1"/>
  <c r="G14" i="1" s="1"/>
  <c r="F14" i="1" a="1"/>
  <c r="F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<sst xmlns="http://schemas.openxmlformats.org/spreadsheetml/2006/main" count="63" uniqueCount="47">
  <si>
    <t>Resource Availability for Y2027 NPI Support</t>
  </si>
  <si>
    <t>Collect data from the vendor and populate here</t>
  </si>
  <si>
    <t>Resource</t>
  </si>
  <si>
    <t>Y2026 Loading</t>
  </si>
  <si>
    <t>Total  Resource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</si>
  <si>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</si>
  <si>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</si>
  <si>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</si>
  <si>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</si>
  <si>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</si>
  <si>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</si>
  <si>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</si>
  <si>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</si>
  <si>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</si>
  <si>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</si>
  <si>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</si>
  <si>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</si>
  <si>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</si>
  <si>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</si>
  <si>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</si>
  <si>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</si>
  <si>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</si>
  <si>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</si>
  <si>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</si>
  <si>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Amphenol Hangzhou</t>
    <phoneticPr fontId="7" type="noConversion"/>
  </si>
  <si>
    <t>Resource Occupied  for Y2026 Ramp</t>
    <phoneticPr fontId="7" type="noConversion"/>
  </si>
  <si>
    <t>Resource Leftover for Y2027 Brand-New Station NPI Build</t>
    <phoneticPr fontId="7" type="noConversion"/>
  </si>
  <si>
    <t xml:space="preserve">Y, 197,760.00pcs/Month idle capacity </t>
    <phoneticPr fontId="7" type="noConversion"/>
  </si>
  <si>
    <t xml:space="preserve">Y, 3,600.00 idle capacity </t>
    <phoneticPr fontId="7" type="noConversion"/>
  </si>
  <si>
    <t xml:space="preserve">Y, 209PPL idle capacity </t>
    <phoneticPr fontId="7" type="noConversion"/>
  </si>
  <si>
    <t>5x standard &amp; 3x complex new unique stations and validated with resource plan in matrix below</t>
    <phoneticPr fontId="7" type="noConversion"/>
  </si>
  <si>
    <t>BCM to Hsg/Mic Btn to Hsg</t>
    <phoneticPr fontId="7" type="noConversion"/>
  </si>
  <si>
    <t>FCM sub/Clean Booth/Battery Assembly/Alert Assembly</t>
    <phoneticPr fontId="7" type="noConversion"/>
  </si>
  <si>
    <t>new</t>
    <phoneticPr fontId="7" type="noConversion"/>
  </si>
  <si>
    <t>exisiting</t>
    <phoneticPr fontId="7" type="noConversion"/>
  </si>
  <si>
    <t>MXM/Ironman/CED/CFD/RCAM</t>
    <phoneticPr fontId="7" type="noConversion"/>
  </si>
  <si>
    <t>existing</t>
    <phoneticPr fontId="7" type="noConversion"/>
  </si>
  <si>
    <t>Ironman/CED/CFD/RCAM</t>
    <phoneticPr fontId="7" type="noConversion"/>
  </si>
  <si>
    <t>Logo assembly/CO2 cleaning</t>
    <phoneticPr fontId="7" type="noConversion"/>
  </si>
  <si>
    <t>Coating/AOI/Putter Assy</t>
    <phoneticPr fontId="7" type="noConversion"/>
  </si>
  <si>
    <t>FACT/Snoop/Force Cal</t>
    <phoneticPr fontId="7" type="noConversion"/>
  </si>
  <si>
    <t xml:space="preserve">Y, 8PPL idle capacity </t>
    <phoneticPr fontId="7" type="noConversion"/>
  </si>
  <si>
    <t>LE6/LA8</t>
  </si>
  <si>
    <t>V73/V74</t>
  </si>
  <si>
    <t>V77/V79</t>
  </si>
  <si>
    <t>Portable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</si>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</sst>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%"/>
  </numFmts>
  <fonts count="8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9" fontId="3" fillId="0" borderId="5" xfId="0" applyNumberFormat="1" applyFont="1" applyBorder="1" applyAlignment="1">
      <alignment horizontal="center" vertical="center" wrapText="1"/>
    </xf>
    <xf numFmtId="0" fontId="0" fillId="0" borderId="7" xfId="0" applyBorder="1">
      <alignment vertical="top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2"/>
  <sheetViews>
    <sheetView showGridLines="0" tabSelected="1" zoomScale="85" zoomScaleNormal="85" workbookViewId="0">
      <pane ySplit="1" topLeftCell="A17" activePane="bottomLeft" state="frozen"/>
      <selection pane="bottomLeft" activeCell="C18" sqref="C18"/>
    </sheetView>
  </sheetViews>
  <sheetFormatPr defaultColWidth="16.33203125" defaultRowHeight="20" customHeight="1"/>
  <cols>
    <col min="1" max="1" width="5.6640625" style="1" customWidth="1"/>
    <col min="2" max="3" width="10.796875" style="1" customWidth="1"/>
    <col min="4" max="5" width="16.6640625" style="1" customWidth="1"/>
    <col min="6" max="7" width="19.1328125" style="1" customWidth="1"/>
    <col min="8" max="8" width="16.1328125" style="1" customWidth="1"/>
    <col min="9" max="12" width="16.6640625" style="1" customWidth="1"/>
    <col min="13" max="13" width="12.33203125" style="1" customWidth="1"/>
    <col min="14" max="22" width="20.796875" style="1" customWidth="1"/>
    <col min="23" max="23" width="16.33203125" style="1" customWidth="1"/>
    <col min="24" max="16384" width="16.33203125" style="1"/>
  </cols>
  <sheetData>
    <row r="1" spans="2:12" ht="17" customHeight="1"/>
    <row r="3" spans="2:12" ht="28.05" customHeight="1">
      <c r="B3" s="36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2:12" ht="20.25" customHeight="1">
      <c r="B4" s="34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2:12" ht="80" customHeight="1">
      <c r="B5" s="2" t="s">
        <v>24</v>
      </c>
      <c r="C5" s="2" t="s">
        <v>2</v>
      </c>
      <c r="D5" s="2" t="s">
        <v>3</v>
      </c>
      <c r="E5" s="2" t="s">
        <v>4</v>
      </c>
      <c r="F5" s="2" t="s">
        <v>25</v>
      </c>
      <c r="G5" s="2" t="s">
        <v>26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2:12" ht="30" customHeight="1">
      <c r="B6" s="3"/>
      <c r="C6" s="4" t="s">
        <v>10</v>
      </c>
      <c r="D6" s="37" cm="1">
        <f t="array" ref="D6">SUM(F6:F13/SUM(E6:E13))</f>
        <v>0.67052416609938736</v>
      </c>
      <c r="E6" s="5">
        <v>30</v>
      </c>
      <c r="F6" s="5">
        <v>17</v>
      </c>
      <c r="G6" s="5">
        <f>E6-F6</f>
        <v>13</v>
      </c>
      <c r="H6" s="39" t="s">
        <v>30</v>
      </c>
      <c r="I6" s="39" t="s">
        <v>28</v>
      </c>
      <c r="J6" s="39" t="s">
        <v>27</v>
      </c>
      <c r="K6" s="39" t="s">
        <v>29</v>
      </c>
      <c r="L6" s="39" t="s">
        <v>41</v>
      </c>
    </row>
    <row r="7" spans="2:12" ht="30" customHeight="1">
      <c r="B7" s="6"/>
      <c r="C7" s="7" t="s">
        <v>11</v>
      </c>
      <c r="D7" s="38"/>
      <c r="E7" s="8">
        <v>83</v>
      </c>
      <c r="F7" s="5">
        <v>42</v>
      </c>
      <c r="G7" s="5">
        <f t="shared" ref="G7:G13" si="0">E7-F7</f>
        <v>41</v>
      </c>
      <c r="H7" s="40"/>
      <c r="I7" s="40"/>
      <c r="J7" s="40"/>
      <c r="K7" s="40"/>
      <c r="L7" s="40"/>
    </row>
    <row r="8" spans="2:12" ht="30" customHeight="1">
      <c r="B8" s="6"/>
      <c r="C8" s="7" t="s">
        <v>12</v>
      </c>
      <c r="D8" s="38"/>
      <c r="E8" s="8">
        <v>45</v>
      </c>
      <c r="F8" s="5">
        <v>25</v>
      </c>
      <c r="G8" s="5">
        <f t="shared" si="0"/>
        <v>20</v>
      </c>
      <c r="H8" s="40"/>
      <c r="I8" s="40"/>
      <c r="J8" s="40"/>
      <c r="K8" s="40"/>
      <c r="L8" s="40"/>
    </row>
    <row r="9" spans="2:12" ht="30" customHeight="1">
      <c r="B9" s="6"/>
      <c r="C9" s="7" t="s">
        <v>13</v>
      </c>
      <c r="D9" s="38"/>
      <c r="E9" s="8">
        <v>88</v>
      </c>
      <c r="F9" s="5">
        <v>43</v>
      </c>
      <c r="G9" s="5">
        <f t="shared" si="0"/>
        <v>45</v>
      </c>
      <c r="H9" s="40"/>
      <c r="I9" s="40"/>
      <c r="J9" s="40"/>
      <c r="K9" s="40"/>
      <c r="L9" s="40"/>
    </row>
    <row r="10" spans="2:12" ht="30" customHeight="1">
      <c r="B10" s="6"/>
      <c r="C10" s="7" t="s">
        <v>14</v>
      </c>
      <c r="D10" s="38"/>
      <c r="E10" s="8">
        <v>807</v>
      </c>
      <c r="F10" s="5">
        <v>659</v>
      </c>
      <c r="G10" s="5">
        <f t="shared" si="0"/>
        <v>148</v>
      </c>
      <c r="H10" s="40"/>
      <c r="I10" s="40"/>
      <c r="J10" s="40"/>
      <c r="K10" s="40"/>
      <c r="L10" s="40"/>
    </row>
    <row r="11" spans="2:12" ht="30" customHeight="1">
      <c r="B11" s="6"/>
      <c r="C11" s="7" t="s">
        <v>15</v>
      </c>
      <c r="D11" s="38"/>
      <c r="E11" s="8">
        <v>200</v>
      </c>
      <c r="F11" s="5">
        <v>95</v>
      </c>
      <c r="G11" s="5">
        <f t="shared" si="0"/>
        <v>105</v>
      </c>
      <c r="H11" s="40"/>
      <c r="I11" s="40"/>
      <c r="J11" s="40"/>
      <c r="K11" s="40"/>
      <c r="L11" s="40"/>
    </row>
    <row r="12" spans="2:12" ht="30" customHeight="1">
      <c r="B12" s="6"/>
      <c r="C12" s="7" t="s">
        <v>16</v>
      </c>
      <c r="D12" s="38"/>
      <c r="E12" s="8">
        <v>196</v>
      </c>
      <c r="F12" s="5">
        <v>92</v>
      </c>
      <c r="G12" s="5">
        <f t="shared" si="0"/>
        <v>104</v>
      </c>
      <c r="H12" s="40"/>
      <c r="I12" s="40"/>
      <c r="J12" s="40"/>
      <c r="K12" s="40"/>
      <c r="L12" s="40"/>
    </row>
    <row r="13" spans="2:12" ht="30" customHeight="1">
      <c r="B13" s="6"/>
      <c r="C13" s="7" t="s">
        <v>17</v>
      </c>
      <c r="D13" s="38"/>
      <c r="E13" s="8">
        <v>20</v>
      </c>
      <c r="F13" s="5">
        <v>12</v>
      </c>
      <c r="G13" s="5">
        <f t="shared" si="0"/>
        <v>8</v>
      </c>
      <c r="H13" s="41"/>
      <c r="I13" s="41"/>
      <c r="J13" s="41"/>
      <c r="K13" s="41"/>
      <c r="L13" s="41"/>
    </row>
    <row r="14" spans="2:12" ht="30" customHeight="1">
      <c r="B14" s="6"/>
      <c r="C14" s="7" t="s">
        <v>18</v>
      </c>
      <c r="D14" s="9"/>
      <c r="E14" s="10" cm="1">
        <f t="array" ref="E14">SUM(E6:E13)</f>
        <v>1469</v>
      </c>
      <c r="F14" s="10" cm="1">
        <f t="array" ref="F14">SUM(F6:F13)</f>
        <v>985</v>
      </c>
      <c r="G14" s="10" cm="1">
        <f t="array" ref="G14">SUM(G6:G13)</f>
        <v>484</v>
      </c>
      <c r="H14" s="8"/>
      <c r="I14" s="8"/>
      <c r="J14" s="8"/>
      <c r="K14" s="8"/>
      <c r="L14" s="8"/>
    </row>
    <row r="16" spans="2:12" ht="28.05" customHeight="1">
      <c r="C16" s="33" t="s">
        <v>19</v>
      </c>
      <c r="D16" s="33"/>
      <c r="E16" s="33"/>
      <c r="F16" s="33"/>
      <c r="G16" s="33"/>
      <c r="H16" s="33"/>
      <c r="I16" s="33"/>
      <c r="J16" s="33"/>
      <c r="K16" s="33"/>
      <c r="L16" s="33"/>
    </row>
    <row r="17" spans="3:12" ht="27.5" customHeight="1">
      <c r="C17" s="34" t="s">
        <v>1</v>
      </c>
      <c r="D17" s="35"/>
      <c r="E17" s="35"/>
      <c r="F17" s="35"/>
      <c r="G17" s="35"/>
      <c r="H17" s="35"/>
      <c r="I17" s="35"/>
      <c r="J17" s="35"/>
      <c r="K17" s="35"/>
      <c r="L17" s="35"/>
    </row>
    <row r="18" spans="3:12" ht="27.5" customHeight="1" thickBot="1">
      <c r="C18" s="11" t="s">
        <v>24</v>
      </c>
      <c r="D18" s="11" t="s">
        <v>20</v>
      </c>
      <c r="E18" s="12"/>
      <c r="F18" s="12"/>
      <c r="G18" s="12"/>
      <c r="H18" s="12"/>
      <c r="I18" s="12"/>
      <c r="J18" s="12"/>
      <c r="K18" s="12"/>
      <c r="L18" s="12"/>
    </row>
    <row r="19" spans="3:12" ht="35.25" customHeight="1">
      <c r="C19" s="13"/>
      <c r="D19" s="14" t="s">
        <v>21</v>
      </c>
      <c r="E19" s="15" t="s">
        <v>42</v>
      </c>
      <c r="F19" s="15" t="s">
        <v>42</v>
      </c>
      <c r="G19" s="16" t="s">
        <v>43</v>
      </c>
      <c r="H19" s="16" t="s">
        <v>44</v>
      </c>
      <c r="I19" s="16" t="s">
        <v>45</v>
      </c>
      <c r="J19" s="29" t="s">
        <v>45</v>
      </c>
      <c r="K19" s="16" t="s">
        <v>46</v>
      </c>
      <c r="L19" s="16"/>
    </row>
    <row r="20" spans="3:12" ht="27.4" customHeight="1">
      <c r="C20" s="17"/>
      <c r="D20" s="18" t="s">
        <v>22</v>
      </c>
      <c r="E20" s="19" t="s">
        <v>31</v>
      </c>
      <c r="F20" s="20" t="s">
        <v>32</v>
      </c>
      <c r="G20" s="20" t="s">
        <v>35</v>
      </c>
      <c r="H20" s="20" t="s">
        <v>37</v>
      </c>
      <c r="I20" s="20" t="s">
        <v>38</v>
      </c>
      <c r="J20" s="20" t="s">
        <v>39</v>
      </c>
      <c r="K20" s="20" t="s">
        <v>40</v>
      </c>
      <c r="L20" s="20"/>
    </row>
    <row r="21" spans="3:12" ht="30.3" customHeight="1">
      <c r="C21" s="21"/>
      <c r="D21" s="22" t="s">
        <v>23</v>
      </c>
      <c r="E21" s="23" t="s">
        <v>33</v>
      </c>
      <c r="F21" s="24" t="s">
        <v>34</v>
      </c>
      <c r="G21" s="24" t="s">
        <v>36</v>
      </c>
      <c r="H21" s="24" t="s">
        <v>36</v>
      </c>
      <c r="I21" s="24" t="s">
        <v>33</v>
      </c>
      <c r="J21" s="24" t="s">
        <v>36</v>
      </c>
      <c r="K21" s="24" t="s">
        <v>34</v>
      </c>
      <c r="L21" s="24"/>
    </row>
    <row r="22" spans="3:12" ht="22.05" customHeight="1">
      <c r="C22" s="25"/>
      <c r="D22" s="4" t="s">
        <v>10</v>
      </c>
      <c r="E22" s="26">
        <v>2</v>
      </c>
      <c r="F22" s="5">
        <v>2</v>
      </c>
      <c r="G22" s="5">
        <v>3</v>
      </c>
      <c r="H22" s="5">
        <v>2</v>
      </c>
      <c r="I22" s="5">
        <v>2</v>
      </c>
      <c r="J22" s="5">
        <v>2</v>
      </c>
      <c r="K22" s="5">
        <v>1</v>
      </c>
      <c r="L22" s="5"/>
    </row>
    <row r="23" spans="3:12" ht="22.05" customHeight="1">
      <c r="C23" s="27"/>
      <c r="D23" s="7" t="s">
        <v>11</v>
      </c>
      <c r="E23" s="28">
        <v>6</v>
      </c>
      <c r="F23" s="8">
        <v>5</v>
      </c>
      <c r="G23" s="8">
        <v>6</v>
      </c>
      <c r="H23" s="8">
        <v>3</v>
      </c>
      <c r="I23" s="8">
        <v>4</v>
      </c>
      <c r="J23" s="8">
        <v>3</v>
      </c>
      <c r="K23" s="8">
        <v>2</v>
      </c>
      <c r="L23" s="8"/>
    </row>
    <row r="24" spans="3:12" ht="22.05" customHeight="1">
      <c r="C24" s="27"/>
      <c r="D24" s="7" t="s">
        <v>12</v>
      </c>
      <c r="E24" s="28">
        <v>3</v>
      </c>
      <c r="F24" s="8">
        <v>2</v>
      </c>
      <c r="G24" s="8">
        <v>4</v>
      </c>
      <c r="H24" s="8">
        <v>2</v>
      </c>
      <c r="I24" s="8">
        <v>2</v>
      </c>
      <c r="J24" s="8">
        <v>2</v>
      </c>
      <c r="K24" s="8">
        <v>2</v>
      </c>
      <c r="L24" s="8"/>
    </row>
    <row r="25" spans="3:12" ht="22.05" customHeight="1">
      <c r="C25" s="27"/>
      <c r="D25" s="7" t="s">
        <v>13</v>
      </c>
      <c r="E25" s="28">
        <v>7</v>
      </c>
      <c r="F25" s="8">
        <v>6</v>
      </c>
      <c r="G25" s="8">
        <v>6</v>
      </c>
      <c r="H25" s="8">
        <v>4</v>
      </c>
      <c r="I25" s="8">
        <v>4</v>
      </c>
      <c r="J25" s="8">
        <v>3</v>
      </c>
      <c r="K25" s="8">
        <v>2</v>
      </c>
      <c r="L25" s="8"/>
    </row>
    <row r="26" spans="3:12" ht="22.05" customHeight="1">
      <c r="C26" s="27"/>
      <c r="D26" s="7" t="s">
        <v>14</v>
      </c>
      <c r="E26" s="31">
        <v>33</v>
      </c>
      <c r="F26" s="32">
        <v>25</v>
      </c>
      <c r="G26" s="32">
        <v>28</v>
      </c>
      <c r="H26" s="32">
        <v>13</v>
      </c>
      <c r="I26" s="32">
        <v>20</v>
      </c>
      <c r="J26" s="32">
        <v>14</v>
      </c>
      <c r="K26" s="32">
        <v>15</v>
      </c>
      <c r="L26" s="8"/>
    </row>
    <row r="27" spans="3:12" ht="22.05" customHeight="1">
      <c r="C27" s="27"/>
      <c r="D27" s="7" t="s">
        <v>17</v>
      </c>
      <c r="E27" s="28">
        <v>2</v>
      </c>
      <c r="F27" s="8">
        <v>1</v>
      </c>
      <c r="G27" s="8">
        <v>2</v>
      </c>
      <c r="H27" s="8">
        <v>1</v>
      </c>
      <c r="I27" s="8">
        <v>2</v>
      </c>
      <c r="J27" s="8">
        <v>1</v>
      </c>
      <c r="K27" s="8">
        <v>1</v>
      </c>
      <c r="L27" s="8"/>
    </row>
    <row r="28" spans="3:12" ht="20" customHeight="1">
      <c r="C28" s="27"/>
      <c r="D28" s="7" t="s">
        <v>15</v>
      </c>
      <c r="E28" s="28">
        <v>15</v>
      </c>
      <c r="F28" s="28">
        <v>12</v>
      </c>
      <c r="G28" s="28">
        <v>10</v>
      </c>
      <c r="H28" s="28">
        <v>5</v>
      </c>
      <c r="I28" s="28">
        <v>13</v>
      </c>
      <c r="J28" s="28">
        <v>9</v>
      </c>
      <c r="K28" s="28">
        <v>8</v>
      </c>
      <c r="L28" s="28"/>
    </row>
    <row r="29" spans="3:12" ht="20" customHeight="1">
      <c r="C29" s="27"/>
      <c r="D29" s="7" t="s">
        <v>16</v>
      </c>
      <c r="E29" s="28">
        <v>18</v>
      </c>
      <c r="F29" s="28">
        <v>12</v>
      </c>
      <c r="G29" s="28">
        <v>15</v>
      </c>
      <c r="H29" s="28">
        <v>4</v>
      </c>
      <c r="I29" s="28">
        <v>6</v>
      </c>
      <c r="J29" s="28">
        <v>2</v>
      </c>
      <c r="K29" s="28">
        <v>8</v>
      </c>
      <c r="L29" s="28"/>
    </row>
    <row r="30" spans="3:12" ht="20" customHeight="1">
      <c r="C30" s="27"/>
      <c r="D30" s="7"/>
      <c r="E30" s="28"/>
      <c r="F30" s="28"/>
      <c r="G30" s="28"/>
      <c r="H30" s="28"/>
      <c r="I30" s="28"/>
      <c r="J30" s="28"/>
      <c r="K30" s="28"/>
      <c r="L30" s="28"/>
    </row>
    <row r="32" spans="3:12" ht="20" customHeight="1">
      <c r="E32" s="30"/>
      <c r="F32" s="30"/>
      <c r="G32" s="30"/>
      <c r="H32" s="30"/>
      <c r="I32" s="30"/>
      <c r="J32" s="30"/>
      <c r="K32" s="30"/>
    </row>
  </sheetData>
  <mergeCells count="10"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honeticPr fontId="7" type="noConversion"/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Y2027 NPI - Amphenol Hangzhou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李跃勇</dc:creator>
  <cp:lastModifiedBy>Minghua Jin (HZP/FA)</cp:lastModifiedBy>
  <dcterms:created xsi:type="dcterms:W3CDTF">2026-05-04T22:14:09Z</dcterms:created>
  <dcterms:modified xsi:type="dcterms:W3CDTF">2026-05-18T06:35:23Z</dcterms:modified>
</cp:coreProperties>
</file>