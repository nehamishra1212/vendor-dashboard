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metadata.xml" ContentType="application/vnd.openxmlformats-officedocument.spreadsheetml.sheetMetadata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31700" windowHeight="9060"/>
  </bookViews>
  <sheets>
    <sheet name="Y2027 NPI - Laservall (0528)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<sst xmlns="http://schemas.openxmlformats.org/spreadsheetml/2006/main" count="117" uniqueCount="55">
  <si>
    <t>Resource Availability for Y2027 NPI Support</t>
  </si>
  <si>
    <t>Collect data from the vendor and populate here</t>
  </si>
  <si>
    <t>SI Name</t>
  </si>
  <si>
    <t>Resource</t>
  </si>
  <si>
    <t>Y2026 Loading</t>
  </si>
  <si>
    <t>Total  Resource</t>
  </si>
  <si>
    <t>Resource Occupied  for Y2026 Ramp</t>
  </si>
  <si>
    <t>Resource Leftover for Y2027 Brand-New Station NPI Build</t>
  </si>
  <si>
    <r>
      <rPr>
        <sz val="10"/>
        <color indexed="8"/>
        <rFont val="SF Hello Bold"/>
        <charset val="134"/>
      </rPr>
      <t xml:space="preserve"># of Stations Type can support
</t>
    </r>
  </si>
  <si>
    <r>
      <rPr>
        <sz val="10"/>
        <color rgb="FF000000"/>
        <rFont val="SF Hello Bold"/>
        <charset val="134"/>
      </rPr>
      <t xml:space="preserve">Space Supportability 
</t>
    </r>
    <r>
      <rPr>
        <sz val="10"/>
        <color rgb="FF0432FF"/>
        <rFont val="SF Hello Regular"/>
        <charset val="134"/>
      </rPr>
      <t>(Y/N)</t>
    </r>
  </si>
  <si>
    <r>
      <rPr>
        <sz val="10"/>
        <color rgb="FF000000"/>
        <rFont val="SF Hello Bold"/>
        <charset val="134"/>
      </rPr>
      <t xml:space="preserve">Machining Capacity Supportability 
</t>
    </r>
    <r>
      <rPr>
        <sz val="10"/>
        <color rgb="FF0432FF"/>
        <rFont val="SF Hello Regular"/>
        <charset val="134"/>
      </rPr>
      <t>(Y/N)</t>
    </r>
  </si>
  <si>
    <r>
      <rPr>
        <sz val="10"/>
        <color rgb="FF000000"/>
        <rFont val="SF Hello Bold"/>
        <charset val="134"/>
      </rPr>
      <t xml:space="preserve">Assembly Capacity Supportability 
</t>
    </r>
    <r>
      <rPr>
        <sz val="10"/>
        <color rgb="FF0432FF"/>
        <rFont val="SF Hello Regular"/>
        <charset val="134"/>
      </rPr>
      <t>(Y/N)</t>
    </r>
  </si>
  <si>
    <r>
      <rPr>
        <sz val="10"/>
        <color rgb="FF000000"/>
        <rFont val="SF Hello Bold"/>
        <charset val="134"/>
      </rPr>
      <t xml:space="preserve">Quality Capacity Supportability 
</t>
    </r>
    <r>
      <rPr>
        <sz val="10"/>
        <color rgb="FF0432FF"/>
        <rFont val="SF Hello Regular"/>
        <charset val="134"/>
      </rPr>
      <t>(Y/N)</t>
    </r>
  </si>
  <si>
    <t>Laservall</t>
  </si>
  <si>
    <t>PM</t>
  </si>
  <si>
    <t>132x stations (Quartely) and validated with resource plan in matrix below</t>
  </si>
  <si>
    <t xml:space="preserve">Y, 15300m2(2026 Q2) idle capacity </t>
  </si>
  <si>
    <t xml:space="preserve">Y, 830sets (2026 Q2) idle capacity </t>
  </si>
  <si>
    <t>ME</t>
  </si>
  <si>
    <t>EE</t>
  </si>
  <si>
    <t>SW</t>
  </si>
  <si>
    <t>FAE</t>
  </si>
  <si>
    <t>Assembly</t>
  </si>
  <si>
    <t>Debug</t>
  </si>
  <si>
    <t xml:space="preserve">Quality </t>
  </si>
  <si>
    <t>Total</t>
  </si>
  <si>
    <t>Y2027 RFP Breakdown</t>
  </si>
  <si>
    <t>Items</t>
  </si>
  <si>
    <t>Program</t>
  </si>
  <si>
    <t>J91a</t>
  </si>
  <si>
    <t>K104/K12p</t>
  </si>
  <si>
    <t>B798</t>
  </si>
  <si>
    <t>B727</t>
  </si>
  <si>
    <t>N25x</t>
  </si>
  <si>
    <t>Station Name</t>
  </si>
  <si>
    <t xml:space="preserve">Putter Assembly </t>
  </si>
  <si>
    <t>Flex Assembly</t>
  </si>
  <si>
    <t>SCUD 3.0 Slab Area on Cap</t>
  </si>
  <si>
    <t>PnP + Press Battery to HSG</t>
  </si>
  <si>
    <t>PnP Load SC +CP to Solder</t>
  </si>
  <si>
    <t>PnP Cactus to CP</t>
  </si>
  <si>
    <t>PnP Unload  TE</t>
  </si>
  <si>
    <t>PnP Unload BE from UC</t>
  </si>
  <si>
    <t>N Skirt ANT Assy N Skirt ANT Assy</t>
  </si>
  <si>
    <t>S Skirt ANT Assy S Skirt ANT Assy</t>
  </si>
  <si>
    <t>HSG Auto Laser Clean HSG Auto Laser Clean</t>
  </si>
  <si>
    <t>BCM Sleeve Laser Welding Laser Welding</t>
  </si>
  <si>
    <t>Battery to HSG Grease to Oring and Oring to Screws</t>
  </si>
  <si>
    <t>Battery to HSG Lock Screws</t>
  </si>
  <si>
    <t>FATP LSJ Battery LSJ</t>
  </si>
  <si>
    <t>FATP LSJ Solder Joint AOI</t>
  </si>
  <si>
    <t>FATP LSJ LSJ contact plug to Gasket</t>
  </si>
  <si>
    <t>Subtoal</t>
  </si>
  <si>
    <t>Engagement Status (existing, new)</t>
  </si>
  <si>
    <t>New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</si>
</sst>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#,##0%"/>
  </numFmts>
  <fonts count="31">
    <font>
      <sz val="10"/>
      <color indexed="8"/>
      <name val="Helvetica Neue"/>
      <charset val="134"/>
    </font>
    <font>
      <sz val="12"/>
      <color indexed="8"/>
      <name val="SF Hello Bold"/>
      <charset val="134"/>
    </font>
    <font>
      <i/>
      <sz val="10"/>
      <color indexed="8"/>
      <name val="SF Hello Bold"/>
      <charset val="134"/>
    </font>
    <font>
      <b/>
      <sz val="10"/>
      <color indexed="8"/>
      <name val="Helvetica Neue"/>
      <charset val="134"/>
    </font>
    <font>
      <sz val="10"/>
      <color indexed="8"/>
      <name val="SF Hello Bold"/>
      <charset val="134"/>
    </font>
    <font>
      <sz val="10"/>
      <color indexed="8"/>
      <name val="SF Hello Regular"/>
      <charset val="134"/>
    </font>
    <font>
      <sz val="10"/>
      <name val="Helvetica Neue"/>
      <charset val="134"/>
    </font>
    <font>
      <sz val="8"/>
      <color rgb="FFFF0000"/>
      <name val="宋体-简"/>
      <charset val="134"/>
    </font>
    <font>
      <sz val="10"/>
      <color rgb="FF000000"/>
      <name val="SF Hello Bold"/>
      <charset val="134"/>
    </font>
    <font>
      <sz val="10"/>
      <color rgb="FFFF0000"/>
      <name val="Helvetica Neue"/>
      <charset val="134"/>
    </font>
    <font>
      <sz val="11"/>
      <color theme="1"/>
      <name val="Helvetica Neue"/>
      <charset val="134"/>
      <scheme val="minor"/>
    </font>
    <font>
      <u/>
      <sz val="11"/>
      <color rgb="FF0000FF"/>
      <name val="Helvetica Neue"/>
      <charset val="0"/>
      <scheme val="minor"/>
    </font>
    <font>
      <u/>
      <sz val="11"/>
      <color rgb="FF800080"/>
      <name val="Helvetica Neue"/>
      <charset val="0"/>
      <scheme val="minor"/>
    </font>
    <font>
      <sz val="11"/>
      <color rgb="FFFF0000"/>
      <name val="Helvetica Neue"/>
      <charset val="0"/>
      <scheme val="minor"/>
    </font>
    <font>
      <b/>
      <sz val="18"/>
      <color theme="3"/>
      <name val="Helvetica Neue"/>
      <charset val="134"/>
      <scheme val="minor"/>
    </font>
    <font>
      <i/>
      <sz val="11"/>
      <color rgb="FF7F7F7F"/>
      <name val="Helvetica Neue"/>
      <charset val="0"/>
      <scheme val="minor"/>
    </font>
    <font>
      <b/>
      <sz val="15"/>
      <color theme="3"/>
      <name val="Helvetica Neue"/>
      <charset val="134"/>
      <scheme val="minor"/>
    </font>
    <font>
      <b/>
      <sz val="13"/>
      <color theme="3"/>
      <name val="Helvetica Neue"/>
      <charset val="134"/>
      <scheme val="minor"/>
    </font>
    <font>
      <b/>
      <sz val="11"/>
      <color theme="3"/>
      <name val="Helvetica Neue"/>
      <charset val="134"/>
      <scheme val="minor"/>
    </font>
    <font>
      <sz val="11"/>
      <color rgb="FF3F3F76"/>
      <name val="Helvetica Neue"/>
      <charset val="0"/>
      <scheme val="minor"/>
    </font>
    <font>
      <b/>
      <sz val="11"/>
      <color rgb="FF3F3F3F"/>
      <name val="Helvetica Neue"/>
      <charset val="0"/>
      <scheme val="minor"/>
    </font>
    <font>
      <b/>
      <sz val="11"/>
      <color rgb="FFFA7D00"/>
      <name val="Helvetica Neue"/>
      <charset val="0"/>
      <scheme val="minor"/>
    </font>
    <font>
      <b/>
      <sz val="11"/>
      <color rgb="FFFFFFFF"/>
      <name val="Helvetica Neue"/>
      <charset val="0"/>
      <scheme val="minor"/>
    </font>
    <font>
      <sz val="11"/>
      <color rgb="FFFA7D00"/>
      <name val="Helvetica Neue"/>
      <charset val="0"/>
      <scheme val="minor"/>
    </font>
    <font>
      <b/>
      <sz val="11"/>
      <color theme="1"/>
      <name val="Helvetica Neue"/>
      <charset val="0"/>
      <scheme val="minor"/>
    </font>
    <font>
      <sz val="11"/>
      <color rgb="FF006100"/>
      <name val="Helvetica Neue"/>
      <charset val="0"/>
      <scheme val="minor"/>
    </font>
    <font>
      <sz val="11"/>
      <color rgb="FF9C0006"/>
      <name val="Helvetica Neue"/>
      <charset val="0"/>
      <scheme val="minor"/>
    </font>
    <font>
      <sz val="11"/>
      <color rgb="FF9C6500"/>
      <name val="Helvetica Neue"/>
      <charset val="0"/>
      <scheme val="minor"/>
    </font>
    <font>
      <sz val="11"/>
      <color theme="0"/>
      <name val="Helvetica Neue"/>
      <charset val="0"/>
      <scheme val="minor"/>
    </font>
    <font>
      <sz val="11"/>
      <color theme="1"/>
      <name val="Helvetica Neue"/>
      <charset val="0"/>
      <scheme val="minor"/>
    </font>
    <font>
      <sz val="10"/>
      <color rgb="FF0432FF"/>
      <name val="SF Hello Regular"/>
      <charset val="134"/>
    </font>
  </fonts>
  <fills count="36">
    <fill>
      <patternFill patternType="none"/>
    </fill>
    <fill>
      <patternFill patternType="gray125"/>
    </fill>
    <fill>
      <patternFill patternType="solid">
        <fgColor indexed="14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2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2"/>
      </bottom>
      <diagonal/>
    </border>
    <border>
      <left style="thin">
        <color indexed="10"/>
      </left>
      <right style="thin">
        <color indexed="10"/>
      </right>
      <top style="thin">
        <color indexed="12"/>
      </top>
      <bottom style="thin">
        <color indexed="10"/>
      </bottom>
      <diagonal/>
    </border>
    <border>
      <left style="thin">
        <color indexed="10"/>
      </left>
      <right style="thin">
        <color indexed="12"/>
      </right>
      <top style="thin">
        <color indexed="12"/>
      </top>
      <bottom style="thin">
        <color indexed="10"/>
      </bottom>
      <diagonal/>
    </border>
    <border>
      <left style="thin">
        <color indexed="12"/>
      </left>
      <right style="thin">
        <color indexed="10"/>
      </right>
      <top style="thin">
        <color indexed="12"/>
      </top>
      <bottom style="thin">
        <color indexed="10"/>
      </bottom>
      <diagonal/>
    </border>
    <border>
      <left style="thin">
        <color indexed="10"/>
      </left>
      <right style="thin">
        <color indexed="12"/>
      </right>
      <top style="thin">
        <color indexed="10"/>
      </top>
      <bottom style="thin">
        <color indexed="10"/>
      </bottom>
      <diagonal/>
    </border>
    <border>
      <left style="thin">
        <color indexed="12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theme="0" tint="-0.5"/>
      </left>
      <right style="thin">
        <color theme="0" tint="-0.5"/>
      </right>
      <top style="thin">
        <color theme="0" tint="-0.5"/>
      </top>
      <bottom style="thin">
        <color theme="0" tint="-0.5"/>
      </bottom>
      <diagonal/>
    </border>
    <border>
      <left style="thin">
        <color theme="0" tint="-0.5"/>
      </left>
      <right style="thin">
        <color theme="0" tint="-0.5"/>
      </right>
      <top style="thin">
        <color theme="0" tint="-0.5"/>
      </top>
      <bottom style="medium">
        <color theme="1"/>
      </bottom>
      <diagonal/>
    </border>
    <border>
      <left style="thin">
        <color theme="0" tint="-0.5"/>
      </left>
      <right style="thin">
        <color theme="0" tint="-0.5"/>
      </right>
      <top/>
      <bottom style="thin">
        <color theme="0" tint="-0.5"/>
      </bottom>
      <diagonal/>
    </border>
    <border>
      <left style="thin">
        <color indexed="10"/>
      </left>
      <right style="thin">
        <color indexed="10"/>
      </right>
      <top style="thin">
        <color indexed="12"/>
      </top>
      <bottom/>
      <diagonal/>
    </border>
    <border>
      <left style="thin">
        <color indexed="10"/>
      </left>
      <right style="thin">
        <color indexed="10"/>
      </right>
      <top/>
      <bottom/>
      <diagonal/>
    </border>
    <border>
      <left style="thin">
        <color indexed="10"/>
      </left>
      <right style="thin">
        <color indexed="10"/>
      </right>
      <top/>
      <bottom style="thin">
        <color indexed="1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NumberFormat="0" applyFill="0" applyBorder="0" applyProtection="0">
      <alignment vertical="top" wrapText="1"/>
    </xf>
    <xf numFmtId="43" fontId="10" fillId="0" borderId="0" applyFont="0" applyFill="0" applyBorder="0" applyAlignment="0" applyProtection="0">
      <alignment vertical="center"/>
    </xf>
    <xf numFmtId="44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0" fillId="5" borderId="14" applyNumberFormat="0" applyFont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15" applyNumberFormat="0" applyFill="0" applyAlignment="0" applyProtection="0">
      <alignment vertical="center"/>
    </xf>
    <xf numFmtId="0" fontId="17" fillId="0" borderId="15" applyNumberFormat="0" applyFill="0" applyAlignment="0" applyProtection="0">
      <alignment vertical="center"/>
    </xf>
    <xf numFmtId="0" fontId="18" fillId="0" borderId="16" applyNumberFormat="0" applyFill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6" borderId="17" applyNumberFormat="0" applyAlignment="0" applyProtection="0">
      <alignment vertical="center"/>
    </xf>
    <xf numFmtId="0" fontId="20" fillId="7" borderId="18" applyNumberFormat="0" applyAlignment="0" applyProtection="0">
      <alignment vertical="center"/>
    </xf>
    <xf numFmtId="0" fontId="21" fillId="7" borderId="17" applyNumberFormat="0" applyAlignment="0" applyProtection="0">
      <alignment vertical="center"/>
    </xf>
    <xf numFmtId="0" fontId="22" fillId="8" borderId="19" applyNumberFormat="0" applyAlignment="0" applyProtection="0">
      <alignment vertical="center"/>
    </xf>
    <xf numFmtId="0" fontId="23" fillId="0" borderId="20" applyNumberFormat="0" applyFill="0" applyAlignment="0" applyProtection="0">
      <alignment vertical="center"/>
    </xf>
    <xf numFmtId="0" fontId="24" fillId="0" borderId="21" applyNumberFormat="0" applyFill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6" fillId="10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8" fillId="12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8" fillId="15" borderId="0" applyNumberFormat="0" applyBorder="0" applyAlignment="0" applyProtection="0">
      <alignment vertical="center"/>
    </xf>
    <xf numFmtId="0" fontId="28" fillId="16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8" fillId="19" borderId="0" applyNumberFormat="0" applyBorder="0" applyAlignment="0" applyProtection="0">
      <alignment vertical="center"/>
    </xf>
    <xf numFmtId="0" fontId="28" fillId="20" borderId="0" applyNumberFormat="0" applyBorder="0" applyAlignment="0" applyProtection="0">
      <alignment vertical="center"/>
    </xf>
    <xf numFmtId="0" fontId="29" fillId="21" borderId="0" applyNumberFormat="0" applyBorder="0" applyAlignment="0" applyProtection="0">
      <alignment vertical="center"/>
    </xf>
    <xf numFmtId="0" fontId="29" fillId="22" borderId="0" applyNumberFormat="0" applyBorder="0" applyAlignment="0" applyProtection="0">
      <alignment vertical="center"/>
    </xf>
    <xf numFmtId="0" fontId="28" fillId="23" borderId="0" applyNumberFormat="0" applyBorder="0" applyAlignment="0" applyProtection="0">
      <alignment vertical="center"/>
    </xf>
    <xf numFmtId="0" fontId="28" fillId="24" borderId="0" applyNumberFormat="0" applyBorder="0" applyAlignment="0" applyProtection="0">
      <alignment vertical="center"/>
    </xf>
    <xf numFmtId="0" fontId="29" fillId="25" borderId="0" applyNumberFormat="0" applyBorder="0" applyAlignment="0" applyProtection="0">
      <alignment vertical="center"/>
    </xf>
    <xf numFmtId="0" fontId="29" fillId="26" borderId="0" applyNumberFormat="0" applyBorder="0" applyAlignment="0" applyProtection="0">
      <alignment vertical="center"/>
    </xf>
    <xf numFmtId="0" fontId="28" fillId="27" borderId="0" applyNumberFormat="0" applyBorder="0" applyAlignment="0" applyProtection="0">
      <alignment vertical="center"/>
    </xf>
    <xf numFmtId="0" fontId="28" fillId="28" borderId="0" applyNumberFormat="0" applyBorder="0" applyAlignment="0" applyProtection="0">
      <alignment vertical="center"/>
    </xf>
    <xf numFmtId="0" fontId="29" fillId="29" borderId="0" applyNumberFormat="0" applyBorder="0" applyAlignment="0" applyProtection="0">
      <alignment vertical="center"/>
    </xf>
    <xf numFmtId="0" fontId="29" fillId="30" borderId="0" applyNumberFormat="0" applyBorder="0" applyAlignment="0" applyProtection="0">
      <alignment vertical="center"/>
    </xf>
    <xf numFmtId="0" fontId="28" fillId="31" borderId="0" applyNumberFormat="0" applyBorder="0" applyAlignment="0" applyProtection="0">
      <alignment vertical="center"/>
    </xf>
    <xf numFmtId="0" fontId="28" fillId="32" borderId="0" applyNumberFormat="0" applyBorder="0" applyAlignment="0" applyProtection="0">
      <alignment vertical="center"/>
    </xf>
    <xf numFmtId="0" fontId="29" fillId="33" borderId="0" applyNumberFormat="0" applyBorder="0" applyAlignment="0" applyProtection="0">
      <alignment vertical="center"/>
    </xf>
    <xf numFmtId="0" fontId="29" fillId="34" borderId="0" applyNumberFormat="0" applyBorder="0" applyAlignment="0" applyProtection="0">
      <alignment vertical="center"/>
    </xf>
    <xf numFmtId="0" fontId="28" fillId="35" borderId="0" applyNumberFormat="0" applyBorder="0" applyAlignment="0" applyProtection="0">
      <alignment vertical="center"/>
    </xf>
  </cellStyleXfs>
  <cellXfs count="33">
    <xf numFmtId="0" fontId="0" fillId="0" borderId="0" xfId="0">
      <alignment vertical="top" wrapText="1"/>
    </xf>
    <xf numFmtId="0" fontId="0" fillId="0" borderId="0" xfId="0" applyNumberFormat="1">
      <alignment vertical="top" wrapText="1"/>
    </xf>
    <xf numFmtId="0" fontId="1" fillId="0" borderId="0" xfId="0" applyFont="1" applyAlignment="1">
      <alignment horizontal="left" vertical="center"/>
    </xf>
    <xf numFmtId="49" fontId="2" fillId="2" borderId="1" xfId="0" applyNumberFormat="1" applyFont="1" applyFill="1" applyBorder="1" applyAlignment="1">
      <alignment horizontal="center" vertical="center" wrapText="1"/>
    </xf>
    <xf numFmtId="0" fontId="3" fillId="3" borderId="1" xfId="0" applyFont="1" applyFill="1" applyBorder="1">
      <alignment vertical="top" wrapText="1"/>
    </xf>
    <xf numFmtId="49" fontId="4" fillId="3" borderId="2" xfId="0" applyNumberFormat="1" applyFont="1" applyFill="1" applyBorder="1" applyAlignment="1">
      <alignment horizontal="center" vertical="center" wrapText="1"/>
    </xf>
    <xf numFmtId="0" fontId="4" fillId="4" borderId="3" xfId="0" applyFont="1" applyFill="1" applyBorder="1" applyAlignment="1">
      <alignment horizontal="center" vertical="center" wrapText="1"/>
    </xf>
    <xf numFmtId="49" fontId="4" fillId="4" borderId="4" xfId="0" applyNumberFormat="1" applyFont="1" applyFill="1" applyBorder="1" applyAlignment="1">
      <alignment horizontal="center" vertical="center" wrapText="1"/>
    </xf>
    <xf numFmtId="9" fontId="3" fillId="0" borderId="5" xfId="0" applyNumberFormat="1" applyFont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 wrapText="1"/>
    </xf>
    <xf numFmtId="49" fontId="4" fillId="4" borderId="6" xfId="0" applyNumberFormat="1" applyFont="1" applyFill="1" applyBorder="1" applyAlignment="1">
      <alignment horizontal="center" vertical="center" wrapText="1"/>
    </xf>
    <xf numFmtId="0" fontId="0" fillId="0" borderId="7" xfId="0" applyBorder="1">
      <alignment vertical="top" wrapText="1"/>
    </xf>
    <xf numFmtId="176" fontId="5" fillId="0" borderId="7" xfId="0" applyNumberFormat="1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49" fontId="2" fillId="2" borderId="8" xfId="0" applyNumberFormat="1" applyFont="1" applyFill="1" applyBorder="1" applyAlignment="1">
      <alignment horizontal="center" vertical="center" wrapText="1"/>
    </xf>
    <xf numFmtId="0" fontId="3" fillId="3" borderId="8" xfId="0" applyFont="1" applyFill="1" applyBorder="1">
      <alignment vertical="top" wrapText="1"/>
    </xf>
    <xf numFmtId="49" fontId="4" fillId="3" borderId="9" xfId="0" applyNumberFormat="1" applyFont="1" applyFill="1" applyBorder="1" applyAlignment="1">
      <alignment horizontal="center" vertical="center" wrapText="1"/>
    </xf>
    <xf numFmtId="49" fontId="4" fillId="4" borderId="10" xfId="0" applyNumberFormat="1" applyFont="1" applyFill="1" applyBorder="1" applyAlignment="1">
      <alignment horizontal="center" vertical="center" wrapText="1"/>
    </xf>
    <xf numFmtId="49" fontId="4" fillId="4" borderId="8" xfId="0" applyNumberFormat="1" applyFont="1" applyFill="1" applyBorder="1" applyAlignment="1">
      <alignment horizontal="center" vertical="center" wrapText="1"/>
    </xf>
    <xf numFmtId="0" fontId="6" fillId="0" borderId="0" xfId="0" applyNumberFormat="1" applyFont="1" applyAlignment="1">
      <alignment horizontal="center" vertical="center" wrapText="1"/>
    </xf>
    <xf numFmtId="0" fontId="6" fillId="0" borderId="0" xfId="0" applyNumberFormat="1" applyFont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49" fontId="5" fillId="0" borderId="11" xfId="0" applyNumberFormat="1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49" fontId="5" fillId="0" borderId="12" xfId="0" applyNumberFormat="1" applyFont="1" applyBorder="1" applyAlignment="1">
      <alignment horizontal="center" vertical="center" wrapText="1"/>
    </xf>
    <xf numFmtId="49" fontId="5" fillId="0" borderId="13" xfId="0" applyNumberFormat="1" applyFont="1" applyBorder="1" applyAlignment="1">
      <alignment horizontal="center" vertical="center" wrapText="1"/>
    </xf>
    <xf numFmtId="0" fontId="4" fillId="0" borderId="1" xfId="0" applyNumberFormat="1" applyFont="1" applyBorder="1" applyAlignment="1">
      <alignment horizontal="center" vertical="center" wrapText="1"/>
    </xf>
    <xf numFmtId="0" fontId="4" fillId="3" borderId="9" xfId="0" applyFont="1" applyFill="1" applyBorder="1" applyAlignment="1">
      <alignment horizontal="center" vertical="center" wrapText="1"/>
    </xf>
    <xf numFmtId="0" fontId="5" fillId="0" borderId="10" xfId="0" applyFont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 wrapText="1"/>
    </xf>
    <xf numFmtId="0" fontId="7" fillId="0" borderId="0" xfId="0" applyNumberFormat="1" applyFont="1" applyBorder="1" applyAlignment="1">
      <alignment horizontal="center" vertical="center" wrapText="1"/>
    </xf>
    <xf numFmtId="49" fontId="8" fillId="3" borderId="2" xfId="0" applyNumberFormat="1" applyFont="1" applyFill="1" applyBorder="1" applyAlignment="1">
      <alignment horizontal="center" vertical="center" wrapText="1"/>
    </xf>
    <xf numFmtId="0" fontId="9" fillId="0" borderId="0" xfId="0" applyNumberFormat="1" applyFont="1">
      <alignment vertical="top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60D836"/>
      <rgbColor rgb="00A5A5A5"/>
      <rgbColor rgb="00BDC0BF"/>
      <rgbColor rgb="003F3F3F"/>
      <rgbColor rgb="000432FF"/>
      <rgbColor rgb="0056C1FE"/>
      <rgbColor rgb="00DBDBDB"/>
      <rgbColor rgb="00FEFFFE"/>
      <rgbColor rgb="008ACFFF"/>
      <rgbColor rgb="00FFFACA"/>
      <rgbColor rgb="00DDF2FF"/>
      <rgbColor rgb="0000F800"/>
      <rgbColor rgb="000C0D11"/>
      <rgbColor rgb="000E1114"/>
      <rgbColor rgb="00D3D3D3"/>
      <rgbColor rgb="00CACACA"/>
      <rgbColor rgb="00FF2600"/>
      <rgbColor rgb="00D5D5D5"/>
      <rgbColor rgb="00FFF056"/>
      <rgbColor rgb="0072FCE9"/>
      <rgbColor rgb="00F27100"/>
      <rgbColor rgb="000075B9"/>
      <rgbColor rgb="007F7F7F"/>
      <rgbColor rgb="00FF9200"/>
      <rgbColor rgb="00FDAD00"/>
      <rgbColor rgb="00FFFA00"/>
      <rgbColor rgb="001CB000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eetMetadata" Target="metadata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</a:spPr>
      <a:bodyPr rot="0" spcFirstLastPara="1" vertOverflow="overflow" horzOverflow="overflow" vert="horz" wrap="square" lIns="50800" tIns="50800" rIns="50800" bIns="50800" numCol="1" spcCol="38100" rtlCol="0" anchor="ctr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200" b="0" i="0" u="none" strike="noStrike" cap="none" spc="0" normalizeH="0" baseline="0">
            <a:ln>
              <a:noFill/>
            </a:ln>
            <a:solidFill>
              <a:srgbClr val="FFFFFF"/>
            </a:solidFill>
            <a:effectLst/>
            <a:uFillTx/>
            <a:latin typeface="Helvetica Neue Medium" panose="02000503000000020004"/>
            <a:ea typeface="Helvetica Neue Medium" panose="02000503000000020004"/>
            <a:cs typeface="Helvetica Neue Medium" panose="02000503000000020004"/>
            <a:sym typeface="Helvetica Neue Medium" panose="02000503000000020004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</a:spPr>
      <a:bodyPr rot="0" spcFirstLastPara="1" vertOverflow="overflow" horzOverflow="overflow" vert="horz" wrap="square" lIns="50800" tIns="50800" rIns="50800" bIns="50800" numCol="1" spcCol="38100" rtlCol="0" anchor="t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 panose="02000503000000020004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B1:V31"/>
  <sheetViews>
    <sheetView showGridLines="0" tabSelected="1" zoomScale="70" zoomScaleNormal="70" workbookViewId="0">
      <pane ySplit="1" topLeftCell="A2" activePane="bottomLeft" state="frozen"/>
      <selection/>
      <selection pane="bottomLeft" activeCell="H26" sqref="H26"/>
    </sheetView>
  </sheetViews>
  <sheetFormatPr defaultColWidth="16.3303571428571" defaultRowHeight="20" customHeight="1"/>
  <cols>
    <col min="1" max="1" width="5.66071428571429" style="1" customWidth="1"/>
    <col min="2" max="3" width="10.8303571428571" style="1" customWidth="1"/>
    <col min="4" max="4" width="20.6607142857143" style="1" customWidth="1"/>
    <col min="5" max="5" width="16.6607142857143" style="1" customWidth="1"/>
    <col min="6" max="7" width="19.1607142857143" style="1" customWidth="1"/>
    <col min="8" max="8" width="16.1607142857143" style="1" customWidth="1"/>
    <col min="9" max="12" width="16.6607142857143" style="1" customWidth="1"/>
    <col min="13" max="22" width="16.7321428571429" style="1" customWidth="1"/>
    <col min="23" max="16384" width="16.3303571428571" style="1"/>
  </cols>
  <sheetData>
    <row r="1" ht="17" customHeight="1"/>
    <row r="3" ht="28" customHeight="1" spans="2:12">
      <c r="B3" s="2" t="s">
        <v>0</v>
      </c>
      <c r="C3" s="2"/>
      <c r="D3" s="2"/>
      <c r="E3" s="2"/>
      <c r="F3" s="2"/>
      <c r="G3" s="2"/>
      <c r="H3" s="2"/>
      <c r="I3" s="2"/>
      <c r="J3" s="2"/>
      <c r="K3" s="2"/>
      <c r="L3" s="2"/>
    </row>
    <row r="4" ht="28" customHeight="1" spans="2:12">
      <c r="B4" s="3" t="s">
        <v>1</v>
      </c>
      <c r="C4" s="4"/>
      <c r="D4" s="4"/>
      <c r="E4" s="4"/>
      <c r="F4" s="4"/>
      <c r="G4" s="4"/>
      <c r="H4" s="4"/>
      <c r="I4" s="4"/>
      <c r="J4" s="4"/>
      <c r="K4" s="4"/>
      <c r="L4" s="4"/>
    </row>
    <row r="5" ht="80" customHeight="1" spans="2:12">
      <c r="B5" s="5" t="s">
        <v>2</v>
      </c>
      <c r="C5" s="5" t="s">
        <v>3</v>
      </c>
      <c r="D5" s="5" t="s">
        <v>4</v>
      </c>
      <c r="E5" s="5" t="s">
        <v>5</v>
      </c>
      <c r="F5" s="5" t="s">
        <v>6</v>
      </c>
      <c r="G5" s="5" t="s">
        <v>7</v>
      </c>
      <c r="H5" s="5" t="s">
        <v>8</v>
      </c>
      <c r="I5" s="31" t="s">
        <v>9</v>
      </c>
      <c r="J5" s="31" t="s">
        <v>10</v>
      </c>
      <c r="K5" s="31" t="s">
        <v>11</v>
      </c>
      <c r="L5" s="31" t="s">
        <v>12</v>
      </c>
    </row>
    <row r="6" ht="30" customHeight="1" spans="2:12">
      <c r="B6" s="6" t="s">
        <v>13</v>
      </c>
      <c r="C6" s="7" t="s">
        <v>14</v>
      </c>
      <c r="D6" s="8" cm="1">
        <f t="array" ref="D6">SUM(F6:F13/SUM(E6:E13))</f>
        <v>0.449107142857143</v>
      </c>
      <c r="E6" s="21">
        <v>53</v>
      </c>
      <c r="F6" s="21">
        <v>19</v>
      </c>
      <c r="G6" s="21">
        <f>E6-F6</f>
        <v>34</v>
      </c>
      <c r="H6" s="22" t="s">
        <v>15</v>
      </c>
      <c r="I6" s="22" t="s">
        <v>16</v>
      </c>
      <c r="J6" s="22" t="s">
        <v>17</v>
      </c>
      <c r="K6" s="22" t="s">
        <v>17</v>
      </c>
      <c r="L6" s="22" t="s">
        <v>17</v>
      </c>
    </row>
    <row r="7" ht="30" customHeight="1" spans="2:12">
      <c r="B7" s="9" t="s">
        <v>13</v>
      </c>
      <c r="C7" s="10" t="s">
        <v>18</v>
      </c>
      <c r="D7" s="11"/>
      <c r="E7" s="23">
        <v>115</v>
      </c>
      <c r="F7" s="23">
        <v>37</v>
      </c>
      <c r="G7" s="23">
        <f t="shared" ref="G7:G13" si="0">E7-F7</f>
        <v>78</v>
      </c>
      <c r="H7" s="24"/>
      <c r="I7" s="24"/>
      <c r="J7" s="24"/>
      <c r="K7" s="24"/>
      <c r="L7" s="24"/>
    </row>
    <row r="8" ht="30" customHeight="1" spans="2:12">
      <c r="B8" s="9" t="s">
        <v>13</v>
      </c>
      <c r="C8" s="10" t="s">
        <v>19</v>
      </c>
      <c r="D8" s="11"/>
      <c r="E8" s="23">
        <v>90</v>
      </c>
      <c r="F8" s="23">
        <v>37</v>
      </c>
      <c r="G8" s="23">
        <f t="shared" si="0"/>
        <v>53</v>
      </c>
      <c r="H8" s="24"/>
      <c r="I8" s="24"/>
      <c r="J8" s="24"/>
      <c r="K8" s="24"/>
      <c r="L8" s="24"/>
    </row>
    <row r="9" ht="30" customHeight="1" spans="2:12">
      <c r="B9" s="9" t="s">
        <v>13</v>
      </c>
      <c r="C9" s="10" t="s">
        <v>20</v>
      </c>
      <c r="D9" s="11"/>
      <c r="E9" s="23">
        <v>105</v>
      </c>
      <c r="F9" s="23">
        <v>37</v>
      </c>
      <c r="G9" s="23">
        <f t="shared" si="0"/>
        <v>68</v>
      </c>
      <c r="H9" s="24"/>
      <c r="I9" s="24"/>
      <c r="J9" s="24"/>
      <c r="K9" s="24"/>
      <c r="L9" s="24"/>
    </row>
    <row r="10" ht="30" customHeight="1" spans="2:12">
      <c r="B10" s="9" t="s">
        <v>13</v>
      </c>
      <c r="C10" s="10" t="s">
        <v>21</v>
      </c>
      <c r="D10" s="11"/>
      <c r="E10" s="23">
        <v>97</v>
      </c>
      <c r="F10" s="23">
        <v>30</v>
      </c>
      <c r="G10" s="23">
        <f t="shared" si="0"/>
        <v>67</v>
      </c>
      <c r="H10" s="24"/>
      <c r="I10" s="24"/>
      <c r="J10" s="24"/>
      <c r="K10" s="24"/>
      <c r="L10" s="24"/>
    </row>
    <row r="11" ht="30" customHeight="1" spans="2:12">
      <c r="B11" s="9" t="s">
        <v>13</v>
      </c>
      <c r="C11" s="10" t="s">
        <v>22</v>
      </c>
      <c r="D11" s="11"/>
      <c r="E11" s="23">
        <v>963</v>
      </c>
      <c r="F11" s="23">
        <v>403</v>
      </c>
      <c r="G11" s="23">
        <f t="shared" si="0"/>
        <v>560</v>
      </c>
      <c r="H11" s="24"/>
      <c r="I11" s="24"/>
      <c r="J11" s="24"/>
      <c r="K11" s="24"/>
      <c r="L11" s="24"/>
    </row>
    <row r="12" ht="30" customHeight="1" spans="2:12">
      <c r="B12" s="9" t="s">
        <v>13</v>
      </c>
      <c r="C12" s="10" t="s">
        <v>23</v>
      </c>
      <c r="D12" s="11"/>
      <c r="E12" s="23">
        <f>877-97</f>
        <v>780</v>
      </c>
      <c r="F12" s="23">
        <v>428</v>
      </c>
      <c r="G12" s="23">
        <f t="shared" si="0"/>
        <v>352</v>
      </c>
      <c r="H12" s="24"/>
      <c r="I12" s="24"/>
      <c r="J12" s="24"/>
      <c r="K12" s="24"/>
      <c r="L12" s="24"/>
    </row>
    <row r="13" ht="30" customHeight="1" spans="2:12">
      <c r="B13" s="9" t="s">
        <v>13</v>
      </c>
      <c r="C13" s="10" t="s">
        <v>24</v>
      </c>
      <c r="D13" s="11"/>
      <c r="E13" s="23">
        <v>37</v>
      </c>
      <c r="F13" s="23">
        <v>15</v>
      </c>
      <c r="G13" s="23">
        <f t="shared" si="0"/>
        <v>22</v>
      </c>
      <c r="H13" s="25"/>
      <c r="I13" s="25"/>
      <c r="J13" s="25"/>
      <c r="K13" s="25"/>
      <c r="L13" s="25"/>
    </row>
    <row r="14" ht="30" customHeight="1" spans="2:12">
      <c r="B14" s="9" t="s">
        <v>13</v>
      </c>
      <c r="C14" s="10" t="s">
        <v>25</v>
      </c>
      <c r="D14" s="12"/>
      <c r="E14" s="26">
        <f t="shared" ref="E14:G14" si="1">SUM(E6:E13)</f>
        <v>2240</v>
      </c>
      <c r="F14" s="26">
        <f>SUM(F6:F13)</f>
        <v>1006</v>
      </c>
      <c r="G14" s="26">
        <f t="shared" si="1"/>
        <v>1234</v>
      </c>
      <c r="H14" s="23"/>
      <c r="I14" s="23"/>
      <c r="J14" s="23"/>
      <c r="K14" s="23"/>
      <c r="L14" s="23"/>
    </row>
    <row r="16" ht="28" customHeight="1" spans="3:13">
      <c r="C16" s="13" t="s">
        <v>26</v>
      </c>
      <c r="D16" s="13"/>
      <c r="E16" s="13"/>
      <c r="F16" s="13"/>
      <c r="G16" s="13"/>
      <c r="H16" s="13"/>
      <c r="I16" s="13"/>
      <c r="J16" s="13"/>
      <c r="K16" s="13"/>
      <c r="L16" s="13"/>
      <c r="M16" s="32"/>
    </row>
    <row r="17" ht="26" customHeight="1" spans="3:12">
      <c r="C17" s="14" t="s">
        <v>1</v>
      </c>
      <c r="D17" s="15"/>
      <c r="E17" s="15"/>
      <c r="F17" s="15"/>
      <c r="G17" s="15"/>
      <c r="H17" s="15"/>
      <c r="I17" s="15"/>
      <c r="J17" s="15"/>
      <c r="K17" s="15"/>
      <c r="L17" s="15"/>
    </row>
    <row r="18" ht="31" customHeight="1" spans="3:22">
      <c r="C18" s="16" t="s">
        <v>2</v>
      </c>
      <c r="D18" s="16" t="s">
        <v>27</v>
      </c>
      <c r="E18" s="27">
        <v>1</v>
      </c>
      <c r="F18" s="27">
        <v>2</v>
      </c>
      <c r="G18" s="27">
        <v>3</v>
      </c>
      <c r="H18" s="27">
        <v>4</v>
      </c>
      <c r="I18" s="27">
        <v>5</v>
      </c>
      <c r="J18" s="27">
        <v>6</v>
      </c>
      <c r="K18" s="27">
        <v>7</v>
      </c>
      <c r="L18" s="27">
        <v>8</v>
      </c>
      <c r="M18" s="27">
        <v>9</v>
      </c>
      <c r="N18" s="27">
        <v>10</v>
      </c>
      <c r="O18" s="27">
        <v>11</v>
      </c>
      <c r="P18" s="27">
        <v>12</v>
      </c>
      <c r="Q18" s="27">
        <v>13</v>
      </c>
      <c r="R18" s="27">
        <v>14</v>
      </c>
      <c r="S18" s="27">
        <v>15</v>
      </c>
      <c r="T18" s="27">
        <v>16</v>
      </c>
      <c r="U18" s="27"/>
      <c r="V18" s="27"/>
    </row>
    <row r="19" ht="31" customHeight="1" spans="3:22">
      <c r="C19" s="17" t="s">
        <v>13</v>
      </c>
      <c r="D19" s="17" t="s">
        <v>28</v>
      </c>
      <c r="E19" s="28" t="s">
        <v>29</v>
      </c>
      <c r="F19" s="28" t="s">
        <v>30</v>
      </c>
      <c r="G19" s="28" t="s">
        <v>31</v>
      </c>
      <c r="H19" s="28" t="s">
        <v>31</v>
      </c>
      <c r="I19" s="28" t="s">
        <v>31</v>
      </c>
      <c r="J19" s="28" t="s">
        <v>31</v>
      </c>
      <c r="K19" s="28" t="s">
        <v>32</v>
      </c>
      <c r="L19" s="28" t="s">
        <v>32</v>
      </c>
      <c r="M19" s="28" t="s">
        <v>33</v>
      </c>
      <c r="N19" s="28" t="s">
        <v>33</v>
      </c>
      <c r="O19" s="28" t="s">
        <v>33</v>
      </c>
      <c r="P19" s="28" t="s">
        <v>33</v>
      </c>
      <c r="Q19" s="28" t="s">
        <v>33</v>
      </c>
      <c r="R19" s="28" t="s">
        <v>33</v>
      </c>
      <c r="S19" s="28" t="s">
        <v>31</v>
      </c>
      <c r="T19" s="28" t="s">
        <v>31</v>
      </c>
      <c r="U19" s="28" t="s">
        <v>31</v>
      </c>
      <c r="V19" s="28" t="s">
        <v>31</v>
      </c>
    </row>
    <row r="20" ht="31" customHeight="1" spans="3:22">
      <c r="C20" s="18" t="s">
        <v>13</v>
      </c>
      <c r="D20" s="18" t="s">
        <v>34</v>
      </c>
      <c r="E20" s="29" t="s">
        <v>35</v>
      </c>
      <c r="F20" s="29" t="s">
        <v>36</v>
      </c>
      <c r="G20" s="29" t="s">
        <v>37</v>
      </c>
      <c r="H20" s="29" t="s">
        <v>38</v>
      </c>
      <c r="I20" s="29" t="s">
        <v>39</v>
      </c>
      <c r="J20" s="29" t="s">
        <v>40</v>
      </c>
      <c r="K20" s="29" t="s">
        <v>41</v>
      </c>
      <c r="L20" s="29" t="s">
        <v>42</v>
      </c>
      <c r="M20" s="29" t="s">
        <v>43</v>
      </c>
      <c r="N20" s="29" t="s">
        <v>44</v>
      </c>
      <c r="O20" s="29" t="s">
        <v>45</v>
      </c>
      <c r="P20" s="29" t="s">
        <v>46</v>
      </c>
      <c r="Q20" s="29" t="s">
        <v>47</v>
      </c>
      <c r="R20" s="29" t="s">
        <v>48</v>
      </c>
      <c r="S20" s="29" t="s">
        <v>49</v>
      </c>
      <c r="T20" s="29" t="s">
        <v>50</v>
      </c>
      <c r="U20" s="29" t="s">
        <v>51</v>
      </c>
      <c r="V20" s="29" t="s">
        <v>50</v>
      </c>
    </row>
    <row r="21" ht="31" customHeight="1" spans="2:22">
      <c r="B21" s="19" t="s">
        <v>52</v>
      </c>
      <c r="C21" s="18" t="s">
        <v>13</v>
      </c>
      <c r="D21" s="18" t="s">
        <v>53</v>
      </c>
      <c r="E21" s="29" t="s">
        <v>54</v>
      </c>
      <c r="F21" s="29" t="s">
        <v>54</v>
      </c>
      <c r="G21" s="29" t="s">
        <v>54</v>
      </c>
      <c r="H21" s="29" t="s">
        <v>54</v>
      </c>
      <c r="I21" s="29" t="s">
        <v>54</v>
      </c>
      <c r="J21" s="29" t="s">
        <v>54</v>
      </c>
      <c r="K21" s="29" t="s">
        <v>54</v>
      </c>
      <c r="L21" s="29" t="s">
        <v>54</v>
      </c>
      <c r="M21" s="29" t="s">
        <v>54</v>
      </c>
      <c r="N21" s="29" t="s">
        <v>54</v>
      </c>
      <c r="O21" s="29" t="s">
        <v>54</v>
      </c>
      <c r="P21" s="29" t="s">
        <v>54</v>
      </c>
      <c r="Q21" s="29" t="s">
        <v>54</v>
      </c>
      <c r="R21" s="29" t="s">
        <v>54</v>
      </c>
      <c r="S21" s="29" t="s">
        <v>54</v>
      </c>
      <c r="T21" s="29" t="s">
        <v>54</v>
      </c>
      <c r="U21" s="29" t="s">
        <v>54</v>
      </c>
      <c r="V21" s="29" t="s">
        <v>54</v>
      </c>
    </row>
    <row r="22" ht="31" customHeight="1" spans="2:22">
      <c r="B22" s="20">
        <f>ROUNDUP(SUM(E22:V22),0)</f>
        <v>17</v>
      </c>
      <c r="C22" s="18" t="s">
        <v>13</v>
      </c>
      <c r="D22" s="18" t="s">
        <v>14</v>
      </c>
      <c r="E22" s="29">
        <v>4</v>
      </c>
      <c r="F22" s="29">
        <v>3</v>
      </c>
      <c r="G22" s="29">
        <v>0.625</v>
      </c>
      <c r="H22" s="29">
        <v>0.625</v>
      </c>
      <c r="I22" s="29">
        <v>0.625</v>
      </c>
      <c r="J22" s="29">
        <v>0.625</v>
      </c>
      <c r="K22" s="29">
        <v>0.625</v>
      </c>
      <c r="L22" s="29">
        <v>0.625</v>
      </c>
      <c r="M22" s="29">
        <v>0.625</v>
      </c>
      <c r="N22" s="29">
        <v>0.625</v>
      </c>
      <c r="O22" s="29">
        <v>0.625</v>
      </c>
      <c r="P22" s="29">
        <v>0.625</v>
      </c>
      <c r="Q22" s="29">
        <v>0.625</v>
      </c>
      <c r="R22" s="29">
        <v>0.625</v>
      </c>
      <c r="S22" s="29">
        <v>0.625</v>
      </c>
      <c r="T22" s="29">
        <v>0.625</v>
      </c>
      <c r="U22" s="29">
        <v>0.625</v>
      </c>
      <c r="V22" s="29">
        <v>0.625</v>
      </c>
    </row>
    <row r="23" ht="31" customHeight="1" spans="2:22">
      <c r="B23" s="20">
        <f t="shared" ref="B23:B29" si="2">ROUNDUP(SUM(E23:V23),0)</f>
        <v>30</v>
      </c>
      <c r="C23" s="18" t="s">
        <v>13</v>
      </c>
      <c r="D23" s="18" t="s">
        <v>18</v>
      </c>
      <c r="E23" s="29">
        <v>5</v>
      </c>
      <c r="F23" s="29">
        <v>7</v>
      </c>
      <c r="G23" s="29">
        <v>2</v>
      </c>
      <c r="H23" s="29">
        <v>1</v>
      </c>
      <c r="I23" s="29">
        <v>1</v>
      </c>
      <c r="J23" s="29">
        <v>1</v>
      </c>
      <c r="K23" s="29">
        <v>1</v>
      </c>
      <c r="L23" s="29">
        <v>1</v>
      </c>
      <c r="M23" s="29">
        <v>1</v>
      </c>
      <c r="N23" s="29">
        <v>1</v>
      </c>
      <c r="O23" s="29">
        <v>2</v>
      </c>
      <c r="P23" s="29">
        <v>1</v>
      </c>
      <c r="Q23" s="29">
        <v>1</v>
      </c>
      <c r="R23" s="29">
        <v>1</v>
      </c>
      <c r="S23" s="29">
        <v>1</v>
      </c>
      <c r="T23" s="29">
        <v>1</v>
      </c>
      <c r="U23" s="29">
        <v>1</v>
      </c>
      <c r="V23" s="29">
        <v>1</v>
      </c>
    </row>
    <row r="24" ht="31" customHeight="1" spans="2:22">
      <c r="B24" s="20">
        <f t="shared" si="2"/>
        <v>24</v>
      </c>
      <c r="C24" s="18" t="s">
        <v>13</v>
      </c>
      <c r="D24" s="18" t="s">
        <v>19</v>
      </c>
      <c r="E24" s="29">
        <v>2</v>
      </c>
      <c r="F24" s="29">
        <v>4</v>
      </c>
      <c r="G24" s="29">
        <v>2</v>
      </c>
      <c r="H24" s="29">
        <v>1</v>
      </c>
      <c r="I24" s="29">
        <v>1</v>
      </c>
      <c r="J24" s="29">
        <v>1</v>
      </c>
      <c r="K24" s="29">
        <v>1</v>
      </c>
      <c r="L24" s="29">
        <v>1</v>
      </c>
      <c r="M24" s="29">
        <v>1</v>
      </c>
      <c r="N24" s="29">
        <v>1</v>
      </c>
      <c r="O24" s="29">
        <v>2</v>
      </c>
      <c r="P24" s="29">
        <v>1</v>
      </c>
      <c r="Q24" s="29">
        <v>1</v>
      </c>
      <c r="R24" s="29">
        <v>1</v>
      </c>
      <c r="S24" s="29">
        <v>1</v>
      </c>
      <c r="T24" s="29">
        <v>1</v>
      </c>
      <c r="U24" s="29">
        <v>1</v>
      </c>
      <c r="V24" s="29">
        <v>1</v>
      </c>
    </row>
    <row r="25" ht="31" customHeight="1" spans="2:22">
      <c r="B25" s="20">
        <f t="shared" si="2"/>
        <v>38</v>
      </c>
      <c r="C25" s="18" t="s">
        <v>13</v>
      </c>
      <c r="D25" s="18" t="s">
        <v>20</v>
      </c>
      <c r="E25" s="29">
        <v>8</v>
      </c>
      <c r="F25" s="29">
        <v>4</v>
      </c>
      <c r="G25" s="29">
        <v>2</v>
      </c>
      <c r="H25" s="29">
        <v>2</v>
      </c>
      <c r="I25" s="29">
        <v>2</v>
      </c>
      <c r="J25" s="29">
        <v>2</v>
      </c>
      <c r="K25" s="29">
        <v>1</v>
      </c>
      <c r="L25" s="29">
        <v>1</v>
      </c>
      <c r="M25" s="29">
        <v>1</v>
      </c>
      <c r="N25" s="29">
        <v>1</v>
      </c>
      <c r="O25" s="29">
        <v>2</v>
      </c>
      <c r="P25" s="29">
        <v>2</v>
      </c>
      <c r="Q25" s="29">
        <v>1</v>
      </c>
      <c r="R25" s="29">
        <v>1</v>
      </c>
      <c r="S25" s="29">
        <v>2</v>
      </c>
      <c r="T25" s="29">
        <v>2</v>
      </c>
      <c r="U25" s="29">
        <v>2</v>
      </c>
      <c r="V25" s="29">
        <v>2</v>
      </c>
    </row>
    <row r="26" ht="31" customHeight="1" spans="2:22">
      <c r="B26" s="20">
        <f t="shared" si="2"/>
        <v>40</v>
      </c>
      <c r="C26" s="18" t="s">
        <v>13</v>
      </c>
      <c r="D26" s="18" t="s">
        <v>21</v>
      </c>
      <c r="E26" s="29">
        <v>6</v>
      </c>
      <c r="F26" s="29">
        <v>2</v>
      </c>
      <c r="G26" s="29">
        <v>2</v>
      </c>
      <c r="H26" s="29">
        <v>2</v>
      </c>
      <c r="I26" s="29">
        <v>2</v>
      </c>
      <c r="J26" s="29">
        <v>2</v>
      </c>
      <c r="K26" s="29">
        <v>2</v>
      </c>
      <c r="L26" s="29">
        <v>2</v>
      </c>
      <c r="M26" s="29">
        <v>2</v>
      </c>
      <c r="N26" s="29">
        <v>2</v>
      </c>
      <c r="O26" s="29">
        <v>2</v>
      </c>
      <c r="P26" s="29">
        <v>2</v>
      </c>
      <c r="Q26" s="29">
        <v>2</v>
      </c>
      <c r="R26" s="29">
        <v>2</v>
      </c>
      <c r="S26" s="29">
        <v>2</v>
      </c>
      <c r="T26" s="29">
        <v>2</v>
      </c>
      <c r="U26" s="29">
        <v>2</v>
      </c>
      <c r="V26" s="29">
        <v>2</v>
      </c>
    </row>
    <row r="27" ht="31" customHeight="1" spans="2:22">
      <c r="B27" s="20">
        <f t="shared" si="2"/>
        <v>222</v>
      </c>
      <c r="C27" s="18" t="s">
        <v>13</v>
      </c>
      <c r="D27" s="18" t="s">
        <v>22</v>
      </c>
      <c r="E27" s="29">
        <v>60</v>
      </c>
      <c r="F27" s="29">
        <v>18</v>
      </c>
      <c r="G27" s="29">
        <v>12</v>
      </c>
      <c r="H27" s="29">
        <v>12</v>
      </c>
      <c r="I27" s="29">
        <v>12</v>
      </c>
      <c r="J27" s="29">
        <v>12</v>
      </c>
      <c r="K27" s="29">
        <v>6</v>
      </c>
      <c r="L27" s="29">
        <v>6</v>
      </c>
      <c r="M27" s="29">
        <v>6</v>
      </c>
      <c r="N27" s="29">
        <v>6</v>
      </c>
      <c r="O27" s="29">
        <v>6</v>
      </c>
      <c r="P27" s="29">
        <v>6</v>
      </c>
      <c r="Q27" s="29">
        <v>6</v>
      </c>
      <c r="R27" s="29">
        <v>6</v>
      </c>
      <c r="S27" s="29">
        <v>12</v>
      </c>
      <c r="T27" s="29">
        <v>12</v>
      </c>
      <c r="U27" s="29">
        <v>12</v>
      </c>
      <c r="V27" s="29">
        <v>12</v>
      </c>
    </row>
    <row r="28" ht="31" customHeight="1" spans="2:22">
      <c r="B28" s="20">
        <f t="shared" si="2"/>
        <v>169</v>
      </c>
      <c r="C28" s="18" t="s">
        <v>13</v>
      </c>
      <c r="D28" s="18" t="s">
        <v>23</v>
      </c>
      <c r="E28" s="29">
        <v>45</v>
      </c>
      <c r="F28" s="29">
        <v>12</v>
      </c>
      <c r="G28" s="29">
        <v>8</v>
      </c>
      <c r="H28" s="29">
        <v>8</v>
      </c>
      <c r="I28" s="29">
        <v>8</v>
      </c>
      <c r="J28" s="29">
        <v>8</v>
      </c>
      <c r="K28" s="29">
        <v>6</v>
      </c>
      <c r="L28" s="29">
        <v>6</v>
      </c>
      <c r="M28" s="29">
        <v>6</v>
      </c>
      <c r="N28" s="29">
        <v>6</v>
      </c>
      <c r="O28" s="29">
        <v>6</v>
      </c>
      <c r="P28" s="29">
        <v>6</v>
      </c>
      <c r="Q28" s="29">
        <v>6</v>
      </c>
      <c r="R28" s="29">
        <v>6</v>
      </c>
      <c r="S28" s="29">
        <v>8</v>
      </c>
      <c r="T28" s="29">
        <v>8</v>
      </c>
      <c r="U28" s="29">
        <v>8</v>
      </c>
      <c r="V28" s="29">
        <v>8</v>
      </c>
    </row>
    <row r="29" ht="31" customHeight="1" spans="2:22">
      <c r="B29" s="20">
        <f t="shared" si="2"/>
        <v>10</v>
      </c>
      <c r="C29" s="18" t="s">
        <v>13</v>
      </c>
      <c r="D29" s="18" t="s">
        <v>24</v>
      </c>
      <c r="E29" s="29">
        <v>1</v>
      </c>
      <c r="F29" s="29">
        <v>1</v>
      </c>
      <c r="G29" s="29">
        <v>0.5</v>
      </c>
      <c r="H29" s="29">
        <v>0.5</v>
      </c>
      <c r="I29" s="29">
        <v>0.5</v>
      </c>
      <c r="J29" s="29">
        <v>0.5</v>
      </c>
      <c r="K29" s="29">
        <v>0.5</v>
      </c>
      <c r="L29" s="29">
        <v>0.5</v>
      </c>
      <c r="M29" s="29">
        <v>0.5</v>
      </c>
      <c r="N29" s="29">
        <v>0.5</v>
      </c>
      <c r="O29" s="29">
        <v>0.5</v>
      </c>
      <c r="P29" s="29">
        <v>0.5</v>
      </c>
      <c r="Q29" s="29">
        <v>0.5</v>
      </c>
      <c r="R29" s="29">
        <v>0.5</v>
      </c>
      <c r="S29" s="29">
        <v>0.5</v>
      </c>
      <c r="T29" s="29">
        <v>0.5</v>
      </c>
      <c r="U29" s="29">
        <v>0.5</v>
      </c>
      <c r="V29" s="29">
        <v>0.5</v>
      </c>
    </row>
    <row r="31" customHeight="1" spans="7:22">
      <c r="G31" s="30"/>
      <c r="H31" s="30"/>
      <c r="I31" s="30"/>
      <c r="J31" s="30"/>
      <c r="K31" s="30"/>
      <c r="L31" s="30"/>
      <c r="M31" s="30"/>
      <c r="N31" s="30"/>
      <c r="O31" s="30"/>
      <c r="P31" s="30"/>
      <c r="Q31" s="30"/>
      <c r="R31" s="30"/>
      <c r="S31" s="30"/>
      <c r="T31" s="30"/>
      <c r="U31" s="30"/>
      <c r="V31" s="30"/>
    </row>
  </sheetData>
  <mergeCells count="10">
    <mergeCell ref="B3:L3"/>
    <mergeCell ref="B4:L4"/>
    <mergeCell ref="C16:L16"/>
    <mergeCell ref="C17:L17"/>
    <mergeCell ref="D6:D13"/>
    <mergeCell ref="H6:H13"/>
    <mergeCell ref="I6:I13"/>
    <mergeCell ref="J6:J13"/>
    <mergeCell ref="K6:K13"/>
    <mergeCell ref="L6:L13"/>
  </mergeCells>
  <pageMargins left="1" right="1" top="1" bottom="1" header="0.25" footer="0.25"/>
  <pageSetup paperSize="1" orientation="portrait"/>
  <headerFooter>
    <oddFooter>&amp;C&amp;"Helvetica Neue,Regular"&amp;11&amp;K000000&amp;P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Y2027 NPI - Laservall (0528)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lvc</cp:lastModifiedBy>
  <dcterms:created xsi:type="dcterms:W3CDTF">2026-05-07T06:14:00Z</dcterms:created>
  <dcterms:modified xsi:type="dcterms:W3CDTF">2026-05-29T10:44:02Z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2052-6.12.1.8902</vt:lpwstr>
  </property>
  <property fmtid="{D5CDD505-2E9C-101B-9397-08002B2CF9AE}" pid="3" name="ICV">
    <vt:lpwstr>7BBAF7BD38F920A473ED176A532EF741_43</vt:lpwstr>
  </property>
  <property fmtid="{D5CDD505-2E9C-101B-9397-08002B2CF9AE}" pid="4" name="CalculationRule">
    <vt:i4>0</vt:i4>
  </property>
</Properties>
</file>